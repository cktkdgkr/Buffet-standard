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정" sheetId="2" state="visible" r:id="rId2"/>
    <sheet name="원자료" sheetId="3" state="visible" r:id="rId3"/>
    <sheet name="ROIC" sheetId="4" state="visible" r:id="rId4"/>
    <sheet name="증분ROIC" sheetId="5" state="visible" r:id="rId5"/>
    <sheet name="주주이익" sheetId="6" state="visible" r:id="rId6"/>
    <sheet name="기준연도" sheetId="7" state="visible" r:id="rId7"/>
    <sheet name="DCF_보수_reported" sheetId="8" state="hidden" r:id="rId8"/>
    <sheet name="DCF_보수_run" sheetId="9" state="hidden" r:id="rId9"/>
    <sheet name="DCF_보수" sheetId="10" state="visible" r:id="rId10"/>
    <sheet name="DCF_중립_reported" sheetId="11" state="hidden" r:id="rId11"/>
    <sheet name="DCF_중립_run" sheetId="12" state="hidden" r:id="rId12"/>
    <sheet name="DCF_중립" sheetId="13" state="visible" r:id="rId13"/>
    <sheet name="DCF_낙관_reported" sheetId="14" state="hidden" r:id="rId14"/>
    <sheet name="DCF_낙관_run" sheetId="15" state="hidden" r:id="rId15"/>
    <sheet name="DCF_낙관" sheetId="16" state="visible" r:id="rId16"/>
    <sheet name="역산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#,##0.0;(#,##0.0);&quot;-&quot;"/>
    <numFmt numFmtId="167" formatCode="0.0000"/>
    <numFmt numFmtId="168" formatCode="#,##0.00;(#,##0.0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  <fill>
      <patternFill patternType="solid">
        <fgColor rgb="00FFFF00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165" fontId="8" fillId="0" borderId="1" pivotButton="0" quotePrefix="0" xfId="0"/>
    <xf numFmtId="0" fontId="9" fillId="0" borderId="1" pivotButton="0" quotePrefix="0" xfId="0"/>
    <xf numFmtId="168" fontId="8" fillId="0" borderId="1" pivotButton="0" quotePrefix="0" xfId="0"/>
    <xf numFmtId="0" fontId="2" fillId="0" borderId="1" pivotButton="0" quotePrefix="0" xfId="0"/>
    <xf numFmtId="3" fontId="8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3" fontId="7" fillId="4" borderId="1" pivotButton="0" quotePrefix="0" xfId="0"/>
    <xf numFmtId="0" fontId="5" fillId="0" borderId="1" pivotButton="0" quotePrefix="0" xfId="0"/>
    <xf numFmtId="164" fontId="7" fillId="4" borderId="1" pivotButton="0" quotePrefix="0" xfId="0"/>
    <xf numFmtId="165" fontId="7" fillId="4" borderId="1" pivotButton="0" quotePrefix="0" xfId="0"/>
    <xf numFmtId="10" fontId="7" fillId="4" borderId="1" pivotButton="0" quotePrefix="0" xfId="0"/>
    <xf numFmtId="2" fontId="7" fillId="4" borderId="1" pivotButton="0" quotePrefix="0" xfId="0"/>
    <xf numFmtId="3" fontId="5" fillId="0" borderId="1" pivotButton="0" quotePrefix="0" xfId="0"/>
    <xf numFmtId="165" fontId="5" fillId="0" borderId="1" pivotButton="0" quotePrefix="0" xfId="0"/>
    <xf numFmtId="166" fontId="7" fillId="5" borderId="1" pivotButton="0" quotePrefix="0" xfId="0"/>
    <xf numFmtId="166" fontId="5" fillId="0" borderId="1" pivotButton="0" quotePrefix="0" xfId="0"/>
    <xf numFmtId="166" fontId="8" fillId="0" borderId="1" pivotButton="0" quotePrefix="0" xfId="0"/>
    <xf numFmtId="166" fontId="6" fillId="0" borderId="1" pivotButton="0" quotePrefix="0" xfId="0"/>
    <xf numFmtId="165" fontId="7" fillId="5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삼성바이오로직스 — 버핏 기준 기업분석</t>
        </is>
      </c>
    </row>
    <row r="2" ht="30" customHeight="1">
      <c r="A2" s="2" t="inlineStr">
        <is>
          <t>CDMO 단일사업 기준 (별도 재무제표) FY2016~FY2025. 모든 수치는 이 워크북의 다른 시트에서 계산되며, 그 시트들은 감사보고서에서 읽은 값만을 입력으로 씁니다.</t>
        </is>
      </c>
    </row>
    <row r="4" ht="32" customHeight="1">
      <c r="A4" s="3" t="inlineStr">
        <is>
          <t>기준</t>
        </is>
      </c>
      <c r="B4" s="3" t="inlineStr">
        <is>
          <t>판정</t>
        </is>
      </c>
      <c r="C4" s="3" t="inlineStr">
        <is>
          <t>근거 (수식)</t>
        </is>
      </c>
      <c r="D4" s="3" t="inlineStr">
        <is>
          <t>값</t>
        </is>
      </c>
    </row>
    <row r="5">
      <c r="A5" s="4" t="inlineStr">
        <is>
          <t>1. 이해할 수 있는 사업</t>
        </is>
      </c>
      <c r="B5" s="5" t="inlineStr">
        <is>
          <t>통과</t>
        </is>
      </c>
      <c r="C5" s="6" t="inlineStr">
        <is>
          <t>위탁생산 한 가지. 분할 후 보고부문 1개</t>
        </is>
      </c>
    </row>
    <row r="6">
      <c r="A6" s="4" t="inlineStr">
        <is>
          <t>2. 기존 자본의 수익률 &gt; 자본비용</t>
        </is>
      </c>
      <c r="B6" s="5" t="inlineStr">
        <is>
          <t>통과</t>
        </is>
      </c>
      <c r="C6" s="6" t="inlineStr">
        <is>
          <t>FY2025 ROIC (건설중자산 제외)</t>
        </is>
      </c>
      <c r="D6" s="7">
        <f>ROIC!K$26</f>
        <v/>
      </c>
    </row>
    <row r="7">
      <c r="A7" s="4" t="inlineStr"/>
      <c r="B7" s="5" t="inlineStr"/>
      <c r="C7" s="6" t="inlineStr">
        <is>
          <t>자본비용 참고값</t>
        </is>
      </c>
      <c r="D7" s="7">
        <f>가정!$B$47</f>
        <v/>
      </c>
    </row>
    <row r="8">
      <c r="A8" s="4" t="inlineStr">
        <is>
          <t>3. 지속되는 해자</t>
        </is>
      </c>
      <c r="B8" s="5" t="inlineStr">
        <is>
          <t>조건부 통과</t>
        </is>
      </c>
      <c r="C8" s="6" t="inlineStr">
        <is>
          <t>선수금+계약부채 ÷ 매출 — 고객이 먼저 내는 돈</t>
        </is>
      </c>
    </row>
    <row r="9">
      <c r="A9" s="4" t="inlineStr">
        <is>
          <t>4. 증분 자본의 수익률 &gt; 자본비용</t>
        </is>
      </c>
      <c r="B9" s="5" t="inlineStr">
        <is>
          <t>통과</t>
        </is>
      </c>
      <c r="C9" s="6" t="inlineStr">
        <is>
          <t>FY2020→FY2025 증분 ROIC</t>
        </is>
      </c>
      <c r="D9" s="7">
        <f>((ROIC!K$7-ROIC!F$7)/(ROIC!K$19-ROIC!F$19))</f>
        <v/>
      </c>
    </row>
    <row r="10">
      <c r="A10" s="4" t="inlineStr">
        <is>
          <t>5. 자본배분·주주지향</t>
        </is>
      </c>
      <c r="B10" s="5" t="inlineStr">
        <is>
          <t>조건부 통과</t>
        </is>
      </c>
      <c r="C10" s="6" t="inlineStr">
        <is>
          <t>배당 0, 2022년 유상증자 3.19조원, 지배주주 74.3%</t>
        </is>
      </c>
    </row>
    <row r="11">
      <c r="A11" s="4" t="inlineStr">
        <is>
          <t>6. 이익의 질</t>
        </is>
      </c>
      <c r="B11" s="5" t="inlineStr">
        <is>
          <t>조건부 통과</t>
        </is>
      </c>
      <c r="C11" s="6" t="inlineStr">
        <is>
          <t>10년 누적 영업현금흐름 − 설비투자 (주주이익 시트 I열 합계)</t>
        </is>
      </c>
    </row>
    <row r="12">
      <c r="A12" s="4" t="inlineStr">
        <is>
          <t>7. 합리적인 가격</t>
        </is>
      </c>
      <c r="B12" s="8" t="inlineStr">
        <is>
          <t>미달</t>
        </is>
      </c>
      <c r="C12" s="6" t="inlineStr">
        <is>
          <t>낙관 시나리오 자기자본가치 ÷ 시가총액 − 1</t>
        </is>
      </c>
      <c r="D12" s="7">
        <f>(DCF_낙관!$B$28-가정!$B$46/1000000000)/(가정!$B$46/1000000000)</f>
        <v/>
      </c>
    </row>
    <row r="14">
      <c r="A14" s="5" t="inlineStr">
        <is>
          <t>가치 — 기준연도 3 × 시나리오 3</t>
        </is>
      </c>
    </row>
    <row r="15" ht="32" customHeight="1">
      <c r="A15" s="3" t="inlineStr">
        <is>
          <t>기준연도</t>
        </is>
      </c>
      <c r="B15" s="3" t="inlineStr">
        <is>
          <t>보수</t>
        </is>
      </c>
      <c r="C15" s="3" t="inlineStr">
        <is>
          <t>중립</t>
        </is>
      </c>
      <c r="D15" s="3" t="inlineStr">
        <is>
          <t>낙관</t>
        </is>
      </c>
      <c r="E15" s="3" t="inlineStr">
        <is>
          <t>시가총액</t>
        </is>
      </c>
    </row>
    <row r="16">
      <c r="A16" s="4" t="inlineStr">
        <is>
          <t>FY2025 실적</t>
        </is>
      </c>
      <c r="B16" s="9">
        <f>DCF_보수_reported!$B$28/1000</f>
        <v/>
      </c>
      <c r="C16" s="9">
        <f>DCF_중립_reported!$B$28/1000</f>
        <v/>
      </c>
      <c r="D16" s="9">
        <f>DCF_낙관_reported!$B$28/1000</f>
        <v/>
      </c>
      <c r="E16" s="9">
        <f>가정!$B$46/1000000000000</f>
        <v/>
      </c>
    </row>
    <row r="17">
      <c r="A17" s="4" t="inlineStr">
        <is>
          <t>2026 상반기 연율화</t>
        </is>
      </c>
      <c r="B17" s="9">
        <f>DCF_보수_run!$B$28/1000</f>
        <v/>
      </c>
      <c r="C17" s="9">
        <f>DCF_중립_run!$B$28/1000</f>
        <v/>
      </c>
      <c r="D17" s="9">
        <f>DCF_낙관_run!$B$28/1000</f>
        <v/>
      </c>
      <c r="E17" s="9">
        <f>가정!$B$46/1000000000000</f>
        <v/>
      </c>
    </row>
    <row r="18">
      <c r="A18" s="4" t="inlineStr">
        <is>
          <t>2026 연율화 · 현재 환율</t>
        </is>
      </c>
      <c r="B18" s="9">
        <f>DCF_보수!$B$28/1000</f>
        <v/>
      </c>
      <c r="C18" s="9">
        <f>DCF_중립!$B$28/1000</f>
        <v/>
      </c>
      <c r="D18" s="9">
        <f>DCF_낙관!$B$28/1000</f>
        <v/>
      </c>
      <c r="E18" s="9">
        <f>가정!$B$46/1000000000000</f>
        <v/>
      </c>
    </row>
    <row r="19">
      <c r="A19" s="10" t="inlineStr">
        <is>
          <t>단위: 조원</t>
        </is>
      </c>
    </row>
    <row r="21">
      <c r="A21" s="5" t="inlineStr">
        <is>
          <t>적정주가 — 기준연도 3 × 시나리오 3</t>
        </is>
      </c>
    </row>
    <row r="22" ht="32" customHeight="1">
      <c r="A22" s="3" t="inlineStr">
        <is>
          <t>기준연도</t>
        </is>
      </c>
      <c r="B22" s="3" t="inlineStr">
        <is>
          <t>보수</t>
        </is>
      </c>
      <c r="C22" s="3" t="inlineStr">
        <is>
          <t>중립</t>
        </is>
      </c>
      <c r="D22" s="3" t="inlineStr">
        <is>
          <t>낙관</t>
        </is>
      </c>
      <c r="E22" s="3" t="inlineStr">
        <is>
          <t>현재주가</t>
        </is>
      </c>
    </row>
    <row r="23">
      <c r="A23" s="4" t="inlineStr">
        <is>
          <t>FY2025 실적</t>
        </is>
      </c>
      <c r="B23" s="11">
        <f>DCF_보수_reported!$B$29</f>
        <v/>
      </c>
      <c r="C23" s="11">
        <f>DCF_중립_reported!$B$29</f>
        <v/>
      </c>
      <c r="D23" s="11">
        <f>DCF_낙관_reported!$B$29</f>
        <v/>
      </c>
      <c r="E23" s="11">
        <f>가정!$B$6</f>
        <v/>
      </c>
    </row>
    <row r="24">
      <c r="A24" s="4" t="inlineStr">
        <is>
          <t>2026 상반기 연율화</t>
        </is>
      </c>
      <c r="B24" s="11">
        <f>DCF_보수_run!$B$29</f>
        <v/>
      </c>
      <c r="C24" s="11">
        <f>DCF_중립_run!$B$29</f>
        <v/>
      </c>
      <c r="D24" s="11">
        <f>DCF_낙관_run!$B$29</f>
        <v/>
      </c>
      <c r="E24" s="11">
        <f>가정!$B$6</f>
        <v/>
      </c>
    </row>
    <row r="25">
      <c r="A25" s="4" t="inlineStr">
        <is>
          <t>2026 연율화 · 현재 환율</t>
        </is>
      </c>
      <c r="B25" s="11">
        <f>DCF_보수!$B$29</f>
        <v/>
      </c>
      <c r="C25" s="11">
        <f>DCF_중립!$B$29</f>
        <v/>
      </c>
      <c r="D25" s="11">
        <f>DCF_낙관!$B$29</f>
        <v/>
      </c>
      <c r="E25" s="11">
        <f>가정!$B$6</f>
        <v/>
      </c>
    </row>
    <row r="27">
      <c r="A27" s="5" t="inlineStr">
        <is>
          <t>매수 규칙</t>
        </is>
      </c>
    </row>
    <row r="28">
      <c r="A28" s="4" t="inlineStr">
        <is>
          <t>중립·낙관 평균 적정주가 (현재 환율 기준)</t>
        </is>
      </c>
      <c r="B28" s="11">
        <f>AVERAGE(DCF_중립!$B$29,DCF_낙관!$B$29)</f>
        <v/>
      </c>
    </row>
    <row r="29">
      <c r="A29" s="4" t="inlineStr">
        <is>
          <t>안전마진 적용 후 매수가</t>
        </is>
      </c>
      <c r="B29" s="12">
        <f>B28*(1-가정!$B$44)</f>
        <v/>
      </c>
    </row>
    <row r="30">
      <c r="A30" s="4" t="inlineStr">
        <is>
          <t>현재주가 대비</t>
        </is>
      </c>
      <c r="B30" s="13">
        <f>B29/가정!$B$6-1</f>
        <v/>
      </c>
    </row>
    <row r="32" ht="28" customHeight="1">
      <c r="A32" s="2" t="inlineStr">
        <is>
          <t>이 칸을 목표주가로 읽지 마십시오. '내가 정한 가정 아래서 가치가 이만큼이므로 그 아래에서만 산다'는 규칙의 출력입니다. 가정은 전부 가정 시트의 노란 칸에 있으니, 생각이 다르면 그 칸을 바꿔 이 숫자가 어떻게 움직이는지 직접 확인하시면 됩니다.</t>
        </is>
      </c>
    </row>
    <row r="33" ht="28" customHeight="1">
      <c r="A33" s="2" t="inlineStr">
        <is>
          <t>색: 파랑 = 감사보고서·시세에서 읽은 값, 검정 = 같은 시트 수식, 초록 = 다른 시트를 참조하는 수식, 노랑 = 바꿔도 되는 가정.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78" customWidth="1" min="4" max="4"/>
  </cols>
  <sheetData>
    <row r="1">
      <c r="A1" s="1" t="inlineStr">
        <is>
          <t>가정</t>
        </is>
      </c>
    </row>
    <row r="2" ht="30" customHeight="1">
      <c r="A2" s="2" t="inlineStr">
        <is>
          <t>노란 칸은 바꿔도 되는 값입니다. 바꾸면 이 워크북의 모든 계산이 따라 움직입니다. 출처가 있는 값은 출처를 적었습니다.</t>
        </is>
      </c>
    </row>
    <row r="4" ht="32" customHeight="1">
      <c r="A4" s="3" t="inlineStr">
        <is>
          <t>항목</t>
        </is>
      </c>
      <c r="B4" s="3" t="inlineStr">
        <is>
          <t>값</t>
        </is>
      </c>
      <c r="C4" s="3" t="inlineStr">
        <is>
          <t>형식</t>
        </is>
      </c>
      <c r="D4" s="3" t="inlineStr">
        <is>
          <t>출처 / 근거</t>
        </is>
      </c>
    </row>
    <row r="5">
      <c r="A5" s="14" t="inlineStr">
        <is>
          <t>시장</t>
        </is>
      </c>
      <c r="B5" s="15" t="n"/>
      <c r="C5" s="15" t="n"/>
      <c r="D5" s="15" t="n"/>
    </row>
    <row r="6">
      <c r="A6" s="4" t="inlineStr">
        <is>
          <t>주가</t>
        </is>
      </c>
      <c r="B6" s="16" t="n">
        <v>1408000</v>
      </c>
      <c r="C6" s="17" t="inlineStr">
        <is>
          <t>원</t>
        </is>
      </c>
      <c r="D6" s="6" t="inlineStr">
        <is>
          <t>네이버 금융 일별시세 (207940), 2026-09-14 종가</t>
        </is>
      </c>
    </row>
    <row r="7">
      <c r="A7" s="4" t="inlineStr">
        <is>
          <t>유통주식수</t>
        </is>
      </c>
      <c r="B7" s="16" t="n">
        <v>46239518</v>
      </c>
      <c r="C7" s="17" t="inlineStr">
        <is>
          <t>원</t>
        </is>
      </c>
      <c r="D7" s="6" t="inlineStr">
        <is>
          <t>분할 후 발행주식 46,290,951주에서 자기주식 51,433주를 차감한 유통주식 46,239,518주 기준. 분할 전 71,174,000주였으므로 분할 전 주가·EPS와는 직접 비교할 수 없습니다.</t>
        </is>
      </c>
    </row>
    <row r="8">
      <c r="A8" s="4" t="inlineStr">
        <is>
          <t>발행주식수</t>
        </is>
      </c>
      <c r="B8" s="16" t="n">
        <v>46290951</v>
      </c>
      <c r="C8" s="17" t="inlineStr">
        <is>
          <t>원</t>
        </is>
      </c>
      <c r="D8" s="6" t="inlineStr">
        <is>
          <t>FY2025 별도재무제표 자본 주석 (분할 후)</t>
        </is>
      </c>
    </row>
    <row r="9">
      <c r="A9" s="4" t="inlineStr">
        <is>
          <t>52주 최고</t>
        </is>
      </c>
      <c r="B9" s="16" t="n">
        <v>1987000</v>
      </c>
      <c r="C9" s="17" t="inlineStr">
        <is>
          <t>원</t>
        </is>
      </c>
      <c r="D9" s="6" t="inlineStr">
        <is>
          <t>네이버 금융</t>
        </is>
      </c>
    </row>
    <row r="10">
      <c r="A10" s="4" t="inlineStr">
        <is>
          <t>52주 최저</t>
        </is>
      </c>
      <c r="B10" s="16" t="n">
        <v>1228000</v>
      </c>
      <c r="C10" s="17" t="inlineStr">
        <is>
          <t>원</t>
        </is>
      </c>
      <c r="D10" s="6" t="inlineStr">
        <is>
          <t>네이버 금융</t>
        </is>
      </c>
    </row>
    <row r="11">
      <c r="A11" s="14" t="inlineStr">
        <is>
          <t>환율</t>
        </is>
      </c>
      <c r="B11" s="15" t="n"/>
      <c r="C11" s="15" t="n"/>
      <c r="D11" s="15" t="n"/>
    </row>
    <row r="12">
      <c r="A12" s="4" t="inlineStr">
        <is>
          <t>현재 원/달러</t>
        </is>
      </c>
      <c r="B12" s="18" t="n">
        <v>1358.5</v>
      </c>
      <c r="C12" s="17" t="inlineStr">
        <is>
          <t>숫자</t>
        </is>
      </c>
      <c r="D12" s="6" t="inlineStr">
        <is>
          <t>2026년 9월 평균 (FRED DEXKOUS 월평균) — FRED DEXKOUS (Korea / U.S. Foreign Exchange Rate)</t>
        </is>
      </c>
    </row>
    <row r="13">
      <c r="A13" s="4" t="inlineStr">
        <is>
          <t>FY2025 평균 원/달러</t>
        </is>
      </c>
      <c r="B13" s="18" t="n">
        <v>1421.4</v>
      </c>
      <c r="C13" s="17" t="inlineStr">
        <is>
          <t>숫자</t>
        </is>
      </c>
      <c r="D13" s="6" t="inlineStr">
        <is>
          <t>FRED DEXKOUS (Korea / U.S. Foreign Exchange Rate)</t>
        </is>
      </c>
    </row>
    <row r="14">
      <c r="A14" s="4" t="inlineStr">
        <is>
          <t>FY2024 평균 원/달러</t>
        </is>
      </c>
      <c r="B14" s="18" t="n">
        <v>1363.4</v>
      </c>
      <c r="C14" s="17" t="inlineStr">
        <is>
          <t>숫자</t>
        </is>
      </c>
      <c r="D14" s="6" t="inlineStr">
        <is>
          <t>FRED DEXKOUS (Korea / U.S. Foreign Exchange Rate)</t>
        </is>
      </c>
    </row>
    <row r="15">
      <c r="A15" s="4" t="inlineStr">
        <is>
          <t>2026 상반기 평균 원/달러</t>
        </is>
      </c>
      <c r="B15" s="18" t="n">
        <v>1482</v>
      </c>
      <c r="C15" s="17" t="inlineStr">
        <is>
          <t>숫자</t>
        </is>
      </c>
      <c r="D15" s="6" t="inlineStr">
        <is>
          <t>FRED DEXKOUS (Korea / U.S. Foreign Exchange Rate)</t>
        </is>
      </c>
    </row>
    <row r="16">
      <c r="A16" s="4" t="inlineStr">
        <is>
          <t>해외매출 비중</t>
        </is>
      </c>
      <c r="B16" s="19" t="n">
        <v>0.918393945827809</v>
      </c>
      <c r="C16" s="17" t="inlineStr">
        <is>
          <t>비율</t>
        </is>
      </c>
      <c r="D16" s="6" t="inlineStr">
        <is>
          <t>FY2025 지역별 매출 주석에서 국내 매출을 뺀 비중. 원자료 시트에서 계산</t>
        </is>
      </c>
    </row>
    <row r="17">
      <c r="A17" s="4" t="inlineStr">
        <is>
          <t>원가 중 외화연동 비중</t>
        </is>
      </c>
      <c r="B17" s="19" t="n">
        <v>0.3</v>
      </c>
      <c r="C17" s="17" t="inlineStr">
        <is>
          <t>비율</t>
        </is>
      </c>
      <c r="D17" s="6" t="inlineStr">
        <is>
          <t>가정. 배양액·레진·일회용 자재는 달러 수입, 인건비·감가상각·전력은 원화. 회사가 공시하지 않으므로 0~60%로 흔들어 확인했고 결론은 바뀌지 않습니다</t>
        </is>
      </c>
    </row>
    <row r="18">
      <c r="A18" s="14" t="inlineStr">
        <is>
          <t>세율·자본비용</t>
        </is>
      </c>
      <c r="B18" s="15" t="n"/>
      <c r="C18" s="15" t="n"/>
      <c r="D18" s="15" t="n"/>
    </row>
    <row r="19">
      <c r="A19" s="4" t="inlineStr">
        <is>
          <t>법정세율</t>
        </is>
      </c>
      <c r="B19" s="19" t="n">
        <v>0.22</v>
      </c>
      <c r="C19" s="17" t="inlineStr">
        <is>
          <t>비율</t>
        </is>
      </c>
      <c r="D19" s="6" t="inlineStr">
        <is>
          <t>한국 법인세 최고세율 + 지방소득세</t>
        </is>
      </c>
    </row>
    <row r="20">
      <c r="A20" s="4" t="inlineStr">
        <is>
          <t>무위험수익률</t>
        </is>
      </c>
      <c r="B20" s="20" t="n">
        <v>0.04181</v>
      </c>
      <c r="C20" s="17" t="inlineStr">
        <is>
          <t>비율</t>
        </is>
      </c>
      <c r="D20" s="6" t="inlineStr">
        <is>
          <t>FRED IRLTLT01KRM156N (Korea 10-year government bond yield) (2026-06)</t>
        </is>
      </c>
    </row>
    <row r="21">
      <c r="A21" s="4" t="inlineStr">
        <is>
          <t>주식위험프리미엄</t>
        </is>
      </c>
      <c r="B21" s="19" t="n">
        <v>0.065</v>
      </c>
      <c r="C21" s="17" t="inlineStr">
        <is>
          <t>비율</t>
        </is>
      </c>
      <c r="D21" s="6" t="inlineStr">
        <is>
          <t>참고 자본비용 계산용 (5.5~7.5% 중간값)</t>
        </is>
      </c>
    </row>
    <row r="22">
      <c r="A22" s="4" t="inlineStr">
        <is>
          <t>베타</t>
        </is>
      </c>
      <c r="B22" s="21" t="n">
        <v>1</v>
      </c>
      <c r="C22" s="17" t="inlineStr">
        <is>
          <t>숫자</t>
        </is>
      </c>
      <c r="D22" s="6" t="inlineStr">
        <is>
          <t>참고 자본비용 계산용 (0.9~1.2 중간값)</t>
        </is>
      </c>
    </row>
    <row r="23">
      <c r="A23" s="4" t="inlineStr">
        <is>
          <t>세전 차입이자율</t>
        </is>
      </c>
      <c r="B23" s="19" t="n">
        <v>0.04</v>
      </c>
      <c r="C23" s="17" t="inlineStr">
        <is>
          <t>비율</t>
        </is>
      </c>
      <c r="D23" s="6" t="inlineStr">
        <is>
          <t>FY2025 사채·차입금 주석 수준</t>
        </is>
      </c>
    </row>
    <row r="24">
      <c r="A24" s="14" t="inlineStr">
        <is>
          <t>보수 시나리오</t>
        </is>
      </c>
      <c r="B24" s="15" t="n"/>
      <c r="C24" s="15" t="n"/>
      <c r="D24" s="15" t="n"/>
    </row>
    <row r="25">
      <c r="A25" s="4" t="inlineStr">
        <is>
          <t>보수 첫해 성장률</t>
        </is>
      </c>
      <c r="B25" s="19" t="n">
        <v>0.08</v>
      </c>
      <c r="C25" s="17" t="inlineStr">
        <is>
          <t>비율</t>
        </is>
      </c>
      <c r="D25" s="6" t="inlineStr">
        <is>
          <t>증설을 멈추고 기존 공장의 가동률·가격·믹스 개선만으로 성장. 증분 ROIC은 실측 5년 구간 최저치(24.9%)보다 크게 낮은 15%를 적용.</t>
        </is>
      </c>
    </row>
    <row r="26">
      <c r="A26" s="4" t="inlineStr">
        <is>
          <t>보수 10년차 성장률</t>
        </is>
      </c>
      <c r="B26" s="19" t="n">
        <v>0.025</v>
      </c>
      <c r="C26" s="17" t="inlineStr">
        <is>
          <t>비율</t>
        </is>
      </c>
      <c r="D26" s="6" t="inlineStr">
        <is>
          <t>1년차에서 10년차까지 직선 체감</t>
        </is>
      </c>
    </row>
    <row r="27">
      <c r="A27" s="4" t="inlineStr">
        <is>
          <t>보수 증분 ROIC</t>
        </is>
      </c>
      <c r="B27" s="19" t="n">
        <v>0.15</v>
      </c>
      <c r="C27" s="17" t="inlineStr">
        <is>
          <t>비율</t>
        </is>
      </c>
      <c r="D27" s="6" t="inlineStr">
        <is>
          <t>실측 5년 구간 24.9~29.7% 대비</t>
        </is>
      </c>
    </row>
    <row r="28">
      <c r="A28" s="4" t="inlineStr">
        <is>
          <t>보수 할인율</t>
        </is>
      </c>
      <c r="B28" s="19" t="n">
        <v>0.11</v>
      </c>
      <c r="C28" s="17" t="inlineStr">
        <is>
          <t>비율</t>
        </is>
      </c>
      <c r="D28" s="6" t="n"/>
    </row>
    <row r="29">
      <c r="A29" s="4" t="inlineStr">
        <is>
          <t>보수 영구성장률</t>
        </is>
      </c>
      <c r="B29" s="19" t="n">
        <v>0.02</v>
      </c>
      <c r="C29" s="17" t="inlineStr">
        <is>
          <t>비율</t>
        </is>
      </c>
      <c r="D29" s="6" t="n"/>
    </row>
    <row r="30">
      <c r="A30" s="14" t="inlineStr">
        <is>
          <t>중립 시나리오</t>
        </is>
      </c>
      <c r="B30" s="15" t="n"/>
      <c r="C30" s="15" t="n"/>
      <c r="D30" s="15" t="n"/>
    </row>
    <row r="31">
      <c r="A31" s="4" t="inlineStr">
        <is>
          <t>중립 첫해 성장률</t>
        </is>
      </c>
      <c r="B31" s="19" t="n">
        <v>0.15</v>
      </c>
      <c r="C31" s="17" t="inlineStr">
        <is>
          <t>비율</t>
        </is>
      </c>
      <c r="D31" s="6" t="inlineStr">
        <is>
          <t>증설을 계속하되 10년에 걸쳐 성장률이 GDP 수준으로 수렴. 증분 ROIC 20%는 실측 구간(24.9~29.7%) 하단 아래.</t>
        </is>
      </c>
    </row>
    <row r="32">
      <c r="A32" s="4" t="inlineStr">
        <is>
          <t>중립 10년차 성장률</t>
        </is>
      </c>
      <c r="B32" s="19" t="n">
        <v>0.04</v>
      </c>
      <c r="C32" s="17" t="inlineStr">
        <is>
          <t>비율</t>
        </is>
      </c>
      <c r="D32" s="6" t="inlineStr">
        <is>
          <t>1년차에서 10년차까지 직선 체감</t>
        </is>
      </c>
    </row>
    <row r="33">
      <c r="A33" s="4" t="inlineStr">
        <is>
          <t>중립 증분 ROIC</t>
        </is>
      </c>
      <c r="B33" s="19" t="n">
        <v>0.2</v>
      </c>
      <c r="C33" s="17" t="inlineStr">
        <is>
          <t>비율</t>
        </is>
      </c>
      <c r="D33" s="6" t="inlineStr">
        <is>
          <t>실측 5년 구간 24.9~29.7% 대비</t>
        </is>
      </c>
    </row>
    <row r="34">
      <c r="A34" s="4" t="inlineStr">
        <is>
          <t>중립 할인율</t>
        </is>
      </c>
      <c r="B34" s="19" t="n">
        <v>0.1</v>
      </c>
      <c r="C34" s="17" t="inlineStr">
        <is>
          <t>비율</t>
        </is>
      </c>
      <c r="D34" s="6" t="n"/>
    </row>
    <row r="35">
      <c r="A35" s="4" t="inlineStr">
        <is>
          <t>중립 영구성장률</t>
        </is>
      </c>
      <c r="B35" s="19" t="n">
        <v>0.025</v>
      </c>
      <c r="C35" s="17" t="inlineStr">
        <is>
          <t>비율</t>
        </is>
      </c>
      <c r="D35" s="6" t="n"/>
    </row>
    <row r="36">
      <c r="A36" s="14" t="inlineStr">
        <is>
          <t>낙관 시나리오</t>
        </is>
      </c>
      <c r="B36" s="15" t="n"/>
      <c r="C36" s="15" t="n"/>
      <c r="D36" s="15" t="n"/>
    </row>
    <row r="37">
      <c r="A37" s="4" t="inlineStr">
        <is>
          <t>낙관 첫해 성장률</t>
        </is>
      </c>
      <c r="B37" s="19" t="n">
        <v>0.25</v>
      </c>
      <c r="C37" s="17" t="inlineStr">
        <is>
          <t>비율</t>
        </is>
      </c>
      <c r="D37" s="6" t="inlineStr">
        <is>
          <t>최근 5년 실적(매출 CAGR 31.4%, 2026 상반기 +28.0%)의 하단에서 출발해 10년간 체감. 증분 ROIC 26%는 FY2020→FY2025 실측치(27.6%)에 근접.</t>
        </is>
      </c>
    </row>
    <row r="38">
      <c r="A38" s="4" t="inlineStr">
        <is>
          <t>낙관 10년차 성장률</t>
        </is>
      </c>
      <c r="B38" s="19" t="n">
        <v>0.05</v>
      </c>
      <c r="C38" s="17" t="inlineStr">
        <is>
          <t>비율</t>
        </is>
      </c>
      <c r="D38" s="6" t="inlineStr">
        <is>
          <t>1년차에서 10년차까지 직선 체감</t>
        </is>
      </c>
    </row>
    <row r="39">
      <c r="A39" s="4" t="inlineStr">
        <is>
          <t>낙관 증분 ROIC</t>
        </is>
      </c>
      <c r="B39" s="19" t="n">
        <v>0.26</v>
      </c>
      <c r="C39" s="17" t="inlineStr">
        <is>
          <t>비율</t>
        </is>
      </c>
      <c r="D39" s="6" t="inlineStr">
        <is>
          <t>실측 5년 구간 24.9~29.7% 대비</t>
        </is>
      </c>
    </row>
    <row r="40">
      <c r="A40" s="4" t="inlineStr">
        <is>
          <t>낙관 할인율</t>
        </is>
      </c>
      <c r="B40" s="19" t="n">
        <v>0.09</v>
      </c>
      <c r="C40" s="17" t="inlineStr">
        <is>
          <t>비율</t>
        </is>
      </c>
      <c r="D40" s="6" t="n"/>
    </row>
    <row r="41">
      <c r="A41" s="4" t="inlineStr">
        <is>
          <t>낙관 영구성장률</t>
        </is>
      </c>
      <c r="B41" s="19" t="n">
        <v>0.03</v>
      </c>
      <c r="C41" s="17" t="inlineStr">
        <is>
          <t>비율</t>
        </is>
      </c>
      <c r="D41" s="6" t="n"/>
    </row>
    <row r="42">
      <c r="A42" s="14" t="inlineStr">
        <is>
          <t>기타</t>
        </is>
      </c>
      <c r="B42" s="15" t="n"/>
      <c r="C42" s="15" t="n"/>
      <c r="D42" s="15" t="n"/>
    </row>
    <row r="43">
      <c r="A43" s="4" t="inlineStr">
        <is>
          <t>예측기간(년)</t>
        </is>
      </c>
      <c r="B43" s="16" t="n">
        <v>10</v>
      </c>
      <c r="C43" s="17" t="inlineStr">
        <is>
          <t>원</t>
        </is>
      </c>
      <c r="D43" s="6" t="inlineStr">
        <is>
          <t>명시적으로 현금흐름을 추정하는 기간</t>
        </is>
      </c>
    </row>
    <row r="44">
      <c r="A44" s="4" t="inlineStr">
        <is>
          <t>안전마진</t>
        </is>
      </c>
      <c r="B44" s="19" t="n">
        <v>0.25</v>
      </c>
      <c r="C44" s="17" t="inlineStr">
        <is>
          <t>비율</t>
        </is>
      </c>
      <c r="D44" s="6" t="inlineStr">
        <is>
          <t>가치 대비 이만큼 낮은 값에서만 매수한다는 규칙</t>
        </is>
      </c>
    </row>
    <row r="46">
      <c r="A46" s="4" t="inlineStr">
        <is>
          <t>시가총액</t>
        </is>
      </c>
      <c r="B46" s="22">
        <f>가정!$B$6*가정!$B$7</f>
        <v/>
      </c>
      <c r="D46" s="6" t="inlineStr">
        <is>
          <t>주가 × 유통주식수. 네이버 공시 시총과 0.04% 차이</t>
        </is>
      </c>
    </row>
    <row r="47">
      <c r="A47" s="4" t="inlineStr">
        <is>
          <t>참고 자본비용 (WACC)</t>
        </is>
      </c>
      <c r="B47" s="23">
        <f>가정!$B$20+가정!$B$22*가정!$B$21</f>
        <v/>
      </c>
      <c r="D47" s="6" t="inlineStr">
        <is>
          <t>부채 비중이 시가총액의 1.4%에 불과해 자기자본비용과 사실상 같습니다. 베타 0.9~1.2, 프리미엄 5.5~7.5%로 흔들면 9.0~13.0%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0" customWidth="1" min="12" max="12"/>
  </cols>
  <sheetData>
    <row r="1">
      <c r="A1" s="1" t="inlineStr">
        <is>
          <t>원자료 — 감사받은 재무제표에서 추출한 값</t>
        </is>
      </c>
    </row>
    <row r="2" ht="30" customHeight="1">
      <c r="A2" s="2" t="inlineStr">
        <is>
          <t>파란 글씨는 전부 감사보고서 원본 PDF에서 읽은 값입니다. 기준은 별도(別途) 재무제표 = CDMO 사업 단독. 이유는 워드 보고서 2장에 있습니다. 단위: 십억원.</t>
        </is>
      </c>
    </row>
    <row r="4" ht="32" customHeight="1">
      <c r="A4" s="3" t="inlineStr">
        <is>
          <t>항목</t>
        </is>
      </c>
      <c r="B4" s="3" t="inlineStr">
        <is>
          <t>FY2016</t>
        </is>
      </c>
      <c r="C4" s="3" t="inlineStr">
        <is>
          <t>FY2017</t>
        </is>
      </c>
      <c r="D4" s="3" t="inlineStr">
        <is>
          <t>FY2018</t>
        </is>
      </c>
      <c r="E4" s="3" t="inlineStr">
        <is>
          <t>FY2019</t>
        </is>
      </c>
      <c r="F4" s="3" t="inlineStr">
        <is>
          <t>FY2020</t>
        </is>
      </c>
      <c r="G4" s="3" t="inlineStr">
        <is>
          <t>FY2021</t>
        </is>
      </c>
      <c r="H4" s="3" t="inlineStr">
        <is>
          <t>FY2022</t>
        </is>
      </c>
      <c r="I4" s="3" t="inlineStr">
        <is>
          <t>FY2023</t>
        </is>
      </c>
      <c r="J4" s="3" t="inlineStr">
        <is>
          <t>FY2024</t>
        </is>
      </c>
      <c r="K4" s="3" t="inlineStr">
        <is>
          <t>FY2025</t>
        </is>
      </c>
      <c r="L4" s="3" t="inlineStr">
        <is>
          <t>출처</t>
        </is>
      </c>
    </row>
    <row r="5">
      <c r="A5" s="4" t="inlineStr">
        <is>
          <t>매출</t>
        </is>
      </c>
      <c r="B5" s="24" t="n">
        <v>294.622021</v>
      </c>
      <c r="C5" s="24" t="n">
        <v>464.629334</v>
      </c>
      <c r="D5" s="24" t="n">
        <v>535.805801</v>
      </c>
      <c r="E5" s="24" t="n">
        <v>701.591859755</v>
      </c>
      <c r="F5" s="24" t="n">
        <v>1164.776873641</v>
      </c>
      <c r="G5" s="24" t="n">
        <v>1568.006928039</v>
      </c>
      <c r="H5" s="24" t="n">
        <v>2437.286111838</v>
      </c>
      <c r="I5" s="24" t="n">
        <v>2938.755680729</v>
      </c>
      <c r="J5" s="24" t="n">
        <v>3497.145675782</v>
      </c>
      <c r="K5" s="24" t="n">
        <v>4556.97169518</v>
      </c>
      <c r="L5" s="17" t="inlineStr">
        <is>
          <t>sblsep_2025.pdf</t>
        </is>
      </c>
    </row>
    <row r="6">
      <c r="A6" s="4" t="inlineStr">
        <is>
          <t>매출원가</t>
        </is>
      </c>
      <c r="B6" s="24" t="n">
        <v>-268.088358</v>
      </c>
      <c r="C6" s="24" t="n">
        <v>-332.829273</v>
      </c>
      <c r="D6" s="24" t="n">
        <v>-390.645859</v>
      </c>
      <c r="E6" s="24" t="n">
        <v>-509.584425113</v>
      </c>
      <c r="F6" s="24" t="n">
        <v>-748.70076347</v>
      </c>
      <c r="G6" s="24" t="n">
        <v>-841.555562592</v>
      </c>
      <c r="H6" s="24" t="n">
        <v>-1237.054032373</v>
      </c>
      <c r="I6" s="24" t="n">
        <v>-1448.384619849</v>
      </c>
      <c r="J6" s="24" t="n">
        <v>-1784.14642977</v>
      </c>
      <c r="K6" s="24" t="n">
        <v>-2039.85731869</v>
      </c>
      <c r="L6" s="17" t="inlineStr">
        <is>
          <t>sblsep_2025.pdf</t>
        </is>
      </c>
    </row>
    <row r="7">
      <c r="A7" s="4" t="inlineStr">
        <is>
          <t>판매비와관리비</t>
        </is>
      </c>
      <c r="B7" s="24" t="n">
        <v>-56.956302</v>
      </c>
      <c r="C7" s="24" t="n">
        <v>-65.82065900000001</v>
      </c>
      <c r="D7" s="24" t="n">
        <v>-89.48119699999999</v>
      </c>
      <c r="E7" s="24" t="n">
        <v>-100.265047444</v>
      </c>
      <c r="F7" s="24" t="n">
        <v>-123.289556089</v>
      </c>
      <c r="G7" s="24" t="n">
        <v>-189.141957375</v>
      </c>
      <c r="H7" s="24" t="n">
        <v>-232.181485796</v>
      </c>
      <c r="I7" s="24" t="n">
        <v>-286.183067839</v>
      </c>
      <c r="J7" s="24" t="n">
        <v>-391.573724162</v>
      </c>
      <c r="K7" s="24" t="n">
        <v>-449.021537063</v>
      </c>
      <c r="L7" s="17" t="inlineStr">
        <is>
          <t>sblsep_2025.pdf</t>
        </is>
      </c>
    </row>
    <row r="8">
      <c r="A8" s="4" t="inlineStr">
        <is>
          <t>영업이익</t>
        </is>
      </c>
      <c r="B8" s="24" t="n">
        <v>-30.422639</v>
      </c>
      <c r="C8" s="24" t="n">
        <v>65.97940199999999</v>
      </c>
      <c r="D8" s="24" t="n">
        <v>55.678745</v>
      </c>
      <c r="E8" s="24" t="n">
        <v>91.742387198</v>
      </c>
      <c r="F8" s="24" t="n">
        <v>292.786554082</v>
      </c>
      <c r="G8" s="24" t="n">
        <v>537.309408072</v>
      </c>
      <c r="H8" s="24" t="n">
        <v>968.050593669</v>
      </c>
      <c r="I8" s="24" t="n">
        <v>1204.187993041</v>
      </c>
      <c r="J8" s="24" t="n">
        <v>1321.42552185</v>
      </c>
      <c r="K8" s="24" t="n">
        <v>2068.092839427</v>
      </c>
      <c r="L8" s="17" t="inlineStr">
        <is>
          <t>sblsep_2025.pdf</t>
        </is>
      </c>
    </row>
    <row r="9">
      <c r="A9" s="4" t="inlineStr">
        <is>
          <t>세전이익</t>
        </is>
      </c>
      <c r="B9" s="24" t="n">
        <v>-230.900983</v>
      </c>
      <c r="C9" s="24" t="n">
        <v>-115.994753</v>
      </c>
      <c r="D9" s="24" t="n">
        <v>302.975836</v>
      </c>
      <c r="E9" s="24" t="n">
        <v>155.435309263</v>
      </c>
      <c r="F9" s="24" t="n">
        <v>265.992162838</v>
      </c>
      <c r="G9" s="24" t="n">
        <v>561.282597291</v>
      </c>
      <c r="H9" s="24" t="n">
        <v>922.8870074819999</v>
      </c>
      <c r="I9" s="24" t="n">
        <v>1224.1834125</v>
      </c>
      <c r="J9" s="24" t="n">
        <v>1402.377888881</v>
      </c>
      <c r="K9" s="24" t="n">
        <v>2078.976506304</v>
      </c>
      <c r="L9" s="17" t="inlineStr">
        <is>
          <t>sblsep_2025.pdf</t>
        </is>
      </c>
    </row>
    <row r="10">
      <c r="A10" s="4" t="inlineStr">
        <is>
          <t>법인세비용</t>
        </is>
      </c>
      <c r="B10" s="24" t="n">
        <v>-54.077573</v>
      </c>
      <c r="C10" s="24" t="n">
        <v>-19.022637</v>
      </c>
      <c r="D10" s="24" t="n">
        <v>78.866642</v>
      </c>
      <c r="E10" s="24" t="n">
        <v>-47.468789825</v>
      </c>
      <c r="F10" s="24" t="n">
        <v>25.017362875</v>
      </c>
      <c r="G10" s="24" t="n">
        <v>167.693129636</v>
      </c>
      <c r="H10" s="24" t="n">
        <v>236.094070965</v>
      </c>
      <c r="I10" s="24" t="n">
        <v>278.263086582</v>
      </c>
      <c r="J10" s="24" t="n">
        <v>351.411387841</v>
      </c>
      <c r="K10" s="24" t="n">
        <v>492.789542992</v>
      </c>
      <c r="L10" s="17" t="inlineStr">
        <is>
          <t>sblsep_2025.pdf</t>
        </is>
      </c>
    </row>
    <row r="11">
      <c r="A11" s="4" t="inlineStr">
        <is>
          <t>당기순이익</t>
        </is>
      </c>
      <c r="B11" s="24" t="n">
        <v>-176.82341</v>
      </c>
      <c r="C11" s="24" t="n">
        <v>-96.972116</v>
      </c>
      <c r="D11" s="24" t="n">
        <v>224.109194</v>
      </c>
      <c r="E11" s="24" t="n">
        <v>202.904099088</v>
      </c>
      <c r="F11" s="24" t="n">
        <v>240.974799963</v>
      </c>
      <c r="G11" s="24" t="n">
        <v>393.589467655</v>
      </c>
      <c r="H11" s="24" t="n">
        <v>686.792936517</v>
      </c>
      <c r="I11" s="24" t="n">
        <v>945.920325918</v>
      </c>
      <c r="J11" s="24" t="n">
        <v>1050.96650104</v>
      </c>
      <c r="K11" s="24" t="n">
        <v>1586.186963312</v>
      </c>
      <c r="L11" s="17" t="inlineStr">
        <is>
          <t>sblsep_2025.pdf</t>
        </is>
      </c>
    </row>
    <row r="12">
      <c r="A12" s="4" t="inlineStr">
        <is>
          <t>감가상각비</t>
        </is>
      </c>
      <c r="B12" s="24" t="n">
        <v>55.784426</v>
      </c>
      <c r="C12" s="24" t="n">
        <v>64.18848</v>
      </c>
      <c r="D12" s="24" t="n">
        <v>85.522362</v>
      </c>
      <c r="E12" s="24" t="n">
        <v>121.892350206</v>
      </c>
      <c r="F12" s="24" t="n">
        <v>131.41480651</v>
      </c>
      <c r="G12" s="24" t="n">
        <v>144.061397315</v>
      </c>
      <c r="H12" s="24" t="n">
        <v>163.440977276</v>
      </c>
      <c r="I12" s="24" t="n">
        <v>235.737539919</v>
      </c>
      <c r="J12" s="24" t="n">
        <v>276.080392361</v>
      </c>
      <c r="K12" s="24" t="n">
        <v>343.889782658</v>
      </c>
      <c r="L12" s="17" t="inlineStr">
        <is>
          <t>sblsep_2025.pdf</t>
        </is>
      </c>
    </row>
    <row r="13">
      <c r="A13" s="4" t="inlineStr">
        <is>
          <t>무형자산상각비</t>
        </is>
      </c>
      <c r="B13" s="24" t="n">
        <v>4.365463</v>
      </c>
      <c r="C13" s="24" t="n">
        <v>5.737747</v>
      </c>
      <c r="D13" s="24" t="n">
        <v>5.928193</v>
      </c>
      <c r="E13" s="24" t="n">
        <v>6.292084706</v>
      </c>
      <c r="F13" s="24" t="n">
        <v>6.107637985</v>
      </c>
      <c r="G13" s="24" t="n">
        <v>6.725661312</v>
      </c>
      <c r="H13" s="24" t="n">
        <v>7.491092086</v>
      </c>
      <c r="I13" s="24" t="n">
        <v>9.376740358999999</v>
      </c>
      <c r="J13" s="24" t="n">
        <v>12.941109611</v>
      </c>
      <c r="K13" s="24" t="n">
        <v>15.535967175</v>
      </c>
      <c r="L13" s="17" t="inlineStr">
        <is>
          <t>sblsep_2025.pdf</t>
        </is>
      </c>
    </row>
    <row r="14">
      <c r="A14" s="4" t="inlineStr">
        <is>
          <t>사용권자산상각비</t>
        </is>
      </c>
      <c r="B14" s="24" t="n"/>
      <c r="C14" s="24" t="n"/>
      <c r="D14" s="24" t="n"/>
      <c r="E14" s="24" t="n">
        <v>4.358579512</v>
      </c>
      <c r="F14" s="24" t="n">
        <v>5.652428296</v>
      </c>
      <c r="G14" s="24" t="n">
        <v>11.00159124</v>
      </c>
      <c r="H14" s="24" t="n">
        <v>9.860117777999999</v>
      </c>
      <c r="I14" s="24" t="n">
        <v>9.782111537</v>
      </c>
      <c r="J14" s="24" t="n">
        <v>10.009516076</v>
      </c>
      <c r="K14" s="24" t="n">
        <v>9.888959999000001</v>
      </c>
      <c r="L14" s="17" t="inlineStr">
        <is>
          <t>sblsep_2025.pdf</t>
        </is>
      </c>
    </row>
    <row r="15">
      <c r="A15" s="4" t="inlineStr">
        <is>
          <t>영업활동현금흐름</t>
        </is>
      </c>
      <c r="B15" s="24" t="n">
        <v>-62.661298</v>
      </c>
      <c r="C15" s="24" t="n">
        <v>149.816327</v>
      </c>
      <c r="D15" s="24" t="n">
        <v>36.787308</v>
      </c>
      <c r="E15" s="24" t="n">
        <v>10.153614976</v>
      </c>
      <c r="F15" s="24" t="n">
        <v>202.090026541</v>
      </c>
      <c r="G15" s="24" t="n">
        <v>454.596217269</v>
      </c>
      <c r="H15" s="24" t="n">
        <v>831.0988446059999</v>
      </c>
      <c r="I15" s="24" t="n">
        <v>1418.214391979</v>
      </c>
      <c r="J15" s="24" t="n">
        <v>1382.836126534</v>
      </c>
      <c r="K15" s="24" t="n">
        <v>1953.455992724</v>
      </c>
      <c r="L15" s="17" t="inlineStr">
        <is>
          <t>sblsep_2025.pdf</t>
        </is>
      </c>
    </row>
    <row r="16">
      <c r="A16" s="4" t="inlineStr">
        <is>
          <t>유형자산 취득</t>
        </is>
      </c>
      <c r="B16" s="24" t="n">
        <v>162.99235</v>
      </c>
      <c r="C16" s="24" t="n">
        <v>494.119453</v>
      </c>
      <c r="D16" s="24" t="n">
        <v>347.851891</v>
      </c>
      <c r="E16" s="24" t="n">
        <v>171.734357701</v>
      </c>
      <c r="F16" s="24" t="n">
        <v>139.664805056</v>
      </c>
      <c r="G16" s="24" t="n">
        <v>406.253514919</v>
      </c>
      <c r="H16" s="24" t="n">
        <v>948.126930126</v>
      </c>
      <c r="I16" s="24" t="n">
        <v>976.1957166879999</v>
      </c>
      <c r="J16" s="24" t="n">
        <v>1297.126457854</v>
      </c>
      <c r="K16" s="24" t="n">
        <v>1376.344214595</v>
      </c>
      <c r="L16" s="17" t="inlineStr">
        <is>
          <t>sblsep_2025.pdf</t>
        </is>
      </c>
    </row>
    <row r="17">
      <c r="A17" s="4" t="inlineStr">
        <is>
          <t>무형자산 취득</t>
        </is>
      </c>
      <c r="B17" s="24" t="n">
        <v>5.179126</v>
      </c>
      <c r="C17" s="24" t="n">
        <v>10.682088</v>
      </c>
      <c r="D17" s="24" t="n">
        <v>5.811483</v>
      </c>
      <c r="E17" s="24" t="n">
        <v>9.461855113</v>
      </c>
      <c r="F17" s="24" t="n">
        <v>8.901227656</v>
      </c>
      <c r="G17" s="24" t="n">
        <v>14.898311036</v>
      </c>
      <c r="H17" s="24" t="n">
        <v>12.199985471</v>
      </c>
      <c r="I17" s="24" t="n">
        <v>25.10673468</v>
      </c>
      <c r="J17" s="24" t="n">
        <v>26.633162885</v>
      </c>
      <c r="K17" s="24" t="n">
        <v>11.502254035</v>
      </c>
      <c r="L17" s="17" t="inlineStr">
        <is>
          <t>sblsep_2025.pdf</t>
        </is>
      </c>
    </row>
    <row r="18">
      <c r="A18" s="4" t="inlineStr">
        <is>
          <t>현금및현금성자산</t>
        </is>
      </c>
      <c r="B18" s="24" t="n">
        <v>230.337601</v>
      </c>
      <c r="C18" s="24" t="n">
        <v>358.088091</v>
      </c>
      <c r="D18" s="24" t="n">
        <v>17.621905</v>
      </c>
      <c r="E18" s="24" t="n">
        <v>125.100653179</v>
      </c>
      <c r="F18" s="24" t="n">
        <v>28.850120614</v>
      </c>
      <c r="G18" s="24" t="n">
        <v>47.410383773</v>
      </c>
      <c r="H18" s="24" t="n">
        <v>757.945988143</v>
      </c>
      <c r="I18" s="24" t="n">
        <v>230.790684551</v>
      </c>
      <c r="J18" s="24" t="n">
        <v>299.588328642</v>
      </c>
      <c r="K18" s="24" t="n">
        <v>141.484622864</v>
      </c>
      <c r="L18" s="17" t="inlineStr">
        <is>
          <t>sblsep_2025.pdf</t>
        </is>
      </c>
    </row>
    <row r="19">
      <c r="A19" s="4" t="inlineStr">
        <is>
          <t>단기금융상품</t>
        </is>
      </c>
      <c r="B19" s="24" t="n"/>
      <c r="C19" s="24" t="n">
        <v>970</v>
      </c>
      <c r="D19" s="24" t="n">
        <v>550</v>
      </c>
      <c r="E19" s="24" t="n">
        <v>320</v>
      </c>
      <c r="F19" s="24" t="n">
        <v>300</v>
      </c>
      <c r="G19" s="24" t="n">
        <v>450</v>
      </c>
      <c r="H19" s="24" t="n">
        <v>2168.901</v>
      </c>
      <c r="I19" s="24" t="n">
        <v>1650</v>
      </c>
      <c r="J19" s="24" t="n">
        <v>900</v>
      </c>
      <c r="K19" s="24" t="n">
        <v>1300</v>
      </c>
      <c r="L19" s="17" t="inlineStr">
        <is>
          <t>sblsep_2025.pdf</t>
        </is>
      </c>
    </row>
    <row r="20">
      <c r="A20" s="4" t="inlineStr">
        <is>
          <t>매출채권 등</t>
        </is>
      </c>
      <c r="B20" s="24" t="n">
        <v>75.63082</v>
      </c>
      <c r="C20" s="24" t="n">
        <v>25.81715</v>
      </c>
      <c r="D20" s="24" t="n">
        <v>121.73335</v>
      </c>
      <c r="E20" s="24" t="n">
        <v>187.118115434</v>
      </c>
      <c r="F20" s="24" t="n">
        <v>217.932307826</v>
      </c>
      <c r="G20" s="24" t="n">
        <v>366.330684127</v>
      </c>
      <c r="H20" s="24" t="n">
        <v>503.997178409</v>
      </c>
      <c r="I20" s="24" t="n">
        <v>390.23293779</v>
      </c>
      <c r="J20" s="24" t="n">
        <v>785.792736192</v>
      </c>
      <c r="K20" s="24" t="n">
        <v>676.5654887429999</v>
      </c>
      <c r="L20" s="17" t="inlineStr">
        <is>
          <t>sblsep_2025.pdf</t>
        </is>
      </c>
    </row>
    <row r="21">
      <c r="A21" s="4" t="inlineStr">
        <is>
          <t>재고자산</t>
        </is>
      </c>
      <c r="B21" s="24" t="n">
        <v>164.21998</v>
      </c>
      <c r="C21" s="24" t="n">
        <v>209.986717</v>
      </c>
      <c r="D21" s="24" t="n">
        <v>302.360715</v>
      </c>
      <c r="E21" s="24" t="n">
        <v>452.469927424</v>
      </c>
      <c r="F21" s="24" t="n">
        <v>645.960096442</v>
      </c>
      <c r="G21" s="24" t="n">
        <v>1012.870791066</v>
      </c>
      <c r="H21" s="24" t="n">
        <v>1243.171975151</v>
      </c>
      <c r="I21" s="24" t="n">
        <v>1678.605972283</v>
      </c>
      <c r="J21" s="24" t="n">
        <v>1882.955514642</v>
      </c>
      <c r="K21" s="24" t="n">
        <v>2128.164162722</v>
      </c>
      <c r="L21" s="17" t="inlineStr">
        <is>
          <t>sblsep_2025.pdf</t>
        </is>
      </c>
    </row>
    <row r="22">
      <c r="A22" s="4" t="inlineStr">
        <is>
          <t>계약자산</t>
        </is>
      </c>
      <c r="B22" s="24" t="n"/>
      <c r="C22" s="24" t="n"/>
      <c r="D22" s="24" t="n">
        <v>96.578638</v>
      </c>
      <c r="E22" s="24" t="n">
        <v>151.482887494</v>
      </c>
      <c r="F22" s="24" t="n">
        <v>196.756422198</v>
      </c>
      <c r="G22" s="24" t="n">
        <v>253.241944131</v>
      </c>
      <c r="H22" s="24" t="n">
        <v>304.339598319</v>
      </c>
      <c r="I22" s="24" t="n">
        <v>339.147249191</v>
      </c>
      <c r="J22" s="24" t="n">
        <v>362.613626483</v>
      </c>
      <c r="K22" s="24" t="n">
        <v>411.599365615</v>
      </c>
      <c r="L22" s="17" t="inlineStr">
        <is>
          <t>sblsep_2025.pdf</t>
        </is>
      </c>
    </row>
    <row r="23">
      <c r="A23" s="4" t="inlineStr">
        <is>
          <t>유형자산</t>
        </is>
      </c>
      <c r="B23" s="24" t="n">
        <v>1090.959766</v>
      </c>
      <c r="C23" s="24" t="n">
        <v>1513.332618</v>
      </c>
      <c r="D23" s="24" t="n">
        <v>1717.720988</v>
      </c>
      <c r="E23" s="24" t="n">
        <v>1702.792524097</v>
      </c>
      <c r="F23" s="24" t="n">
        <v>1736.567289165</v>
      </c>
      <c r="G23" s="24" t="n">
        <v>2207.063705617</v>
      </c>
      <c r="H23" s="24" t="n">
        <v>3083.545436767</v>
      </c>
      <c r="I23" s="24" t="n">
        <v>3542.877089587</v>
      </c>
      <c r="J23" s="24" t="n">
        <v>5047.583098573</v>
      </c>
      <c r="K23" s="24" t="n">
        <v>6028.492966965</v>
      </c>
      <c r="L23" s="17" t="inlineStr">
        <is>
          <t>sblsep_2025.pdf</t>
        </is>
      </c>
    </row>
    <row r="24">
      <c r="A24" s="4" t="inlineStr">
        <is>
          <t>무형자산</t>
        </is>
      </c>
      <c r="B24" s="24" t="n">
        <v>14.044654</v>
      </c>
      <c r="C24" s="24" t="n">
        <v>18.999003</v>
      </c>
      <c r="D24" s="24" t="n">
        <v>19.981634</v>
      </c>
      <c r="E24" s="24" t="n">
        <v>21.827515338</v>
      </c>
      <c r="F24" s="24" t="n">
        <v>23.344605855</v>
      </c>
      <c r="G24" s="24" t="n">
        <v>32.171618395</v>
      </c>
      <c r="H24" s="24" t="n">
        <v>39.436621913</v>
      </c>
      <c r="I24" s="24" t="n">
        <v>53.780529889</v>
      </c>
      <c r="J24" s="24" t="n">
        <v>65.17429562300001</v>
      </c>
      <c r="K24" s="24" t="n">
        <v>60.193270276</v>
      </c>
      <c r="L24" s="17" t="inlineStr">
        <is>
          <t>sblsep_2025.pdf</t>
        </is>
      </c>
    </row>
    <row r="25">
      <c r="A25" s="4" t="inlineStr">
        <is>
          <t>사용권자산</t>
        </is>
      </c>
      <c r="B25" s="24" t="n"/>
      <c r="C25" s="24" t="n"/>
      <c r="D25" s="24" t="n"/>
      <c r="E25" s="24" t="n">
        <v>16.118883277</v>
      </c>
      <c r="F25" s="24" t="n">
        <v>24.160224188</v>
      </c>
      <c r="G25" s="24" t="n">
        <v>20.623773334</v>
      </c>
      <c r="H25" s="24" t="n">
        <v>451.792929789</v>
      </c>
      <c r="I25" s="24" t="n">
        <v>458.677499904</v>
      </c>
      <c r="J25" s="24" t="n">
        <v>461.455134905</v>
      </c>
      <c r="K25" s="24" t="n">
        <v>8.019432075999999</v>
      </c>
      <c r="L25" s="17" t="inlineStr">
        <is>
          <t>sblsep_2025.pdf</t>
        </is>
      </c>
    </row>
    <row r="26">
      <c r="A26" s="4" t="inlineStr">
        <is>
          <t>종속·관계기업투자</t>
        </is>
      </c>
      <c r="B26" s="24" t="n">
        <v>4944.35629</v>
      </c>
      <c r="C26" s="24" t="n">
        <v>5008.234005</v>
      </c>
      <c r="D26" s="24" t="n">
        <v>2561.802521</v>
      </c>
      <c r="E26" s="24" t="n">
        <v>2652.731622024</v>
      </c>
      <c r="F26" s="24" t="n">
        <v>2634.428493852</v>
      </c>
      <c r="G26" s="24" t="n">
        <v>2661.309486003</v>
      </c>
      <c r="H26" s="24" t="n">
        <v>3308.792565514</v>
      </c>
      <c r="I26" s="24" t="n">
        <v>3317.532174094</v>
      </c>
      <c r="J26" s="24" t="n">
        <v>3328.226236594</v>
      </c>
      <c r="K26" s="24" t="n">
        <v>45.882814</v>
      </c>
      <c r="L26" s="17" t="inlineStr">
        <is>
          <t>sblsep_2025.pdf</t>
        </is>
      </c>
    </row>
    <row r="27">
      <c r="A27" s="4" t="inlineStr">
        <is>
          <t>자산총계</t>
        </is>
      </c>
      <c r="B27" s="24" t="n">
        <v>7533.016106</v>
      </c>
      <c r="C27" s="24" t="n">
        <v>7183.091163</v>
      </c>
      <c r="D27" s="24" t="n">
        <v>5980.408648</v>
      </c>
      <c r="E27" s="24" t="n">
        <v>5911.62651192</v>
      </c>
      <c r="F27" s="24" t="n">
        <v>6424.201164962</v>
      </c>
      <c r="G27" s="24" t="n">
        <v>7970.010786863</v>
      </c>
      <c r="H27" s="24" t="n">
        <v>12165.838879527</v>
      </c>
      <c r="I27" s="24" t="n">
        <v>11831.260604556</v>
      </c>
      <c r="J27" s="24" t="n">
        <v>13317.21092481</v>
      </c>
      <c r="K27" s="24" t="n">
        <v>11023.968735616</v>
      </c>
      <c r="L27" s="17" t="inlineStr">
        <is>
          <t>sblsep_2025.pdf</t>
        </is>
      </c>
    </row>
    <row r="28">
      <c r="A28" s="4" t="inlineStr">
        <is>
          <t>매입채무 등</t>
        </is>
      </c>
      <c r="B28" s="24" t="n">
        <v>138.056375</v>
      </c>
      <c r="C28" s="24" t="n">
        <v>158.214846</v>
      </c>
      <c r="D28" s="24" t="n">
        <v>170.338294</v>
      </c>
      <c r="E28" s="24" t="n">
        <v>101.128061254</v>
      </c>
      <c r="F28" s="24" t="n">
        <v>185.176705934</v>
      </c>
      <c r="G28" s="24" t="n">
        <v>399.03009359</v>
      </c>
      <c r="H28" s="24" t="n">
        <v>1628.734131092</v>
      </c>
      <c r="I28" s="24" t="n">
        <v>1028.688065985</v>
      </c>
      <c r="J28" s="24" t="n">
        <v>1126.445629735</v>
      </c>
      <c r="K28" s="24" t="n">
        <v>485.836876835</v>
      </c>
      <c r="L28" s="17" t="inlineStr">
        <is>
          <t>sblsep_2025.pdf</t>
        </is>
      </c>
    </row>
    <row r="29">
      <c r="A29" s="4" t="inlineStr">
        <is>
          <t>계약부채</t>
        </is>
      </c>
      <c r="B29" s="24" t="n"/>
      <c r="C29" s="24" t="n"/>
      <c r="D29" s="24" t="n">
        <v>101.10479</v>
      </c>
      <c r="E29" s="24" t="n">
        <v>145.12925648</v>
      </c>
      <c r="F29" s="24" t="n">
        <v>197.116872305</v>
      </c>
      <c r="G29" s="24" t="n">
        <v>285.621828514</v>
      </c>
      <c r="H29" s="24" t="n">
        <v>289.682040048</v>
      </c>
      <c r="I29" s="24" t="n">
        <v>353.873746413</v>
      </c>
      <c r="J29" s="24" t="n">
        <v>456.220369928</v>
      </c>
      <c r="K29" s="24" t="n">
        <v>539.4371514969999</v>
      </c>
      <c r="L29" s="17" t="inlineStr">
        <is>
          <t>sblsep_2025.pdf</t>
        </is>
      </c>
    </row>
    <row r="30">
      <c r="A30" s="4" t="inlineStr">
        <is>
          <t>기타유동부채(선수금)</t>
        </is>
      </c>
      <c r="B30" s="24" t="n">
        <v>60.323791</v>
      </c>
      <c r="C30" s="24" t="n">
        <v>56.486175</v>
      </c>
      <c r="D30" s="24" t="n">
        <v>87.69561400000001</v>
      </c>
      <c r="E30" s="24" t="n">
        <v>144.706770419</v>
      </c>
      <c r="F30" s="24" t="n">
        <v>159.567115745</v>
      </c>
      <c r="G30" s="24" t="n">
        <v>364.409200047</v>
      </c>
      <c r="H30" s="24" t="n">
        <v>450.889828622</v>
      </c>
      <c r="I30" s="24" t="n">
        <v>732.055396556</v>
      </c>
      <c r="J30" s="24" t="n">
        <v>1032.343022959</v>
      </c>
      <c r="K30" s="24" t="n">
        <v>1201.458529835</v>
      </c>
      <c r="L30" s="17" t="inlineStr">
        <is>
          <t>sblsep_2025.pdf</t>
        </is>
      </c>
    </row>
    <row r="31">
      <c r="A31" s="4" t="inlineStr">
        <is>
          <t>이자부부채</t>
        </is>
      </c>
      <c r="B31" s="24" t="n">
        <v>843.057278</v>
      </c>
      <c r="C31" s="24" t="n">
        <v>545.912148</v>
      </c>
      <c r="D31" s="24" t="n">
        <v>872.696107</v>
      </c>
      <c r="E31" s="24" t="n">
        <v>637.817124961</v>
      </c>
      <c r="F31" s="24" t="n">
        <v>762.3583578510001</v>
      </c>
      <c r="G31" s="24" t="n">
        <v>1274.538996094</v>
      </c>
      <c r="H31" s="24" t="n">
        <v>1263.088053378</v>
      </c>
      <c r="I31" s="24" t="n">
        <v>928.187563774</v>
      </c>
      <c r="J31" s="24" t="n">
        <v>1726.161722258</v>
      </c>
      <c r="K31" s="24" t="n">
        <v>918.724421281</v>
      </c>
      <c r="L31" s="17" t="inlineStr">
        <is>
          <t>sblsep_2025.pdf</t>
        </is>
      </c>
    </row>
    <row r="32">
      <c r="A32" s="4" t="inlineStr">
        <is>
          <t>리스부채</t>
        </is>
      </c>
      <c r="B32" s="24" t="n"/>
      <c r="C32" s="24" t="n"/>
      <c r="D32" s="24" t="n"/>
      <c r="E32" s="24" t="n">
        <v>15.889284011</v>
      </c>
      <c r="F32" s="24" t="n">
        <v>22.546904764</v>
      </c>
      <c r="G32" s="24" t="n">
        <v>18.208298411</v>
      </c>
      <c r="H32" s="24" t="n">
        <v>407.224450196</v>
      </c>
      <c r="I32" s="24" t="n">
        <v>278.20396117</v>
      </c>
      <c r="J32" s="24" t="n">
        <v>143.840002196</v>
      </c>
      <c r="K32" s="24" t="n">
        <v>7.397284801</v>
      </c>
      <c r="L32" s="17" t="inlineStr">
        <is>
          <t>sblsep_2025.pdf</t>
        </is>
      </c>
    </row>
    <row r="33">
      <c r="A33" s="4" t="inlineStr">
        <is>
          <t>부채총계</t>
        </is>
      </c>
      <c r="B33" s="24" t="n">
        <v>3450.636646</v>
      </c>
      <c r="C33" s="24" t="n">
        <v>3206.64027</v>
      </c>
      <c r="D33" s="24" t="n">
        <v>1824.940197</v>
      </c>
      <c r="E33" s="24" t="n">
        <v>1557.172766554</v>
      </c>
      <c r="F33" s="24" t="n">
        <v>1825.417992598</v>
      </c>
      <c r="G33" s="24" t="n">
        <v>2978.908646183</v>
      </c>
      <c r="H33" s="24" t="n">
        <v>4869.235661247</v>
      </c>
      <c r="I33" s="24" t="n">
        <v>3592.626821824</v>
      </c>
      <c r="J33" s="24" t="n">
        <v>4036.318163152</v>
      </c>
      <c r="K33" s="24" t="n">
        <v>3608.519898043</v>
      </c>
      <c r="L33" s="17" t="inlineStr">
        <is>
          <t>sblsep_2025.pdf</t>
        </is>
      </c>
    </row>
    <row r="34">
      <c r="A34" s="4" t="inlineStr">
        <is>
          <t>자본총계</t>
        </is>
      </c>
      <c r="B34" s="24" t="n">
        <v>4082.37946</v>
      </c>
      <c r="C34" s="24" t="n">
        <v>3976.450893</v>
      </c>
      <c r="D34" s="24" t="n">
        <v>4155.468451</v>
      </c>
      <c r="E34" s="24" t="n">
        <v>4354.453745366</v>
      </c>
      <c r="F34" s="24" t="n">
        <v>4598.783172364</v>
      </c>
      <c r="G34" s="24" t="n">
        <v>4991.10214068</v>
      </c>
      <c r="H34" s="24" t="n">
        <v>7296.60321828</v>
      </c>
      <c r="I34" s="24" t="n">
        <v>8238.633782732</v>
      </c>
      <c r="J34" s="24" t="n">
        <v>9280.892761658</v>
      </c>
      <c r="K34" s="24" t="n">
        <v>7415.448837573</v>
      </c>
      <c r="L34" s="17" t="inlineStr">
        <is>
          <t>sblsep_2025.pdf</t>
        </is>
      </c>
    </row>
    <row r="35">
      <c r="A35" s="4" t="inlineStr">
        <is>
          <t>건설중자산</t>
        </is>
      </c>
      <c r="B35" s="24" t="n">
        <v>232.70546</v>
      </c>
      <c r="C35" s="24" t="n">
        <v>308.844562</v>
      </c>
      <c r="D35" s="24" t="n">
        <v>57.115774</v>
      </c>
      <c r="E35" s="24" t="n">
        <v>36.714553</v>
      </c>
      <c r="F35" s="24" t="n">
        <v>105.469602</v>
      </c>
      <c r="G35" s="24" t="n">
        <v>583.352269</v>
      </c>
      <c r="H35" s="24" t="n">
        <v>816.478388</v>
      </c>
      <c r="I35" s="24" t="n">
        <v>192.257667</v>
      </c>
      <c r="J35" s="24" t="n">
        <v>1823.298445975</v>
      </c>
      <c r="K35" s="24" t="n">
        <v>430.160651929</v>
      </c>
      <c r="L35" s="17" t="inlineStr">
        <is>
          <t>각 연도 유형자산 주석</t>
        </is>
      </c>
    </row>
    <row r="37">
      <c r="A37" s="5" t="inlineStr">
        <is>
          <t>지역별 매출 (FY2025)</t>
        </is>
      </c>
    </row>
    <row r="38">
      <c r="A38" s="4" t="inlineStr">
        <is>
          <t>국내</t>
        </is>
      </c>
      <c r="B38" s="24" t="n">
        <v>371.876479018</v>
      </c>
      <c r="C38" s="24" t="n">
        <v>558.086309485</v>
      </c>
    </row>
    <row r="39">
      <c r="A39" s="4" t="inlineStr">
        <is>
          <t>유럽</t>
        </is>
      </c>
      <c r="B39" s="24" t="n">
        <v>2367.746716504</v>
      </c>
      <c r="C39" s="24" t="n">
        <v>2035.771049122</v>
      </c>
    </row>
    <row r="40">
      <c r="A40" s="4" t="inlineStr">
        <is>
          <t>미국</t>
        </is>
      </c>
      <c r="B40" s="24" t="n">
        <v>1733.921542433</v>
      </c>
      <c r="C40" s="24" t="n">
        <v>822.631938995</v>
      </c>
    </row>
    <row r="41">
      <c r="A41" s="4" t="inlineStr">
        <is>
          <t>기타</t>
        </is>
      </c>
      <c r="B41" s="24" t="n">
        <v>83.426957225</v>
      </c>
      <c r="C41" s="24" t="n">
        <v>80.65637818</v>
      </c>
    </row>
    <row r="42">
      <c r="A42" s="4" t="inlineStr">
        <is>
          <t>합계 (매출과 일치해야 함)</t>
        </is>
      </c>
      <c r="B42" s="25">
        <f>SUM(B38:B41)</f>
        <v/>
      </c>
      <c r="C42" s="25">
        <f>SUM(C38:C41)</f>
        <v/>
      </c>
      <c r="E42" s="25">
        <f>B42-원자료!K$5</f>
        <v/>
      </c>
      <c r="F42" s="17" t="inlineStr">
        <is>
          <t>← 0이어야 합니다 (검증)</t>
        </is>
      </c>
    </row>
    <row r="44">
      <c r="A44" s="5" t="inlineStr">
        <is>
          <t>상위 5개 고객 매출 (FY2025 / FY2024)</t>
        </is>
      </c>
    </row>
    <row r="45">
      <c r="A45" s="4" t="inlineStr">
        <is>
          <t>고객 A</t>
        </is>
      </c>
      <c r="B45" s="24" t="n">
        <v>969.660442839</v>
      </c>
      <c r="C45" s="24" t="n">
        <v>306.01209189</v>
      </c>
    </row>
    <row r="46">
      <c r="A46" s="4" t="inlineStr">
        <is>
          <t>고객 B</t>
        </is>
      </c>
      <c r="B46" s="24" t="n">
        <v>493.757336968</v>
      </c>
      <c r="C46" s="24" t="n">
        <v>86.13074439099999</v>
      </c>
    </row>
    <row r="47">
      <c r="A47" s="4" t="inlineStr">
        <is>
          <t>고객 C</t>
        </is>
      </c>
      <c r="B47" s="24" t="n">
        <v>478.468863363</v>
      </c>
      <c r="C47" s="24" t="n">
        <v>358.915729494</v>
      </c>
    </row>
    <row r="48">
      <c r="A48" s="4" t="inlineStr">
        <is>
          <t>고객 D</t>
        </is>
      </c>
      <c r="B48" s="24" t="n">
        <v>277.38222679</v>
      </c>
      <c r="C48" s="24" t="n">
        <v>487.52355309</v>
      </c>
    </row>
    <row r="49">
      <c r="A49" s="4" t="inlineStr">
        <is>
          <t>고객 E</t>
        </is>
      </c>
      <c r="B49" s="24" t="n">
        <v>166.979764908</v>
      </c>
      <c r="C49" s="24" t="n">
        <v>410.144688023</v>
      </c>
    </row>
    <row r="50">
      <c r="A50" s="4" t="inlineStr">
        <is>
          <t>상위 5개 합계</t>
        </is>
      </c>
      <c r="B50" s="25">
        <f>SUM(B45:B49)</f>
        <v/>
      </c>
      <c r="C50" s="25">
        <f>SUM(C45:C49)</f>
        <v/>
      </c>
    </row>
    <row r="51">
      <c r="A51" s="4" t="inlineStr">
        <is>
          <t>매출 대비 비중</t>
        </is>
      </c>
      <c r="B51" s="23">
        <f>B50/원자료!K$5</f>
        <v/>
      </c>
      <c r="C51" s="23">
        <f>C50/원자료!J$5</f>
        <v/>
      </c>
    </row>
    <row r="53">
      <c r="A53" s="5" t="inlineStr">
        <is>
          <t>고객 선수금·계약부채 (FY2025)</t>
        </is>
      </c>
    </row>
    <row r="54">
      <c r="A54" s="4" t="inlineStr">
        <is>
          <t>선수금 (유동)</t>
        </is>
      </c>
      <c r="B54" s="24" t="n">
        <v>1189.846533432</v>
      </c>
    </row>
    <row r="55">
      <c r="A55" s="4" t="inlineStr">
        <is>
          <t>선수금 (비유동)</t>
        </is>
      </c>
      <c r="B55" s="24" t="n">
        <v>75.64073078</v>
      </c>
    </row>
    <row r="56">
      <c r="A56" s="4" t="inlineStr">
        <is>
          <t>공급자금융 FY2025</t>
        </is>
      </c>
      <c r="B56" s="24" t="n">
        <v>13.816198731</v>
      </c>
    </row>
    <row r="57">
      <c r="A57" s="4" t="inlineStr">
        <is>
          <t>공급자금융 FY2024</t>
        </is>
      </c>
      <c r="B57" s="24" t="n">
        <v>540.599044293</v>
      </c>
    </row>
    <row r="59" ht="28" customHeight="1">
      <c r="A59" s="2" t="inlineStr">
        <is>
          <t>검증: work/verify_sbl.py 가 이 값들에 대해 내부 정합성·자릿수·기준연결 검증 111건을 수행하고 전부 통과했습니다. 지역별 매출 합계가 총매출과 일치하는지(위 E열), 세전이익 − 법인세 = 당기순이익, 자산 = 부채 + 자본, 별도 FY2024 매출 = 연결 계속영업 FY2024 매출이 그 일부입니다.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기준 2 — 투하자본이익률</t>
        </is>
      </c>
    </row>
    <row r="2" ht="30" customHeight="1">
      <c r="A2" s="2" t="inlineStr">
        <is>
          <t>모든 칸이 원자료 시트를 참조하는 수식입니다. 투하자본은 세 가지로 계산했고, 건설중자산을 뺀 값이 본문에서 쓰는 값입니다. 단위: 십억원.</t>
        </is>
      </c>
    </row>
    <row r="4" ht="32" customHeight="1">
      <c r="A4" s="3" t="inlineStr">
        <is>
          <t>항목</t>
        </is>
      </c>
      <c r="B4" s="3" t="inlineStr">
        <is>
          <t>FY2016</t>
        </is>
      </c>
      <c r="C4" s="3" t="inlineStr">
        <is>
          <t>FY2017</t>
        </is>
      </c>
      <c r="D4" s="3" t="inlineStr">
        <is>
          <t>FY2018</t>
        </is>
      </c>
      <c r="E4" s="3" t="inlineStr">
        <is>
          <t>FY2019</t>
        </is>
      </c>
      <c r="F4" s="3" t="inlineStr">
        <is>
          <t>FY2020</t>
        </is>
      </c>
      <c r="G4" s="3" t="inlineStr">
        <is>
          <t>FY2021</t>
        </is>
      </c>
      <c r="H4" s="3" t="inlineStr">
        <is>
          <t>FY2022</t>
        </is>
      </c>
      <c r="I4" s="3" t="inlineStr">
        <is>
          <t>FY2023</t>
        </is>
      </c>
      <c r="J4" s="3" t="inlineStr">
        <is>
          <t>FY2024</t>
        </is>
      </c>
      <c r="K4" s="3" t="inlineStr">
        <is>
          <t>FY2025</t>
        </is>
      </c>
    </row>
    <row r="5">
      <c r="A5" s="4" t="inlineStr">
        <is>
          <t>영업이익</t>
        </is>
      </c>
      <c r="B5" s="26">
        <f>원자료!B$8</f>
        <v/>
      </c>
      <c r="C5" s="26">
        <f>원자료!C$8</f>
        <v/>
      </c>
      <c r="D5" s="26">
        <f>원자료!D$8</f>
        <v/>
      </c>
      <c r="E5" s="26">
        <f>원자료!E$8</f>
        <v/>
      </c>
      <c r="F5" s="26">
        <f>원자료!F$8</f>
        <v/>
      </c>
      <c r="G5" s="26">
        <f>원자료!G$8</f>
        <v/>
      </c>
      <c r="H5" s="26">
        <f>원자료!H$8</f>
        <v/>
      </c>
      <c r="I5" s="26">
        <f>원자료!I$8</f>
        <v/>
      </c>
      <c r="J5" s="26">
        <f>원자료!J$8</f>
        <v/>
      </c>
      <c r="K5" s="26">
        <f>원자료!K$8</f>
        <v/>
      </c>
    </row>
    <row r="6">
      <c r="A6" s="4" t="inlineStr">
        <is>
          <t>실효세율 (법인세÷세전이익)</t>
        </is>
      </c>
      <c r="B6" s="23">
        <f>IF(OR(원자료!B$9&lt;=0,원자료!B$10/원자료!B$9&lt;0.05,원자료!B$10/원자료!B$9&gt;0.4),가정!$B$19,원자료!B$10/원자료!B$9)</f>
        <v/>
      </c>
      <c r="C6" s="23">
        <f>IF(OR(원자료!C$9&lt;=0,원자료!C$10/원자료!C$9&lt;0.05,원자료!C$10/원자료!C$9&gt;0.4),가정!$B$19,원자료!C$10/원자료!C$9)</f>
        <v/>
      </c>
      <c r="D6" s="23">
        <f>IF(OR(원자료!D$9&lt;=0,원자료!D$10/원자료!D$9&lt;0.05,원자료!D$10/원자료!D$9&gt;0.4),가정!$B$19,원자료!D$10/원자료!D$9)</f>
        <v/>
      </c>
      <c r="E6" s="23">
        <f>IF(OR(원자료!E$9&lt;=0,원자료!E$10/원자료!E$9&lt;0.05,원자료!E$10/원자료!E$9&gt;0.4),가정!$B$19,원자료!E$10/원자료!E$9)</f>
        <v/>
      </c>
      <c r="F6" s="23">
        <f>IF(OR(원자료!F$9&lt;=0,원자료!F$10/원자료!F$9&lt;0.05,원자료!F$10/원자료!F$9&gt;0.4),가정!$B$19,원자료!F$10/원자료!F$9)</f>
        <v/>
      </c>
      <c r="G6" s="23">
        <f>IF(OR(원자료!G$9&lt;=0,원자료!G$10/원자료!G$9&lt;0.05,원자료!G$10/원자료!G$9&gt;0.4),가정!$B$19,원자료!G$10/원자료!G$9)</f>
        <v/>
      </c>
      <c r="H6" s="23">
        <f>IF(OR(원자료!H$9&lt;=0,원자료!H$10/원자료!H$9&lt;0.05,원자료!H$10/원자료!H$9&gt;0.4),가정!$B$19,원자료!H$10/원자료!H$9)</f>
        <v/>
      </c>
      <c r="I6" s="23">
        <f>IF(OR(원자료!I$9&lt;=0,원자료!I$10/원자료!I$9&lt;0.05,원자료!I$10/원자료!I$9&gt;0.4),가정!$B$19,원자료!I$10/원자료!I$9)</f>
        <v/>
      </c>
      <c r="J6" s="23">
        <f>IF(OR(원자료!J$9&lt;=0,원자료!J$10/원자료!J$9&lt;0.05,원자료!J$10/원자료!J$9&gt;0.4),가정!$B$19,원자료!J$10/원자료!J$9)</f>
        <v/>
      </c>
      <c r="K6" s="23">
        <f>IF(OR(원자료!K$9&lt;=0,원자료!K$10/원자료!K$9&lt;0.05,원자료!K$10/원자료!K$9&gt;0.4),가정!$B$19,원자료!K$10/원자료!K$9)</f>
        <v/>
      </c>
    </row>
    <row r="7">
      <c r="A7" s="4" t="inlineStr">
        <is>
          <t>NOPAT = 영업이익 × (1 − 실효세율)</t>
        </is>
      </c>
      <c r="B7" s="25">
        <f>ROIC!B$5*(1-ROIC!B$6)</f>
        <v/>
      </c>
      <c r="C7" s="25">
        <f>ROIC!C$5*(1-ROIC!C$6)</f>
        <v/>
      </c>
      <c r="D7" s="25">
        <f>ROIC!D$5*(1-ROIC!D$6)</f>
        <v/>
      </c>
      <c r="E7" s="25">
        <f>ROIC!E$5*(1-ROIC!E$6)</f>
        <v/>
      </c>
      <c r="F7" s="25">
        <f>ROIC!F$5*(1-ROIC!F$6)</f>
        <v/>
      </c>
      <c r="G7" s="25">
        <f>ROIC!G$5*(1-ROIC!G$6)</f>
        <v/>
      </c>
      <c r="H7" s="25">
        <f>ROIC!H$5*(1-ROIC!H$6)</f>
        <v/>
      </c>
      <c r="I7" s="25">
        <f>ROIC!I$5*(1-ROIC!I$6)</f>
        <v/>
      </c>
      <c r="J7" s="25">
        <f>ROIC!J$5*(1-ROIC!J$6)</f>
        <v/>
      </c>
      <c r="K7" s="25">
        <f>ROIC!K$5*(1-ROIC!K$6)</f>
        <v/>
      </c>
    </row>
    <row r="9">
      <c r="A9" s="5" t="inlineStr">
        <is>
          <t>투하자본 — 하향식</t>
        </is>
      </c>
    </row>
    <row r="10">
      <c r="A10" s="4" t="inlineStr">
        <is>
          <t>자본총계 + 이자부부채 + 리스부채 − 현금성 − 종속·관계기업투자</t>
        </is>
      </c>
      <c r="B10" s="25">
        <f>원자료!B$34+원자료!B$31+원자료!B$32-원자료!B$18-원자료!B$19-원자료!B$26</f>
        <v/>
      </c>
      <c r="C10" s="25">
        <f>원자료!C$34+원자료!C$31+원자료!C$32-원자료!C$18-원자료!C$19-원자료!C$26</f>
        <v/>
      </c>
      <c r="D10" s="25">
        <f>원자료!D$34+원자료!D$31+원자료!D$32-원자료!D$18-원자료!D$19-원자료!D$26</f>
        <v/>
      </c>
      <c r="E10" s="25">
        <f>원자료!E$34+원자료!E$31+원자료!E$32-원자료!E$18-원자료!E$19-원자료!E$26</f>
        <v/>
      </c>
      <c r="F10" s="25">
        <f>원자료!F$34+원자료!F$31+원자료!F$32-원자료!F$18-원자료!F$19-원자료!F$26</f>
        <v/>
      </c>
      <c r="G10" s="25">
        <f>원자료!G$34+원자료!G$31+원자료!G$32-원자료!G$18-원자료!G$19-원자료!G$26</f>
        <v/>
      </c>
      <c r="H10" s="25">
        <f>원자료!H$34+원자료!H$31+원자료!H$32-원자료!H$18-원자료!H$19-원자료!H$26</f>
        <v/>
      </c>
      <c r="I10" s="25">
        <f>원자료!I$34+원자료!I$31+원자료!I$32-원자료!I$18-원자료!I$19-원자료!I$26</f>
        <v/>
      </c>
      <c r="J10" s="25">
        <f>원자료!J$34+원자료!J$31+원자료!J$32-원자료!J$18-원자료!J$19-원자료!J$26</f>
        <v/>
      </c>
      <c r="K10" s="25">
        <f>원자료!K$34+원자료!K$31+원자료!K$32-원자료!K$18-원자료!K$19-원자료!K$26</f>
        <v/>
      </c>
    </row>
    <row r="12">
      <c r="A12" s="5" t="inlineStr">
        <is>
          <t>투하자본 — 상향식 영업자본</t>
        </is>
      </c>
    </row>
    <row r="13">
      <c r="A13" s="4" t="inlineStr">
        <is>
          <t>영업자산 (유형+무형+사용권+재고+매출채권+계약자산)</t>
        </is>
      </c>
      <c r="B13" s="25">
        <f>원자료!B$23+원자료!B$24+원자료!B$25+원자료!B$21+원자료!B$20+원자료!B$22</f>
        <v/>
      </c>
      <c r="C13" s="25">
        <f>원자료!C$23+원자료!C$24+원자료!C$25+원자료!C$21+원자료!C$20+원자료!C$22</f>
        <v/>
      </c>
      <c r="D13" s="25">
        <f>원자료!D$23+원자료!D$24+원자료!D$25+원자료!D$21+원자료!D$20+원자료!D$22</f>
        <v/>
      </c>
      <c r="E13" s="25">
        <f>원자료!E$23+원자료!E$24+원자료!E$25+원자료!E$21+원자료!E$20+원자료!E$22</f>
        <v/>
      </c>
      <c r="F13" s="25">
        <f>원자료!F$23+원자료!F$24+원자료!F$25+원자료!F$21+원자료!F$20+원자료!F$22</f>
        <v/>
      </c>
      <c r="G13" s="25">
        <f>원자료!G$23+원자료!G$24+원자료!G$25+원자료!G$21+원자료!G$20+원자료!G$22</f>
        <v/>
      </c>
      <c r="H13" s="25">
        <f>원자료!H$23+원자료!H$24+원자료!H$25+원자료!H$21+원자료!H$20+원자료!H$22</f>
        <v/>
      </c>
      <c r="I13" s="25">
        <f>원자료!I$23+원자료!I$24+원자료!I$25+원자료!I$21+원자료!I$20+원자료!I$22</f>
        <v/>
      </c>
      <c r="J13" s="25">
        <f>원자료!J$23+원자료!J$24+원자료!J$25+원자료!J$21+원자료!J$20+원자료!J$22</f>
        <v/>
      </c>
      <c r="K13" s="25">
        <f>원자료!K$23+원자료!K$24+원자료!K$25+원자료!K$21+원자료!K$20+원자료!K$22</f>
        <v/>
      </c>
    </row>
    <row r="14">
      <c r="A14" s="4" t="inlineStr">
        <is>
          <t>− 계약부채 − 선수금</t>
        </is>
      </c>
      <c r="B14" s="25">
        <f>-원자료!B$29-원자료!B$30</f>
        <v/>
      </c>
      <c r="C14" s="25">
        <f>-원자료!C$29-원자료!C$30</f>
        <v/>
      </c>
      <c r="D14" s="25">
        <f>-원자료!D$29-원자료!D$30</f>
        <v/>
      </c>
      <c r="E14" s="25">
        <f>-원자료!E$29-원자료!E$30</f>
        <v/>
      </c>
      <c r="F14" s="25">
        <f>-원자료!F$29-원자료!F$30</f>
        <v/>
      </c>
      <c r="G14" s="25">
        <f>-원자료!G$29-원자료!G$30</f>
        <v/>
      </c>
      <c r="H14" s="25">
        <f>-원자료!H$29-원자료!H$30</f>
        <v/>
      </c>
      <c r="I14" s="25">
        <f>-원자료!I$29-원자료!I$30</f>
        <v/>
      </c>
      <c r="J14" s="25">
        <f>-원자료!J$29-원자료!J$30</f>
        <v/>
      </c>
      <c r="K14" s="25">
        <f>-원자료!K$29-원자료!K$30</f>
        <v/>
      </c>
    </row>
    <row r="15">
      <c r="A15" s="4" t="inlineStr">
        <is>
          <t>영업자본 (매입채무 미차감)</t>
        </is>
      </c>
      <c r="B15" s="25">
        <f>ROIC!B$13+ROIC!B$14</f>
        <v/>
      </c>
      <c r="C15" s="25">
        <f>ROIC!C$13+ROIC!C$14</f>
        <v/>
      </c>
      <c r="D15" s="25">
        <f>ROIC!D$13+ROIC!D$14</f>
        <v/>
      </c>
      <c r="E15" s="25">
        <f>ROIC!E$13+ROIC!E$14</f>
        <v/>
      </c>
      <c r="F15" s="25">
        <f>ROIC!F$13+ROIC!F$14</f>
        <v/>
      </c>
      <c r="G15" s="25">
        <f>ROIC!G$13+ROIC!G$14</f>
        <v/>
      </c>
      <c r="H15" s="25">
        <f>ROIC!H$13+ROIC!H$14</f>
        <v/>
      </c>
      <c r="I15" s="25">
        <f>ROIC!I$13+ROIC!I$14</f>
        <v/>
      </c>
      <c r="J15" s="25">
        <f>ROIC!J$13+ROIC!J$14</f>
        <v/>
      </c>
      <c r="K15" s="25">
        <f>ROIC!K$13+ROIC!K$14</f>
        <v/>
      </c>
    </row>
    <row r="16">
      <c r="A16" s="4" t="inlineStr">
        <is>
          <t>− 매입채무</t>
        </is>
      </c>
      <c r="B16" s="25">
        <f>-원자료!B$28</f>
        <v/>
      </c>
      <c r="C16" s="25">
        <f>-원자료!C$28</f>
        <v/>
      </c>
      <c r="D16" s="25">
        <f>-원자료!D$28</f>
        <v/>
      </c>
      <c r="E16" s="25">
        <f>-원자료!E$28</f>
        <v/>
      </c>
      <c r="F16" s="25">
        <f>-원자료!F$28</f>
        <v/>
      </c>
      <c r="G16" s="25">
        <f>-원자료!G$28</f>
        <v/>
      </c>
      <c r="H16" s="25">
        <f>-원자료!H$28</f>
        <v/>
      </c>
      <c r="I16" s="25">
        <f>-원자료!I$28</f>
        <v/>
      </c>
      <c r="J16" s="25">
        <f>-원자료!J$28</f>
        <v/>
      </c>
      <c r="K16" s="25">
        <f>-원자료!K$28</f>
        <v/>
      </c>
    </row>
    <row r="17">
      <c r="A17" s="4" t="inlineStr">
        <is>
          <t>영업자본 (매입채무 차감)</t>
        </is>
      </c>
      <c r="B17" s="25">
        <f>ROIC!B$15+ROIC!B$16</f>
        <v/>
      </c>
      <c r="C17" s="25">
        <f>ROIC!C$15+ROIC!C$16</f>
        <v/>
      </c>
      <c r="D17" s="25">
        <f>ROIC!D$15+ROIC!D$16</f>
        <v/>
      </c>
      <c r="E17" s="25">
        <f>ROIC!E$15+ROIC!E$16</f>
        <v/>
      </c>
      <c r="F17" s="25">
        <f>ROIC!F$15+ROIC!F$16</f>
        <v/>
      </c>
      <c r="G17" s="25">
        <f>ROIC!G$15+ROIC!G$16</f>
        <v/>
      </c>
      <c r="H17" s="25">
        <f>ROIC!H$15+ROIC!H$16</f>
        <v/>
      </c>
      <c r="I17" s="25">
        <f>ROIC!I$15+ROIC!I$16</f>
        <v/>
      </c>
      <c r="J17" s="25">
        <f>ROIC!J$15+ROIC!J$16</f>
        <v/>
      </c>
      <c r="K17" s="25">
        <f>ROIC!K$15+ROIC!K$16</f>
        <v/>
      </c>
    </row>
    <row r="18">
      <c r="A18" s="4" t="inlineStr">
        <is>
          <t>건설중자산</t>
        </is>
      </c>
      <c r="B18" s="26">
        <f>원자료!B$35</f>
        <v/>
      </c>
      <c r="C18" s="26">
        <f>원자료!C$35</f>
        <v/>
      </c>
      <c r="D18" s="26">
        <f>원자료!D$35</f>
        <v/>
      </c>
      <c r="E18" s="26">
        <f>원자료!E$35</f>
        <v/>
      </c>
      <c r="F18" s="26">
        <f>원자료!F$35</f>
        <v/>
      </c>
      <c r="G18" s="26">
        <f>원자료!G$35</f>
        <v/>
      </c>
      <c r="H18" s="26">
        <f>원자료!H$35</f>
        <v/>
      </c>
      <c r="I18" s="26">
        <f>원자료!I$35</f>
        <v/>
      </c>
      <c r="J18" s="26">
        <f>원자료!J$35</f>
        <v/>
      </c>
      <c r="K18" s="26">
        <f>원자료!K$35</f>
        <v/>
      </c>
    </row>
    <row r="19">
      <c r="A19" s="4" t="inlineStr">
        <is>
          <t>영업자본 − 건설중자산 (매입채무 미차감)</t>
        </is>
      </c>
      <c r="B19" s="25">
        <f>ROIC!B$15-ROIC!B$18</f>
        <v/>
      </c>
      <c r="C19" s="25">
        <f>ROIC!C$15-ROIC!C$18</f>
        <v/>
      </c>
      <c r="D19" s="25">
        <f>ROIC!D$15-ROIC!D$18</f>
        <v/>
      </c>
      <c r="E19" s="25">
        <f>ROIC!E$15-ROIC!E$18</f>
        <v/>
      </c>
      <c r="F19" s="25">
        <f>ROIC!F$15-ROIC!F$18</f>
        <v/>
      </c>
      <c r="G19" s="25">
        <f>ROIC!G$15-ROIC!G$18</f>
        <v/>
      </c>
      <c r="H19" s="25">
        <f>ROIC!H$15-ROIC!H$18</f>
        <v/>
      </c>
      <c r="I19" s="25">
        <f>ROIC!I$15-ROIC!I$18</f>
        <v/>
      </c>
      <c r="J19" s="25">
        <f>ROIC!J$15-ROIC!J$18</f>
        <v/>
      </c>
      <c r="K19" s="25">
        <f>ROIC!K$15-ROIC!K$18</f>
        <v/>
      </c>
    </row>
    <row r="20">
      <c r="A20" s="4" t="inlineStr">
        <is>
          <t>영업자본 − 건설중자산 (매입채무 차감)</t>
        </is>
      </c>
      <c r="B20" s="25">
        <f>ROIC!B$17-ROIC!B$18</f>
        <v/>
      </c>
      <c r="C20" s="25">
        <f>ROIC!C$17-ROIC!C$18</f>
        <v/>
      </c>
      <c r="D20" s="25">
        <f>ROIC!D$17-ROIC!D$18</f>
        <v/>
      </c>
      <c r="E20" s="25">
        <f>ROIC!E$17-ROIC!E$18</f>
        <v/>
      </c>
      <c r="F20" s="25">
        <f>ROIC!F$17-ROIC!F$18</f>
        <v/>
      </c>
      <c r="G20" s="25">
        <f>ROIC!G$17-ROIC!G$18</f>
        <v/>
      </c>
      <c r="H20" s="25">
        <f>ROIC!H$17-ROIC!H$18</f>
        <v/>
      </c>
      <c r="I20" s="25">
        <f>ROIC!I$17-ROIC!I$18</f>
        <v/>
      </c>
      <c r="J20" s="25">
        <f>ROIC!J$17-ROIC!J$18</f>
        <v/>
      </c>
      <c r="K20" s="25">
        <f>ROIC!K$17-ROIC!K$18</f>
        <v/>
      </c>
    </row>
    <row r="22">
      <c r="A22" s="5" t="inlineStr">
        <is>
          <t>ROIC</t>
        </is>
      </c>
    </row>
    <row r="23">
      <c r="A23" s="4" t="inlineStr">
        <is>
          <t>하향식</t>
        </is>
      </c>
      <c r="B23" s="23">
        <f>IF(ROIC!B$10&lt;=0,"",ROIC!B$7/ROIC!B$10)</f>
        <v/>
      </c>
      <c r="C23" s="23">
        <f>IF(ROIC!C$10&lt;=0,"",ROIC!C$7/ROIC!C$10)</f>
        <v/>
      </c>
      <c r="D23" s="23">
        <f>IF(ROIC!D$10&lt;=0,"",ROIC!D$7/ROIC!D$10)</f>
        <v/>
      </c>
      <c r="E23" s="23">
        <f>IF(ROIC!E$10&lt;=0,"",ROIC!E$7/ROIC!E$10)</f>
        <v/>
      </c>
      <c r="F23" s="23">
        <f>IF(ROIC!F$10&lt;=0,"",ROIC!F$7/ROIC!F$10)</f>
        <v/>
      </c>
      <c r="G23" s="23">
        <f>IF(ROIC!G$10&lt;=0,"",ROIC!G$7/ROIC!G$10)</f>
        <v/>
      </c>
      <c r="H23" s="23">
        <f>IF(ROIC!H$10&lt;=0,"",ROIC!H$7/ROIC!H$10)</f>
        <v/>
      </c>
      <c r="I23" s="23">
        <f>IF(ROIC!I$10&lt;=0,"",ROIC!I$7/ROIC!I$10)</f>
        <v/>
      </c>
      <c r="J23" s="23">
        <f>IF(ROIC!J$10&lt;=0,"",ROIC!J$7/ROIC!J$10)</f>
        <v/>
      </c>
      <c r="K23" s="23">
        <f>IF(ROIC!K$10&lt;=0,"",ROIC!K$7/ROIC!K$10)</f>
        <v/>
      </c>
    </row>
    <row r="24">
      <c r="A24" s="4" t="inlineStr">
        <is>
          <t>상향식 (매입채무 차감)</t>
        </is>
      </c>
      <c r="B24" s="23">
        <f>IF(ROIC!B$17&lt;=0,"",ROIC!B$7/ROIC!B$17)</f>
        <v/>
      </c>
      <c r="C24" s="23">
        <f>IF(ROIC!C$17&lt;=0,"",ROIC!C$7/ROIC!C$17)</f>
        <v/>
      </c>
      <c r="D24" s="23">
        <f>IF(ROIC!D$17&lt;=0,"",ROIC!D$7/ROIC!D$17)</f>
        <v/>
      </c>
      <c r="E24" s="23">
        <f>IF(ROIC!E$17&lt;=0,"",ROIC!E$7/ROIC!E$17)</f>
        <v/>
      </c>
      <c r="F24" s="23">
        <f>IF(ROIC!F$17&lt;=0,"",ROIC!F$7/ROIC!F$17)</f>
        <v/>
      </c>
      <c r="G24" s="23">
        <f>IF(ROIC!G$17&lt;=0,"",ROIC!G$7/ROIC!G$17)</f>
        <v/>
      </c>
      <c r="H24" s="23">
        <f>IF(ROIC!H$17&lt;=0,"",ROIC!H$7/ROIC!H$17)</f>
        <v/>
      </c>
      <c r="I24" s="23">
        <f>IF(ROIC!I$17&lt;=0,"",ROIC!I$7/ROIC!I$17)</f>
        <v/>
      </c>
      <c r="J24" s="23">
        <f>IF(ROIC!J$17&lt;=0,"",ROIC!J$7/ROIC!J$17)</f>
        <v/>
      </c>
      <c r="K24" s="23">
        <f>IF(ROIC!K$17&lt;=0,"",ROIC!K$7/ROIC!K$17)</f>
        <v/>
      </c>
    </row>
    <row r="25">
      <c r="A25" s="4" t="inlineStr">
        <is>
          <t>상향식 − 건설중자산 (매입채무 차감)</t>
        </is>
      </c>
      <c r="B25" s="23">
        <f>IF(ROIC!B$20&lt;=0,"",ROIC!B$7/ROIC!B$20)</f>
        <v/>
      </c>
      <c r="C25" s="23">
        <f>IF(ROIC!C$20&lt;=0,"",ROIC!C$7/ROIC!C$20)</f>
        <v/>
      </c>
      <c r="D25" s="23">
        <f>IF(ROIC!D$20&lt;=0,"",ROIC!D$7/ROIC!D$20)</f>
        <v/>
      </c>
      <c r="E25" s="23">
        <f>IF(ROIC!E$20&lt;=0,"",ROIC!E$7/ROIC!E$20)</f>
        <v/>
      </c>
      <c r="F25" s="23">
        <f>IF(ROIC!F$20&lt;=0,"",ROIC!F$7/ROIC!F$20)</f>
        <v/>
      </c>
      <c r="G25" s="23">
        <f>IF(ROIC!G$20&lt;=0,"",ROIC!G$7/ROIC!G$20)</f>
        <v/>
      </c>
      <c r="H25" s="23">
        <f>IF(ROIC!H$20&lt;=0,"",ROIC!H$7/ROIC!H$20)</f>
        <v/>
      </c>
      <c r="I25" s="23">
        <f>IF(ROIC!I$20&lt;=0,"",ROIC!I$7/ROIC!I$20)</f>
        <v/>
      </c>
      <c r="J25" s="23">
        <f>IF(ROIC!J$20&lt;=0,"",ROIC!J$7/ROIC!J$20)</f>
        <v/>
      </c>
      <c r="K25" s="23">
        <f>IF(ROIC!K$20&lt;=0,"",ROIC!K$7/ROIC!K$20)</f>
        <v/>
      </c>
    </row>
    <row r="26">
      <c r="A26" s="4" t="inlineStr">
        <is>
          <t>상향식 − 건설중자산 (매입채무 미차감) ← 본문 기준</t>
        </is>
      </c>
      <c r="B26" s="23">
        <f>IF(ROIC!B$19&lt;=0,"",ROIC!B$7/ROIC!B$19)</f>
        <v/>
      </c>
      <c r="C26" s="23">
        <f>IF(ROIC!C$19&lt;=0,"",ROIC!C$7/ROIC!C$19)</f>
        <v/>
      </c>
      <c r="D26" s="23">
        <f>IF(ROIC!D$19&lt;=0,"",ROIC!D$7/ROIC!D$19)</f>
        <v/>
      </c>
      <c r="E26" s="23">
        <f>IF(ROIC!E$19&lt;=0,"",ROIC!E$7/ROIC!E$19)</f>
        <v/>
      </c>
      <c r="F26" s="23">
        <f>IF(ROIC!F$19&lt;=0,"",ROIC!F$7/ROIC!F$19)</f>
        <v/>
      </c>
      <c r="G26" s="23">
        <f>IF(ROIC!G$19&lt;=0,"",ROIC!G$7/ROIC!G$19)</f>
        <v/>
      </c>
      <c r="H26" s="23">
        <f>IF(ROIC!H$19&lt;=0,"",ROIC!H$7/ROIC!H$19)</f>
        <v/>
      </c>
      <c r="I26" s="23">
        <f>IF(ROIC!I$19&lt;=0,"",ROIC!I$7/ROIC!I$19)</f>
        <v/>
      </c>
      <c r="J26" s="23">
        <f>IF(ROIC!J$19&lt;=0,"",ROIC!J$7/ROIC!J$19)</f>
        <v/>
      </c>
      <c r="K26" s="23">
        <f>IF(ROIC!K$19&lt;=0,"",ROIC!K$7/ROIC!K$19)</f>
        <v/>
      </c>
    </row>
    <row r="27">
      <c r="A27" s="4" t="inlineStr">
        <is>
          <t>ROIC − 자본비용 (본문 기준)</t>
        </is>
      </c>
      <c r="B27" s="23">
        <f>IF(ROIC!B$26="","",ROIC!B$26-가정!$B$47)</f>
        <v/>
      </c>
      <c r="C27" s="23">
        <f>IF(ROIC!C$26="","",ROIC!C$26-가정!$B$47)</f>
        <v/>
      </c>
      <c r="D27" s="23">
        <f>IF(ROIC!D$26="","",ROIC!D$26-가정!$B$47)</f>
        <v/>
      </c>
      <c r="E27" s="23">
        <f>IF(ROIC!E$26="","",ROIC!E$26-가정!$B$47)</f>
        <v/>
      </c>
      <c r="F27" s="23">
        <f>IF(ROIC!F$26="","",ROIC!F$26-가정!$B$47)</f>
        <v/>
      </c>
      <c r="G27" s="23">
        <f>IF(ROIC!G$26="","",ROIC!G$26-가정!$B$47)</f>
        <v/>
      </c>
      <c r="H27" s="23">
        <f>IF(ROIC!H$26="","",ROIC!H$26-가정!$B$47)</f>
        <v/>
      </c>
      <c r="I27" s="23">
        <f>IF(ROIC!I$26="","",ROIC!I$26-가정!$B$47)</f>
        <v/>
      </c>
      <c r="J27" s="23">
        <f>IF(ROIC!J$26="","",ROIC!J$26-가정!$B$47)</f>
        <v/>
      </c>
      <c r="K27" s="23">
        <f>IF(ROIC!K$26="","",ROIC!K$26-가정!$B$47)</f>
        <v/>
      </c>
    </row>
    <row r="29" ht="28" customHeight="1">
      <c r="A29" s="2" t="inlineStr">
        <is>
          <t>FY2016·FY2017의 하향식 투하자본은 음수입니다 (에피스 지분이 대차대조표를 지배). 음수 분모에서 나온 비율은 수익률이 아니므로 빈칸으로 처리했습니다. FY2018 이후에는 하향식과 상향식이 −16%~+11% 범위에서 같이 움직이므로, 측정 방식의 선택이 결론을 만들지 않았습니다.</t>
        </is>
      </c>
    </row>
    <row r="30" ht="28" customHeight="1">
      <c r="A30" s="2" t="inlineStr">
        <is>
          <t>건설중자산을 빼는 이유: FY2024 말 영업자본의 30%가 아직 완공되지 않아 한 푼도 벌지 못하는 공장이었고, FY2025에 2조 1,829억원이 가동자산으로 넘어갔습니다. 빼지 않으면 FY2024가 수익률이 무너진 해로 읽힙니다.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5" customWidth="1" min="5" max="5"/>
    <col width="15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기준 4 — 증분 투하자본이익률</t>
        </is>
      </c>
    </row>
    <row r="2" ht="30" customHeight="1">
      <c r="A2" s="2" t="inlineStr">
        <is>
          <t>ΔNOPAT ÷ Δ투하자본. 분모는 건설중자산을 뺀 영업자본(매입채무 미차감)입니다. 단위: 십억원.</t>
        </is>
      </c>
    </row>
    <row r="4" ht="32" customHeight="1">
      <c r="A4" s="3" t="inlineStr">
        <is>
          <t>구간</t>
        </is>
      </c>
      <c r="B4" s="3" t="inlineStr">
        <is>
          <t>시작 NOPAT</t>
        </is>
      </c>
      <c r="C4" s="3" t="inlineStr">
        <is>
          <t>종료 NOPAT</t>
        </is>
      </c>
      <c r="D4" s="3" t="inlineStr">
        <is>
          <t>ΔNOPAT</t>
        </is>
      </c>
      <c r="E4" s="3" t="inlineStr">
        <is>
          <t>시작 투하자본</t>
        </is>
      </c>
      <c r="F4" s="3" t="inlineStr">
        <is>
          <t>종료 투하자본</t>
        </is>
      </c>
      <c r="G4" s="3" t="inlineStr">
        <is>
          <t>Δ투하자본</t>
        </is>
      </c>
      <c r="H4" s="3" t="inlineStr">
        <is>
          <t>증분 ROIC</t>
        </is>
      </c>
      <c r="I4" s="3" t="inlineStr">
        <is>
          <t>자본비용 대비</t>
        </is>
      </c>
    </row>
    <row r="5">
      <c r="A5" s="4" t="inlineStr">
        <is>
          <t>FY2016→FY2019</t>
        </is>
      </c>
      <c r="B5" s="26">
        <f>ROIC!B$7</f>
        <v/>
      </c>
      <c r="C5" s="26">
        <f>ROIC!E$7</f>
        <v/>
      </c>
      <c r="D5" s="25">
        <f>C5-B5</f>
        <v/>
      </c>
      <c r="E5" s="26">
        <f>ROIC!B$19</f>
        <v/>
      </c>
      <c r="F5" s="26">
        <f>ROIC!E$19</f>
        <v/>
      </c>
      <c r="G5" s="25">
        <f>F5-E5</f>
        <v/>
      </c>
      <c r="H5" s="23">
        <f>IF(G5&lt;=0,"",D5/G5)</f>
        <v/>
      </c>
      <c r="I5" s="23">
        <f>IF(H5="","",H5-가정!$B$47)</f>
        <v/>
      </c>
    </row>
    <row r="6">
      <c r="A6" s="4" t="inlineStr">
        <is>
          <t>FY2017→FY2020</t>
        </is>
      </c>
      <c r="B6" s="26">
        <f>ROIC!C$7</f>
        <v/>
      </c>
      <c r="C6" s="26">
        <f>ROIC!F$7</f>
        <v/>
      </c>
      <c r="D6" s="25">
        <f>C6-B6</f>
        <v/>
      </c>
      <c r="E6" s="26">
        <f>ROIC!C$19</f>
        <v/>
      </c>
      <c r="F6" s="26">
        <f>ROIC!F$19</f>
        <v/>
      </c>
      <c r="G6" s="25">
        <f>F6-E6</f>
        <v/>
      </c>
      <c r="H6" s="23">
        <f>IF(G6&lt;=0,"",D6/G6)</f>
        <v/>
      </c>
      <c r="I6" s="23">
        <f>IF(H6="","",H6-가정!$B$47)</f>
        <v/>
      </c>
    </row>
    <row r="7">
      <c r="A7" s="4" t="inlineStr">
        <is>
          <t>FY2018→FY2021</t>
        </is>
      </c>
      <c r="B7" s="26">
        <f>ROIC!D$7</f>
        <v/>
      </c>
      <c r="C7" s="26">
        <f>ROIC!G$7</f>
        <v/>
      </c>
      <c r="D7" s="25">
        <f>C7-B7</f>
        <v/>
      </c>
      <c r="E7" s="26">
        <f>ROIC!D$19</f>
        <v/>
      </c>
      <c r="F7" s="26">
        <f>ROIC!G$19</f>
        <v/>
      </c>
      <c r="G7" s="25">
        <f>F7-E7</f>
        <v/>
      </c>
      <c r="H7" s="23">
        <f>IF(G7&lt;=0,"",D7/G7)</f>
        <v/>
      </c>
      <c r="I7" s="23">
        <f>IF(H7="","",H7-가정!$B$47)</f>
        <v/>
      </c>
    </row>
    <row r="8">
      <c r="A8" s="4" t="inlineStr">
        <is>
          <t>FY2019→FY2022</t>
        </is>
      </c>
      <c r="B8" s="26">
        <f>ROIC!E$7</f>
        <v/>
      </c>
      <c r="C8" s="26">
        <f>ROIC!H$7</f>
        <v/>
      </c>
      <c r="D8" s="25">
        <f>C8-B8</f>
        <v/>
      </c>
      <c r="E8" s="26">
        <f>ROIC!E$19</f>
        <v/>
      </c>
      <c r="F8" s="26">
        <f>ROIC!H$19</f>
        <v/>
      </c>
      <c r="G8" s="25">
        <f>F8-E8</f>
        <v/>
      </c>
      <c r="H8" s="23">
        <f>IF(G8&lt;=0,"",D8/G8)</f>
        <v/>
      </c>
      <c r="I8" s="23">
        <f>IF(H8="","",H8-가정!$B$47)</f>
        <v/>
      </c>
    </row>
    <row r="9">
      <c r="A9" s="4" t="inlineStr">
        <is>
          <t>FY2020→FY2023</t>
        </is>
      </c>
      <c r="B9" s="26">
        <f>ROIC!F$7</f>
        <v/>
      </c>
      <c r="C9" s="26">
        <f>ROIC!I$7</f>
        <v/>
      </c>
      <c r="D9" s="25">
        <f>C9-B9</f>
        <v/>
      </c>
      <c r="E9" s="26">
        <f>ROIC!F$19</f>
        <v/>
      </c>
      <c r="F9" s="26">
        <f>ROIC!I$19</f>
        <v/>
      </c>
      <c r="G9" s="25">
        <f>F9-E9</f>
        <v/>
      </c>
      <c r="H9" s="23">
        <f>IF(G9&lt;=0,"",D9/G9)</f>
        <v/>
      </c>
      <c r="I9" s="23">
        <f>IF(H9="","",H9-가정!$B$47)</f>
        <v/>
      </c>
    </row>
    <row r="10">
      <c r="A10" s="4" t="inlineStr">
        <is>
          <t>FY2021→FY2024</t>
        </is>
      </c>
      <c r="B10" s="26">
        <f>ROIC!G$7</f>
        <v/>
      </c>
      <c r="C10" s="26">
        <f>ROIC!J$7</f>
        <v/>
      </c>
      <c r="D10" s="25">
        <f>C10-B10</f>
        <v/>
      </c>
      <c r="E10" s="26">
        <f>ROIC!G$19</f>
        <v/>
      </c>
      <c r="F10" s="26">
        <f>ROIC!J$19</f>
        <v/>
      </c>
      <c r="G10" s="25">
        <f>F10-E10</f>
        <v/>
      </c>
      <c r="H10" s="23">
        <f>IF(G10&lt;=0,"",D10/G10)</f>
        <v/>
      </c>
      <c r="I10" s="23">
        <f>IF(H10="","",H10-가정!$B$47)</f>
        <v/>
      </c>
    </row>
    <row r="11">
      <c r="A11" s="4" t="inlineStr">
        <is>
          <t>FY2022→FY2025</t>
        </is>
      </c>
      <c r="B11" s="26">
        <f>ROIC!H$7</f>
        <v/>
      </c>
      <c r="C11" s="26">
        <f>ROIC!K$7</f>
        <v/>
      </c>
      <c r="D11" s="25">
        <f>C11-B11</f>
        <v/>
      </c>
      <c r="E11" s="26">
        <f>ROIC!H$19</f>
        <v/>
      </c>
      <c r="F11" s="26">
        <f>ROIC!K$19</f>
        <v/>
      </c>
      <c r="G11" s="25">
        <f>F11-E11</f>
        <v/>
      </c>
      <c r="H11" s="23">
        <f>IF(G11&lt;=0,"",D11/G11)</f>
        <v/>
      </c>
      <c r="I11" s="23">
        <f>IF(H11="","",H11-가정!$B$47)</f>
        <v/>
      </c>
    </row>
    <row r="12">
      <c r="A12" s="4" t="inlineStr">
        <is>
          <t>FY2016→FY2021</t>
        </is>
      </c>
      <c r="B12" s="26">
        <f>ROIC!B$7</f>
        <v/>
      </c>
      <c r="C12" s="26">
        <f>ROIC!G$7</f>
        <v/>
      </c>
      <c r="D12" s="25">
        <f>C12-B12</f>
        <v/>
      </c>
      <c r="E12" s="26">
        <f>ROIC!B$19</f>
        <v/>
      </c>
      <c r="F12" s="26">
        <f>ROIC!G$19</f>
        <v/>
      </c>
      <c r="G12" s="25">
        <f>F12-E12</f>
        <v/>
      </c>
      <c r="H12" s="23">
        <f>IF(G12&lt;=0,"",D12/G12)</f>
        <v/>
      </c>
      <c r="I12" s="23">
        <f>IF(H12="","",H12-가정!$B$47)</f>
        <v/>
      </c>
    </row>
    <row r="13">
      <c r="A13" s="4" t="inlineStr">
        <is>
          <t>FY2017→FY2022</t>
        </is>
      </c>
      <c r="B13" s="26">
        <f>ROIC!C$7</f>
        <v/>
      </c>
      <c r="C13" s="26">
        <f>ROIC!H$7</f>
        <v/>
      </c>
      <c r="D13" s="25">
        <f>C13-B13</f>
        <v/>
      </c>
      <c r="E13" s="26">
        <f>ROIC!C$19</f>
        <v/>
      </c>
      <c r="F13" s="26">
        <f>ROIC!H$19</f>
        <v/>
      </c>
      <c r="G13" s="25">
        <f>F13-E13</f>
        <v/>
      </c>
      <c r="H13" s="23">
        <f>IF(G13&lt;=0,"",D13/G13)</f>
        <v/>
      </c>
      <c r="I13" s="23">
        <f>IF(H13="","",H13-가정!$B$47)</f>
        <v/>
      </c>
    </row>
    <row r="14">
      <c r="A14" s="4" t="inlineStr">
        <is>
          <t>FY2018→FY2023</t>
        </is>
      </c>
      <c r="B14" s="26">
        <f>ROIC!D$7</f>
        <v/>
      </c>
      <c r="C14" s="26">
        <f>ROIC!I$7</f>
        <v/>
      </c>
      <c r="D14" s="25">
        <f>C14-B14</f>
        <v/>
      </c>
      <c r="E14" s="26">
        <f>ROIC!D$19</f>
        <v/>
      </c>
      <c r="F14" s="26">
        <f>ROIC!I$19</f>
        <v/>
      </c>
      <c r="G14" s="25">
        <f>F14-E14</f>
        <v/>
      </c>
      <c r="H14" s="23">
        <f>IF(G14&lt;=0,"",D14/G14)</f>
        <v/>
      </c>
      <c r="I14" s="23">
        <f>IF(H14="","",H14-가정!$B$47)</f>
        <v/>
      </c>
    </row>
    <row r="15">
      <c r="A15" s="4" t="inlineStr">
        <is>
          <t>FY2019→FY2024</t>
        </is>
      </c>
      <c r="B15" s="26">
        <f>ROIC!E$7</f>
        <v/>
      </c>
      <c r="C15" s="26">
        <f>ROIC!J$7</f>
        <v/>
      </c>
      <c r="D15" s="25">
        <f>C15-B15</f>
        <v/>
      </c>
      <c r="E15" s="26">
        <f>ROIC!E$19</f>
        <v/>
      </c>
      <c r="F15" s="26">
        <f>ROIC!J$19</f>
        <v/>
      </c>
      <c r="G15" s="25">
        <f>F15-E15</f>
        <v/>
      </c>
      <c r="H15" s="23">
        <f>IF(G15&lt;=0,"",D15/G15)</f>
        <v/>
      </c>
      <c r="I15" s="23">
        <f>IF(H15="","",H15-가정!$B$47)</f>
        <v/>
      </c>
    </row>
    <row r="16">
      <c r="A16" s="4" t="inlineStr">
        <is>
          <t>FY2020→FY2025</t>
        </is>
      </c>
      <c r="B16" s="26">
        <f>ROIC!F$7</f>
        <v/>
      </c>
      <c r="C16" s="26">
        <f>ROIC!K$7</f>
        <v/>
      </c>
      <c r="D16" s="25">
        <f>C16-B16</f>
        <v/>
      </c>
      <c r="E16" s="26">
        <f>ROIC!F$19</f>
        <v/>
      </c>
      <c r="F16" s="26">
        <f>ROIC!K$19</f>
        <v/>
      </c>
      <c r="G16" s="25">
        <f>F16-E16</f>
        <v/>
      </c>
      <c r="H16" s="23">
        <f>IF(G16&lt;=0,"",D16/G16)</f>
        <v/>
      </c>
      <c r="I16" s="23">
        <f>IF(H16="","",H16-가정!$B$47)</f>
        <v/>
      </c>
    </row>
    <row r="17">
      <c r="A17" s="4" t="inlineStr">
        <is>
          <t>FY2016→FY2025</t>
        </is>
      </c>
      <c r="B17" s="26">
        <f>ROIC!B$7</f>
        <v/>
      </c>
      <c r="C17" s="26">
        <f>ROIC!K$7</f>
        <v/>
      </c>
      <c r="D17" s="25">
        <f>C17-B17</f>
        <v/>
      </c>
      <c r="E17" s="26">
        <f>ROIC!B$19</f>
        <v/>
      </c>
      <c r="F17" s="26">
        <f>ROIC!K$19</f>
        <v/>
      </c>
      <c r="G17" s="25">
        <f>F17-E17</f>
        <v/>
      </c>
      <c r="H17" s="23">
        <f>IF(G17&lt;=0,"",D17/G17)</f>
        <v/>
      </c>
      <c r="I17" s="23">
        <f>IF(H17="","",H17-가정!$B$47)</f>
        <v/>
      </c>
    </row>
    <row r="19" ht="28" customHeight="1">
      <c r="A19" s="2" t="inlineStr">
        <is>
          <t>짧은 구간은 양 끝에서 무엇이 건설 중이었는지에 좌우되므로 점이 아니라 범위로 읽어야 합니다. 5년 구간 다섯 개가 모두 24.9~29.7%에 들어오고, 그것이 본문에서 쓴 근거입니다.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9" customWidth="1" min="7" max="7"/>
    <col width="18" customWidth="1" min="8" max="8"/>
    <col width="16" customWidth="1" min="9" max="9"/>
  </cols>
  <sheetData>
    <row r="1">
      <c r="A1" s="1" t="inlineStr">
        <is>
          <t>기준 6 — 주주이익 (1986년 주주서한 정의)</t>
        </is>
      </c>
    </row>
    <row r="2" ht="30" customHeight="1">
      <c r="A2" s="2" t="inlineStr">
        <is>
          <t>보고이익 + 감가상각 등 − 장기 경쟁지위와 판매량을 유지하는 데 필요한 설비투자 − 운전자본 증가. 판단이 필요한 것은 '유지에 필요한 설비투자' 한 줄뿐이므로 세 가지로 계산해 범위를 보여줍니다. 단위: 십억원.</t>
        </is>
      </c>
    </row>
    <row r="4" ht="32" customHeight="1">
      <c r="A4" s="3" t="inlineStr">
        <is>
          <t>FY</t>
        </is>
      </c>
      <c r="B4" s="3" t="inlineStr">
        <is>
          <t>당기순이익</t>
        </is>
      </c>
      <c r="C4" s="3" t="inlineStr">
        <is>
          <t>감가상각 합계</t>
        </is>
      </c>
      <c r="D4" s="3" t="inlineStr">
        <is>
          <t>유형자산 취득</t>
        </is>
      </c>
      <c r="E4" s="3" t="inlineStr">
        <is>
          <t>운전자본 증감</t>
        </is>
      </c>
      <c r="F4" s="3" t="inlineStr">
        <is>
          <t>주주이익 (유지=감가상각)</t>
        </is>
      </c>
      <c r="G4" s="3" t="inlineStr">
        <is>
          <t>주주이익 (유지=1.2×감가상각)</t>
        </is>
      </c>
      <c r="H4" s="3" t="inlineStr">
        <is>
          <t>주주이익 (유지=취득 전액)</t>
        </is>
      </c>
      <c r="I4" s="3" t="inlineStr">
        <is>
          <t>영업현금흐름 − 취득</t>
        </is>
      </c>
    </row>
    <row r="5">
      <c r="A5" s="4" t="n">
        <v>2016</v>
      </c>
      <c r="B5" s="26">
        <f>원자료!B$11</f>
        <v/>
      </c>
      <c r="C5" s="26">
        <f>원자료!B$12+원자료!B$13+원자료!B$14</f>
        <v/>
      </c>
      <c r="D5" s="26">
        <f>원자료!B$16</f>
        <v/>
      </c>
      <c r="E5" s="25" t="n"/>
      <c r="F5" s="25">
        <f>B5+C5-C5-IF(ISNUMBER(E5),E5,0)</f>
        <v/>
      </c>
      <c r="G5" s="25">
        <f>B5+C5-1.2*C5-IF(ISNUMBER(E5),E5,0)</f>
        <v/>
      </c>
      <c r="H5" s="25">
        <f>B5+C5-D5-IF(ISNUMBER(E5),E5,0)</f>
        <v/>
      </c>
      <c r="I5" s="26">
        <f>원자료!B$15-원자료!B$16</f>
        <v/>
      </c>
    </row>
    <row r="6">
      <c r="A6" s="4" t="n">
        <v>2017</v>
      </c>
      <c r="B6" s="26">
        <f>원자료!C$11</f>
        <v/>
      </c>
      <c r="C6" s="26">
        <f>원자료!C$12+원자료!C$13+원자료!C$14</f>
        <v/>
      </c>
      <c r="D6" s="26">
        <f>원자료!C$16</f>
        <v/>
      </c>
      <c r="E6" s="25">
        <f>(원자료!C$21-원자료!B$21)-(원자료!C$30-원자료!B$30)-(원자료!C$29-원자료!B$29)</f>
        <v/>
      </c>
      <c r="F6" s="25">
        <f>B6+C6-C6-IF(ISNUMBER(E6),E6,0)</f>
        <v/>
      </c>
      <c r="G6" s="25">
        <f>B6+C6-1.2*C6-IF(ISNUMBER(E6),E6,0)</f>
        <v/>
      </c>
      <c r="H6" s="25">
        <f>B6+C6-D6-IF(ISNUMBER(E6),E6,0)</f>
        <v/>
      </c>
      <c r="I6" s="26">
        <f>원자료!C$15-원자료!C$16</f>
        <v/>
      </c>
    </row>
    <row r="7">
      <c r="A7" s="4" t="n">
        <v>2018</v>
      </c>
      <c r="B7" s="26">
        <f>원자료!D$11</f>
        <v/>
      </c>
      <c r="C7" s="26">
        <f>원자료!D$12+원자료!D$13+원자료!D$14</f>
        <v/>
      </c>
      <c r="D7" s="26">
        <f>원자료!D$16</f>
        <v/>
      </c>
      <c r="E7" s="25">
        <f>(원자료!D$21-원자료!C$21)-(원자료!D$30-원자료!C$30)-(원자료!D$29-원자료!C$29)</f>
        <v/>
      </c>
      <c r="F7" s="25">
        <f>B7+C7-C7-IF(ISNUMBER(E7),E7,0)</f>
        <v/>
      </c>
      <c r="G7" s="25">
        <f>B7+C7-1.2*C7-IF(ISNUMBER(E7),E7,0)</f>
        <v/>
      </c>
      <c r="H7" s="25">
        <f>B7+C7-D7-IF(ISNUMBER(E7),E7,0)</f>
        <v/>
      </c>
      <c r="I7" s="26">
        <f>원자료!D$15-원자료!D$16</f>
        <v/>
      </c>
    </row>
    <row r="8">
      <c r="A8" s="4" t="n">
        <v>2019</v>
      </c>
      <c r="B8" s="26">
        <f>원자료!E$11</f>
        <v/>
      </c>
      <c r="C8" s="26">
        <f>원자료!E$12+원자료!E$13+원자료!E$14</f>
        <v/>
      </c>
      <c r="D8" s="26">
        <f>원자료!E$16</f>
        <v/>
      </c>
      <c r="E8" s="25">
        <f>(원자료!E$21-원자료!D$21)-(원자료!E$30-원자료!D$30)-(원자료!E$29-원자료!D$29)</f>
        <v/>
      </c>
      <c r="F8" s="25">
        <f>B8+C8-C8-IF(ISNUMBER(E8),E8,0)</f>
        <v/>
      </c>
      <c r="G8" s="25">
        <f>B8+C8-1.2*C8-IF(ISNUMBER(E8),E8,0)</f>
        <v/>
      </c>
      <c r="H8" s="25">
        <f>B8+C8-D8-IF(ISNUMBER(E8),E8,0)</f>
        <v/>
      </c>
      <c r="I8" s="26">
        <f>원자료!E$15-원자료!E$16</f>
        <v/>
      </c>
    </row>
    <row r="9">
      <c r="A9" s="4" t="n">
        <v>2020</v>
      </c>
      <c r="B9" s="26">
        <f>원자료!F$11</f>
        <v/>
      </c>
      <c r="C9" s="26">
        <f>원자료!F$12+원자료!F$13+원자료!F$14</f>
        <v/>
      </c>
      <c r="D9" s="26">
        <f>원자료!F$16</f>
        <v/>
      </c>
      <c r="E9" s="25">
        <f>(원자료!F$21-원자료!E$21)-(원자료!F$30-원자료!E$30)-(원자료!F$29-원자료!E$29)</f>
        <v/>
      </c>
      <c r="F9" s="25">
        <f>B9+C9-C9-IF(ISNUMBER(E9),E9,0)</f>
        <v/>
      </c>
      <c r="G9" s="25">
        <f>B9+C9-1.2*C9-IF(ISNUMBER(E9),E9,0)</f>
        <v/>
      </c>
      <c r="H9" s="25">
        <f>B9+C9-D9-IF(ISNUMBER(E9),E9,0)</f>
        <v/>
      </c>
      <c r="I9" s="26">
        <f>원자료!F$15-원자료!F$16</f>
        <v/>
      </c>
    </row>
    <row r="10">
      <c r="A10" s="4" t="n">
        <v>2021</v>
      </c>
      <c r="B10" s="26">
        <f>원자료!G$11</f>
        <v/>
      </c>
      <c r="C10" s="26">
        <f>원자료!G$12+원자료!G$13+원자료!G$14</f>
        <v/>
      </c>
      <c r="D10" s="26">
        <f>원자료!G$16</f>
        <v/>
      </c>
      <c r="E10" s="25">
        <f>(원자료!G$21-원자료!F$21)-(원자료!G$30-원자료!F$30)-(원자료!G$29-원자료!F$29)</f>
        <v/>
      </c>
      <c r="F10" s="25">
        <f>B10+C10-C10-IF(ISNUMBER(E10),E10,0)</f>
        <v/>
      </c>
      <c r="G10" s="25">
        <f>B10+C10-1.2*C10-IF(ISNUMBER(E10),E10,0)</f>
        <v/>
      </c>
      <c r="H10" s="25">
        <f>B10+C10-D10-IF(ISNUMBER(E10),E10,0)</f>
        <v/>
      </c>
      <c r="I10" s="26">
        <f>원자료!G$15-원자료!G$16</f>
        <v/>
      </c>
    </row>
    <row r="11">
      <c r="A11" s="4" t="n">
        <v>2022</v>
      </c>
      <c r="B11" s="26">
        <f>원자료!H$11</f>
        <v/>
      </c>
      <c r="C11" s="26">
        <f>원자료!H$12+원자료!H$13+원자료!H$14</f>
        <v/>
      </c>
      <c r="D11" s="26">
        <f>원자료!H$16</f>
        <v/>
      </c>
      <c r="E11" s="25">
        <f>(원자료!H$21-원자료!G$21)-(원자료!H$30-원자료!G$30)-(원자료!H$29-원자료!G$29)</f>
        <v/>
      </c>
      <c r="F11" s="25">
        <f>B11+C11-C11-IF(ISNUMBER(E11),E11,0)</f>
        <v/>
      </c>
      <c r="G11" s="25">
        <f>B11+C11-1.2*C11-IF(ISNUMBER(E11),E11,0)</f>
        <v/>
      </c>
      <c r="H11" s="25">
        <f>B11+C11-D11-IF(ISNUMBER(E11),E11,0)</f>
        <v/>
      </c>
      <c r="I11" s="26">
        <f>원자료!H$15-원자료!H$16</f>
        <v/>
      </c>
    </row>
    <row r="12">
      <c r="A12" s="4" t="n">
        <v>2023</v>
      </c>
      <c r="B12" s="26">
        <f>원자료!I$11</f>
        <v/>
      </c>
      <c r="C12" s="26">
        <f>원자료!I$12+원자료!I$13+원자료!I$14</f>
        <v/>
      </c>
      <c r="D12" s="26">
        <f>원자료!I$16</f>
        <v/>
      </c>
      <c r="E12" s="25">
        <f>(원자료!I$21-원자료!H$21)-(원자료!I$30-원자료!H$30)-(원자료!I$29-원자료!H$29)</f>
        <v/>
      </c>
      <c r="F12" s="25">
        <f>B12+C12-C12-IF(ISNUMBER(E12),E12,0)</f>
        <v/>
      </c>
      <c r="G12" s="25">
        <f>B12+C12-1.2*C12-IF(ISNUMBER(E12),E12,0)</f>
        <v/>
      </c>
      <c r="H12" s="25">
        <f>B12+C12-D12-IF(ISNUMBER(E12),E12,0)</f>
        <v/>
      </c>
      <c r="I12" s="26">
        <f>원자료!I$15-원자료!I$16</f>
        <v/>
      </c>
    </row>
    <row r="13">
      <c r="A13" s="4" t="n">
        <v>2024</v>
      </c>
      <c r="B13" s="26">
        <f>원자료!J$11</f>
        <v/>
      </c>
      <c r="C13" s="26">
        <f>원자료!J$12+원자료!J$13+원자료!J$14</f>
        <v/>
      </c>
      <c r="D13" s="26">
        <f>원자료!J$16</f>
        <v/>
      </c>
      <c r="E13" s="25">
        <f>(원자료!J$21-원자료!I$21)-(원자료!J$30-원자료!I$30)-(원자료!J$29-원자료!I$29)</f>
        <v/>
      </c>
      <c r="F13" s="25">
        <f>B13+C13-C13-IF(ISNUMBER(E13),E13,0)</f>
        <v/>
      </c>
      <c r="G13" s="25">
        <f>B13+C13-1.2*C13-IF(ISNUMBER(E13),E13,0)</f>
        <v/>
      </c>
      <c r="H13" s="25">
        <f>B13+C13-D13-IF(ISNUMBER(E13),E13,0)</f>
        <v/>
      </c>
      <c r="I13" s="26">
        <f>원자료!J$15-원자료!J$16</f>
        <v/>
      </c>
    </row>
    <row r="14">
      <c r="A14" s="4" t="n">
        <v>2025</v>
      </c>
      <c r="B14" s="26">
        <f>원자료!K$11</f>
        <v/>
      </c>
      <c r="C14" s="26">
        <f>원자료!K$12+원자료!K$13+원자료!K$14</f>
        <v/>
      </c>
      <c r="D14" s="26">
        <f>원자료!K$16</f>
        <v/>
      </c>
      <c r="E14" s="25">
        <f>(원자료!K$21-원자료!J$21)-(원자료!K$30-원자료!J$30)-(원자료!K$29-원자료!J$29)</f>
        <v/>
      </c>
      <c r="F14" s="25">
        <f>B14+C14-C14-IF(ISNUMBER(E14),E14,0)</f>
        <v/>
      </c>
      <c r="G14" s="25">
        <f>B14+C14-1.2*C14-IF(ISNUMBER(E14),E14,0)</f>
        <v/>
      </c>
      <c r="H14" s="25">
        <f>B14+C14-D14-IF(ISNUMBER(E14),E14,0)</f>
        <v/>
      </c>
      <c r="I14" s="26">
        <f>원자료!K$15-원자료!K$16</f>
        <v/>
      </c>
    </row>
    <row r="15">
      <c r="A15" s="4" t="inlineStr">
        <is>
          <t>10년 합계</t>
        </is>
      </c>
      <c r="B15" s="27">
        <f>SUM(B5:B14)</f>
        <v/>
      </c>
      <c r="C15" s="27">
        <f>SUM(C5:C14)</f>
        <v/>
      </c>
      <c r="D15" s="27">
        <f>SUM(D5:D14)</f>
        <v/>
      </c>
      <c r="E15" s="27">
        <f>SUM(E5:E14)</f>
        <v/>
      </c>
      <c r="F15" s="27">
        <f>SUM(F5:F14)</f>
        <v/>
      </c>
      <c r="G15" s="27">
        <f>SUM(G5:G14)</f>
        <v/>
      </c>
      <c r="H15" s="27">
        <f>SUM(H5:H14)</f>
        <v/>
      </c>
      <c r="I15" s="27">
        <f>SUM(I5:I14)</f>
        <v/>
      </c>
    </row>
    <row r="17" ht="28" customHeight="1">
      <c r="A17" s="2" t="inlineStr">
        <is>
          <t>가장 중요한 칸은 I열 합계입니다. 10년 동안 순이익을 5.06조원 벌었지만 영업현금흐름에서 설비투자를 뺀 금액의 합계는 사실상 0입니다. 번 돈 전부가 공장으로 들어갔고, 그 위에 2022년 3.19조원의 유상증자까지 받았습니다. 증분 ROIC이 25~30%라면 그 선택 자체는 옳지만, 이 주식을 10년 보유해 받은 현금이 0원이라는 사실도 같이 읽어야 합니다.</t>
        </is>
      </c>
    </row>
    <row r="18" ht="28" customHeight="1">
      <c r="A18" s="2" t="inlineStr">
        <is>
          <t>F열의 수식이 '+C−C'로 보이는 것은 1986년 정의를 그대로 쓴 결과입니다. 감가상각을 더하고 유지 설비투자를 빼는데, 이 칸에서는 유지 설비투자를 감가상각과 같다고 본 것이므로 서로 상쇄됩니다. 정의를 숨기지 않기 위해 상쇄된 형태로 남겨두었습니다.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0" customWidth="1" min="4" max="4"/>
    <col width="54" customWidth="1" min="5" max="5"/>
  </cols>
  <sheetData>
    <row r="1">
      <c r="A1" s="1" t="inlineStr">
        <is>
          <t>기준 7 (1) — 기준연도</t>
        </is>
      </c>
    </row>
    <row r="2" ht="30" customHeight="1">
      <c r="A2" s="2" t="inlineStr">
        <is>
          <t>매출의 92%를 해외에서 벌고 원가는 대부분 원화입니다. 원/달러가 FY2025 1,421원, 2026 상반기 1,482원, 현재 1,358원이므로 어느 환율을 자본화하는지가 가치에 직접 영향을 줍니다. 세 가지를 모두 계산합니다. 단위: 십억원.</t>
        </is>
      </c>
    </row>
    <row r="4" ht="32" customHeight="1">
      <c r="A4" s="3" t="inlineStr">
        <is>
          <t>항목</t>
        </is>
      </c>
      <c r="B4" s="3" t="inlineStr">
        <is>
          <t>FY2025 실적</t>
        </is>
      </c>
      <c r="C4" s="3" t="inlineStr">
        <is>
          <t>2026 상반기 연율화</t>
        </is>
      </c>
      <c r="D4" s="3" t="inlineStr">
        <is>
          <t>2026 연율화 · 현재 환율</t>
        </is>
      </c>
      <c r="E4" s="3" t="inlineStr">
        <is>
          <t>설명</t>
        </is>
      </c>
    </row>
    <row r="5">
      <c r="A5" s="4" t="inlineStr">
        <is>
          <t>매출</t>
        </is>
      </c>
      <c r="B5" s="26">
        <f>원자료!K$5</f>
        <v/>
      </c>
      <c r="C5" s="24" t="n">
        <v>5156.060113388</v>
      </c>
      <c r="D5" s="25">
        <f>C5*((1-가정!$B$16)+가정!$B$16*가정!$B$12/가정!$B$15)</f>
        <v/>
      </c>
      <c r="E5" s="6" t="inlineStr">
        <is>
          <t>2026 상반기 매출 × 2. 환산은 해외분만 환율에 비례</t>
        </is>
      </c>
    </row>
    <row r="6">
      <c r="A6" s="4" t="inlineStr">
        <is>
          <t>영업이익</t>
        </is>
      </c>
      <c r="B6" s="26">
        <f>원자료!K$8</f>
        <v/>
      </c>
      <c r="C6" s="24" t="n">
        <v>2334.39284593</v>
      </c>
      <c r="D6" s="25">
        <f>D5-((C5-C6)*((1-가정!$B$17)+가정!$B$17*가정!$B$12/가정!$B$15))</f>
        <v/>
      </c>
      <c r="E6" s="6" t="inlineStr">
        <is>
          <t>환산 영업이익 = 환산 매출 − 환산 원가. 원가는 외화연동 비중만큼만 환율에 비례</t>
        </is>
      </c>
    </row>
    <row r="7">
      <c r="A7" s="4" t="inlineStr">
        <is>
          <t>영업이익률</t>
        </is>
      </c>
      <c r="B7" s="23">
        <f>B6/B5</f>
        <v/>
      </c>
      <c r="C7" s="23">
        <f>C6/C5</f>
        <v/>
      </c>
      <c r="D7" s="23">
        <f>D6/D5</f>
        <v/>
      </c>
    </row>
    <row r="8">
      <c r="A8" s="4" t="inlineStr">
        <is>
          <t>실효세율</t>
        </is>
      </c>
      <c r="B8" s="7">
        <f>ROIC!K$6</f>
        <v/>
      </c>
      <c r="C8" s="28" t="n">
        <v>0.2655212267591532</v>
      </c>
      <c r="D8" s="23">
        <f>C8</f>
        <v/>
      </c>
      <c r="E8" s="6" t="inlineStr">
        <is>
          <t>2026 상반기 법인세비용 ÷ 세전이익</t>
        </is>
      </c>
    </row>
    <row r="9">
      <c r="A9" s="4" t="inlineStr">
        <is>
          <t>NOPAT</t>
        </is>
      </c>
      <c r="B9" s="27">
        <f>B6*(1-B8)</f>
        <v/>
      </c>
      <c r="C9" s="27">
        <f>C6*(1-C8)</f>
        <v/>
      </c>
      <c r="D9" s="27">
        <f>D6*(1-D8)</f>
        <v/>
      </c>
    </row>
    <row r="11">
      <c r="A11" s="5" t="inlineStr">
        <is>
          <t>순현금</t>
        </is>
      </c>
    </row>
    <row r="12">
      <c r="A12" s="4" t="inlineStr">
        <is>
          <t>현금및현금성자산 + 단기금융상품</t>
        </is>
      </c>
      <c r="B12" s="26">
        <f>원자료!K$18+원자료!K$19</f>
        <v/>
      </c>
    </row>
    <row r="13">
      <c r="A13" s="4" t="inlineStr">
        <is>
          <t>− 이자부부채 − 리스부채</t>
        </is>
      </c>
      <c r="B13" s="26">
        <f>-원자료!K$31-원자료!K$32</f>
        <v/>
      </c>
    </row>
    <row r="14">
      <c r="A14" s="4" t="inlineStr">
        <is>
          <t>순현금</t>
        </is>
      </c>
      <c r="B14" s="27">
        <f>B12+B13</f>
        <v/>
      </c>
      <c r="D14" s="6" t="inlineStr">
        <is>
          <t>선수금·계약부채 1.80조원은 순현금에 넣지 않았습니다. 그것은 영업자본에 이미 반영된 고객 자금이고, 현금흐름 추정이 그 위에서 돌아갑니다.</t>
        </is>
      </c>
    </row>
    <row r="16">
      <c r="A16" s="5" t="inlineStr">
        <is>
          <t>환율 민감도 (2026 연율화 기준)</t>
        </is>
      </c>
    </row>
    <row r="17" ht="32" customHeight="1">
      <c r="A17" s="3" t="inlineStr">
        <is>
          <t>원/달러</t>
        </is>
      </c>
      <c r="B17" s="3" t="inlineStr">
        <is>
          <t>매출</t>
        </is>
      </c>
      <c r="C17" s="3" t="inlineStr">
        <is>
          <t>영업이익</t>
        </is>
      </c>
      <c r="D17" s="3" t="inlineStr">
        <is>
          <t>영업이익률</t>
        </is>
      </c>
      <c r="E17" s="3" t="inlineStr">
        <is>
          <t>NOPAT</t>
        </is>
      </c>
    </row>
    <row r="18">
      <c r="A18" s="18" t="n">
        <v>1200</v>
      </c>
      <c r="B18" s="25">
        <f>C5*((1-가정!$B$16)+가정!$B$16*A18/가정!$B$15)</f>
        <v/>
      </c>
      <c r="C18" s="25">
        <f>B18-((C5-C6)*((1-가정!$B$17)+가정!$B$17*A18/가정!$B$15))</f>
        <v/>
      </c>
      <c r="D18" s="23">
        <f>C18/B18</f>
        <v/>
      </c>
      <c r="E18" s="25">
        <f>C18*(1-C8)</f>
        <v/>
      </c>
    </row>
    <row r="19">
      <c r="A19" s="18" t="n">
        <v>1250</v>
      </c>
      <c r="B19" s="25">
        <f>C5*((1-가정!$B$16)+가정!$B$16*A19/가정!$B$15)</f>
        <v/>
      </c>
      <c r="C19" s="25">
        <f>B19-((C5-C6)*((1-가정!$B$17)+가정!$B$17*A19/가정!$B$15))</f>
        <v/>
      </c>
      <c r="D19" s="23">
        <f>C19/B19</f>
        <v/>
      </c>
      <c r="E19" s="25">
        <f>C19*(1-C8)</f>
        <v/>
      </c>
    </row>
    <row r="20">
      <c r="A20" s="18" t="n">
        <v>1300</v>
      </c>
      <c r="B20" s="25">
        <f>C5*((1-가정!$B$16)+가정!$B$16*A20/가정!$B$15)</f>
        <v/>
      </c>
      <c r="C20" s="25">
        <f>B20-((C5-C6)*((1-가정!$B$17)+가정!$B$17*A20/가정!$B$15))</f>
        <v/>
      </c>
      <c r="D20" s="23">
        <f>C20/B20</f>
        <v/>
      </c>
      <c r="E20" s="25">
        <f>C20*(1-C8)</f>
        <v/>
      </c>
    </row>
    <row r="21">
      <c r="A21" s="18" t="n">
        <v>1358.5</v>
      </c>
      <c r="B21" s="25">
        <f>C5*((1-가정!$B$16)+가정!$B$16*A21/가정!$B$15)</f>
        <v/>
      </c>
      <c r="C21" s="25">
        <f>B21-((C5-C6)*((1-가정!$B$17)+가정!$B$17*A21/가정!$B$15))</f>
        <v/>
      </c>
      <c r="D21" s="23">
        <f>C21/B21</f>
        <v/>
      </c>
      <c r="E21" s="25">
        <f>C21*(1-C8)</f>
        <v/>
      </c>
    </row>
    <row r="22">
      <c r="A22" s="18" t="n">
        <v>1400</v>
      </c>
      <c r="B22" s="25">
        <f>C5*((1-가정!$B$16)+가정!$B$16*A22/가정!$B$15)</f>
        <v/>
      </c>
      <c r="C22" s="25">
        <f>B22-((C5-C6)*((1-가정!$B$17)+가정!$B$17*A22/가정!$B$15))</f>
        <v/>
      </c>
      <c r="D22" s="23">
        <f>C22/B22</f>
        <v/>
      </c>
      <c r="E22" s="25">
        <f>C22*(1-C8)</f>
        <v/>
      </c>
    </row>
    <row r="23">
      <c r="A23" s="18" t="n">
        <v>1450</v>
      </c>
      <c r="B23" s="25">
        <f>C5*((1-가정!$B$16)+가정!$B$16*A23/가정!$B$15)</f>
        <v/>
      </c>
      <c r="C23" s="25">
        <f>B23-((C5-C6)*((1-가정!$B$17)+가정!$B$17*A23/가정!$B$15))</f>
        <v/>
      </c>
      <c r="D23" s="23">
        <f>C23/B23</f>
        <v/>
      </c>
      <c r="E23" s="25">
        <f>C23*(1-C8)</f>
        <v/>
      </c>
    </row>
    <row r="24">
      <c r="A24" s="18" t="n">
        <v>1482</v>
      </c>
      <c r="B24" s="25">
        <f>C5*((1-가정!$B$16)+가정!$B$16*A24/가정!$B$15)</f>
        <v/>
      </c>
      <c r="C24" s="25">
        <f>B24-((C5-C6)*((1-가정!$B$17)+가정!$B$17*A24/가정!$B$15))</f>
        <v/>
      </c>
      <c r="D24" s="23">
        <f>C24/B24</f>
        <v/>
      </c>
      <c r="E24" s="25">
        <f>C24*(1-C8)</f>
        <v/>
      </c>
    </row>
    <row r="25">
      <c r="A25" s="18" t="n">
        <v>1550</v>
      </c>
      <c r="B25" s="25">
        <f>C5*((1-가정!$B$16)+가정!$B$16*A25/가정!$B$15)</f>
        <v/>
      </c>
      <c r="C25" s="25">
        <f>B25-((C5-C6)*((1-가정!$B$17)+가정!$B$17*A25/가정!$B$15))</f>
        <v/>
      </c>
      <c r="D25" s="23">
        <f>C25/B25</f>
        <v/>
      </c>
      <c r="E25" s="25">
        <f>C25*(1-C8)</f>
        <v/>
      </c>
    </row>
    <row r="27" ht="28" customHeight="1">
      <c r="A27" s="2" t="inlineStr">
        <is>
          <t>원/달러가 1,200원으로 돌아가면 NOPAT은 현재 환율 대비 21% 줄어듭니다. 이 회사에 대한 투자는 상당 부분 원화 약세가 유지된다는 데 대한 투자입니다. 2026년 6월 1,529.5원에서 9월 1,358.5원까지 3개월 만에 11% 절상되었습니다.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보수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FY2025 실적.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가정!$B$25+(가정!$B$26-가정!$B$25)*(1-1)/(가정!$B$43-1)</f>
        <v/>
      </c>
      <c r="C5" s="26">
        <f>기준연도!$B$9*(1+B5)</f>
        <v/>
      </c>
      <c r="D5" s="23">
        <f>B5/가정!$B$27</f>
        <v/>
      </c>
      <c r="E5" s="25">
        <f>C5*D5</f>
        <v/>
      </c>
      <c r="F5" s="25">
        <f>C5-E5</f>
        <v/>
      </c>
      <c r="G5" s="29">
        <f>1/(1+가정!$B$28)^1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가정!$B$25+(가정!$B$26-가정!$B$25)*(2-1)/(가정!$B$43-1)</f>
        <v/>
      </c>
      <c r="C6" s="25">
        <f>C5*(1+B6)</f>
        <v/>
      </c>
      <c r="D6" s="23">
        <f>B6/가정!$B$27</f>
        <v/>
      </c>
      <c r="E6" s="25">
        <f>C6*D6</f>
        <v/>
      </c>
      <c r="F6" s="25">
        <f>C6-E6</f>
        <v/>
      </c>
      <c r="G6" s="29">
        <f>1/(1+가정!$B$28)^2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가정!$B$25+(가정!$B$26-가정!$B$25)*(3-1)/(가정!$B$43-1)</f>
        <v/>
      </c>
      <c r="C7" s="25">
        <f>C6*(1+B7)</f>
        <v/>
      </c>
      <c r="D7" s="23">
        <f>B7/가정!$B$27</f>
        <v/>
      </c>
      <c r="E7" s="25">
        <f>C7*D7</f>
        <v/>
      </c>
      <c r="F7" s="25">
        <f>C7-E7</f>
        <v/>
      </c>
      <c r="G7" s="29">
        <f>1/(1+가정!$B$28)^3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가정!$B$25+(가정!$B$26-가정!$B$25)*(4-1)/(가정!$B$43-1)</f>
        <v/>
      </c>
      <c r="C8" s="25">
        <f>C7*(1+B8)</f>
        <v/>
      </c>
      <c r="D8" s="23">
        <f>B8/가정!$B$27</f>
        <v/>
      </c>
      <c r="E8" s="25">
        <f>C8*D8</f>
        <v/>
      </c>
      <c r="F8" s="25">
        <f>C8-E8</f>
        <v/>
      </c>
      <c r="G8" s="29">
        <f>1/(1+가정!$B$28)^4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가정!$B$25+(가정!$B$26-가정!$B$25)*(5-1)/(가정!$B$43-1)</f>
        <v/>
      </c>
      <c r="C9" s="25">
        <f>C8*(1+B9)</f>
        <v/>
      </c>
      <c r="D9" s="23">
        <f>B9/가정!$B$27</f>
        <v/>
      </c>
      <c r="E9" s="25">
        <f>C9*D9</f>
        <v/>
      </c>
      <c r="F9" s="25">
        <f>C9-E9</f>
        <v/>
      </c>
      <c r="G9" s="29">
        <f>1/(1+가정!$B$28)^5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가정!$B$25+(가정!$B$26-가정!$B$25)*(6-1)/(가정!$B$43-1)</f>
        <v/>
      </c>
      <c r="C10" s="25">
        <f>C9*(1+B10)</f>
        <v/>
      </c>
      <c r="D10" s="23">
        <f>B10/가정!$B$27</f>
        <v/>
      </c>
      <c r="E10" s="25">
        <f>C10*D10</f>
        <v/>
      </c>
      <c r="F10" s="25">
        <f>C10-E10</f>
        <v/>
      </c>
      <c r="G10" s="29">
        <f>1/(1+가정!$B$28)^6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가정!$B$25+(가정!$B$26-가정!$B$25)*(7-1)/(가정!$B$43-1)</f>
        <v/>
      </c>
      <c r="C11" s="25">
        <f>C10*(1+B11)</f>
        <v/>
      </c>
      <c r="D11" s="23">
        <f>B11/가정!$B$27</f>
        <v/>
      </c>
      <c r="E11" s="25">
        <f>C11*D11</f>
        <v/>
      </c>
      <c r="F11" s="25">
        <f>C11-E11</f>
        <v/>
      </c>
      <c r="G11" s="29">
        <f>1/(1+가정!$B$28)^7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가정!$B$25+(가정!$B$26-가정!$B$25)*(8-1)/(가정!$B$43-1)</f>
        <v/>
      </c>
      <c r="C12" s="25">
        <f>C11*(1+B12)</f>
        <v/>
      </c>
      <c r="D12" s="23">
        <f>B12/가정!$B$27</f>
        <v/>
      </c>
      <c r="E12" s="25">
        <f>C12*D12</f>
        <v/>
      </c>
      <c r="F12" s="25">
        <f>C12-E12</f>
        <v/>
      </c>
      <c r="G12" s="29">
        <f>1/(1+가정!$B$28)^8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가정!$B$25+(가정!$B$26-가정!$B$25)*(9-1)/(가정!$B$43-1)</f>
        <v/>
      </c>
      <c r="C13" s="25">
        <f>C12*(1+B13)</f>
        <v/>
      </c>
      <c r="D13" s="23">
        <f>B13/가정!$B$27</f>
        <v/>
      </c>
      <c r="E13" s="25">
        <f>C13*D13</f>
        <v/>
      </c>
      <c r="F13" s="25">
        <f>C13-E13</f>
        <v/>
      </c>
      <c r="G13" s="29">
        <f>1/(1+가정!$B$28)^9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가정!$B$25+(가정!$B$26-가정!$B$25)*(10-1)/(가정!$B$43-1)</f>
        <v/>
      </c>
      <c r="C14" s="25">
        <f>C13*(1+B14)</f>
        <v/>
      </c>
      <c r="D14" s="23">
        <f>B14/가정!$B$27</f>
        <v/>
      </c>
      <c r="E14" s="25">
        <f>C14*D14</f>
        <v/>
      </c>
      <c r="F14" s="25">
        <f>C14-E14</f>
        <v/>
      </c>
      <c r="G14" s="29">
        <f>1/(1+가정!$B$28)^10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C14*(1+가정!$B$29)</f>
        <v/>
      </c>
    </row>
    <row r="19">
      <c r="A19" s="4" t="inlineStr">
        <is>
          <t>터미널 재투자율 = 영구성장률 ÷ 증분 ROIC</t>
        </is>
      </c>
      <c r="B19" s="23">
        <f>가정!$B$29/가정!$B$27</f>
        <v/>
      </c>
    </row>
    <row r="20">
      <c r="A20" s="4" t="inlineStr">
        <is>
          <t>터미널 가치 = 11년차 FCF ÷ (할인율 − 영구성장률)</t>
        </is>
      </c>
      <c r="B20" s="25">
        <f>B18*(1-B19)/(가정!$B$28-가정!$B$29)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(DCF_보수_reported!$B$28-B30)/B30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C14/기준연도!$B$9*원자료!K$5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보수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상반기 연율화.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가정!$B$25+(가정!$B$26-가정!$B$25)*(1-1)/(가정!$B$43-1)</f>
        <v/>
      </c>
      <c r="C5" s="26">
        <f>기준연도!$C$9*(1+B5)</f>
        <v/>
      </c>
      <c r="D5" s="23">
        <f>B5/가정!$B$27</f>
        <v/>
      </c>
      <c r="E5" s="25">
        <f>C5*D5</f>
        <v/>
      </c>
      <c r="F5" s="25">
        <f>C5-E5</f>
        <v/>
      </c>
      <c r="G5" s="29">
        <f>1/(1+가정!$B$28)^1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가정!$B$25+(가정!$B$26-가정!$B$25)*(2-1)/(가정!$B$43-1)</f>
        <v/>
      </c>
      <c r="C6" s="25">
        <f>C5*(1+B6)</f>
        <v/>
      </c>
      <c r="D6" s="23">
        <f>B6/가정!$B$27</f>
        <v/>
      </c>
      <c r="E6" s="25">
        <f>C6*D6</f>
        <v/>
      </c>
      <c r="F6" s="25">
        <f>C6-E6</f>
        <v/>
      </c>
      <c r="G6" s="29">
        <f>1/(1+가정!$B$28)^2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가정!$B$25+(가정!$B$26-가정!$B$25)*(3-1)/(가정!$B$43-1)</f>
        <v/>
      </c>
      <c r="C7" s="25">
        <f>C6*(1+B7)</f>
        <v/>
      </c>
      <c r="D7" s="23">
        <f>B7/가정!$B$27</f>
        <v/>
      </c>
      <c r="E7" s="25">
        <f>C7*D7</f>
        <v/>
      </c>
      <c r="F7" s="25">
        <f>C7-E7</f>
        <v/>
      </c>
      <c r="G7" s="29">
        <f>1/(1+가정!$B$28)^3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가정!$B$25+(가정!$B$26-가정!$B$25)*(4-1)/(가정!$B$43-1)</f>
        <v/>
      </c>
      <c r="C8" s="25">
        <f>C7*(1+B8)</f>
        <v/>
      </c>
      <c r="D8" s="23">
        <f>B8/가정!$B$27</f>
        <v/>
      </c>
      <c r="E8" s="25">
        <f>C8*D8</f>
        <v/>
      </c>
      <c r="F8" s="25">
        <f>C8-E8</f>
        <v/>
      </c>
      <c r="G8" s="29">
        <f>1/(1+가정!$B$28)^4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가정!$B$25+(가정!$B$26-가정!$B$25)*(5-1)/(가정!$B$43-1)</f>
        <v/>
      </c>
      <c r="C9" s="25">
        <f>C8*(1+B9)</f>
        <v/>
      </c>
      <c r="D9" s="23">
        <f>B9/가정!$B$27</f>
        <v/>
      </c>
      <c r="E9" s="25">
        <f>C9*D9</f>
        <v/>
      </c>
      <c r="F9" s="25">
        <f>C9-E9</f>
        <v/>
      </c>
      <c r="G9" s="29">
        <f>1/(1+가정!$B$28)^5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가정!$B$25+(가정!$B$26-가정!$B$25)*(6-1)/(가정!$B$43-1)</f>
        <v/>
      </c>
      <c r="C10" s="25">
        <f>C9*(1+B10)</f>
        <v/>
      </c>
      <c r="D10" s="23">
        <f>B10/가정!$B$27</f>
        <v/>
      </c>
      <c r="E10" s="25">
        <f>C10*D10</f>
        <v/>
      </c>
      <c r="F10" s="25">
        <f>C10-E10</f>
        <v/>
      </c>
      <c r="G10" s="29">
        <f>1/(1+가정!$B$28)^6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가정!$B$25+(가정!$B$26-가정!$B$25)*(7-1)/(가정!$B$43-1)</f>
        <v/>
      </c>
      <c r="C11" s="25">
        <f>C10*(1+B11)</f>
        <v/>
      </c>
      <c r="D11" s="23">
        <f>B11/가정!$B$27</f>
        <v/>
      </c>
      <c r="E11" s="25">
        <f>C11*D11</f>
        <v/>
      </c>
      <c r="F11" s="25">
        <f>C11-E11</f>
        <v/>
      </c>
      <c r="G11" s="29">
        <f>1/(1+가정!$B$28)^7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가정!$B$25+(가정!$B$26-가정!$B$25)*(8-1)/(가정!$B$43-1)</f>
        <v/>
      </c>
      <c r="C12" s="25">
        <f>C11*(1+B12)</f>
        <v/>
      </c>
      <c r="D12" s="23">
        <f>B12/가정!$B$27</f>
        <v/>
      </c>
      <c r="E12" s="25">
        <f>C12*D12</f>
        <v/>
      </c>
      <c r="F12" s="25">
        <f>C12-E12</f>
        <v/>
      </c>
      <c r="G12" s="29">
        <f>1/(1+가정!$B$28)^8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가정!$B$25+(가정!$B$26-가정!$B$25)*(9-1)/(가정!$B$43-1)</f>
        <v/>
      </c>
      <c r="C13" s="25">
        <f>C12*(1+B13)</f>
        <v/>
      </c>
      <c r="D13" s="23">
        <f>B13/가정!$B$27</f>
        <v/>
      </c>
      <c r="E13" s="25">
        <f>C13*D13</f>
        <v/>
      </c>
      <c r="F13" s="25">
        <f>C13-E13</f>
        <v/>
      </c>
      <c r="G13" s="29">
        <f>1/(1+가정!$B$28)^9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가정!$B$25+(가정!$B$26-가정!$B$25)*(10-1)/(가정!$B$43-1)</f>
        <v/>
      </c>
      <c r="C14" s="25">
        <f>C13*(1+B14)</f>
        <v/>
      </c>
      <c r="D14" s="23">
        <f>B14/가정!$B$27</f>
        <v/>
      </c>
      <c r="E14" s="25">
        <f>C14*D14</f>
        <v/>
      </c>
      <c r="F14" s="25">
        <f>C14-E14</f>
        <v/>
      </c>
      <c r="G14" s="29">
        <f>1/(1+가정!$B$28)^10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C14*(1+가정!$B$29)</f>
        <v/>
      </c>
    </row>
    <row r="19">
      <c r="A19" s="4" t="inlineStr">
        <is>
          <t>터미널 재투자율 = 영구성장률 ÷ 증분 ROIC</t>
        </is>
      </c>
      <c r="B19" s="23">
        <f>가정!$B$29/가정!$B$27</f>
        <v/>
      </c>
    </row>
    <row r="20">
      <c r="A20" s="4" t="inlineStr">
        <is>
          <t>터미널 가치 = 11년차 FCF ÷ (할인율 − 영구성장률)</t>
        </is>
      </c>
      <c r="B20" s="25">
        <f>B18*(1-B19)/(가정!$B$28-가정!$B$29)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(DCF_보수_run!$B$28-B30)/B30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C14/기준연도!$C$9*원자료!K$5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보수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연율화 · 현재 환율.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가정!$B$25+(가정!$B$26-가정!$B$25)*(1-1)/(가정!$B$43-1)</f>
        <v/>
      </c>
      <c r="C5" s="26">
        <f>기준연도!$D$9*(1+B5)</f>
        <v/>
      </c>
      <c r="D5" s="23">
        <f>B5/가정!$B$27</f>
        <v/>
      </c>
      <c r="E5" s="25">
        <f>C5*D5</f>
        <v/>
      </c>
      <c r="F5" s="25">
        <f>C5-E5</f>
        <v/>
      </c>
      <c r="G5" s="29">
        <f>1/(1+가정!$B$28)^1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가정!$B$25+(가정!$B$26-가정!$B$25)*(2-1)/(가정!$B$43-1)</f>
        <v/>
      </c>
      <c r="C6" s="25">
        <f>C5*(1+B6)</f>
        <v/>
      </c>
      <c r="D6" s="23">
        <f>B6/가정!$B$27</f>
        <v/>
      </c>
      <c r="E6" s="25">
        <f>C6*D6</f>
        <v/>
      </c>
      <c r="F6" s="25">
        <f>C6-E6</f>
        <v/>
      </c>
      <c r="G6" s="29">
        <f>1/(1+가정!$B$28)^2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가정!$B$25+(가정!$B$26-가정!$B$25)*(3-1)/(가정!$B$43-1)</f>
        <v/>
      </c>
      <c r="C7" s="25">
        <f>C6*(1+B7)</f>
        <v/>
      </c>
      <c r="D7" s="23">
        <f>B7/가정!$B$27</f>
        <v/>
      </c>
      <c r="E7" s="25">
        <f>C7*D7</f>
        <v/>
      </c>
      <c r="F7" s="25">
        <f>C7-E7</f>
        <v/>
      </c>
      <c r="G7" s="29">
        <f>1/(1+가정!$B$28)^3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가정!$B$25+(가정!$B$26-가정!$B$25)*(4-1)/(가정!$B$43-1)</f>
        <v/>
      </c>
      <c r="C8" s="25">
        <f>C7*(1+B8)</f>
        <v/>
      </c>
      <c r="D8" s="23">
        <f>B8/가정!$B$27</f>
        <v/>
      </c>
      <c r="E8" s="25">
        <f>C8*D8</f>
        <v/>
      </c>
      <c r="F8" s="25">
        <f>C8-E8</f>
        <v/>
      </c>
      <c r="G8" s="29">
        <f>1/(1+가정!$B$28)^4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가정!$B$25+(가정!$B$26-가정!$B$25)*(5-1)/(가정!$B$43-1)</f>
        <v/>
      </c>
      <c r="C9" s="25">
        <f>C8*(1+B9)</f>
        <v/>
      </c>
      <c r="D9" s="23">
        <f>B9/가정!$B$27</f>
        <v/>
      </c>
      <c r="E9" s="25">
        <f>C9*D9</f>
        <v/>
      </c>
      <c r="F9" s="25">
        <f>C9-E9</f>
        <v/>
      </c>
      <c r="G9" s="29">
        <f>1/(1+가정!$B$28)^5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가정!$B$25+(가정!$B$26-가정!$B$25)*(6-1)/(가정!$B$43-1)</f>
        <v/>
      </c>
      <c r="C10" s="25">
        <f>C9*(1+B10)</f>
        <v/>
      </c>
      <c r="D10" s="23">
        <f>B10/가정!$B$27</f>
        <v/>
      </c>
      <c r="E10" s="25">
        <f>C10*D10</f>
        <v/>
      </c>
      <c r="F10" s="25">
        <f>C10-E10</f>
        <v/>
      </c>
      <c r="G10" s="29">
        <f>1/(1+가정!$B$28)^6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가정!$B$25+(가정!$B$26-가정!$B$25)*(7-1)/(가정!$B$43-1)</f>
        <v/>
      </c>
      <c r="C11" s="25">
        <f>C10*(1+B11)</f>
        <v/>
      </c>
      <c r="D11" s="23">
        <f>B11/가정!$B$27</f>
        <v/>
      </c>
      <c r="E11" s="25">
        <f>C11*D11</f>
        <v/>
      </c>
      <c r="F11" s="25">
        <f>C11-E11</f>
        <v/>
      </c>
      <c r="G11" s="29">
        <f>1/(1+가정!$B$28)^7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가정!$B$25+(가정!$B$26-가정!$B$25)*(8-1)/(가정!$B$43-1)</f>
        <v/>
      </c>
      <c r="C12" s="25">
        <f>C11*(1+B12)</f>
        <v/>
      </c>
      <c r="D12" s="23">
        <f>B12/가정!$B$27</f>
        <v/>
      </c>
      <c r="E12" s="25">
        <f>C12*D12</f>
        <v/>
      </c>
      <c r="F12" s="25">
        <f>C12-E12</f>
        <v/>
      </c>
      <c r="G12" s="29">
        <f>1/(1+가정!$B$28)^8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가정!$B$25+(가정!$B$26-가정!$B$25)*(9-1)/(가정!$B$43-1)</f>
        <v/>
      </c>
      <c r="C13" s="25">
        <f>C12*(1+B13)</f>
        <v/>
      </c>
      <c r="D13" s="23">
        <f>B13/가정!$B$27</f>
        <v/>
      </c>
      <c r="E13" s="25">
        <f>C13*D13</f>
        <v/>
      </c>
      <c r="F13" s="25">
        <f>C13-E13</f>
        <v/>
      </c>
      <c r="G13" s="29">
        <f>1/(1+가정!$B$28)^9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가정!$B$25+(가정!$B$26-가정!$B$25)*(10-1)/(가정!$B$43-1)</f>
        <v/>
      </c>
      <c r="C14" s="25">
        <f>C13*(1+B14)</f>
        <v/>
      </c>
      <c r="D14" s="23">
        <f>B14/가정!$B$27</f>
        <v/>
      </c>
      <c r="E14" s="25">
        <f>C14*D14</f>
        <v/>
      </c>
      <c r="F14" s="25">
        <f>C14-E14</f>
        <v/>
      </c>
      <c r="G14" s="29">
        <f>1/(1+가정!$B$28)^10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C14*(1+가정!$B$29)</f>
        <v/>
      </c>
    </row>
    <row r="19">
      <c r="A19" s="4" t="inlineStr">
        <is>
          <t>터미널 재투자율 = 영구성장률 ÷ 증분 ROIC</t>
        </is>
      </c>
      <c r="B19" s="23">
        <f>가정!$B$29/가정!$B$27</f>
        <v/>
      </c>
    </row>
    <row r="20">
      <c r="A20" s="4" t="inlineStr">
        <is>
          <t>터미널 가치 = 11년차 FCF ÷ (할인율 − 영구성장률)</t>
        </is>
      </c>
      <c r="B20" s="25">
        <f>B18*(1-B19)/(가정!$B$28-가정!$B$29)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(DCF_보수!$B$28-B30)/B30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C14/기준연도!$D$9*원자료!K$5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중립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FY2025 실적.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가정!$B$31+(가정!$B$32-가정!$B$31)*(1-1)/(가정!$B$43-1)</f>
        <v/>
      </c>
      <c r="C5" s="26">
        <f>기준연도!$B$9*(1+B5)</f>
        <v/>
      </c>
      <c r="D5" s="23">
        <f>B5/가정!$B$33</f>
        <v/>
      </c>
      <c r="E5" s="25">
        <f>C5*D5</f>
        <v/>
      </c>
      <c r="F5" s="25">
        <f>C5-E5</f>
        <v/>
      </c>
      <c r="G5" s="29">
        <f>1/(1+가정!$B$34)^1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가정!$B$31+(가정!$B$32-가정!$B$31)*(2-1)/(가정!$B$43-1)</f>
        <v/>
      </c>
      <c r="C6" s="25">
        <f>C5*(1+B6)</f>
        <v/>
      </c>
      <c r="D6" s="23">
        <f>B6/가정!$B$33</f>
        <v/>
      </c>
      <c r="E6" s="25">
        <f>C6*D6</f>
        <v/>
      </c>
      <c r="F6" s="25">
        <f>C6-E6</f>
        <v/>
      </c>
      <c r="G6" s="29">
        <f>1/(1+가정!$B$34)^2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가정!$B$31+(가정!$B$32-가정!$B$31)*(3-1)/(가정!$B$43-1)</f>
        <v/>
      </c>
      <c r="C7" s="25">
        <f>C6*(1+B7)</f>
        <v/>
      </c>
      <c r="D7" s="23">
        <f>B7/가정!$B$33</f>
        <v/>
      </c>
      <c r="E7" s="25">
        <f>C7*D7</f>
        <v/>
      </c>
      <c r="F7" s="25">
        <f>C7-E7</f>
        <v/>
      </c>
      <c r="G7" s="29">
        <f>1/(1+가정!$B$34)^3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가정!$B$31+(가정!$B$32-가정!$B$31)*(4-1)/(가정!$B$43-1)</f>
        <v/>
      </c>
      <c r="C8" s="25">
        <f>C7*(1+B8)</f>
        <v/>
      </c>
      <c r="D8" s="23">
        <f>B8/가정!$B$33</f>
        <v/>
      </c>
      <c r="E8" s="25">
        <f>C8*D8</f>
        <v/>
      </c>
      <c r="F8" s="25">
        <f>C8-E8</f>
        <v/>
      </c>
      <c r="G8" s="29">
        <f>1/(1+가정!$B$34)^4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가정!$B$31+(가정!$B$32-가정!$B$31)*(5-1)/(가정!$B$43-1)</f>
        <v/>
      </c>
      <c r="C9" s="25">
        <f>C8*(1+B9)</f>
        <v/>
      </c>
      <c r="D9" s="23">
        <f>B9/가정!$B$33</f>
        <v/>
      </c>
      <c r="E9" s="25">
        <f>C9*D9</f>
        <v/>
      </c>
      <c r="F9" s="25">
        <f>C9-E9</f>
        <v/>
      </c>
      <c r="G9" s="29">
        <f>1/(1+가정!$B$34)^5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가정!$B$31+(가정!$B$32-가정!$B$31)*(6-1)/(가정!$B$43-1)</f>
        <v/>
      </c>
      <c r="C10" s="25">
        <f>C9*(1+B10)</f>
        <v/>
      </c>
      <c r="D10" s="23">
        <f>B10/가정!$B$33</f>
        <v/>
      </c>
      <c r="E10" s="25">
        <f>C10*D10</f>
        <v/>
      </c>
      <c r="F10" s="25">
        <f>C10-E10</f>
        <v/>
      </c>
      <c r="G10" s="29">
        <f>1/(1+가정!$B$34)^6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가정!$B$31+(가정!$B$32-가정!$B$31)*(7-1)/(가정!$B$43-1)</f>
        <v/>
      </c>
      <c r="C11" s="25">
        <f>C10*(1+B11)</f>
        <v/>
      </c>
      <c r="D11" s="23">
        <f>B11/가정!$B$33</f>
        <v/>
      </c>
      <c r="E11" s="25">
        <f>C11*D11</f>
        <v/>
      </c>
      <c r="F11" s="25">
        <f>C11-E11</f>
        <v/>
      </c>
      <c r="G11" s="29">
        <f>1/(1+가정!$B$34)^7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가정!$B$31+(가정!$B$32-가정!$B$31)*(8-1)/(가정!$B$43-1)</f>
        <v/>
      </c>
      <c r="C12" s="25">
        <f>C11*(1+B12)</f>
        <v/>
      </c>
      <c r="D12" s="23">
        <f>B12/가정!$B$33</f>
        <v/>
      </c>
      <c r="E12" s="25">
        <f>C12*D12</f>
        <v/>
      </c>
      <c r="F12" s="25">
        <f>C12-E12</f>
        <v/>
      </c>
      <c r="G12" s="29">
        <f>1/(1+가정!$B$34)^8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가정!$B$31+(가정!$B$32-가정!$B$31)*(9-1)/(가정!$B$43-1)</f>
        <v/>
      </c>
      <c r="C13" s="25">
        <f>C12*(1+B13)</f>
        <v/>
      </c>
      <c r="D13" s="23">
        <f>B13/가정!$B$33</f>
        <v/>
      </c>
      <c r="E13" s="25">
        <f>C13*D13</f>
        <v/>
      </c>
      <c r="F13" s="25">
        <f>C13-E13</f>
        <v/>
      </c>
      <c r="G13" s="29">
        <f>1/(1+가정!$B$34)^9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가정!$B$31+(가정!$B$32-가정!$B$31)*(10-1)/(가정!$B$43-1)</f>
        <v/>
      </c>
      <c r="C14" s="25">
        <f>C13*(1+B14)</f>
        <v/>
      </c>
      <c r="D14" s="23">
        <f>B14/가정!$B$33</f>
        <v/>
      </c>
      <c r="E14" s="25">
        <f>C14*D14</f>
        <v/>
      </c>
      <c r="F14" s="25">
        <f>C14-E14</f>
        <v/>
      </c>
      <c r="G14" s="29">
        <f>1/(1+가정!$B$34)^10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C14*(1+가정!$B$35)</f>
        <v/>
      </c>
    </row>
    <row r="19">
      <c r="A19" s="4" t="inlineStr">
        <is>
          <t>터미널 재투자율 = 영구성장률 ÷ 증분 ROIC</t>
        </is>
      </c>
      <c r="B19" s="23">
        <f>가정!$B$35/가정!$B$33</f>
        <v/>
      </c>
    </row>
    <row r="20">
      <c r="A20" s="4" t="inlineStr">
        <is>
          <t>터미널 가치 = 11년차 FCF ÷ (할인율 − 영구성장률)</t>
        </is>
      </c>
      <c r="B20" s="25">
        <f>B18*(1-B19)/(가정!$B$34-가정!$B$35)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(DCF_중립_reported!$B$28-B30)/B30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C14/기준연도!$B$9*원자료!K$5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중립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상반기 연율화.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가정!$B$31+(가정!$B$32-가정!$B$31)*(1-1)/(가정!$B$43-1)</f>
        <v/>
      </c>
      <c r="C5" s="26">
        <f>기준연도!$C$9*(1+B5)</f>
        <v/>
      </c>
      <c r="D5" s="23">
        <f>B5/가정!$B$33</f>
        <v/>
      </c>
      <c r="E5" s="25">
        <f>C5*D5</f>
        <v/>
      </c>
      <c r="F5" s="25">
        <f>C5-E5</f>
        <v/>
      </c>
      <c r="G5" s="29">
        <f>1/(1+가정!$B$34)^1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가정!$B$31+(가정!$B$32-가정!$B$31)*(2-1)/(가정!$B$43-1)</f>
        <v/>
      </c>
      <c r="C6" s="25">
        <f>C5*(1+B6)</f>
        <v/>
      </c>
      <c r="D6" s="23">
        <f>B6/가정!$B$33</f>
        <v/>
      </c>
      <c r="E6" s="25">
        <f>C6*D6</f>
        <v/>
      </c>
      <c r="F6" s="25">
        <f>C6-E6</f>
        <v/>
      </c>
      <c r="G6" s="29">
        <f>1/(1+가정!$B$34)^2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가정!$B$31+(가정!$B$32-가정!$B$31)*(3-1)/(가정!$B$43-1)</f>
        <v/>
      </c>
      <c r="C7" s="25">
        <f>C6*(1+B7)</f>
        <v/>
      </c>
      <c r="D7" s="23">
        <f>B7/가정!$B$33</f>
        <v/>
      </c>
      <c r="E7" s="25">
        <f>C7*D7</f>
        <v/>
      </c>
      <c r="F7" s="25">
        <f>C7-E7</f>
        <v/>
      </c>
      <c r="G7" s="29">
        <f>1/(1+가정!$B$34)^3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가정!$B$31+(가정!$B$32-가정!$B$31)*(4-1)/(가정!$B$43-1)</f>
        <v/>
      </c>
      <c r="C8" s="25">
        <f>C7*(1+B8)</f>
        <v/>
      </c>
      <c r="D8" s="23">
        <f>B8/가정!$B$33</f>
        <v/>
      </c>
      <c r="E8" s="25">
        <f>C8*D8</f>
        <v/>
      </c>
      <c r="F8" s="25">
        <f>C8-E8</f>
        <v/>
      </c>
      <c r="G8" s="29">
        <f>1/(1+가정!$B$34)^4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가정!$B$31+(가정!$B$32-가정!$B$31)*(5-1)/(가정!$B$43-1)</f>
        <v/>
      </c>
      <c r="C9" s="25">
        <f>C8*(1+B9)</f>
        <v/>
      </c>
      <c r="D9" s="23">
        <f>B9/가정!$B$33</f>
        <v/>
      </c>
      <c r="E9" s="25">
        <f>C9*D9</f>
        <v/>
      </c>
      <c r="F9" s="25">
        <f>C9-E9</f>
        <v/>
      </c>
      <c r="G9" s="29">
        <f>1/(1+가정!$B$34)^5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가정!$B$31+(가정!$B$32-가정!$B$31)*(6-1)/(가정!$B$43-1)</f>
        <v/>
      </c>
      <c r="C10" s="25">
        <f>C9*(1+B10)</f>
        <v/>
      </c>
      <c r="D10" s="23">
        <f>B10/가정!$B$33</f>
        <v/>
      </c>
      <c r="E10" s="25">
        <f>C10*D10</f>
        <v/>
      </c>
      <c r="F10" s="25">
        <f>C10-E10</f>
        <v/>
      </c>
      <c r="G10" s="29">
        <f>1/(1+가정!$B$34)^6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가정!$B$31+(가정!$B$32-가정!$B$31)*(7-1)/(가정!$B$43-1)</f>
        <v/>
      </c>
      <c r="C11" s="25">
        <f>C10*(1+B11)</f>
        <v/>
      </c>
      <c r="D11" s="23">
        <f>B11/가정!$B$33</f>
        <v/>
      </c>
      <c r="E11" s="25">
        <f>C11*D11</f>
        <v/>
      </c>
      <c r="F11" s="25">
        <f>C11-E11</f>
        <v/>
      </c>
      <c r="G11" s="29">
        <f>1/(1+가정!$B$34)^7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가정!$B$31+(가정!$B$32-가정!$B$31)*(8-1)/(가정!$B$43-1)</f>
        <v/>
      </c>
      <c r="C12" s="25">
        <f>C11*(1+B12)</f>
        <v/>
      </c>
      <c r="D12" s="23">
        <f>B12/가정!$B$33</f>
        <v/>
      </c>
      <c r="E12" s="25">
        <f>C12*D12</f>
        <v/>
      </c>
      <c r="F12" s="25">
        <f>C12-E12</f>
        <v/>
      </c>
      <c r="G12" s="29">
        <f>1/(1+가정!$B$34)^8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가정!$B$31+(가정!$B$32-가정!$B$31)*(9-1)/(가정!$B$43-1)</f>
        <v/>
      </c>
      <c r="C13" s="25">
        <f>C12*(1+B13)</f>
        <v/>
      </c>
      <c r="D13" s="23">
        <f>B13/가정!$B$33</f>
        <v/>
      </c>
      <c r="E13" s="25">
        <f>C13*D13</f>
        <v/>
      </c>
      <c r="F13" s="25">
        <f>C13-E13</f>
        <v/>
      </c>
      <c r="G13" s="29">
        <f>1/(1+가정!$B$34)^9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가정!$B$31+(가정!$B$32-가정!$B$31)*(10-1)/(가정!$B$43-1)</f>
        <v/>
      </c>
      <c r="C14" s="25">
        <f>C13*(1+B14)</f>
        <v/>
      </c>
      <c r="D14" s="23">
        <f>B14/가정!$B$33</f>
        <v/>
      </c>
      <c r="E14" s="25">
        <f>C14*D14</f>
        <v/>
      </c>
      <c r="F14" s="25">
        <f>C14-E14</f>
        <v/>
      </c>
      <c r="G14" s="29">
        <f>1/(1+가정!$B$34)^10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C14*(1+가정!$B$35)</f>
        <v/>
      </c>
    </row>
    <row r="19">
      <c r="A19" s="4" t="inlineStr">
        <is>
          <t>터미널 재투자율 = 영구성장률 ÷ 증분 ROIC</t>
        </is>
      </c>
      <c r="B19" s="23">
        <f>가정!$B$35/가정!$B$33</f>
        <v/>
      </c>
    </row>
    <row r="20">
      <c r="A20" s="4" t="inlineStr">
        <is>
          <t>터미널 가치 = 11년차 FCF ÷ (할인율 − 영구성장률)</t>
        </is>
      </c>
      <c r="B20" s="25">
        <f>B18*(1-B19)/(가정!$B$34-가정!$B$35)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(DCF_중립_run!$B$28-B30)/B30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C14/기준연도!$C$9*원자료!K$5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중립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연율화 · 현재 환율.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가정!$B$31+(가정!$B$32-가정!$B$31)*(1-1)/(가정!$B$43-1)</f>
        <v/>
      </c>
      <c r="C5" s="26">
        <f>기준연도!$D$9*(1+B5)</f>
        <v/>
      </c>
      <c r="D5" s="23">
        <f>B5/가정!$B$33</f>
        <v/>
      </c>
      <c r="E5" s="25">
        <f>C5*D5</f>
        <v/>
      </c>
      <c r="F5" s="25">
        <f>C5-E5</f>
        <v/>
      </c>
      <c r="G5" s="29">
        <f>1/(1+가정!$B$34)^1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가정!$B$31+(가정!$B$32-가정!$B$31)*(2-1)/(가정!$B$43-1)</f>
        <v/>
      </c>
      <c r="C6" s="25">
        <f>C5*(1+B6)</f>
        <v/>
      </c>
      <c r="D6" s="23">
        <f>B6/가정!$B$33</f>
        <v/>
      </c>
      <c r="E6" s="25">
        <f>C6*D6</f>
        <v/>
      </c>
      <c r="F6" s="25">
        <f>C6-E6</f>
        <v/>
      </c>
      <c r="G6" s="29">
        <f>1/(1+가정!$B$34)^2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가정!$B$31+(가정!$B$32-가정!$B$31)*(3-1)/(가정!$B$43-1)</f>
        <v/>
      </c>
      <c r="C7" s="25">
        <f>C6*(1+B7)</f>
        <v/>
      </c>
      <c r="D7" s="23">
        <f>B7/가정!$B$33</f>
        <v/>
      </c>
      <c r="E7" s="25">
        <f>C7*D7</f>
        <v/>
      </c>
      <c r="F7" s="25">
        <f>C7-E7</f>
        <v/>
      </c>
      <c r="G7" s="29">
        <f>1/(1+가정!$B$34)^3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가정!$B$31+(가정!$B$32-가정!$B$31)*(4-1)/(가정!$B$43-1)</f>
        <v/>
      </c>
      <c r="C8" s="25">
        <f>C7*(1+B8)</f>
        <v/>
      </c>
      <c r="D8" s="23">
        <f>B8/가정!$B$33</f>
        <v/>
      </c>
      <c r="E8" s="25">
        <f>C8*D8</f>
        <v/>
      </c>
      <c r="F8" s="25">
        <f>C8-E8</f>
        <v/>
      </c>
      <c r="G8" s="29">
        <f>1/(1+가정!$B$34)^4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가정!$B$31+(가정!$B$32-가정!$B$31)*(5-1)/(가정!$B$43-1)</f>
        <v/>
      </c>
      <c r="C9" s="25">
        <f>C8*(1+B9)</f>
        <v/>
      </c>
      <c r="D9" s="23">
        <f>B9/가정!$B$33</f>
        <v/>
      </c>
      <c r="E9" s="25">
        <f>C9*D9</f>
        <v/>
      </c>
      <c r="F9" s="25">
        <f>C9-E9</f>
        <v/>
      </c>
      <c r="G9" s="29">
        <f>1/(1+가정!$B$34)^5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가정!$B$31+(가정!$B$32-가정!$B$31)*(6-1)/(가정!$B$43-1)</f>
        <v/>
      </c>
      <c r="C10" s="25">
        <f>C9*(1+B10)</f>
        <v/>
      </c>
      <c r="D10" s="23">
        <f>B10/가정!$B$33</f>
        <v/>
      </c>
      <c r="E10" s="25">
        <f>C10*D10</f>
        <v/>
      </c>
      <c r="F10" s="25">
        <f>C10-E10</f>
        <v/>
      </c>
      <c r="G10" s="29">
        <f>1/(1+가정!$B$34)^6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가정!$B$31+(가정!$B$32-가정!$B$31)*(7-1)/(가정!$B$43-1)</f>
        <v/>
      </c>
      <c r="C11" s="25">
        <f>C10*(1+B11)</f>
        <v/>
      </c>
      <c r="D11" s="23">
        <f>B11/가정!$B$33</f>
        <v/>
      </c>
      <c r="E11" s="25">
        <f>C11*D11</f>
        <v/>
      </c>
      <c r="F11" s="25">
        <f>C11-E11</f>
        <v/>
      </c>
      <c r="G11" s="29">
        <f>1/(1+가정!$B$34)^7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가정!$B$31+(가정!$B$32-가정!$B$31)*(8-1)/(가정!$B$43-1)</f>
        <v/>
      </c>
      <c r="C12" s="25">
        <f>C11*(1+B12)</f>
        <v/>
      </c>
      <c r="D12" s="23">
        <f>B12/가정!$B$33</f>
        <v/>
      </c>
      <c r="E12" s="25">
        <f>C12*D12</f>
        <v/>
      </c>
      <c r="F12" s="25">
        <f>C12-E12</f>
        <v/>
      </c>
      <c r="G12" s="29">
        <f>1/(1+가정!$B$34)^8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가정!$B$31+(가정!$B$32-가정!$B$31)*(9-1)/(가정!$B$43-1)</f>
        <v/>
      </c>
      <c r="C13" s="25">
        <f>C12*(1+B13)</f>
        <v/>
      </c>
      <c r="D13" s="23">
        <f>B13/가정!$B$33</f>
        <v/>
      </c>
      <c r="E13" s="25">
        <f>C13*D13</f>
        <v/>
      </c>
      <c r="F13" s="25">
        <f>C13-E13</f>
        <v/>
      </c>
      <c r="G13" s="29">
        <f>1/(1+가정!$B$34)^9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가정!$B$31+(가정!$B$32-가정!$B$31)*(10-1)/(가정!$B$43-1)</f>
        <v/>
      </c>
      <c r="C14" s="25">
        <f>C13*(1+B14)</f>
        <v/>
      </c>
      <c r="D14" s="23">
        <f>B14/가정!$B$33</f>
        <v/>
      </c>
      <c r="E14" s="25">
        <f>C14*D14</f>
        <v/>
      </c>
      <c r="F14" s="25">
        <f>C14-E14</f>
        <v/>
      </c>
      <c r="G14" s="29">
        <f>1/(1+가정!$B$34)^10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C14*(1+가정!$B$35)</f>
        <v/>
      </c>
    </row>
    <row r="19">
      <c r="A19" s="4" t="inlineStr">
        <is>
          <t>터미널 재투자율 = 영구성장률 ÷ 증분 ROIC</t>
        </is>
      </c>
      <c r="B19" s="23">
        <f>가정!$B$35/가정!$B$33</f>
        <v/>
      </c>
    </row>
    <row r="20">
      <c r="A20" s="4" t="inlineStr">
        <is>
          <t>터미널 가치 = 11년차 FCF ÷ (할인율 − 영구성장률)</t>
        </is>
      </c>
      <c r="B20" s="25">
        <f>B18*(1-B19)/(가정!$B$34-가정!$B$35)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(DCF_중립!$B$28-B30)/B30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C14/기준연도!$D$9*원자료!K$5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낙관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FY2025 실적.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가정!$B$37+(가정!$B$38-가정!$B$37)*(1-1)/(가정!$B$43-1)</f>
        <v/>
      </c>
      <c r="C5" s="26">
        <f>기준연도!$B$9*(1+B5)</f>
        <v/>
      </c>
      <c r="D5" s="23">
        <f>B5/가정!$B$39</f>
        <v/>
      </c>
      <c r="E5" s="25">
        <f>C5*D5</f>
        <v/>
      </c>
      <c r="F5" s="25">
        <f>C5-E5</f>
        <v/>
      </c>
      <c r="G5" s="29">
        <f>1/(1+가정!$B$40)^1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가정!$B$37+(가정!$B$38-가정!$B$37)*(2-1)/(가정!$B$43-1)</f>
        <v/>
      </c>
      <c r="C6" s="25">
        <f>C5*(1+B6)</f>
        <v/>
      </c>
      <c r="D6" s="23">
        <f>B6/가정!$B$39</f>
        <v/>
      </c>
      <c r="E6" s="25">
        <f>C6*D6</f>
        <v/>
      </c>
      <c r="F6" s="25">
        <f>C6-E6</f>
        <v/>
      </c>
      <c r="G6" s="29">
        <f>1/(1+가정!$B$40)^2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가정!$B$37+(가정!$B$38-가정!$B$37)*(3-1)/(가정!$B$43-1)</f>
        <v/>
      </c>
      <c r="C7" s="25">
        <f>C6*(1+B7)</f>
        <v/>
      </c>
      <c r="D7" s="23">
        <f>B7/가정!$B$39</f>
        <v/>
      </c>
      <c r="E7" s="25">
        <f>C7*D7</f>
        <v/>
      </c>
      <c r="F7" s="25">
        <f>C7-E7</f>
        <v/>
      </c>
      <c r="G7" s="29">
        <f>1/(1+가정!$B$40)^3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가정!$B$37+(가정!$B$38-가정!$B$37)*(4-1)/(가정!$B$43-1)</f>
        <v/>
      </c>
      <c r="C8" s="25">
        <f>C7*(1+B8)</f>
        <v/>
      </c>
      <c r="D8" s="23">
        <f>B8/가정!$B$39</f>
        <v/>
      </c>
      <c r="E8" s="25">
        <f>C8*D8</f>
        <v/>
      </c>
      <c r="F8" s="25">
        <f>C8-E8</f>
        <v/>
      </c>
      <c r="G8" s="29">
        <f>1/(1+가정!$B$40)^4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가정!$B$37+(가정!$B$38-가정!$B$37)*(5-1)/(가정!$B$43-1)</f>
        <v/>
      </c>
      <c r="C9" s="25">
        <f>C8*(1+B9)</f>
        <v/>
      </c>
      <c r="D9" s="23">
        <f>B9/가정!$B$39</f>
        <v/>
      </c>
      <c r="E9" s="25">
        <f>C9*D9</f>
        <v/>
      </c>
      <c r="F9" s="25">
        <f>C9-E9</f>
        <v/>
      </c>
      <c r="G9" s="29">
        <f>1/(1+가정!$B$40)^5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가정!$B$37+(가정!$B$38-가정!$B$37)*(6-1)/(가정!$B$43-1)</f>
        <v/>
      </c>
      <c r="C10" s="25">
        <f>C9*(1+B10)</f>
        <v/>
      </c>
      <c r="D10" s="23">
        <f>B10/가정!$B$39</f>
        <v/>
      </c>
      <c r="E10" s="25">
        <f>C10*D10</f>
        <v/>
      </c>
      <c r="F10" s="25">
        <f>C10-E10</f>
        <v/>
      </c>
      <c r="G10" s="29">
        <f>1/(1+가정!$B$40)^6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가정!$B$37+(가정!$B$38-가정!$B$37)*(7-1)/(가정!$B$43-1)</f>
        <v/>
      </c>
      <c r="C11" s="25">
        <f>C10*(1+B11)</f>
        <v/>
      </c>
      <c r="D11" s="23">
        <f>B11/가정!$B$39</f>
        <v/>
      </c>
      <c r="E11" s="25">
        <f>C11*D11</f>
        <v/>
      </c>
      <c r="F11" s="25">
        <f>C11-E11</f>
        <v/>
      </c>
      <c r="G11" s="29">
        <f>1/(1+가정!$B$40)^7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가정!$B$37+(가정!$B$38-가정!$B$37)*(8-1)/(가정!$B$43-1)</f>
        <v/>
      </c>
      <c r="C12" s="25">
        <f>C11*(1+B12)</f>
        <v/>
      </c>
      <c r="D12" s="23">
        <f>B12/가정!$B$39</f>
        <v/>
      </c>
      <c r="E12" s="25">
        <f>C12*D12</f>
        <v/>
      </c>
      <c r="F12" s="25">
        <f>C12-E12</f>
        <v/>
      </c>
      <c r="G12" s="29">
        <f>1/(1+가정!$B$40)^8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가정!$B$37+(가정!$B$38-가정!$B$37)*(9-1)/(가정!$B$43-1)</f>
        <v/>
      </c>
      <c r="C13" s="25">
        <f>C12*(1+B13)</f>
        <v/>
      </c>
      <c r="D13" s="23">
        <f>B13/가정!$B$39</f>
        <v/>
      </c>
      <c r="E13" s="25">
        <f>C13*D13</f>
        <v/>
      </c>
      <c r="F13" s="25">
        <f>C13-E13</f>
        <v/>
      </c>
      <c r="G13" s="29">
        <f>1/(1+가정!$B$40)^9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가정!$B$37+(가정!$B$38-가정!$B$37)*(10-1)/(가정!$B$43-1)</f>
        <v/>
      </c>
      <c r="C14" s="25">
        <f>C13*(1+B14)</f>
        <v/>
      </c>
      <c r="D14" s="23">
        <f>B14/가정!$B$39</f>
        <v/>
      </c>
      <c r="E14" s="25">
        <f>C14*D14</f>
        <v/>
      </c>
      <c r="F14" s="25">
        <f>C14-E14</f>
        <v/>
      </c>
      <c r="G14" s="29">
        <f>1/(1+가정!$B$40)^10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C14*(1+가정!$B$41)</f>
        <v/>
      </c>
    </row>
    <row r="19">
      <c r="A19" s="4" t="inlineStr">
        <is>
          <t>터미널 재투자율 = 영구성장률 ÷ 증분 ROIC</t>
        </is>
      </c>
      <c r="B19" s="23">
        <f>가정!$B$41/가정!$B$39</f>
        <v/>
      </c>
    </row>
    <row r="20">
      <c r="A20" s="4" t="inlineStr">
        <is>
          <t>터미널 가치 = 11년차 FCF ÷ (할인율 − 영구성장률)</t>
        </is>
      </c>
      <c r="B20" s="25">
        <f>B18*(1-B19)/(가정!$B$40-가정!$B$41)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(DCF_낙관_reported!$B$28-B30)/B30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C14/기준연도!$B$9*원자료!K$5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낙관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상반기 연율화.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가정!$B$37+(가정!$B$38-가정!$B$37)*(1-1)/(가정!$B$43-1)</f>
        <v/>
      </c>
      <c r="C5" s="26">
        <f>기준연도!$C$9*(1+B5)</f>
        <v/>
      </c>
      <c r="D5" s="23">
        <f>B5/가정!$B$39</f>
        <v/>
      </c>
      <c r="E5" s="25">
        <f>C5*D5</f>
        <v/>
      </c>
      <c r="F5" s="25">
        <f>C5-E5</f>
        <v/>
      </c>
      <c r="G5" s="29">
        <f>1/(1+가정!$B$40)^1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가정!$B$37+(가정!$B$38-가정!$B$37)*(2-1)/(가정!$B$43-1)</f>
        <v/>
      </c>
      <c r="C6" s="25">
        <f>C5*(1+B6)</f>
        <v/>
      </c>
      <c r="D6" s="23">
        <f>B6/가정!$B$39</f>
        <v/>
      </c>
      <c r="E6" s="25">
        <f>C6*D6</f>
        <v/>
      </c>
      <c r="F6" s="25">
        <f>C6-E6</f>
        <v/>
      </c>
      <c r="G6" s="29">
        <f>1/(1+가정!$B$40)^2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가정!$B$37+(가정!$B$38-가정!$B$37)*(3-1)/(가정!$B$43-1)</f>
        <v/>
      </c>
      <c r="C7" s="25">
        <f>C6*(1+B7)</f>
        <v/>
      </c>
      <c r="D7" s="23">
        <f>B7/가정!$B$39</f>
        <v/>
      </c>
      <c r="E7" s="25">
        <f>C7*D7</f>
        <v/>
      </c>
      <c r="F7" s="25">
        <f>C7-E7</f>
        <v/>
      </c>
      <c r="G7" s="29">
        <f>1/(1+가정!$B$40)^3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가정!$B$37+(가정!$B$38-가정!$B$37)*(4-1)/(가정!$B$43-1)</f>
        <v/>
      </c>
      <c r="C8" s="25">
        <f>C7*(1+B8)</f>
        <v/>
      </c>
      <c r="D8" s="23">
        <f>B8/가정!$B$39</f>
        <v/>
      </c>
      <c r="E8" s="25">
        <f>C8*D8</f>
        <v/>
      </c>
      <c r="F8" s="25">
        <f>C8-E8</f>
        <v/>
      </c>
      <c r="G8" s="29">
        <f>1/(1+가정!$B$40)^4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가정!$B$37+(가정!$B$38-가정!$B$37)*(5-1)/(가정!$B$43-1)</f>
        <v/>
      </c>
      <c r="C9" s="25">
        <f>C8*(1+B9)</f>
        <v/>
      </c>
      <c r="D9" s="23">
        <f>B9/가정!$B$39</f>
        <v/>
      </c>
      <c r="E9" s="25">
        <f>C9*D9</f>
        <v/>
      </c>
      <c r="F9" s="25">
        <f>C9-E9</f>
        <v/>
      </c>
      <c r="G9" s="29">
        <f>1/(1+가정!$B$40)^5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가정!$B$37+(가정!$B$38-가정!$B$37)*(6-1)/(가정!$B$43-1)</f>
        <v/>
      </c>
      <c r="C10" s="25">
        <f>C9*(1+B10)</f>
        <v/>
      </c>
      <c r="D10" s="23">
        <f>B10/가정!$B$39</f>
        <v/>
      </c>
      <c r="E10" s="25">
        <f>C10*D10</f>
        <v/>
      </c>
      <c r="F10" s="25">
        <f>C10-E10</f>
        <v/>
      </c>
      <c r="G10" s="29">
        <f>1/(1+가정!$B$40)^6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가정!$B$37+(가정!$B$38-가정!$B$37)*(7-1)/(가정!$B$43-1)</f>
        <v/>
      </c>
      <c r="C11" s="25">
        <f>C10*(1+B11)</f>
        <v/>
      </c>
      <c r="D11" s="23">
        <f>B11/가정!$B$39</f>
        <v/>
      </c>
      <c r="E11" s="25">
        <f>C11*D11</f>
        <v/>
      </c>
      <c r="F11" s="25">
        <f>C11-E11</f>
        <v/>
      </c>
      <c r="G11" s="29">
        <f>1/(1+가정!$B$40)^7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가정!$B$37+(가정!$B$38-가정!$B$37)*(8-1)/(가정!$B$43-1)</f>
        <v/>
      </c>
      <c r="C12" s="25">
        <f>C11*(1+B12)</f>
        <v/>
      </c>
      <c r="D12" s="23">
        <f>B12/가정!$B$39</f>
        <v/>
      </c>
      <c r="E12" s="25">
        <f>C12*D12</f>
        <v/>
      </c>
      <c r="F12" s="25">
        <f>C12-E12</f>
        <v/>
      </c>
      <c r="G12" s="29">
        <f>1/(1+가정!$B$40)^8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가정!$B$37+(가정!$B$38-가정!$B$37)*(9-1)/(가정!$B$43-1)</f>
        <v/>
      </c>
      <c r="C13" s="25">
        <f>C12*(1+B13)</f>
        <v/>
      </c>
      <c r="D13" s="23">
        <f>B13/가정!$B$39</f>
        <v/>
      </c>
      <c r="E13" s="25">
        <f>C13*D13</f>
        <v/>
      </c>
      <c r="F13" s="25">
        <f>C13-E13</f>
        <v/>
      </c>
      <c r="G13" s="29">
        <f>1/(1+가정!$B$40)^9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가정!$B$37+(가정!$B$38-가정!$B$37)*(10-1)/(가정!$B$43-1)</f>
        <v/>
      </c>
      <c r="C14" s="25">
        <f>C13*(1+B14)</f>
        <v/>
      </c>
      <c r="D14" s="23">
        <f>B14/가정!$B$39</f>
        <v/>
      </c>
      <c r="E14" s="25">
        <f>C14*D14</f>
        <v/>
      </c>
      <c r="F14" s="25">
        <f>C14-E14</f>
        <v/>
      </c>
      <c r="G14" s="29">
        <f>1/(1+가정!$B$40)^10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C14*(1+가정!$B$41)</f>
        <v/>
      </c>
    </row>
    <row r="19">
      <c r="A19" s="4" t="inlineStr">
        <is>
          <t>터미널 재투자율 = 영구성장률 ÷ 증분 ROIC</t>
        </is>
      </c>
      <c r="B19" s="23">
        <f>가정!$B$41/가정!$B$39</f>
        <v/>
      </c>
    </row>
    <row r="20">
      <c r="A20" s="4" t="inlineStr">
        <is>
          <t>터미널 가치 = 11년차 FCF ÷ (할인율 − 영구성장률)</t>
        </is>
      </c>
      <c r="B20" s="25">
        <f>B18*(1-B19)/(가정!$B$40-가정!$B$41)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(DCF_낙관_run!$B$28-B30)/B30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C14/기준연도!$C$9*원자료!K$5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기준 7 (2) — 낙관 시나리오 현금흐름할인</t>
        </is>
      </c>
    </row>
    <row r="2" ht="30" customHeight="1">
      <c r="A2" s="2" t="inlineStr">
        <is>
          <t>재투자율은 가정하지 않고 성장률에서 유도합니다: 재투자율 = 성장률 ÷ 증분 ROIC. 따라서 어떤 성장도 대가 없이 얻을 수 없습니다. 기준연도는 2026 연율화 · 현재 환율. 단위: 십억원.</t>
        </is>
      </c>
    </row>
    <row r="4" ht="32" customHeight="1">
      <c r="A4" s="3" t="inlineStr">
        <is>
          <t>연차</t>
        </is>
      </c>
      <c r="B4" s="3" t="inlineStr">
        <is>
          <t>성장률</t>
        </is>
      </c>
      <c r="C4" s="3" t="inlineStr">
        <is>
          <t>NOPAT</t>
        </is>
      </c>
      <c r="D4" s="3" t="inlineStr">
        <is>
          <t>재투자율</t>
        </is>
      </c>
      <c r="E4" s="3" t="inlineStr">
        <is>
          <t>재투자액</t>
        </is>
      </c>
      <c r="F4" s="3" t="inlineStr">
        <is>
          <t>자유현금흐름</t>
        </is>
      </c>
      <c r="G4" s="3" t="inlineStr">
        <is>
          <t>할인계수</t>
        </is>
      </c>
      <c r="H4" s="3" t="inlineStr">
        <is>
          <t>현재가치</t>
        </is>
      </c>
      <c r="I4" s="3" t="inlineStr">
        <is>
          <t>외부조달 필요</t>
        </is>
      </c>
    </row>
    <row r="5">
      <c r="A5" s="4" t="n">
        <v>1</v>
      </c>
      <c r="B5" s="23">
        <f>가정!$B$37+(가정!$B$38-가정!$B$37)*(1-1)/(가정!$B$43-1)</f>
        <v/>
      </c>
      <c r="C5" s="26">
        <f>기준연도!$D$9*(1+B5)</f>
        <v/>
      </c>
      <c r="D5" s="23">
        <f>B5/가정!$B$39</f>
        <v/>
      </c>
      <c r="E5" s="25">
        <f>C5*D5</f>
        <v/>
      </c>
      <c r="F5" s="25">
        <f>C5-E5</f>
        <v/>
      </c>
      <c r="G5" s="29">
        <f>1/(1+가정!$B$40)^1</f>
        <v/>
      </c>
      <c r="H5" s="25">
        <f>F5*G5</f>
        <v/>
      </c>
      <c r="I5" s="25">
        <f>MAX(0,E5-C5)</f>
        <v/>
      </c>
    </row>
    <row r="6">
      <c r="A6" s="4" t="n">
        <v>2</v>
      </c>
      <c r="B6" s="23">
        <f>가정!$B$37+(가정!$B$38-가정!$B$37)*(2-1)/(가정!$B$43-1)</f>
        <v/>
      </c>
      <c r="C6" s="25">
        <f>C5*(1+B6)</f>
        <v/>
      </c>
      <c r="D6" s="23">
        <f>B6/가정!$B$39</f>
        <v/>
      </c>
      <c r="E6" s="25">
        <f>C6*D6</f>
        <v/>
      </c>
      <c r="F6" s="25">
        <f>C6-E6</f>
        <v/>
      </c>
      <c r="G6" s="29">
        <f>1/(1+가정!$B$40)^2</f>
        <v/>
      </c>
      <c r="H6" s="25">
        <f>F6*G6</f>
        <v/>
      </c>
      <c r="I6" s="25">
        <f>MAX(0,E6-C6)</f>
        <v/>
      </c>
    </row>
    <row r="7">
      <c r="A7" s="4" t="n">
        <v>3</v>
      </c>
      <c r="B7" s="23">
        <f>가정!$B$37+(가정!$B$38-가정!$B$37)*(3-1)/(가정!$B$43-1)</f>
        <v/>
      </c>
      <c r="C7" s="25">
        <f>C6*(1+B7)</f>
        <v/>
      </c>
      <c r="D7" s="23">
        <f>B7/가정!$B$39</f>
        <v/>
      </c>
      <c r="E7" s="25">
        <f>C7*D7</f>
        <v/>
      </c>
      <c r="F7" s="25">
        <f>C7-E7</f>
        <v/>
      </c>
      <c r="G7" s="29">
        <f>1/(1+가정!$B$40)^3</f>
        <v/>
      </c>
      <c r="H7" s="25">
        <f>F7*G7</f>
        <v/>
      </c>
      <c r="I7" s="25">
        <f>MAX(0,E7-C7)</f>
        <v/>
      </c>
    </row>
    <row r="8">
      <c r="A8" s="4" t="n">
        <v>4</v>
      </c>
      <c r="B8" s="23">
        <f>가정!$B$37+(가정!$B$38-가정!$B$37)*(4-1)/(가정!$B$43-1)</f>
        <v/>
      </c>
      <c r="C8" s="25">
        <f>C7*(1+B8)</f>
        <v/>
      </c>
      <c r="D8" s="23">
        <f>B8/가정!$B$39</f>
        <v/>
      </c>
      <c r="E8" s="25">
        <f>C8*D8</f>
        <v/>
      </c>
      <c r="F8" s="25">
        <f>C8-E8</f>
        <v/>
      </c>
      <c r="G8" s="29">
        <f>1/(1+가정!$B$40)^4</f>
        <v/>
      </c>
      <c r="H8" s="25">
        <f>F8*G8</f>
        <v/>
      </c>
      <c r="I8" s="25">
        <f>MAX(0,E8-C8)</f>
        <v/>
      </c>
    </row>
    <row r="9">
      <c r="A9" s="4" t="n">
        <v>5</v>
      </c>
      <c r="B9" s="23">
        <f>가정!$B$37+(가정!$B$38-가정!$B$37)*(5-1)/(가정!$B$43-1)</f>
        <v/>
      </c>
      <c r="C9" s="25">
        <f>C8*(1+B9)</f>
        <v/>
      </c>
      <c r="D9" s="23">
        <f>B9/가정!$B$39</f>
        <v/>
      </c>
      <c r="E9" s="25">
        <f>C9*D9</f>
        <v/>
      </c>
      <c r="F9" s="25">
        <f>C9-E9</f>
        <v/>
      </c>
      <c r="G9" s="29">
        <f>1/(1+가정!$B$40)^5</f>
        <v/>
      </c>
      <c r="H9" s="25">
        <f>F9*G9</f>
        <v/>
      </c>
      <c r="I9" s="25">
        <f>MAX(0,E9-C9)</f>
        <v/>
      </c>
    </row>
    <row r="10">
      <c r="A10" s="4" t="n">
        <v>6</v>
      </c>
      <c r="B10" s="23">
        <f>가정!$B$37+(가정!$B$38-가정!$B$37)*(6-1)/(가정!$B$43-1)</f>
        <v/>
      </c>
      <c r="C10" s="25">
        <f>C9*(1+B10)</f>
        <v/>
      </c>
      <c r="D10" s="23">
        <f>B10/가정!$B$39</f>
        <v/>
      </c>
      <c r="E10" s="25">
        <f>C10*D10</f>
        <v/>
      </c>
      <c r="F10" s="25">
        <f>C10-E10</f>
        <v/>
      </c>
      <c r="G10" s="29">
        <f>1/(1+가정!$B$40)^6</f>
        <v/>
      </c>
      <c r="H10" s="25">
        <f>F10*G10</f>
        <v/>
      </c>
      <c r="I10" s="25">
        <f>MAX(0,E10-C10)</f>
        <v/>
      </c>
    </row>
    <row r="11">
      <c r="A11" s="4" t="n">
        <v>7</v>
      </c>
      <c r="B11" s="23">
        <f>가정!$B$37+(가정!$B$38-가정!$B$37)*(7-1)/(가정!$B$43-1)</f>
        <v/>
      </c>
      <c r="C11" s="25">
        <f>C10*(1+B11)</f>
        <v/>
      </c>
      <c r="D11" s="23">
        <f>B11/가정!$B$39</f>
        <v/>
      </c>
      <c r="E11" s="25">
        <f>C11*D11</f>
        <v/>
      </c>
      <c r="F11" s="25">
        <f>C11-E11</f>
        <v/>
      </c>
      <c r="G11" s="29">
        <f>1/(1+가정!$B$40)^7</f>
        <v/>
      </c>
      <c r="H11" s="25">
        <f>F11*G11</f>
        <v/>
      </c>
      <c r="I11" s="25">
        <f>MAX(0,E11-C11)</f>
        <v/>
      </c>
    </row>
    <row r="12">
      <c r="A12" s="4" t="n">
        <v>8</v>
      </c>
      <c r="B12" s="23">
        <f>가정!$B$37+(가정!$B$38-가정!$B$37)*(8-1)/(가정!$B$43-1)</f>
        <v/>
      </c>
      <c r="C12" s="25">
        <f>C11*(1+B12)</f>
        <v/>
      </c>
      <c r="D12" s="23">
        <f>B12/가정!$B$39</f>
        <v/>
      </c>
      <c r="E12" s="25">
        <f>C12*D12</f>
        <v/>
      </c>
      <c r="F12" s="25">
        <f>C12-E12</f>
        <v/>
      </c>
      <c r="G12" s="29">
        <f>1/(1+가정!$B$40)^8</f>
        <v/>
      </c>
      <c r="H12" s="25">
        <f>F12*G12</f>
        <v/>
      </c>
      <c r="I12" s="25">
        <f>MAX(0,E12-C12)</f>
        <v/>
      </c>
    </row>
    <row r="13">
      <c r="A13" s="4" t="n">
        <v>9</v>
      </c>
      <c r="B13" s="23">
        <f>가정!$B$37+(가정!$B$38-가정!$B$37)*(9-1)/(가정!$B$43-1)</f>
        <v/>
      </c>
      <c r="C13" s="25">
        <f>C12*(1+B13)</f>
        <v/>
      </c>
      <c r="D13" s="23">
        <f>B13/가정!$B$39</f>
        <v/>
      </c>
      <c r="E13" s="25">
        <f>C13*D13</f>
        <v/>
      </c>
      <c r="F13" s="25">
        <f>C13-E13</f>
        <v/>
      </c>
      <c r="G13" s="29">
        <f>1/(1+가정!$B$40)^9</f>
        <v/>
      </c>
      <c r="H13" s="25">
        <f>F13*G13</f>
        <v/>
      </c>
      <c r="I13" s="25">
        <f>MAX(0,E13-C13)</f>
        <v/>
      </c>
    </row>
    <row r="14">
      <c r="A14" s="4" t="n">
        <v>10</v>
      </c>
      <c r="B14" s="23">
        <f>가정!$B$37+(가정!$B$38-가정!$B$37)*(10-1)/(가정!$B$43-1)</f>
        <v/>
      </c>
      <c r="C14" s="25">
        <f>C13*(1+B14)</f>
        <v/>
      </c>
      <c r="D14" s="23">
        <f>B14/가정!$B$39</f>
        <v/>
      </c>
      <c r="E14" s="25">
        <f>C14*D14</f>
        <v/>
      </c>
      <c r="F14" s="25">
        <f>C14-E14</f>
        <v/>
      </c>
      <c r="G14" s="29">
        <f>1/(1+가정!$B$40)^10</f>
        <v/>
      </c>
      <c r="H14" s="25">
        <f>F14*G14</f>
        <v/>
      </c>
      <c r="I14" s="25">
        <f>MAX(0,E14-C14)</f>
        <v/>
      </c>
    </row>
    <row r="15">
      <c r="A15" s="4" t="inlineStr">
        <is>
          <t>합계</t>
        </is>
      </c>
      <c r="E15" s="27">
        <f>SUM(E5:E14)</f>
        <v/>
      </c>
      <c r="F15" s="27">
        <f>SUM(F5:F14)</f>
        <v/>
      </c>
      <c r="H15" s="27">
        <f>SUM(H5:H14)</f>
        <v/>
      </c>
      <c r="I15" s="27">
        <f>SUM(I5:I14)</f>
        <v/>
      </c>
    </row>
    <row r="17">
      <c r="A17" s="5" t="inlineStr">
        <is>
          <t>터미널 가치</t>
        </is>
      </c>
    </row>
    <row r="18">
      <c r="A18" s="4" t="inlineStr">
        <is>
          <t>11년차 NOPAT</t>
        </is>
      </c>
      <c r="B18" s="25">
        <f>C14*(1+가정!$B$41)</f>
        <v/>
      </c>
    </row>
    <row r="19">
      <c r="A19" s="4" t="inlineStr">
        <is>
          <t>터미널 재투자율 = 영구성장률 ÷ 증분 ROIC</t>
        </is>
      </c>
      <c r="B19" s="23">
        <f>가정!$B$41/가정!$B$39</f>
        <v/>
      </c>
    </row>
    <row r="20">
      <c r="A20" s="4" t="inlineStr">
        <is>
          <t>터미널 가치 = 11년차 FCF ÷ (할인율 − 영구성장률)</t>
        </is>
      </c>
      <c r="B20" s="25">
        <f>B18*(1-B19)/(가정!$B$40-가정!$B$41)</f>
        <v/>
      </c>
    </row>
    <row r="21">
      <c r="A21" s="4" t="inlineStr">
        <is>
          <t>터미널 현재가치</t>
        </is>
      </c>
      <c r="B21" s="25">
        <f>B20*G14</f>
        <v/>
      </c>
    </row>
    <row r="23">
      <c r="A23" s="5" t="inlineStr">
        <is>
          <t>가치</t>
        </is>
      </c>
    </row>
    <row r="24">
      <c r="A24" s="4" t="inlineStr">
        <is>
          <t>예측기간 현재가치</t>
        </is>
      </c>
      <c r="B24" s="25">
        <f>H15</f>
        <v/>
      </c>
    </row>
    <row r="25">
      <c r="A25" s="4" t="inlineStr">
        <is>
          <t>터미널 현재가치</t>
        </is>
      </c>
      <c r="B25" s="25">
        <f>B21</f>
        <v/>
      </c>
    </row>
    <row r="26">
      <c r="A26" s="4" t="inlineStr">
        <is>
          <t>기업가치 (EV)</t>
        </is>
      </c>
      <c r="B26" s="27">
        <f>B24+B25</f>
        <v/>
      </c>
    </row>
    <row r="27">
      <c r="A27" s="4" t="inlineStr">
        <is>
          <t>+ 순현금</t>
        </is>
      </c>
      <c r="B27" s="26">
        <f>기준연도!$B$14</f>
        <v/>
      </c>
    </row>
    <row r="28">
      <c r="A28" s="4" t="inlineStr">
        <is>
          <t>자기자본가치</t>
        </is>
      </c>
      <c r="B28" s="27">
        <f>B26+B27</f>
        <v/>
      </c>
    </row>
    <row r="29">
      <c r="A29" s="4" t="inlineStr">
        <is>
          <t>주당가치 (원)</t>
        </is>
      </c>
      <c r="B29" s="12">
        <f>B28*1000000000/가정!$B$7</f>
        <v/>
      </c>
    </row>
    <row r="30">
      <c r="A30" s="4" t="inlineStr">
        <is>
          <t>시가총액 (십억원)</t>
        </is>
      </c>
      <c r="B30" s="26">
        <f>가정!$B$46/1000000000</f>
        <v/>
      </c>
    </row>
    <row r="31">
      <c r="A31" s="4" t="inlineStr">
        <is>
          <t>시장가 대비</t>
        </is>
      </c>
      <c r="B31" s="13">
        <f>(DCF_낙관!$B$28-B30)/B30</f>
        <v/>
      </c>
    </row>
    <row r="32">
      <c r="A32" s="4" t="inlineStr">
        <is>
          <t>터미널 비중</t>
        </is>
      </c>
      <c r="B32" s="23">
        <f>B21/B26</f>
        <v/>
      </c>
    </row>
    <row r="34">
      <c r="A34" s="5" t="inlineStr">
        <is>
          <t>실현 가능성 점검</t>
        </is>
      </c>
    </row>
    <row r="35">
      <c r="A35" s="4" t="inlineStr">
        <is>
          <t>10년 누적 재투자</t>
        </is>
      </c>
      <c r="B35" s="25">
        <f>E15</f>
        <v/>
      </c>
    </row>
    <row r="36">
      <c r="A36" s="4" t="inlineStr">
        <is>
          <t>10년 누적 NOPAT</t>
        </is>
      </c>
      <c r="B36" s="25">
        <f>SUM(C5:C14)</f>
        <v/>
      </c>
    </row>
    <row r="37">
      <c r="A37" s="4" t="inlineStr">
        <is>
          <t>재투자 ÷ NOPAT</t>
        </is>
      </c>
      <c r="B37" s="23">
        <f>B35/B36</f>
        <v/>
      </c>
    </row>
    <row r="38">
      <c r="A38" s="4" t="inlineStr">
        <is>
          <t>1년차 재투자율</t>
        </is>
      </c>
      <c r="B38" s="23">
        <f>D5</f>
        <v/>
      </c>
    </row>
    <row r="39">
      <c r="A39" s="4" t="inlineStr">
        <is>
          <t>외부조달 필요액 (재투자율&gt;100%인 해의 부족분 합계)</t>
        </is>
      </c>
      <c r="B39" s="25">
        <f>I15</f>
        <v/>
      </c>
    </row>
    <row r="40">
      <c r="A40" s="4" t="inlineStr">
        <is>
          <t>10년 뒤 매출 (NOPAT 배율 × FY2025 매출)</t>
        </is>
      </c>
      <c r="B40" s="25">
        <f>C14/기준연도!$D$9*원자료!K$5</f>
        <v/>
      </c>
    </row>
    <row r="41" ht="28" customHeight="1">
      <c r="A41" s="2" t="inlineStr">
        <is>
          <t>재투자율이 100%를 넘으면 그 차액은 증자나 차입으로 메워야 합니다. 이 계산은 그 희석과 이자를 기존 주주에게 청구하지 않으므로, 재투자율이 100%를 넘는 시나리오의 자기자본가치는 과대평가입니다.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4" customWidth="1" min="5" max="5"/>
    <col width="44" customWidth="1" min="6" max="6"/>
  </cols>
  <sheetData>
    <row r="1">
      <c r="A1" s="1" t="inlineStr">
        <is>
          <t>기준 7 (3) — 지금 주가는 무엇을 가정하고 있는가</t>
        </is>
      </c>
    </row>
    <row r="2" ht="30" customHeight="1">
      <c r="A2" s="2" t="inlineStr">
        <is>
          <t>낙관 시나리오의 틀(증분 ROIC 26%, 할인율 9%, 영구성장률 3%, 기준연도는 현재 환율)을 고정하고 첫해 성장률만 바꿔가며 자기자본가치를 계산합니다. 시가총액과 교차하는 지점이 '시장이 이미 가정하고 있는 성장률'입니다. 단위: 십억원.</t>
        </is>
      </c>
    </row>
    <row r="4" ht="32" customHeight="1">
      <c r="A4" s="3" t="inlineStr">
        <is>
          <t>첫해 성장률</t>
        </is>
      </c>
      <c r="B4" s="3" t="inlineStr">
        <is>
          <t>1년차 재투자율</t>
        </is>
      </c>
      <c r="C4" s="3" t="inlineStr">
        <is>
          <t>자기자본가치</t>
        </is>
      </c>
      <c r="D4" s="3" t="inlineStr">
        <is>
          <t>주당가치 (원)</t>
        </is>
      </c>
      <c r="E4" s="3" t="inlineStr">
        <is>
          <t>시가총액 대비</t>
        </is>
      </c>
      <c r="F4" s="3" t="inlineStr">
        <is>
          <t>비고</t>
        </is>
      </c>
    </row>
    <row r="5">
      <c r="A5" s="19" t="n">
        <v>0.1</v>
      </c>
      <c r="B5" s="23">
        <f>A5/가정!$B$39</f>
        <v/>
      </c>
      <c r="C5" s="25">
        <f>기준연도!$D$9*(1+(A5+(가정!$B$38-A5)*(1-1)/(가정!$B$43-1)))*(1-(A5+(가정!$B$38-A5)*(1-1)/(가정!$B$43-1))/가정!$B$39)/(1+가정!$B$40)^1+기준연도!$D$9*(1+(A5+(가정!$B$38-A5)*(1-1)/(가정!$B$43-1)))*(1+(A5+(가정!$B$38-A5)*(2-1)/(가정!$B$43-1)))*(1-(A5+(가정!$B$38-A5)*(2-1)/(가정!$B$43-1))/가정!$B$39)/(1+가정!$B$40)^2+기준연도!$D$9*(1+(A5+(가정!$B$38-A5)*(1-1)/(가정!$B$43-1)))*(1+(A5+(가정!$B$38-A5)*(2-1)/(가정!$B$43-1)))*(1+(A5+(가정!$B$38-A5)*(3-1)/(가정!$B$43-1)))*(1-(A5+(가정!$B$38-A5)*(3-1)/(가정!$B$43-1))/가정!$B$39)/(1+가정!$B$40)^3+기준연도!$D$9*(1+(A5+(가정!$B$38-A5)*(1-1)/(가정!$B$43-1)))*(1+(A5+(가정!$B$38-A5)*(2-1)/(가정!$B$43-1)))*(1+(A5+(가정!$B$38-A5)*(3-1)/(가정!$B$43-1)))*(1+(A5+(가정!$B$38-A5)*(4-1)/(가정!$B$43-1)))*(1-(A5+(가정!$B$38-A5)*(4-1)/(가정!$B$43-1))/가정!$B$39)/(1+가정!$B$40)^4+기준연도!$D$9*(1+(A5+(가정!$B$38-A5)*(1-1)/(가정!$B$43-1)))*(1+(A5+(가정!$B$38-A5)*(2-1)/(가정!$B$43-1)))*(1+(A5+(가정!$B$38-A5)*(3-1)/(가정!$B$43-1)))*(1+(A5+(가정!$B$38-A5)*(4-1)/(가정!$B$43-1)))*(1+(A5+(가정!$B$38-A5)*(5-1)/(가정!$B$43-1)))*(1-(A5+(가정!$B$38-A5)*(5-1)/(가정!$B$43-1))/가정!$B$39)/(1+가정!$B$40)^5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(1-(A5+(가정!$B$38-A5)*(6-1)/(가정!$B$43-1))/가정!$B$39)/(1+가정!$B$40)^6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+(A5+(가정!$B$38-A5)*(7-1)/(가정!$B$43-1)))*(1-(A5+(가정!$B$38-A5)*(7-1)/(가정!$B$43-1))/가정!$B$39)/(1+가정!$B$40)^7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+(A5+(가정!$B$38-A5)*(7-1)/(가정!$B$43-1)))*(1+(A5+(가정!$B$38-A5)*(8-1)/(가정!$B$43-1)))*(1-(A5+(가정!$B$38-A5)*(8-1)/(가정!$B$43-1))/가정!$B$39)/(1+가정!$B$40)^8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+(A5+(가정!$B$38-A5)*(7-1)/(가정!$B$43-1)))*(1+(A5+(가정!$B$38-A5)*(8-1)/(가정!$B$43-1)))*(1+(A5+(가정!$B$38-A5)*(9-1)/(가정!$B$43-1)))*(1-(A5+(가정!$B$38-A5)*(9-1)/(가정!$B$43-1))/가정!$B$39)/(1+가정!$B$40)^9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+(A5+(가정!$B$38-A5)*(7-1)/(가정!$B$43-1)))*(1+(A5+(가정!$B$38-A5)*(8-1)/(가정!$B$43-1)))*(1+(A5+(가정!$B$38-A5)*(9-1)/(가정!$B$43-1)))*(1+(A5+(가정!$B$38-A5)*(10-1)/(가정!$B$43-1)))*(1-(A5+(가정!$B$38-A5)*(10-1)/(가정!$B$43-1))/가정!$B$39)/(1+가정!$B$40)^10+기준연도!$D$9*(1+(A5+(가정!$B$38-A5)*(1-1)/(가정!$B$43-1)))*(1+(A5+(가정!$B$38-A5)*(2-1)/(가정!$B$43-1)))*(1+(A5+(가정!$B$38-A5)*(3-1)/(가정!$B$43-1)))*(1+(A5+(가정!$B$38-A5)*(4-1)/(가정!$B$43-1)))*(1+(A5+(가정!$B$38-A5)*(5-1)/(가정!$B$43-1)))*(1+(A5+(가정!$B$38-A5)*(6-1)/(가정!$B$43-1)))*(1+(A5+(가정!$B$38-A5)*(7-1)/(가정!$B$43-1)))*(1+(A5+(가정!$B$38-A5)*(8-1)/(가정!$B$43-1)))*(1+(A5+(가정!$B$38-A5)*(9-1)/(가정!$B$43-1)))*(1+(A5+(가정!$B$38-A5)*(10-1)/(가정!$B$43-1)))*(1+가정!$B$41)*(1-가정!$B$41/가정!$B$39)/(가정!$B$40-가정!$B$41)/(1+가정!$B$40)^10+기준연도!$B$14</f>
        <v/>
      </c>
      <c r="D5" s="22">
        <f>C5*1000000000/가정!$B$7</f>
        <v/>
      </c>
      <c r="E5" s="23">
        <f>(C5-가정!$B$46/1000000000)/(가정!$B$46/1000000000)</f>
        <v/>
      </c>
      <c r="F5" s="6">
        <f>IF(B5&gt;1,"재투자율 100% 초과 — 외부조달 필요","자체조달 가능")</f>
        <v/>
      </c>
    </row>
    <row r="6">
      <c r="A6" s="19" t="n">
        <v>0.15</v>
      </c>
      <c r="B6" s="23">
        <f>A6/가정!$B$39</f>
        <v/>
      </c>
      <c r="C6" s="25">
        <f>기준연도!$D$9*(1+(A6+(가정!$B$38-A6)*(1-1)/(가정!$B$43-1)))*(1-(A6+(가정!$B$38-A6)*(1-1)/(가정!$B$43-1))/가정!$B$39)/(1+가정!$B$40)^1+기준연도!$D$9*(1+(A6+(가정!$B$38-A6)*(1-1)/(가정!$B$43-1)))*(1+(A6+(가정!$B$38-A6)*(2-1)/(가정!$B$43-1)))*(1-(A6+(가정!$B$38-A6)*(2-1)/(가정!$B$43-1))/가정!$B$39)/(1+가정!$B$40)^2+기준연도!$D$9*(1+(A6+(가정!$B$38-A6)*(1-1)/(가정!$B$43-1)))*(1+(A6+(가정!$B$38-A6)*(2-1)/(가정!$B$43-1)))*(1+(A6+(가정!$B$38-A6)*(3-1)/(가정!$B$43-1)))*(1-(A6+(가정!$B$38-A6)*(3-1)/(가정!$B$43-1))/가정!$B$39)/(1+가정!$B$40)^3+기준연도!$D$9*(1+(A6+(가정!$B$38-A6)*(1-1)/(가정!$B$43-1)))*(1+(A6+(가정!$B$38-A6)*(2-1)/(가정!$B$43-1)))*(1+(A6+(가정!$B$38-A6)*(3-1)/(가정!$B$43-1)))*(1+(A6+(가정!$B$38-A6)*(4-1)/(가정!$B$43-1)))*(1-(A6+(가정!$B$38-A6)*(4-1)/(가정!$B$43-1))/가정!$B$39)/(1+가정!$B$40)^4+기준연도!$D$9*(1+(A6+(가정!$B$38-A6)*(1-1)/(가정!$B$43-1)))*(1+(A6+(가정!$B$38-A6)*(2-1)/(가정!$B$43-1)))*(1+(A6+(가정!$B$38-A6)*(3-1)/(가정!$B$43-1)))*(1+(A6+(가정!$B$38-A6)*(4-1)/(가정!$B$43-1)))*(1+(A6+(가정!$B$38-A6)*(5-1)/(가정!$B$43-1)))*(1-(A6+(가정!$B$38-A6)*(5-1)/(가정!$B$43-1))/가정!$B$39)/(1+가정!$B$40)^5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(1-(A6+(가정!$B$38-A6)*(6-1)/(가정!$B$43-1))/가정!$B$39)/(1+가정!$B$40)^6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+(A6+(가정!$B$38-A6)*(7-1)/(가정!$B$43-1)))*(1-(A6+(가정!$B$38-A6)*(7-1)/(가정!$B$43-1))/가정!$B$39)/(1+가정!$B$40)^7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+(A6+(가정!$B$38-A6)*(7-1)/(가정!$B$43-1)))*(1+(A6+(가정!$B$38-A6)*(8-1)/(가정!$B$43-1)))*(1-(A6+(가정!$B$38-A6)*(8-1)/(가정!$B$43-1))/가정!$B$39)/(1+가정!$B$40)^8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+(A6+(가정!$B$38-A6)*(7-1)/(가정!$B$43-1)))*(1+(A6+(가정!$B$38-A6)*(8-1)/(가정!$B$43-1)))*(1+(A6+(가정!$B$38-A6)*(9-1)/(가정!$B$43-1)))*(1-(A6+(가정!$B$38-A6)*(9-1)/(가정!$B$43-1))/가정!$B$39)/(1+가정!$B$40)^9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+(A6+(가정!$B$38-A6)*(7-1)/(가정!$B$43-1)))*(1+(A6+(가정!$B$38-A6)*(8-1)/(가정!$B$43-1)))*(1+(A6+(가정!$B$38-A6)*(9-1)/(가정!$B$43-1)))*(1+(A6+(가정!$B$38-A6)*(10-1)/(가정!$B$43-1)))*(1-(A6+(가정!$B$38-A6)*(10-1)/(가정!$B$43-1))/가정!$B$39)/(1+가정!$B$40)^10+기준연도!$D$9*(1+(A6+(가정!$B$38-A6)*(1-1)/(가정!$B$43-1)))*(1+(A6+(가정!$B$38-A6)*(2-1)/(가정!$B$43-1)))*(1+(A6+(가정!$B$38-A6)*(3-1)/(가정!$B$43-1)))*(1+(A6+(가정!$B$38-A6)*(4-1)/(가정!$B$43-1)))*(1+(A6+(가정!$B$38-A6)*(5-1)/(가정!$B$43-1)))*(1+(A6+(가정!$B$38-A6)*(6-1)/(가정!$B$43-1)))*(1+(A6+(가정!$B$38-A6)*(7-1)/(가정!$B$43-1)))*(1+(A6+(가정!$B$38-A6)*(8-1)/(가정!$B$43-1)))*(1+(A6+(가정!$B$38-A6)*(9-1)/(가정!$B$43-1)))*(1+(A6+(가정!$B$38-A6)*(10-1)/(가정!$B$43-1)))*(1+가정!$B$41)*(1-가정!$B$41/가정!$B$39)/(가정!$B$40-가정!$B$41)/(1+가정!$B$40)^10+기준연도!$B$14</f>
        <v/>
      </c>
      <c r="D6" s="22">
        <f>C6*1000000000/가정!$B$7</f>
        <v/>
      </c>
      <c r="E6" s="23">
        <f>(C6-가정!$B$46/1000000000)/(가정!$B$46/1000000000)</f>
        <v/>
      </c>
      <c r="F6" s="6">
        <f>IF(B6&gt;1,"재투자율 100% 초과 — 외부조달 필요","자체조달 가능")</f>
        <v/>
      </c>
    </row>
    <row r="7">
      <c r="A7" s="19" t="n">
        <v>0.2</v>
      </c>
      <c r="B7" s="23">
        <f>A7/가정!$B$39</f>
        <v/>
      </c>
      <c r="C7" s="25">
        <f>기준연도!$D$9*(1+(A7+(가정!$B$38-A7)*(1-1)/(가정!$B$43-1)))*(1-(A7+(가정!$B$38-A7)*(1-1)/(가정!$B$43-1))/가정!$B$39)/(1+가정!$B$40)^1+기준연도!$D$9*(1+(A7+(가정!$B$38-A7)*(1-1)/(가정!$B$43-1)))*(1+(A7+(가정!$B$38-A7)*(2-1)/(가정!$B$43-1)))*(1-(A7+(가정!$B$38-A7)*(2-1)/(가정!$B$43-1))/가정!$B$39)/(1+가정!$B$40)^2+기준연도!$D$9*(1+(A7+(가정!$B$38-A7)*(1-1)/(가정!$B$43-1)))*(1+(A7+(가정!$B$38-A7)*(2-1)/(가정!$B$43-1)))*(1+(A7+(가정!$B$38-A7)*(3-1)/(가정!$B$43-1)))*(1-(A7+(가정!$B$38-A7)*(3-1)/(가정!$B$43-1))/가정!$B$39)/(1+가정!$B$40)^3+기준연도!$D$9*(1+(A7+(가정!$B$38-A7)*(1-1)/(가정!$B$43-1)))*(1+(A7+(가정!$B$38-A7)*(2-1)/(가정!$B$43-1)))*(1+(A7+(가정!$B$38-A7)*(3-1)/(가정!$B$43-1)))*(1+(A7+(가정!$B$38-A7)*(4-1)/(가정!$B$43-1)))*(1-(A7+(가정!$B$38-A7)*(4-1)/(가정!$B$43-1))/가정!$B$39)/(1+가정!$B$40)^4+기준연도!$D$9*(1+(A7+(가정!$B$38-A7)*(1-1)/(가정!$B$43-1)))*(1+(A7+(가정!$B$38-A7)*(2-1)/(가정!$B$43-1)))*(1+(A7+(가정!$B$38-A7)*(3-1)/(가정!$B$43-1)))*(1+(A7+(가정!$B$38-A7)*(4-1)/(가정!$B$43-1)))*(1+(A7+(가정!$B$38-A7)*(5-1)/(가정!$B$43-1)))*(1-(A7+(가정!$B$38-A7)*(5-1)/(가정!$B$43-1))/가정!$B$39)/(1+가정!$B$40)^5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(1-(A7+(가정!$B$38-A7)*(6-1)/(가정!$B$43-1))/가정!$B$39)/(1+가정!$B$40)^6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+(A7+(가정!$B$38-A7)*(7-1)/(가정!$B$43-1)))*(1-(A7+(가정!$B$38-A7)*(7-1)/(가정!$B$43-1))/가정!$B$39)/(1+가정!$B$40)^7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+(A7+(가정!$B$38-A7)*(7-1)/(가정!$B$43-1)))*(1+(A7+(가정!$B$38-A7)*(8-1)/(가정!$B$43-1)))*(1-(A7+(가정!$B$38-A7)*(8-1)/(가정!$B$43-1))/가정!$B$39)/(1+가정!$B$40)^8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+(A7+(가정!$B$38-A7)*(7-1)/(가정!$B$43-1)))*(1+(A7+(가정!$B$38-A7)*(8-1)/(가정!$B$43-1)))*(1+(A7+(가정!$B$38-A7)*(9-1)/(가정!$B$43-1)))*(1-(A7+(가정!$B$38-A7)*(9-1)/(가정!$B$43-1))/가정!$B$39)/(1+가정!$B$40)^9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+(A7+(가정!$B$38-A7)*(7-1)/(가정!$B$43-1)))*(1+(A7+(가정!$B$38-A7)*(8-1)/(가정!$B$43-1)))*(1+(A7+(가정!$B$38-A7)*(9-1)/(가정!$B$43-1)))*(1+(A7+(가정!$B$38-A7)*(10-1)/(가정!$B$43-1)))*(1-(A7+(가정!$B$38-A7)*(10-1)/(가정!$B$43-1))/가정!$B$39)/(1+가정!$B$40)^10+기준연도!$D$9*(1+(A7+(가정!$B$38-A7)*(1-1)/(가정!$B$43-1)))*(1+(A7+(가정!$B$38-A7)*(2-1)/(가정!$B$43-1)))*(1+(A7+(가정!$B$38-A7)*(3-1)/(가정!$B$43-1)))*(1+(A7+(가정!$B$38-A7)*(4-1)/(가정!$B$43-1)))*(1+(A7+(가정!$B$38-A7)*(5-1)/(가정!$B$43-1)))*(1+(A7+(가정!$B$38-A7)*(6-1)/(가정!$B$43-1)))*(1+(A7+(가정!$B$38-A7)*(7-1)/(가정!$B$43-1)))*(1+(A7+(가정!$B$38-A7)*(8-1)/(가정!$B$43-1)))*(1+(A7+(가정!$B$38-A7)*(9-1)/(가정!$B$43-1)))*(1+(A7+(가정!$B$38-A7)*(10-1)/(가정!$B$43-1)))*(1+가정!$B$41)*(1-가정!$B$41/가정!$B$39)/(가정!$B$40-가정!$B$41)/(1+가정!$B$40)^10+기준연도!$B$14</f>
        <v/>
      </c>
      <c r="D7" s="22">
        <f>C7*1000000000/가정!$B$7</f>
        <v/>
      </c>
      <c r="E7" s="23">
        <f>(C7-가정!$B$46/1000000000)/(가정!$B$46/1000000000)</f>
        <v/>
      </c>
      <c r="F7" s="6">
        <f>IF(B7&gt;1,"재투자율 100% 초과 — 외부조달 필요","자체조달 가능")</f>
        <v/>
      </c>
    </row>
    <row r="8">
      <c r="A8" s="19" t="n">
        <v>0.25</v>
      </c>
      <c r="B8" s="23">
        <f>A8/가정!$B$39</f>
        <v/>
      </c>
      <c r="C8" s="25">
        <f>기준연도!$D$9*(1+(A8+(가정!$B$38-A8)*(1-1)/(가정!$B$43-1)))*(1-(A8+(가정!$B$38-A8)*(1-1)/(가정!$B$43-1))/가정!$B$39)/(1+가정!$B$40)^1+기준연도!$D$9*(1+(A8+(가정!$B$38-A8)*(1-1)/(가정!$B$43-1)))*(1+(A8+(가정!$B$38-A8)*(2-1)/(가정!$B$43-1)))*(1-(A8+(가정!$B$38-A8)*(2-1)/(가정!$B$43-1))/가정!$B$39)/(1+가정!$B$40)^2+기준연도!$D$9*(1+(A8+(가정!$B$38-A8)*(1-1)/(가정!$B$43-1)))*(1+(A8+(가정!$B$38-A8)*(2-1)/(가정!$B$43-1)))*(1+(A8+(가정!$B$38-A8)*(3-1)/(가정!$B$43-1)))*(1-(A8+(가정!$B$38-A8)*(3-1)/(가정!$B$43-1))/가정!$B$39)/(1+가정!$B$40)^3+기준연도!$D$9*(1+(A8+(가정!$B$38-A8)*(1-1)/(가정!$B$43-1)))*(1+(A8+(가정!$B$38-A8)*(2-1)/(가정!$B$43-1)))*(1+(A8+(가정!$B$38-A8)*(3-1)/(가정!$B$43-1)))*(1+(A8+(가정!$B$38-A8)*(4-1)/(가정!$B$43-1)))*(1-(A8+(가정!$B$38-A8)*(4-1)/(가정!$B$43-1))/가정!$B$39)/(1+가정!$B$40)^4+기준연도!$D$9*(1+(A8+(가정!$B$38-A8)*(1-1)/(가정!$B$43-1)))*(1+(A8+(가정!$B$38-A8)*(2-1)/(가정!$B$43-1)))*(1+(A8+(가정!$B$38-A8)*(3-1)/(가정!$B$43-1)))*(1+(A8+(가정!$B$38-A8)*(4-1)/(가정!$B$43-1)))*(1+(A8+(가정!$B$38-A8)*(5-1)/(가정!$B$43-1)))*(1-(A8+(가정!$B$38-A8)*(5-1)/(가정!$B$43-1))/가정!$B$39)/(1+가정!$B$40)^5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(1-(A8+(가정!$B$38-A8)*(6-1)/(가정!$B$43-1))/가정!$B$39)/(1+가정!$B$40)^6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+(A8+(가정!$B$38-A8)*(7-1)/(가정!$B$43-1)))*(1-(A8+(가정!$B$38-A8)*(7-1)/(가정!$B$43-1))/가정!$B$39)/(1+가정!$B$40)^7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+(A8+(가정!$B$38-A8)*(7-1)/(가정!$B$43-1)))*(1+(A8+(가정!$B$38-A8)*(8-1)/(가정!$B$43-1)))*(1-(A8+(가정!$B$38-A8)*(8-1)/(가정!$B$43-1))/가정!$B$39)/(1+가정!$B$40)^8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+(A8+(가정!$B$38-A8)*(7-1)/(가정!$B$43-1)))*(1+(A8+(가정!$B$38-A8)*(8-1)/(가정!$B$43-1)))*(1+(A8+(가정!$B$38-A8)*(9-1)/(가정!$B$43-1)))*(1-(A8+(가정!$B$38-A8)*(9-1)/(가정!$B$43-1))/가정!$B$39)/(1+가정!$B$40)^9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+(A8+(가정!$B$38-A8)*(7-1)/(가정!$B$43-1)))*(1+(A8+(가정!$B$38-A8)*(8-1)/(가정!$B$43-1)))*(1+(A8+(가정!$B$38-A8)*(9-1)/(가정!$B$43-1)))*(1+(A8+(가정!$B$38-A8)*(10-1)/(가정!$B$43-1)))*(1-(A8+(가정!$B$38-A8)*(10-1)/(가정!$B$43-1))/가정!$B$39)/(1+가정!$B$40)^10+기준연도!$D$9*(1+(A8+(가정!$B$38-A8)*(1-1)/(가정!$B$43-1)))*(1+(A8+(가정!$B$38-A8)*(2-1)/(가정!$B$43-1)))*(1+(A8+(가정!$B$38-A8)*(3-1)/(가정!$B$43-1)))*(1+(A8+(가정!$B$38-A8)*(4-1)/(가정!$B$43-1)))*(1+(A8+(가정!$B$38-A8)*(5-1)/(가정!$B$43-1)))*(1+(A8+(가정!$B$38-A8)*(6-1)/(가정!$B$43-1)))*(1+(A8+(가정!$B$38-A8)*(7-1)/(가정!$B$43-1)))*(1+(A8+(가정!$B$38-A8)*(8-1)/(가정!$B$43-1)))*(1+(A8+(가정!$B$38-A8)*(9-1)/(가정!$B$43-1)))*(1+(A8+(가정!$B$38-A8)*(10-1)/(가정!$B$43-1)))*(1+가정!$B$41)*(1-가정!$B$41/가정!$B$39)/(가정!$B$40-가정!$B$41)/(1+가정!$B$40)^10+기준연도!$B$14</f>
        <v/>
      </c>
      <c r="D8" s="22">
        <f>C8*1000000000/가정!$B$7</f>
        <v/>
      </c>
      <c r="E8" s="23">
        <f>(C8-가정!$B$46/1000000000)/(가정!$B$46/1000000000)</f>
        <v/>
      </c>
      <c r="F8" s="6">
        <f>IF(B8&gt;1,"재투자율 100% 초과 — 외부조달 필요","자체조달 가능")</f>
        <v/>
      </c>
    </row>
    <row r="9">
      <c r="A9" s="19" t="n">
        <v>0.3</v>
      </c>
      <c r="B9" s="23">
        <f>A9/가정!$B$39</f>
        <v/>
      </c>
      <c r="C9" s="25">
        <f>기준연도!$D$9*(1+(A9+(가정!$B$38-A9)*(1-1)/(가정!$B$43-1)))*(1-(A9+(가정!$B$38-A9)*(1-1)/(가정!$B$43-1))/가정!$B$39)/(1+가정!$B$40)^1+기준연도!$D$9*(1+(A9+(가정!$B$38-A9)*(1-1)/(가정!$B$43-1)))*(1+(A9+(가정!$B$38-A9)*(2-1)/(가정!$B$43-1)))*(1-(A9+(가정!$B$38-A9)*(2-1)/(가정!$B$43-1))/가정!$B$39)/(1+가정!$B$40)^2+기준연도!$D$9*(1+(A9+(가정!$B$38-A9)*(1-1)/(가정!$B$43-1)))*(1+(A9+(가정!$B$38-A9)*(2-1)/(가정!$B$43-1)))*(1+(A9+(가정!$B$38-A9)*(3-1)/(가정!$B$43-1)))*(1-(A9+(가정!$B$38-A9)*(3-1)/(가정!$B$43-1))/가정!$B$39)/(1+가정!$B$40)^3+기준연도!$D$9*(1+(A9+(가정!$B$38-A9)*(1-1)/(가정!$B$43-1)))*(1+(A9+(가정!$B$38-A9)*(2-1)/(가정!$B$43-1)))*(1+(A9+(가정!$B$38-A9)*(3-1)/(가정!$B$43-1)))*(1+(A9+(가정!$B$38-A9)*(4-1)/(가정!$B$43-1)))*(1-(A9+(가정!$B$38-A9)*(4-1)/(가정!$B$43-1))/가정!$B$39)/(1+가정!$B$40)^4+기준연도!$D$9*(1+(A9+(가정!$B$38-A9)*(1-1)/(가정!$B$43-1)))*(1+(A9+(가정!$B$38-A9)*(2-1)/(가정!$B$43-1)))*(1+(A9+(가정!$B$38-A9)*(3-1)/(가정!$B$43-1)))*(1+(A9+(가정!$B$38-A9)*(4-1)/(가정!$B$43-1)))*(1+(A9+(가정!$B$38-A9)*(5-1)/(가정!$B$43-1)))*(1-(A9+(가정!$B$38-A9)*(5-1)/(가정!$B$43-1))/가정!$B$39)/(1+가정!$B$40)^5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(1-(A9+(가정!$B$38-A9)*(6-1)/(가정!$B$43-1))/가정!$B$39)/(1+가정!$B$40)^6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+(A9+(가정!$B$38-A9)*(7-1)/(가정!$B$43-1)))*(1-(A9+(가정!$B$38-A9)*(7-1)/(가정!$B$43-1))/가정!$B$39)/(1+가정!$B$40)^7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+(A9+(가정!$B$38-A9)*(7-1)/(가정!$B$43-1)))*(1+(A9+(가정!$B$38-A9)*(8-1)/(가정!$B$43-1)))*(1-(A9+(가정!$B$38-A9)*(8-1)/(가정!$B$43-1))/가정!$B$39)/(1+가정!$B$40)^8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+(A9+(가정!$B$38-A9)*(7-1)/(가정!$B$43-1)))*(1+(A9+(가정!$B$38-A9)*(8-1)/(가정!$B$43-1)))*(1+(A9+(가정!$B$38-A9)*(9-1)/(가정!$B$43-1)))*(1-(A9+(가정!$B$38-A9)*(9-1)/(가정!$B$43-1))/가정!$B$39)/(1+가정!$B$40)^9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+(A9+(가정!$B$38-A9)*(7-1)/(가정!$B$43-1)))*(1+(A9+(가정!$B$38-A9)*(8-1)/(가정!$B$43-1)))*(1+(A9+(가정!$B$38-A9)*(9-1)/(가정!$B$43-1)))*(1+(A9+(가정!$B$38-A9)*(10-1)/(가정!$B$43-1)))*(1-(A9+(가정!$B$38-A9)*(10-1)/(가정!$B$43-1))/가정!$B$39)/(1+가정!$B$40)^10+기준연도!$D$9*(1+(A9+(가정!$B$38-A9)*(1-1)/(가정!$B$43-1)))*(1+(A9+(가정!$B$38-A9)*(2-1)/(가정!$B$43-1)))*(1+(A9+(가정!$B$38-A9)*(3-1)/(가정!$B$43-1)))*(1+(A9+(가정!$B$38-A9)*(4-1)/(가정!$B$43-1)))*(1+(A9+(가정!$B$38-A9)*(5-1)/(가정!$B$43-1)))*(1+(A9+(가정!$B$38-A9)*(6-1)/(가정!$B$43-1)))*(1+(A9+(가정!$B$38-A9)*(7-1)/(가정!$B$43-1)))*(1+(A9+(가정!$B$38-A9)*(8-1)/(가정!$B$43-1)))*(1+(A9+(가정!$B$38-A9)*(9-1)/(가정!$B$43-1)))*(1+(A9+(가정!$B$38-A9)*(10-1)/(가정!$B$43-1)))*(1+가정!$B$41)*(1-가정!$B$41/가정!$B$39)/(가정!$B$40-가정!$B$41)/(1+가정!$B$40)^10+기준연도!$B$14</f>
        <v/>
      </c>
      <c r="D9" s="22">
        <f>C9*1000000000/가정!$B$7</f>
        <v/>
      </c>
      <c r="E9" s="23">
        <f>(C9-가정!$B$46/1000000000)/(가정!$B$46/1000000000)</f>
        <v/>
      </c>
      <c r="F9" s="6">
        <f>IF(B9&gt;1,"재투자율 100% 초과 — 외부조달 필요","자체조달 가능")</f>
        <v/>
      </c>
    </row>
    <row r="10">
      <c r="A10" s="19" t="n">
        <v>0.32</v>
      </c>
      <c r="B10" s="23">
        <f>A10/가정!$B$39</f>
        <v/>
      </c>
      <c r="C10" s="25">
        <f>기준연도!$D$9*(1+(A10+(가정!$B$38-A10)*(1-1)/(가정!$B$43-1)))*(1-(A10+(가정!$B$38-A10)*(1-1)/(가정!$B$43-1))/가정!$B$39)/(1+가정!$B$40)^1+기준연도!$D$9*(1+(A10+(가정!$B$38-A10)*(1-1)/(가정!$B$43-1)))*(1+(A10+(가정!$B$38-A10)*(2-1)/(가정!$B$43-1)))*(1-(A10+(가정!$B$38-A10)*(2-1)/(가정!$B$43-1))/가정!$B$39)/(1+가정!$B$40)^2+기준연도!$D$9*(1+(A10+(가정!$B$38-A10)*(1-1)/(가정!$B$43-1)))*(1+(A10+(가정!$B$38-A10)*(2-1)/(가정!$B$43-1)))*(1+(A10+(가정!$B$38-A10)*(3-1)/(가정!$B$43-1)))*(1-(A10+(가정!$B$38-A10)*(3-1)/(가정!$B$43-1))/가정!$B$39)/(1+가정!$B$40)^3+기준연도!$D$9*(1+(A10+(가정!$B$38-A10)*(1-1)/(가정!$B$43-1)))*(1+(A10+(가정!$B$38-A10)*(2-1)/(가정!$B$43-1)))*(1+(A10+(가정!$B$38-A10)*(3-1)/(가정!$B$43-1)))*(1+(A10+(가정!$B$38-A10)*(4-1)/(가정!$B$43-1)))*(1-(A10+(가정!$B$38-A10)*(4-1)/(가정!$B$43-1))/가정!$B$39)/(1+가정!$B$40)^4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(1-(A10+(가정!$B$38-A10)*(5-1)/(가정!$B$43-1))/가정!$B$39)/(1+가정!$B$40)^5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(1-(A10+(가정!$B$38-A10)*(6-1)/(가정!$B$43-1))/가정!$B$39)/(1+가정!$B$40)^6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+(A10+(가정!$B$38-A10)*(7-1)/(가정!$B$43-1)))*(1-(A10+(가정!$B$38-A10)*(7-1)/(가정!$B$43-1))/가정!$B$39)/(1+가정!$B$40)^7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+(A10+(가정!$B$38-A10)*(7-1)/(가정!$B$43-1)))*(1+(A10+(가정!$B$38-A10)*(8-1)/(가정!$B$43-1)))*(1-(A10+(가정!$B$38-A10)*(8-1)/(가정!$B$43-1))/가정!$B$39)/(1+가정!$B$40)^8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+(A10+(가정!$B$38-A10)*(7-1)/(가정!$B$43-1)))*(1+(A10+(가정!$B$38-A10)*(8-1)/(가정!$B$43-1)))*(1+(A10+(가정!$B$38-A10)*(9-1)/(가정!$B$43-1)))*(1-(A10+(가정!$B$38-A10)*(9-1)/(가정!$B$43-1))/가정!$B$39)/(1+가정!$B$40)^9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+(A10+(가정!$B$38-A10)*(7-1)/(가정!$B$43-1)))*(1+(A10+(가정!$B$38-A10)*(8-1)/(가정!$B$43-1)))*(1+(A10+(가정!$B$38-A10)*(9-1)/(가정!$B$43-1)))*(1+(A10+(가정!$B$38-A10)*(10-1)/(가정!$B$43-1)))*(1-(A10+(가정!$B$38-A10)*(10-1)/(가정!$B$43-1))/가정!$B$39)/(1+가정!$B$40)^10+기준연도!$D$9*(1+(A10+(가정!$B$38-A10)*(1-1)/(가정!$B$43-1)))*(1+(A10+(가정!$B$38-A10)*(2-1)/(가정!$B$43-1)))*(1+(A10+(가정!$B$38-A10)*(3-1)/(가정!$B$43-1)))*(1+(A10+(가정!$B$38-A10)*(4-1)/(가정!$B$43-1)))*(1+(A10+(가정!$B$38-A10)*(5-1)/(가정!$B$43-1)))*(1+(A10+(가정!$B$38-A10)*(6-1)/(가정!$B$43-1)))*(1+(A10+(가정!$B$38-A10)*(7-1)/(가정!$B$43-1)))*(1+(A10+(가정!$B$38-A10)*(8-1)/(가정!$B$43-1)))*(1+(A10+(가정!$B$38-A10)*(9-1)/(가정!$B$43-1)))*(1+(A10+(가정!$B$38-A10)*(10-1)/(가정!$B$43-1)))*(1+가정!$B$41)*(1-가정!$B$41/가정!$B$39)/(가정!$B$40-가정!$B$41)/(1+가정!$B$40)^10+기준연도!$B$14</f>
        <v/>
      </c>
      <c r="D10" s="22">
        <f>C10*1000000000/가정!$B$7</f>
        <v/>
      </c>
      <c r="E10" s="23">
        <f>(C10-가정!$B$46/1000000000)/(가정!$B$46/1000000000)</f>
        <v/>
      </c>
      <c r="F10" s="6">
        <f>IF(B10&gt;1,"재투자율 100% 초과 — 외부조달 필요","자체조달 가능")</f>
        <v/>
      </c>
    </row>
    <row r="11">
      <c r="A11" s="19" t="n">
        <v>0.34</v>
      </c>
      <c r="B11" s="23">
        <f>A11/가정!$B$39</f>
        <v/>
      </c>
      <c r="C11" s="25">
        <f>기준연도!$D$9*(1+(A11+(가정!$B$38-A11)*(1-1)/(가정!$B$43-1)))*(1-(A11+(가정!$B$38-A11)*(1-1)/(가정!$B$43-1))/가정!$B$39)/(1+가정!$B$40)^1+기준연도!$D$9*(1+(A11+(가정!$B$38-A11)*(1-1)/(가정!$B$43-1)))*(1+(A11+(가정!$B$38-A11)*(2-1)/(가정!$B$43-1)))*(1-(A11+(가정!$B$38-A11)*(2-1)/(가정!$B$43-1))/가정!$B$39)/(1+가정!$B$40)^2+기준연도!$D$9*(1+(A11+(가정!$B$38-A11)*(1-1)/(가정!$B$43-1)))*(1+(A11+(가정!$B$38-A11)*(2-1)/(가정!$B$43-1)))*(1+(A11+(가정!$B$38-A11)*(3-1)/(가정!$B$43-1)))*(1-(A11+(가정!$B$38-A11)*(3-1)/(가정!$B$43-1))/가정!$B$39)/(1+가정!$B$40)^3+기준연도!$D$9*(1+(A11+(가정!$B$38-A11)*(1-1)/(가정!$B$43-1)))*(1+(A11+(가정!$B$38-A11)*(2-1)/(가정!$B$43-1)))*(1+(A11+(가정!$B$38-A11)*(3-1)/(가정!$B$43-1)))*(1+(A11+(가정!$B$38-A11)*(4-1)/(가정!$B$43-1)))*(1-(A11+(가정!$B$38-A11)*(4-1)/(가정!$B$43-1))/가정!$B$39)/(1+가정!$B$40)^4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(1-(A11+(가정!$B$38-A11)*(5-1)/(가정!$B$43-1))/가정!$B$39)/(1+가정!$B$40)^5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(1-(A11+(가정!$B$38-A11)*(6-1)/(가정!$B$43-1))/가정!$B$39)/(1+가정!$B$40)^6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+(A11+(가정!$B$38-A11)*(7-1)/(가정!$B$43-1)))*(1-(A11+(가정!$B$38-A11)*(7-1)/(가정!$B$43-1))/가정!$B$39)/(1+가정!$B$40)^7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+(A11+(가정!$B$38-A11)*(7-1)/(가정!$B$43-1)))*(1+(A11+(가정!$B$38-A11)*(8-1)/(가정!$B$43-1)))*(1-(A11+(가정!$B$38-A11)*(8-1)/(가정!$B$43-1))/가정!$B$39)/(1+가정!$B$40)^8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+(A11+(가정!$B$38-A11)*(7-1)/(가정!$B$43-1)))*(1+(A11+(가정!$B$38-A11)*(8-1)/(가정!$B$43-1)))*(1+(A11+(가정!$B$38-A11)*(9-1)/(가정!$B$43-1)))*(1-(A11+(가정!$B$38-A11)*(9-1)/(가정!$B$43-1))/가정!$B$39)/(1+가정!$B$40)^9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+(A11+(가정!$B$38-A11)*(7-1)/(가정!$B$43-1)))*(1+(A11+(가정!$B$38-A11)*(8-1)/(가정!$B$43-1)))*(1+(A11+(가정!$B$38-A11)*(9-1)/(가정!$B$43-1)))*(1+(A11+(가정!$B$38-A11)*(10-1)/(가정!$B$43-1)))*(1-(A11+(가정!$B$38-A11)*(10-1)/(가정!$B$43-1))/가정!$B$39)/(1+가정!$B$40)^10+기준연도!$D$9*(1+(A11+(가정!$B$38-A11)*(1-1)/(가정!$B$43-1)))*(1+(A11+(가정!$B$38-A11)*(2-1)/(가정!$B$43-1)))*(1+(A11+(가정!$B$38-A11)*(3-1)/(가정!$B$43-1)))*(1+(A11+(가정!$B$38-A11)*(4-1)/(가정!$B$43-1)))*(1+(A11+(가정!$B$38-A11)*(5-1)/(가정!$B$43-1)))*(1+(A11+(가정!$B$38-A11)*(6-1)/(가정!$B$43-1)))*(1+(A11+(가정!$B$38-A11)*(7-1)/(가정!$B$43-1)))*(1+(A11+(가정!$B$38-A11)*(8-1)/(가정!$B$43-1)))*(1+(A11+(가정!$B$38-A11)*(9-1)/(가정!$B$43-1)))*(1+(A11+(가정!$B$38-A11)*(10-1)/(가정!$B$43-1)))*(1+가정!$B$41)*(1-가정!$B$41/가정!$B$39)/(가정!$B$40-가정!$B$41)/(1+가정!$B$40)^10+기준연도!$B$14</f>
        <v/>
      </c>
      <c r="D11" s="22">
        <f>C11*1000000000/가정!$B$7</f>
        <v/>
      </c>
      <c r="E11" s="23">
        <f>(C11-가정!$B$46/1000000000)/(가정!$B$46/1000000000)</f>
        <v/>
      </c>
      <c r="F11" s="6">
        <f>IF(B11&gt;1,"재투자율 100% 초과 — 외부조달 필요","자체조달 가능")</f>
        <v/>
      </c>
    </row>
    <row r="12">
      <c r="A12" s="19" t="n">
        <v>0.36</v>
      </c>
      <c r="B12" s="23">
        <f>A12/가정!$B$39</f>
        <v/>
      </c>
      <c r="C12" s="25">
        <f>기준연도!$D$9*(1+(A12+(가정!$B$38-A12)*(1-1)/(가정!$B$43-1)))*(1-(A12+(가정!$B$38-A12)*(1-1)/(가정!$B$43-1))/가정!$B$39)/(1+가정!$B$40)^1+기준연도!$D$9*(1+(A12+(가정!$B$38-A12)*(1-1)/(가정!$B$43-1)))*(1+(A12+(가정!$B$38-A12)*(2-1)/(가정!$B$43-1)))*(1-(A12+(가정!$B$38-A12)*(2-1)/(가정!$B$43-1))/가정!$B$39)/(1+가정!$B$40)^2+기준연도!$D$9*(1+(A12+(가정!$B$38-A12)*(1-1)/(가정!$B$43-1)))*(1+(A12+(가정!$B$38-A12)*(2-1)/(가정!$B$43-1)))*(1+(A12+(가정!$B$38-A12)*(3-1)/(가정!$B$43-1)))*(1-(A12+(가정!$B$38-A12)*(3-1)/(가정!$B$43-1))/가정!$B$39)/(1+가정!$B$40)^3+기준연도!$D$9*(1+(A12+(가정!$B$38-A12)*(1-1)/(가정!$B$43-1)))*(1+(A12+(가정!$B$38-A12)*(2-1)/(가정!$B$43-1)))*(1+(A12+(가정!$B$38-A12)*(3-1)/(가정!$B$43-1)))*(1+(A12+(가정!$B$38-A12)*(4-1)/(가정!$B$43-1)))*(1-(A12+(가정!$B$38-A12)*(4-1)/(가정!$B$43-1))/가정!$B$39)/(1+가정!$B$40)^4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(1-(A12+(가정!$B$38-A12)*(5-1)/(가정!$B$43-1))/가정!$B$39)/(1+가정!$B$40)^5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(1-(A12+(가정!$B$38-A12)*(6-1)/(가정!$B$43-1))/가정!$B$39)/(1+가정!$B$40)^6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+(A12+(가정!$B$38-A12)*(7-1)/(가정!$B$43-1)))*(1-(A12+(가정!$B$38-A12)*(7-1)/(가정!$B$43-1))/가정!$B$39)/(1+가정!$B$40)^7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+(A12+(가정!$B$38-A12)*(7-1)/(가정!$B$43-1)))*(1+(A12+(가정!$B$38-A12)*(8-1)/(가정!$B$43-1)))*(1-(A12+(가정!$B$38-A12)*(8-1)/(가정!$B$43-1))/가정!$B$39)/(1+가정!$B$40)^8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+(A12+(가정!$B$38-A12)*(7-1)/(가정!$B$43-1)))*(1+(A12+(가정!$B$38-A12)*(8-1)/(가정!$B$43-1)))*(1+(A12+(가정!$B$38-A12)*(9-1)/(가정!$B$43-1)))*(1-(A12+(가정!$B$38-A12)*(9-1)/(가정!$B$43-1))/가정!$B$39)/(1+가정!$B$40)^9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+(A12+(가정!$B$38-A12)*(7-1)/(가정!$B$43-1)))*(1+(A12+(가정!$B$38-A12)*(8-1)/(가정!$B$43-1)))*(1+(A12+(가정!$B$38-A12)*(9-1)/(가정!$B$43-1)))*(1+(A12+(가정!$B$38-A12)*(10-1)/(가정!$B$43-1)))*(1-(A12+(가정!$B$38-A12)*(10-1)/(가정!$B$43-1))/가정!$B$39)/(1+가정!$B$40)^10+기준연도!$D$9*(1+(A12+(가정!$B$38-A12)*(1-1)/(가정!$B$43-1)))*(1+(A12+(가정!$B$38-A12)*(2-1)/(가정!$B$43-1)))*(1+(A12+(가정!$B$38-A12)*(3-1)/(가정!$B$43-1)))*(1+(A12+(가정!$B$38-A12)*(4-1)/(가정!$B$43-1)))*(1+(A12+(가정!$B$38-A12)*(5-1)/(가정!$B$43-1)))*(1+(A12+(가정!$B$38-A12)*(6-1)/(가정!$B$43-1)))*(1+(A12+(가정!$B$38-A12)*(7-1)/(가정!$B$43-1)))*(1+(A12+(가정!$B$38-A12)*(8-1)/(가정!$B$43-1)))*(1+(A12+(가정!$B$38-A12)*(9-1)/(가정!$B$43-1)))*(1+(A12+(가정!$B$38-A12)*(10-1)/(가정!$B$43-1)))*(1+가정!$B$41)*(1-가정!$B$41/가정!$B$39)/(가정!$B$40-가정!$B$41)/(1+가정!$B$40)^10+기준연도!$B$14</f>
        <v/>
      </c>
      <c r="D12" s="22">
        <f>C12*1000000000/가정!$B$7</f>
        <v/>
      </c>
      <c r="E12" s="23">
        <f>(C12-가정!$B$46/1000000000)/(가정!$B$46/1000000000)</f>
        <v/>
      </c>
      <c r="F12" s="6">
        <f>IF(B12&gt;1,"재투자율 100% 초과 — 외부조달 필요","자체조달 가능")</f>
        <v/>
      </c>
    </row>
    <row r="13">
      <c r="A13" s="19" t="n">
        <v>0.4</v>
      </c>
      <c r="B13" s="23">
        <f>A13/가정!$B$39</f>
        <v/>
      </c>
      <c r="C13" s="25">
        <f>기준연도!$D$9*(1+(A13+(가정!$B$38-A13)*(1-1)/(가정!$B$43-1)))*(1-(A13+(가정!$B$38-A13)*(1-1)/(가정!$B$43-1))/가정!$B$39)/(1+가정!$B$40)^1+기준연도!$D$9*(1+(A13+(가정!$B$38-A13)*(1-1)/(가정!$B$43-1)))*(1+(A13+(가정!$B$38-A13)*(2-1)/(가정!$B$43-1)))*(1-(A13+(가정!$B$38-A13)*(2-1)/(가정!$B$43-1))/가정!$B$39)/(1+가정!$B$40)^2+기준연도!$D$9*(1+(A13+(가정!$B$38-A13)*(1-1)/(가정!$B$43-1)))*(1+(A13+(가정!$B$38-A13)*(2-1)/(가정!$B$43-1)))*(1+(A13+(가정!$B$38-A13)*(3-1)/(가정!$B$43-1)))*(1-(A13+(가정!$B$38-A13)*(3-1)/(가정!$B$43-1))/가정!$B$39)/(1+가정!$B$40)^3+기준연도!$D$9*(1+(A13+(가정!$B$38-A13)*(1-1)/(가정!$B$43-1)))*(1+(A13+(가정!$B$38-A13)*(2-1)/(가정!$B$43-1)))*(1+(A13+(가정!$B$38-A13)*(3-1)/(가정!$B$43-1)))*(1+(A13+(가정!$B$38-A13)*(4-1)/(가정!$B$43-1)))*(1-(A13+(가정!$B$38-A13)*(4-1)/(가정!$B$43-1))/가정!$B$39)/(1+가정!$B$40)^4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(1-(A13+(가정!$B$38-A13)*(5-1)/(가정!$B$43-1))/가정!$B$39)/(1+가정!$B$40)^5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(1-(A13+(가정!$B$38-A13)*(6-1)/(가정!$B$43-1))/가정!$B$39)/(1+가정!$B$40)^6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+(A13+(가정!$B$38-A13)*(7-1)/(가정!$B$43-1)))*(1-(A13+(가정!$B$38-A13)*(7-1)/(가정!$B$43-1))/가정!$B$39)/(1+가정!$B$40)^7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+(A13+(가정!$B$38-A13)*(7-1)/(가정!$B$43-1)))*(1+(A13+(가정!$B$38-A13)*(8-1)/(가정!$B$43-1)))*(1-(A13+(가정!$B$38-A13)*(8-1)/(가정!$B$43-1))/가정!$B$39)/(1+가정!$B$40)^8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+(A13+(가정!$B$38-A13)*(7-1)/(가정!$B$43-1)))*(1+(A13+(가정!$B$38-A13)*(8-1)/(가정!$B$43-1)))*(1+(A13+(가정!$B$38-A13)*(9-1)/(가정!$B$43-1)))*(1-(A13+(가정!$B$38-A13)*(9-1)/(가정!$B$43-1))/가정!$B$39)/(1+가정!$B$40)^9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+(A13+(가정!$B$38-A13)*(7-1)/(가정!$B$43-1)))*(1+(A13+(가정!$B$38-A13)*(8-1)/(가정!$B$43-1)))*(1+(A13+(가정!$B$38-A13)*(9-1)/(가정!$B$43-1)))*(1+(A13+(가정!$B$38-A13)*(10-1)/(가정!$B$43-1)))*(1-(A13+(가정!$B$38-A13)*(10-1)/(가정!$B$43-1))/가정!$B$39)/(1+가정!$B$40)^10+기준연도!$D$9*(1+(A13+(가정!$B$38-A13)*(1-1)/(가정!$B$43-1)))*(1+(A13+(가정!$B$38-A13)*(2-1)/(가정!$B$43-1)))*(1+(A13+(가정!$B$38-A13)*(3-1)/(가정!$B$43-1)))*(1+(A13+(가정!$B$38-A13)*(4-1)/(가정!$B$43-1)))*(1+(A13+(가정!$B$38-A13)*(5-1)/(가정!$B$43-1)))*(1+(A13+(가정!$B$38-A13)*(6-1)/(가정!$B$43-1)))*(1+(A13+(가정!$B$38-A13)*(7-1)/(가정!$B$43-1)))*(1+(A13+(가정!$B$38-A13)*(8-1)/(가정!$B$43-1)))*(1+(A13+(가정!$B$38-A13)*(9-1)/(가정!$B$43-1)))*(1+(A13+(가정!$B$38-A13)*(10-1)/(가정!$B$43-1)))*(1+가정!$B$41)*(1-가정!$B$41/가정!$B$39)/(가정!$B$40-가정!$B$41)/(1+가정!$B$40)^10+기준연도!$B$14</f>
        <v/>
      </c>
      <c r="D13" s="22">
        <f>C13*1000000000/가정!$B$7</f>
        <v/>
      </c>
      <c r="E13" s="23">
        <f>(C13-가정!$B$46/1000000000)/(가정!$B$46/1000000000)</f>
        <v/>
      </c>
      <c r="F13" s="6">
        <f>IF(B13&gt;1,"재투자율 100% 초과 — 외부조달 필요","자체조달 가능")</f>
        <v/>
      </c>
    </row>
    <row r="15" ht="28" customHeight="1">
      <c r="A15" s="2" t="inlineStr">
        <is>
          <t>이 표에서 시가총액 대비 0%가 되는 지점이 약 34%입니다. FY2020→FY2025 매출 CAGR 31.4%보다 높은 성장률을, 10년 경로의 출발점으로 요구한다는 뜻입니다. 그리고 그 성장률에서 재투자율은 131%이므로 회사는 매년 벌어들이는 세후영업이익보다 많은 돈을 외부에서 조달해야 합니다. 즉 34%도 낙관적으로 계산된 값입니다.</t>
        </is>
      </c>
    </row>
    <row r="16" ht="28" customHeight="1">
      <c r="A16" s="2" t="inlineStr">
        <is>
          <t>다른 두 손잡이도 같이 보아야 합니다. 성장률·증분 ROIC를 낙관에 고정하고 할인율만 맞추면 7.8%이고, 이는 자본비용 참고 범위 9.0~13.0%의 아래입니다. 성장률·할인율을 고정하고 증분 ROIC만 올리면 재투자가 0에 수렴할 만큼 올려도 시가총액에 닿지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2026-09-14T11:09:51Z</dcterms:created>
  <dcterms:modified xsi:type="dcterms:W3CDTF">2026-09-14T11:09:51Z</dcterms:modified>
</cp:coreProperties>
</file>