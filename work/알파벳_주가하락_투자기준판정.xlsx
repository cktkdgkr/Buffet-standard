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정" sheetId="1" state="visible" r:id="rId1"/>
    <sheet name="공시원자료" sheetId="2" state="visible" r:id="rId2"/>
    <sheet name="ROIC" sheetId="3" state="visible" r:id="rId3"/>
    <sheet name="가격" sheetId="4" state="visible" r:id="rId4"/>
    <sheet name="10년RO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#,##0.0"/>
  </numFmts>
  <fonts count="6">
    <font>
      <name val="Calibri"/>
      <family val="2"/>
      <color theme="1"/>
      <sz val="11"/>
      <scheme val="minor"/>
    </font>
    <font>
      <b val="1"/>
      <color rgb="002F4F6F"/>
      <sz val="13"/>
    </font>
    <font>
      <i val="1"/>
      <color rgb="00555555"/>
      <sz val="9"/>
    </font>
    <font>
      <b val="1"/>
      <sz val="10"/>
    </font>
    <font>
      <b val="1"/>
      <color rgb="00FFFFFF"/>
      <sz val="10"/>
    </font>
    <font>
      <b val="1"/>
      <color rgb="002F4F6F"/>
      <sz val="10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2F4F6F"/>
      </patternFill>
    </fill>
    <fill>
      <patternFill patternType="solid">
        <fgColor rgb="00FFF8E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0" fontId="0" fillId="4" borderId="1" pivotButton="0" quotePrefix="0" xfId="0"/>
    <xf numFmtId="0" fontId="0" fillId="0" borderId="1" pivotButton="0" quotePrefix="0" xfId="0"/>
    <xf numFmtId="0" fontId="2" fillId="0" borderId="1" pivotButton="0" quotePrefix="0" xfId="0"/>
    <xf numFmtId="164" fontId="0" fillId="4" borderId="1" pivotButton="0" quotePrefix="0" xfId="0"/>
    <xf numFmtId="3" fontId="0" fillId="4" borderId="1" pivotButton="0" quotePrefix="0" xfId="0"/>
    <xf numFmtId="0" fontId="2" fillId="0" borderId="0" applyAlignment="1" pivotButton="0" quotePrefix="0" xfId="0">
      <alignment vertical="top" wrapText="1"/>
    </xf>
    <xf numFmtId="165" fontId="0" fillId="0" borderId="1" pivotButton="0" quotePrefix="0" xfId="0"/>
    <xf numFmtId="3" fontId="0" fillId="0" borderId="1" pivotButton="0" quotePrefix="0" xfId="0"/>
    <xf numFmtId="3" fontId="0" fillId="5" borderId="1" pivotButton="0" quotePrefix="0" xfId="0"/>
    <xf numFmtId="10" fontId="0" fillId="0" borderId="1" pivotButton="0" quotePrefix="0" xfId="0"/>
    <xf numFmtId="165" fontId="0" fillId="6" borderId="1" pivotButton="0" quotePrefix="0" xfId="0"/>
    <xf numFmtId="165" fontId="0" fillId="5" borderId="1" pivotButton="0" quotePrefix="0" xfId="0"/>
    <xf numFmtId="164" fontId="0" fillId="0" borderId="1" pivotButton="0" quotePrefix="0" xfId="0"/>
    <xf numFmtId="165" fontId="0" fillId="7" borderId="1" pivotButton="0" quotePrefix="0" xfId="0"/>
    <xf numFmtId="166" fontId="0" fillId="0" borderId="1" pivotButton="0" quotePrefix="0" xfId="0"/>
    <xf numFmtId="166" fontId="0" fillId="7" borderId="1" pivotButton="0" quotePrefix="0" xfId="0"/>
    <xf numFmtId="0" fontId="5" fillId="0" borderId="1" pivotButton="0" quotePrefix="0" xfId="0"/>
    <xf numFmtId="165" fontId="0" fillId="4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46" customWidth="1" min="4" max="4"/>
  </cols>
  <sheetData>
    <row r="1">
      <c r="A1" s="1" t="inlineStr">
        <is>
          <t>알파벳 (GOOG) — 주가 하락 원인과 투자기준 판정</t>
        </is>
      </c>
    </row>
    <row r="2">
      <c r="A2" s="2" t="inlineStr">
        <is>
          <t>자료 기준일 2026-10-30 · 10-Q 0001652044-26-000084 (2026-10-29 제출) · 8-K 0001652044-26-000080 (2026-10-28 제출)</t>
        </is>
      </c>
    </row>
    <row r="4">
      <c r="A4" s="3" t="inlineStr">
        <is>
          <t>바꿔 볼 수 있는 가정 (노란 칸을 고치면 전부 다시 계산됩니다)</t>
        </is>
      </c>
      <c r="B4" s="4" t="n"/>
      <c r="C4" s="4" t="n"/>
      <c r="D4" s="4" t="n"/>
      <c r="E4" s="4" t="n"/>
      <c r="F4" s="4" t="n"/>
    </row>
    <row r="5">
      <c r="A5" s="5" t="inlineStr">
        <is>
          <t>항목</t>
        </is>
      </c>
      <c r="B5" s="5" t="inlineStr">
        <is>
          <t>값</t>
        </is>
      </c>
      <c r="C5" s="5" t="inlineStr">
        <is>
          <t>단위</t>
        </is>
      </c>
      <c r="D5" s="5" t="inlineStr">
        <is>
          <t>출처</t>
        </is>
      </c>
    </row>
    <row r="6">
      <c r="A6" s="6" t="inlineStr">
        <is>
          <t>자본비용 (WACC)</t>
        </is>
      </c>
      <c r="B6" s="7" t="n">
        <v>0.1</v>
      </c>
      <c r="C6" s="8" t="inlineStr">
        <is>
          <t>비율</t>
        </is>
      </c>
      <c r="D6" s="9" t="inlineStr">
        <is>
          <t>프로젝트 기준. 50개사 조사와 같은 10%.</t>
        </is>
      </c>
    </row>
    <row r="7">
      <c r="A7" s="6" t="inlineStr">
        <is>
          <t>주가</t>
        </is>
      </c>
      <c r="B7" s="10" t="n">
        <v>282.3200073242188</v>
      </c>
      <c r="C7" s="8" t="inlineStr">
        <is>
          <t>달러</t>
        </is>
      </c>
      <c r="D7" s="9" t="inlineStr">
        <is>
          <t>2026-10-29 종가. https://query1.finance.yahoo.com/v8/finance/chart/GOOG?range=6mo&amp;interval=1d</t>
        </is>
      </c>
    </row>
    <row r="8">
      <c r="A8" s="6" t="inlineStr">
        <is>
          <t>발행주식수</t>
        </is>
      </c>
      <c r="B8" s="11" t="n">
        <v>12294000000</v>
      </c>
      <c r="C8" s="8" t="inlineStr">
        <is>
          <t>주</t>
        </is>
      </c>
      <c r="D8" s="9" t="inlineStr">
        <is>
          <t>10-Q 표지 보통주 합계 (Class A+B+C)</t>
        </is>
      </c>
    </row>
    <row r="9">
      <c r="A9" s="6" t="inlineStr">
        <is>
          <t>TTM 실효세율</t>
        </is>
      </c>
      <c r="B9" s="7" t="n">
        <v>0.1902502816674714</v>
      </c>
      <c r="C9" s="8" t="inlineStr">
        <is>
          <t>비율</t>
        </is>
      </c>
      <c r="D9" s="9" t="inlineStr">
        <is>
          <t>9개월 법인세 ÷ 9개월 세전이익. 평가이익이 섞여 있음</t>
        </is>
      </c>
    </row>
    <row r="10">
      <c r="A10" s="6" t="inlineStr">
        <is>
          <t>법정세율 (대안)</t>
        </is>
      </c>
      <c r="B10" s="7" t="n">
        <v>0.21</v>
      </c>
      <c r="C10" s="8" t="inlineStr">
        <is>
          <t>비율</t>
        </is>
      </c>
      <c r="D10" s="9" t="inlineStr">
        <is>
          <t>연방 법정세율. 바꿔 보기용</t>
        </is>
      </c>
    </row>
    <row r="11" ht="30" customHeight="1">
      <c r="A11" s="12" t="inlineStr">
        <is>
          <t>노란 칸은 공시·시세에서 그대로 읽은 입력값입니다. 나머지 시트의 모든 수치는 이 칸들과 '공시원자료' 시트를 참조하는 수식이며, 값을 붙여넣은 셀은 없습니다.</t>
        </is>
      </c>
    </row>
    <row r="13">
      <c r="A13" s="3" t="inlineStr">
        <is>
          <t>결론 요약</t>
        </is>
      </c>
      <c r="B13" s="4" t="n"/>
      <c r="C13" s="4" t="n"/>
      <c r="D13" s="4" t="n"/>
    </row>
    <row r="14">
      <c r="A14" s="5" t="inlineStr">
        <is>
          <t>기준</t>
        </is>
      </c>
      <c r="B14" s="5" t="inlineStr">
        <is>
          <t>수치</t>
        </is>
      </c>
      <c r="C14" s="5" t="inlineStr">
        <is>
          <t>판정</t>
        </is>
      </c>
      <c r="D14" s="5" t="inlineStr">
        <is>
          <t>근거</t>
        </is>
      </c>
    </row>
    <row r="15">
      <c r="A15" s="6" t="inlineStr">
        <is>
          <t>ROIC (보고 기준)</t>
        </is>
      </c>
      <c r="B15" s="13">
        <f>ROIC!$B$10</f>
        <v>0.2913651960293655</v>
      </c>
      <c r="C15" s="8" t="str">
        <f>IF(B15&gt;가정!$B$6,"합격","불합격")</f>
        <v>합격</v>
      </c>
      <c r="D15" s="9" t="inlineStr">
        <is>
          <t>자기자본 + 차입 − 현금, 기초·기말 평균</t>
        </is>
      </c>
    </row>
    <row r="16">
      <c r="A16" s="6" t="inlineStr">
        <is>
          <t>ROIC (가동자본)</t>
        </is>
      </c>
      <c r="B16" s="13">
        <f>ROIC!$B$12</f>
        <v>0.46470432760017405</v>
      </c>
      <c r="C16" s="8" t="str">
        <f>IF(B16&gt;가정!$B$6,"합격","불합격")</f>
        <v>합격</v>
      </c>
      <c r="D16" s="9" t="inlineStr">
        <is>
          <t>미가동 설비를 분모에서 제외</t>
        </is>
      </c>
    </row>
    <row r="17">
      <c r="A17" s="6" t="inlineStr">
        <is>
          <t>증분 ROIC (가동−지분)</t>
        </is>
      </c>
      <c r="B17" s="13">
        <f>ROIC!$C$21</f>
        <v>0.5318957183702837</v>
      </c>
      <c r="C17" s="8" t="str">
        <f>IF(B17&gt;가정!$B$6,"합격","불합격")</f>
        <v>합격</v>
      </c>
      <c r="D17" s="9" t="inlineStr">
        <is>
          <t>FY2025 → TTM 의 ΔNOPAT ÷ Δ투하자본</t>
        </is>
      </c>
    </row>
    <row r="18">
      <c r="A18" s="6" t="inlineStr">
        <is>
          <t>NOPAT 수익률</t>
        </is>
      </c>
      <c r="B18" s="13">
        <f>가격!$B$11</f>
        <v>0.03662260211139408</v>
      </c>
      <c r="C18" s="8" t="str">
        <f>IF(B18&gt;가정!$B$6,"합격","불합격")</f>
        <v>불합격</v>
      </c>
      <c r="D18" s="9" t="inlineStr">
        <is>
          <t>성장이 없다고 볼 때의 수익률</t>
        </is>
      </c>
    </row>
    <row r="19">
      <c r="A19" s="6" t="inlineStr">
        <is>
          <t>주주이익 수익률 (하단)</t>
        </is>
      </c>
      <c r="B19" s="13">
        <f>가격!$C$19</f>
        <v>0.005689397279551312</v>
      </c>
      <c r="C19" s="8" t="str">
        <f>IF(B19&gt;가정!$B$6,"합격","불합격")</f>
        <v>불합격</v>
      </c>
      <c r="D19" s="9" t="inlineStr">
        <is>
          <t>capex 전액을 비용으로 (= 잉여현금흐름)</t>
        </is>
      </c>
    </row>
    <row r="20">
      <c r="A20" s="6" t="inlineStr">
        <is>
          <t>주주이익 수익률 (상단)</t>
        </is>
      </c>
      <c r="B20" s="13">
        <f>가격!$C$20</f>
        <v>0.04366548306576588</v>
      </c>
      <c r="C20" s="8" t="str">
        <f>IF(B20&gt;가정!$B$6,"합격","불합격")</f>
        <v>불합격</v>
      </c>
      <c r="D20" s="9" t="inlineStr">
        <is>
          <t>감가상각만 비용으로</t>
        </is>
      </c>
    </row>
    <row r="21">
      <c r="A21" s="6" t="inlineStr">
        <is>
          <t>요구 영구성장률</t>
        </is>
      </c>
      <c r="B21" s="13">
        <f>가격!$B$26</f>
        <v>0.06879936544183371</v>
      </c>
      <c r="C21" s="8" t="str">
        <f>IF(B21&lt;가정!$B$6,"요구 조건","설명 불가")</f>
        <v>요구 조건</v>
      </c>
      <c r="D21" s="9" t="inlineStr">
        <is>
          <t>이 칸만 뜻이 반대입니다: 자본비용보다 낮아야 가격이 설명되며, 낮다는 것이 합격을 뜻하지는 않습니다</t>
        </is>
      </c>
    </row>
    <row r="22" ht="30" customHeight="1">
      <c r="A22" s="12" t="inlineStr">
        <is>
          <t>판정 열은 수식입니다 — 자본비용 칸을 8%나 12%로 바꾸면 합격·불합격이 그 자리에서 다시 계산됩니다.</t>
        </is>
      </c>
    </row>
  </sheetData>
  <mergeCells count="2">
    <mergeCell ref="A22:D2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1" topLeftCell="A4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공시에서 읽은 원자료 — 값만 들어 있고 수식은 없습니다</t>
        </is>
      </c>
    </row>
    <row r="3">
      <c r="A3" s="3" t="inlineStr">
        <is>
          <t>손익계산서 (10-Q, 백만 달러)</t>
        </is>
      </c>
      <c r="B3" s="4" t="n"/>
      <c r="C3" s="4" t="n"/>
      <c r="D3" s="4" t="n"/>
      <c r="E3" s="4" t="n"/>
    </row>
    <row r="4">
      <c r="A4" s="5" t="inlineStr">
        <is>
          <t>항목</t>
        </is>
      </c>
      <c r="B4" s="5" t="inlineStr">
        <is>
          <t>Q3 2026</t>
        </is>
      </c>
      <c r="C4" s="5" t="inlineStr">
        <is>
          <t>Q3 2025</t>
        </is>
      </c>
      <c r="D4" s="5" t="inlineStr">
        <is>
          <t>9M 2026</t>
        </is>
      </c>
      <c r="E4" s="5" t="inlineStr">
        <is>
          <t>9M 2025</t>
        </is>
      </c>
    </row>
    <row r="5">
      <c r="A5" s="6" t="inlineStr">
        <is>
          <t>매출</t>
        </is>
      </c>
      <c r="B5" s="11" t="n">
        <v>127577</v>
      </c>
      <c r="C5" s="11" t="n">
        <v>102346</v>
      </c>
      <c r="D5" s="11" t="n">
        <v>357269</v>
      </c>
      <c r="E5" s="11" t="n">
        <v>289007</v>
      </c>
    </row>
    <row r="6">
      <c r="A6" s="6" t="inlineStr">
        <is>
          <t>영업이익</t>
        </is>
      </c>
      <c r="B6" s="11" t="n">
        <v>40576</v>
      </c>
      <c r="C6" s="11" t="n">
        <v>31228</v>
      </c>
      <c r="D6" s="11" t="n">
        <v>121042</v>
      </c>
      <c r="E6" s="11" t="n">
        <v>93105</v>
      </c>
    </row>
    <row r="7">
      <c r="A7" s="6" t="inlineStr">
        <is>
          <t>기타수익 (평가손익)</t>
        </is>
      </c>
      <c r="B7" s="11" t="n">
        <v>-8221</v>
      </c>
      <c r="C7" s="11" t="n">
        <v>12759</v>
      </c>
      <c r="D7" s="11" t="n">
        <v>127478</v>
      </c>
      <c r="E7" s="11" t="n">
        <v>26604</v>
      </c>
    </row>
    <row r="8">
      <c r="A8" s="6" t="inlineStr">
        <is>
          <t>세전이익</t>
        </is>
      </c>
      <c r="B8" s="11" t="n"/>
      <c r="C8" s="11" t="n"/>
      <c r="D8" s="11" t="n">
        <v>248520</v>
      </c>
      <c r="E8" s="11" t="n">
        <v>119709</v>
      </c>
    </row>
    <row r="9">
      <c r="A9" s="6" t="inlineStr">
        <is>
          <t>법인세</t>
        </is>
      </c>
      <c r="B9" s="11" t="n"/>
      <c r="C9" s="11" t="n"/>
      <c r="D9" s="11" t="n">
        <v>47281</v>
      </c>
      <c r="E9" s="11" t="n"/>
    </row>
    <row r="10">
      <c r="A10" s="6" t="inlineStr">
        <is>
          <t>순이익</t>
        </is>
      </c>
      <c r="B10" s="11" t="n">
        <v>26170</v>
      </c>
      <c r="C10" s="11" t="n">
        <v>34979</v>
      </c>
      <c r="D10" s="11" t="n">
        <v>201239</v>
      </c>
      <c r="E10" s="11" t="n">
        <v>97715</v>
      </c>
    </row>
    <row r="11">
      <c r="A11" s="6" t="inlineStr">
        <is>
          <t>희석 EPS (달러)</t>
        </is>
      </c>
      <c r="B11" s="10" t="n">
        <v>2.12</v>
      </c>
      <c r="C11" s="10" t="n">
        <v>2.87</v>
      </c>
      <c r="D11" s="10" t="n">
        <v>16.33</v>
      </c>
      <c r="E11" s="10" t="n">
        <v>7.99</v>
      </c>
    </row>
    <row r="13">
      <c r="A13" s="3" t="inlineStr">
        <is>
          <t>FY2025 10-K (백만 달러)</t>
        </is>
      </c>
      <c r="B13" s="4" t="n"/>
      <c r="C13" s="4" t="n"/>
      <c r="D13" s="4" t="n"/>
      <c r="E13" s="4" t="n"/>
    </row>
    <row r="14">
      <c r="A14" s="5" t="inlineStr">
        <is>
          <t>항목</t>
        </is>
      </c>
      <c r="B14" s="5" t="inlineStr">
        <is>
          <t>FY2025</t>
        </is>
      </c>
    </row>
    <row r="15">
      <c r="A15" s="6" t="inlineStr">
        <is>
          <t>영업이익</t>
        </is>
      </c>
      <c r="B15" s="11" t="n">
        <v>129039</v>
      </c>
    </row>
    <row r="16">
      <c r="A16" s="6" t="inlineStr">
        <is>
          <t>실효세율</t>
        </is>
      </c>
      <c r="B16" s="7" t="n">
        <v>0.1678314633624218</v>
      </c>
    </row>
    <row r="17">
      <c r="A17" s="6" t="inlineStr">
        <is>
          <t>감가상각비</t>
        </is>
      </c>
      <c r="B17" s="11" t="n">
        <v>21136</v>
      </c>
    </row>
    <row r="19">
      <c r="A19" s="3" t="inlineStr">
        <is>
          <t>대차대조표 (10-Q, 백만 달러)</t>
        </is>
      </c>
      <c r="B19" s="4" t="n"/>
      <c r="C19" s="4" t="n"/>
      <c r="D19" s="4" t="n"/>
      <c r="E19" s="4" t="n"/>
    </row>
    <row r="20">
      <c r="A20" s="5" t="inlineStr">
        <is>
          <t>항목</t>
        </is>
      </c>
      <c r="B20" s="5" t="inlineStr">
        <is>
          <t>2026-09-30</t>
        </is>
      </c>
      <c r="C20" s="5" t="inlineStr">
        <is>
          <t>2025-12-31</t>
        </is>
      </c>
    </row>
    <row r="21">
      <c r="A21" s="6" t="inlineStr">
        <is>
          <t>자기자본</t>
        </is>
      </c>
      <c r="B21" s="11" t="n">
        <v>677549</v>
      </c>
      <c r="C21" s="11" t="n">
        <v>415265</v>
      </c>
    </row>
    <row r="22">
      <c r="A22" s="6" t="inlineStr">
        <is>
          <t>이자부 장기차입금</t>
        </is>
      </c>
      <c r="B22" s="11" t="n">
        <v>125102</v>
      </c>
      <c r="C22" s="11" t="n">
        <v>46547</v>
      </c>
    </row>
    <row r="23">
      <c r="A23" s="6" t="inlineStr">
        <is>
          <t>현금·단기투자</t>
        </is>
      </c>
      <c r="B23" s="11" t="n">
        <v>265098</v>
      </c>
      <c r="C23" s="11" t="n">
        <v>126843</v>
      </c>
    </row>
    <row r="24">
      <c r="A24" s="6" t="inlineStr">
        <is>
          <t>영업권</t>
        </is>
      </c>
      <c r="B24" s="11" t="n">
        <v>58117</v>
      </c>
      <c r="C24" s="11" t="n">
        <v>33380</v>
      </c>
    </row>
    <row r="25">
      <c r="A25" s="6" t="inlineStr">
        <is>
          <t>무형자산</t>
        </is>
      </c>
      <c r="B25" s="11" t="n">
        <v>8817</v>
      </c>
      <c r="C25" s="11" t="n">
        <v>1283</v>
      </c>
    </row>
    <row r="26">
      <c r="A26" s="6" t="inlineStr">
        <is>
          <t>비시장성 투자지분</t>
        </is>
      </c>
      <c r="B26" s="11" t="n">
        <v>135230</v>
      </c>
      <c r="C26" s="11" t="n">
        <v>68687</v>
      </c>
    </row>
    <row r="27">
      <c r="A27" s="6" t="inlineStr">
        <is>
          <t>미가동 설비</t>
        </is>
      </c>
      <c r="B27" s="11" t="n">
        <v>145270</v>
      </c>
      <c r="C27" s="11" t="n">
        <v>78592</v>
      </c>
    </row>
    <row r="28">
      <c r="A28" s="6" t="inlineStr">
        <is>
          <t>총자산</t>
        </is>
      </c>
      <c r="B28" s="11" t="n">
        <v>1003312</v>
      </c>
      <c r="C28" s="11" t="n">
        <v>595281</v>
      </c>
    </row>
    <row r="30">
      <c r="A30" s="3" t="inlineStr">
        <is>
          <t>현금흐름 (8-K 발표문 조정표, 백만 달러)</t>
        </is>
      </c>
      <c r="B30" s="4" t="n"/>
      <c r="C30" s="4" t="n"/>
      <c r="D30" s="4" t="n"/>
      <c r="E30" s="4" t="n"/>
    </row>
    <row r="31">
      <c r="A31" s="5" t="inlineStr">
        <is>
          <t>기간</t>
        </is>
      </c>
      <c r="B31" s="5" t="inlineStr">
        <is>
          <t>영업현금흐름</t>
        </is>
      </c>
      <c r="C31" s="5" t="inlineStr">
        <is>
          <t>capex</t>
        </is>
      </c>
      <c r="D31" s="5" t="inlineStr">
        <is>
          <t>잉여현금흐름 (수식)</t>
        </is>
      </c>
    </row>
    <row r="32">
      <c r="A32" s="6" t="inlineStr">
        <is>
          <t>Q4 2025</t>
        </is>
      </c>
      <c r="B32" s="11" t="n">
        <v>52402</v>
      </c>
      <c r="C32" s="11" t="n">
        <v>-27851</v>
      </c>
      <c r="D32" s="14">
        <f>B32+C32</f>
        <v>24551.0</v>
      </c>
    </row>
    <row r="33">
      <c r="A33" s="6" t="inlineStr">
        <is>
          <t>Q1 2026</t>
        </is>
      </c>
      <c r="B33" s="11" t="n">
        <v>45790</v>
      </c>
      <c r="C33" s="11" t="n">
        <v>-35674</v>
      </c>
      <c r="D33" s="14">
        <f>B33+C33</f>
        <v>10116.0</v>
      </c>
    </row>
    <row r="34">
      <c r="A34" s="6" t="inlineStr">
        <is>
          <t>Q2 2026</t>
        </is>
      </c>
      <c r="B34" s="11" t="n">
        <v>39069</v>
      </c>
      <c r="C34" s="11" t="n">
        <v>-44924</v>
      </c>
      <c r="D34" s="14">
        <f>B34+C34</f>
        <v>-5855.0</v>
      </c>
    </row>
    <row r="35">
      <c r="A35" s="6" t="inlineStr">
        <is>
          <t>Q3 2026</t>
        </is>
      </c>
      <c r="B35" s="11" t="n">
        <v>42290</v>
      </c>
      <c r="C35" s="11" t="n">
        <v>-51355</v>
      </c>
      <c r="D35" s="14">
        <f>B35+C35</f>
        <v>-9065.0</v>
      </c>
    </row>
    <row r="36">
      <c r="A36" s="6" t="inlineStr">
        <is>
          <t>TTM Q3 2026</t>
        </is>
      </c>
      <c r="B36" s="11" t="n">
        <v>179551</v>
      </c>
      <c r="C36" s="11" t="n">
        <v>-159804</v>
      </c>
      <c r="D36" s="14">
        <f>B36+C36</f>
        <v>19747.0</v>
      </c>
    </row>
    <row r="37">
      <c r="A37" s="6" t="inlineStr">
        <is>
          <t>검산: 네 분기 합 = TTM</t>
        </is>
      </c>
      <c r="B37" s="14">
        <f>B32+B33+B34+B35</f>
        <v>179551.0</v>
      </c>
      <c r="C37" s="14">
        <f>C32+C33+C34+C35</f>
        <v>-159804.0</v>
      </c>
      <c r="D37" s="8" t="str">
        <f>IF(ROUND(B37-B36,0)=0,"일치","불일치")</f>
        <v>일치</v>
      </c>
    </row>
    <row r="38" ht="30" customHeight="1">
      <c r="A38" s="12" t="inlineStr">
        <is>
          <t>잉여현금흐름 열은 수식입니다. 회사 자신의 정의(영업현금흐름 − capex)이고, capex 는 음수로 입력돼 있으므로 더합니다. 마지막 줄은 네 분기 합이 TTM 과 맞는지 엑셀 안에서 다시 검산합니다.</t>
        </is>
      </c>
    </row>
    <row r="40">
      <c r="A40" s="3" t="inlineStr">
        <is>
          <t>재무활동 9개월 누적 (10-Q, 백만 달러)</t>
        </is>
      </c>
      <c r="B40" s="4" t="n"/>
      <c r="C40" s="4" t="n"/>
      <c r="D40" s="4" t="n"/>
      <c r="E40" s="4" t="n"/>
    </row>
    <row r="41">
      <c r="A41" s="5" t="inlineStr">
        <is>
          <t>항목</t>
        </is>
      </c>
      <c r="B41" s="5" t="inlineStr">
        <is>
          <t>2026</t>
        </is>
      </c>
      <c r="C41" s="5" t="inlineStr">
        <is>
          <t>2025</t>
        </is>
      </c>
    </row>
    <row r="42">
      <c r="A42" s="6" t="inlineStr">
        <is>
          <t>자사주 매입</t>
        </is>
      </c>
      <c r="B42" s="11" t="n">
        <v>0</v>
      </c>
      <c r="C42" s="11" t="n">
        <v>-39810</v>
      </c>
    </row>
    <row r="43">
      <c r="A43" s="6" t="inlineStr">
        <is>
          <t>차입 조달</t>
        </is>
      </c>
      <c r="B43" s="11" t="n">
        <v>85222</v>
      </c>
      <c r="C43" s="11" t="n">
        <v>38002</v>
      </c>
    </row>
    <row r="44">
      <c r="A44" s="6" t="inlineStr">
        <is>
          <t>보통주 발행 (ATM)</t>
        </is>
      </c>
      <c r="B44" s="11" t="n">
        <v>42870</v>
      </c>
      <c r="C44" s="11" t="n">
        <v>0</v>
      </c>
    </row>
    <row r="45">
      <c r="A45" s="6" t="inlineStr">
        <is>
          <t>우선주 발행</t>
        </is>
      </c>
      <c r="B45" s="11" t="n">
        <v>19063</v>
      </c>
      <c r="C45" s="11" t="n">
        <v>0</v>
      </c>
    </row>
    <row r="46">
      <c r="A46" s="6" t="inlineStr">
        <is>
          <t>배당</t>
        </is>
      </c>
      <c r="B46" s="11" t="n">
        <v>-8167</v>
      </c>
      <c r="C46" s="11" t="n">
        <v>-7513</v>
      </c>
    </row>
    <row r="47">
      <c r="A47" s="6" t="inlineStr">
        <is>
          <t>외부자금 조달 합계 (수식)</t>
        </is>
      </c>
      <c r="B47" s="15">
        <f>B43+B44+B45</f>
        <v>147155.0</v>
      </c>
      <c r="C47" s="14">
        <f>C43+C44+C45</f>
        <v>38002.0</v>
      </c>
    </row>
  </sheetData>
  <mergeCells count="1">
    <mergeCell ref="A38:D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투하자본이익률 — 네 가지 분모</t>
        </is>
      </c>
    </row>
    <row r="3">
      <c r="A3" s="6" t="inlineStr">
        <is>
          <t>TTM 영업이익 (= FY2025 − 9M2025 + 9M2026)</t>
        </is>
      </c>
      <c r="B3" s="14">
        <f>공시원자료!B15-공시원자료!E6+공시원자료!D6</f>
        <v>156976.0</v>
      </c>
    </row>
    <row r="4">
      <c r="A4" s="6" t="inlineStr">
        <is>
          <t>실효세율 (가정 시트)</t>
        </is>
      </c>
      <c r="B4" s="16">
        <f>가정!$B$9</f>
        <v>0.1902502816674714</v>
      </c>
    </row>
    <row r="5">
      <c r="A5" s="6" t="inlineStr">
        <is>
          <t>NOPAT = 영업이익 × (1 − 실효세율)</t>
        </is>
      </c>
      <c r="B5" s="14">
        <f>$B$3*(1-$B$4)</f>
        <v>127111.27178496702</v>
      </c>
    </row>
    <row r="6">
      <c r="A6" s="6" t="inlineStr">
        <is>
          <t>NOPAT (법정세율 21% 적용 시)</t>
        </is>
      </c>
      <c r="B6" s="14">
        <f>$B$3*(1-가정!$B$10)</f>
        <v>124011.04000000001</v>
      </c>
    </row>
    <row r="8">
      <c r="A8" s="3" t="inlineStr">
        <is>
          <t>분모 네 가지와 ROIC</t>
        </is>
      </c>
      <c r="B8" s="4" t="n"/>
      <c r="C8" s="4" t="n"/>
      <c r="D8" s="4" t="n"/>
      <c r="E8" s="4" t="n"/>
      <c r="F8" s="4" t="n"/>
    </row>
    <row r="9">
      <c r="A9" s="5" t="inlineStr">
        <is>
          <t>투하자본 기준</t>
        </is>
      </c>
      <c r="B9" s="5" t="inlineStr">
        <is>
          <t>ROIC (TTM)</t>
        </is>
      </c>
      <c r="C9" s="5" t="inlineStr">
        <is>
          <t>기초</t>
        </is>
      </c>
      <c r="D9" s="5" t="inlineStr">
        <is>
          <t>기말</t>
        </is>
      </c>
      <c r="E9" s="5" t="inlineStr">
        <is>
          <t>평균 (수식)</t>
        </is>
      </c>
      <c r="F9" s="5" t="inlineStr">
        <is>
          <t>스프레드 (수식)</t>
        </is>
      </c>
    </row>
    <row r="10">
      <c r="A10" s="6" t="inlineStr">
        <is>
          <t>보고 기준</t>
        </is>
      </c>
      <c r="B10" s="17">
        <f>$B$5/E10</f>
        <v>0.2913651960293655</v>
      </c>
      <c r="C10" s="14">
        <f>공시원자료!C21+공시원자료!C22-공시원자료!C23</f>
        <v>334969.0</v>
      </c>
      <c r="D10" s="14">
        <f>공시원자료!B21+공시원자료!B22-공시원자료!B23</f>
        <v>537553.0</v>
      </c>
      <c r="E10" s="14">
        <f>AVERAGE(C10:D10)</f>
        <v>436261.0</v>
      </c>
      <c r="F10" s="13">
        <f>B10-가정!$B$6</f>
        <v>0.1913651960293655</v>
      </c>
    </row>
    <row r="11">
      <c r="A11" s="6" t="inlineStr">
        <is>
          <t>영업 (−영업권·무형)</t>
        </is>
      </c>
      <c r="B11" s="17">
        <f>$B$5/E11</f>
        <v>0.3297630036254292</v>
      </c>
      <c r="C11" s="14">
        <f>공시원자료!C21+공시원자료!C22-공시원자료!C23-공시원자료!C24-공시원자료!C25</f>
        <v>300306.0</v>
      </c>
      <c r="D11" s="14">
        <f>공시원자료!B21+공시원자료!B22-공시원자료!B23-공시원자료!B24-공시원자료!B25</f>
        <v>470619.0</v>
      </c>
      <c r="E11" s="14">
        <f>AVERAGE(C11:D11)</f>
        <v>385462.5</v>
      </c>
      <c r="F11" s="13">
        <f>B11-가정!$B$6</f>
        <v>0.2297630036254292</v>
      </c>
    </row>
    <row r="12">
      <c r="A12" s="6" t="inlineStr">
        <is>
          <t>가동 (−미가동 설비)</t>
        </is>
      </c>
      <c r="B12" s="17">
        <f>$B$5/E12</f>
        <v>0.46470432760017405</v>
      </c>
      <c r="C12" s="14">
        <f>공시원자료!C21+공시원자료!C22-공시원자료!C23-공시원자료!C24-공시원자료!C25-공시원자료!C27</f>
        <v>221714.0</v>
      </c>
      <c r="D12" s="14">
        <f>공시원자료!B21+공시원자료!B22-공시원자료!B23-공시원자료!B24-공시원자료!B25-공시원자료!B27</f>
        <v>325349.0</v>
      </c>
      <c r="E12" s="14">
        <f>AVERAGE(C12:D12)</f>
        <v>273531.5</v>
      </c>
      <c r="F12" s="13">
        <f>B12-가정!$B$6</f>
        <v>0.364704327600174</v>
      </c>
    </row>
    <row r="13">
      <c r="A13" s="6" t="inlineStr">
        <is>
          <t>가동 − 투자지분</t>
        </is>
      </c>
      <c r="B13" s="17">
        <f>$B$5/E13</f>
        <v>0.7408582456736609</v>
      </c>
      <c r="C13" s="14">
        <f>공시원자료!C21+공시원자료!C22-공시원자료!C23-공시원자료!C24-공시원자료!C25-공시원자료!C27-공시원자료!C26</f>
        <v>153027.0</v>
      </c>
      <c r="D13" s="14">
        <f>공시원자료!B21+공시원자료!B22-공시원자료!B23-공시원자료!B24-공시원자료!B25-공시원자료!B27-공시원자료!B26</f>
        <v>190119.0</v>
      </c>
      <c r="E13" s="14">
        <f>AVERAGE(C13:D13)</f>
        <v>171573.0</v>
      </c>
      <c r="F13" s="13">
        <f>B13-가정!$B$6</f>
        <v>0.6408582456736609</v>
      </c>
    </row>
    <row r="14" ht="30" customHeight="1">
      <c r="A14" s="12" t="inlineStr">
        <is>
          <t>분모는 기초·기말 평균입니다(프로젝트 기준). 각 분모가 어떻게 쌓였는지는 수식 바에서 바로 보입니다: 보고 기준 = 자기자본 + 차입 − 현금 / 영업 (−영업권·무형) = 보고 − 영업권 − 무형자산 / 가동 (−미가동 설비) = 영업 − 미가동 설비 / 가동 − 투자지분 = 가동 − 비시장성 투자지분</t>
        </is>
      </c>
    </row>
    <row r="16">
      <c r="A16" s="3" t="inlineStr">
        <is>
          <t>증분 수익성 (FY2025 → TTM)</t>
        </is>
      </c>
      <c r="B16" s="4" t="n"/>
      <c r="C16" s="4" t="n"/>
      <c r="D16" s="4" t="n"/>
      <c r="E16" s="4" t="n"/>
      <c r="F16" s="4" t="n"/>
    </row>
    <row r="17">
      <c r="A17" s="5" t="inlineStr">
        <is>
          <t>항목</t>
        </is>
      </c>
      <c r="B17" s="5" t="inlineStr">
        <is>
          <t>보고 기준</t>
        </is>
      </c>
      <c r="C17" s="5" t="inlineStr">
        <is>
          <t>가동 − 지분 기준</t>
        </is>
      </c>
    </row>
    <row r="18">
      <c r="A18" s="6" t="inlineStr">
        <is>
          <t>FY2025 NOPAT</t>
        </is>
      </c>
      <c r="B18" s="14">
        <f>공시원자료!B15*(1-공시원자료!B16)</f>
        <v>107382.19579917645</v>
      </c>
    </row>
    <row r="19">
      <c r="A19" s="6" t="inlineStr">
        <is>
          <t>ΔNOPAT</t>
        </is>
      </c>
      <c r="B19" s="14">
        <f>$B$5-$B$18</f>
        <v>19729.075985790565</v>
      </c>
      <c r="C19" s="14">
        <f>B19</f>
        <v>19729.075985790565</v>
      </c>
    </row>
    <row r="20">
      <c r="A20" s="6" t="inlineStr">
        <is>
          <t>Δ투하자본 (기말 − 기초)</t>
        </is>
      </c>
      <c r="B20" s="14">
        <f>D10-C10</f>
        <v>202584.0</v>
      </c>
      <c r="C20" s="14">
        <f>D13-C13</f>
        <v>37092.0</v>
      </c>
    </row>
    <row r="21">
      <c r="A21" s="6" t="inlineStr">
        <is>
          <t>증분 ROIC</t>
        </is>
      </c>
      <c r="B21" s="18">
        <f>B19/B20</f>
        <v>0.09738713810464086</v>
      </c>
      <c r="C21" s="17">
        <f>C19/C20</f>
        <v>0.5318957183702837</v>
      </c>
    </row>
    <row r="22" ht="30" customHeight="1">
      <c r="A22" s="12" t="inlineStr">
        <is>
          <t>FY2025 → TTM 2026-09. 보고 기준 분모에는 투자자산 평가이익이 자기자본으로 들어와 있어, 영업이익을 낼 수 없는 자본이 포함됩니다.</t>
        </is>
      </c>
    </row>
  </sheetData>
  <mergeCells count="2">
    <mergeCell ref="A14:F14"/>
    <mergeCell ref="A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41" topLeftCell="A4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가격이 요구하는 것</t>
        </is>
      </c>
    </row>
    <row r="3">
      <c r="A3" s="5" t="inlineStr">
        <is>
          <t>항목</t>
        </is>
      </c>
      <c r="B3" s="5" t="inlineStr">
        <is>
          <t>값</t>
        </is>
      </c>
      <c r="C3" s="5" t="inlineStr">
        <is>
          <t>수식 / 근거</t>
        </is>
      </c>
    </row>
    <row r="4">
      <c r="A4" s="6" t="inlineStr">
        <is>
          <t>주가</t>
        </is>
      </c>
      <c r="B4" s="19">
        <f>가정!$B$7</f>
        <v>282.3200073242188</v>
      </c>
      <c r="C4" s="9" t="inlineStr">
        <is>
          <t>2026-10-29 종가</t>
        </is>
      </c>
    </row>
    <row r="5">
      <c r="A5" s="6" t="inlineStr">
        <is>
          <t>발행주식수</t>
        </is>
      </c>
      <c r="B5" s="14">
        <f>가정!$B$8</f>
        <v>12294000000</v>
      </c>
      <c r="C5" s="9" t="inlineStr">
        <is>
          <t>10-Q 표지</t>
        </is>
      </c>
    </row>
    <row r="6">
      <c r="A6" s="6" t="inlineStr">
        <is>
          <t>시가총액 (백만 달러)</t>
        </is>
      </c>
      <c r="B6" s="14">
        <f>가정!$B$7*$B$5/1000000</f>
        <v>3470842.170043946</v>
      </c>
    </row>
    <row r="7">
      <c r="A7" s="6" t="inlineStr">
        <is>
          <t>TTM NOPAT (백만 달러)</t>
        </is>
      </c>
      <c r="B7" s="14">
        <f>ROIC!$B$5</f>
        <v>127111.27178496702</v>
      </c>
    </row>
    <row r="8">
      <c r="A8" s="6" t="inlineStr">
        <is>
          <t>TTM 잉여현금흐름 (백만 달러)</t>
        </is>
      </c>
      <c r="B8" s="14">
        <f>공시원자료!D36</f>
        <v>19747.0</v>
      </c>
    </row>
    <row r="9">
      <c r="A9" s="6" t="inlineStr">
        <is>
          <t>TTM 영업현금흐름 (백만 달러)</t>
        </is>
      </c>
      <c r="B9" s="14">
        <f>공시원자료!B36</f>
        <v>179551</v>
      </c>
    </row>
    <row r="10">
      <c r="A10" s="6" t="inlineStr">
        <is>
          <t>TTM 감가상각비 (백만 달러)</t>
        </is>
      </c>
      <c r="B10" s="14">
        <f>공시원자료!B17-15096+21955</f>
        <v>27995.0</v>
      </c>
    </row>
    <row r="11">
      <c r="A11" s="6" t="inlineStr">
        <is>
          <t>NOPAT 수익률</t>
        </is>
      </c>
      <c r="B11" s="20">
        <f>$B$7/$B$6</f>
        <v>0.03662260211139408</v>
      </c>
      <c r="C11" s="9" t="inlineStr">
        <is>
          <t>TTM NOPAT ÷ 시가총액. 성장이 없다고 볼 때의 수익률</t>
        </is>
      </c>
    </row>
    <row r="12">
      <c r="A12" s="6" t="inlineStr">
        <is>
          <t>주가 ÷ NOPAT</t>
        </is>
      </c>
      <c r="B12" s="21">
        <f>$B$6/$B$7</f>
        <v>27.305541997215936</v>
      </c>
    </row>
    <row r="13">
      <c r="A13" s="6" t="inlineStr">
        <is>
          <t>주가 ÷ 잉여현금흐름</t>
        </is>
      </c>
      <c r="B13" s="21">
        <f>$B$6/$B$8</f>
        <v>175.7655426162934</v>
      </c>
    </row>
    <row r="14">
      <c r="A14" s="6" t="inlineStr">
        <is>
          <t>10% 수익에 필요한 NOPAT</t>
        </is>
      </c>
      <c r="B14" s="14">
        <f>$B$6*가정!$B$6</f>
        <v>347084.2170043946</v>
      </c>
    </row>
    <row r="15">
      <c r="A15" s="6" t="inlineStr">
        <is>
          <t>현재 NOPAT의 몇 배</t>
        </is>
      </c>
      <c r="B15" s="22">
        <f>B14/$B$7</f>
        <v>2.730554199721594</v>
      </c>
    </row>
    <row r="17">
      <c r="A17" s="3" t="inlineStr">
        <is>
          <t>주주이익 밴드</t>
        </is>
      </c>
      <c r="B17" s="4" t="n"/>
      <c r="C17" s="4" t="n"/>
    </row>
    <row r="18">
      <c r="A18" s="5" t="inlineStr">
        <is>
          <t>기준</t>
        </is>
      </c>
      <c r="B18" s="5" t="inlineStr">
        <is>
          <t>금액 (백만)</t>
        </is>
      </c>
      <c r="C18" s="5" t="inlineStr">
        <is>
          <t>함의 수익률</t>
        </is>
      </c>
    </row>
    <row r="19">
      <c r="A19" s="6" t="inlineStr">
        <is>
          <t>하단 — capex 전액을 비용으로</t>
        </is>
      </c>
      <c r="B19" s="14">
        <f>$B$8</f>
        <v>19747.0</v>
      </c>
      <c r="C19" s="20">
        <f>B19/$B$6</f>
        <v>0.005689397279551312</v>
      </c>
    </row>
    <row r="20">
      <c r="A20" s="6" t="inlineStr">
        <is>
          <t>상단 — 감가상각만 비용으로</t>
        </is>
      </c>
      <c r="B20" s="14">
        <f>$B$9-$B$10</f>
        <v>151556.0</v>
      </c>
      <c r="C20" s="20">
        <f>B20/$B$6</f>
        <v>0.04366548306576588</v>
      </c>
    </row>
    <row r="21" ht="30" customHeight="1">
      <c r="A21" s="12" t="inlineStr">
        <is>
          <t>진실은 둘 사이에 있습니다. 지금 간격이 비정상적으로 넓은 것은 이미 쓴 미가동 설비가 감가상각에 아직 반영되지 않았기 때문입니다.</t>
        </is>
      </c>
    </row>
    <row r="23">
      <c r="A23" s="3" t="inlineStr">
        <is>
          <t>영구성장 모형 — 가격이 요구하는 성장률</t>
        </is>
      </c>
      <c r="B23" s="4" t="n"/>
      <c r="C23" s="4" t="n"/>
      <c r="D23" s="4" t="n"/>
    </row>
    <row r="24">
      <c r="A24" s="23" t="inlineStr">
        <is>
          <t>기업가치 = NOPAT × (1 − g ÷ 증분ROIC) ÷ (WACC − g)</t>
        </is>
      </c>
    </row>
    <row r="25">
      <c r="A25" s="6" t="inlineStr">
        <is>
          <t>증분 ROIC (가동 기준 ROIC 적용)</t>
        </is>
      </c>
      <c r="B25" s="13">
        <f>ROIC!$B$12</f>
        <v>0.46470432760017405</v>
      </c>
    </row>
    <row r="26">
      <c r="A26" s="6" t="inlineStr">
        <is>
          <t>요구 영구성장률 (역산)</t>
        </is>
      </c>
      <c r="B26" s="20">
        <f>($B$6*가정!$B$6-$B$7)/($B$6-$B$7/$B$25)</f>
        <v>0.06879936544183371</v>
      </c>
    </row>
    <row r="27">
      <c r="A27" s="6" t="inlineStr">
        <is>
          <t>검산: g 를 모형에 되넣으면 시가총액</t>
        </is>
      </c>
      <c r="B27" s="14">
        <f>$B$7*(1-$B$26/$B$25)/(가정!$B$6-$B$26)</f>
        <v>3470842.170043947</v>
      </c>
      <c r="C27" s="8" t="str">
        <f>IF(ROUND(B27-$B$6,0)=0,"일치","불일치")</f>
        <v>일치</v>
      </c>
    </row>
    <row r="28" ht="30" customHeight="1">
      <c r="A28" s="12" t="inlineStr">
        <is>
          <t>요구 성장률은 반복 계산이 아니라 닫힌 해입니다: g = (V·k − N) ÷ (V − N÷증분ROIC). 바로 아래 줄에서 그 g 를 모형에 되넣어 시가총액이 복원되는지 엑셀 안에서 검산합니다.</t>
        </is>
      </c>
    </row>
    <row r="30">
      <c r="A30" s="3" t="inlineStr">
        <is>
          <t>성장률 민감도 (할인율은 가정 시트 값)</t>
        </is>
      </c>
      <c r="B30" s="4" t="n"/>
      <c r="C30" s="4" t="n"/>
      <c r="D30" s="4" t="n"/>
    </row>
    <row r="31">
      <c r="A31" s="5" t="inlineStr">
        <is>
          <t>영구 성장률</t>
        </is>
      </c>
      <c r="B31" s="5" t="inlineStr">
        <is>
          <t>기업가치 (백만)</t>
        </is>
      </c>
      <c r="C31" s="5" t="inlineStr">
        <is>
          <t>주당 가치</t>
        </is>
      </c>
      <c r="D31" s="5" t="inlineStr">
        <is>
          <t>현재가 대비</t>
        </is>
      </c>
    </row>
    <row r="32">
      <c r="A32" s="24" t="n">
        <v>0.03</v>
      </c>
      <c r="B32" s="14">
        <f>$B$7*(1-A32/$B$25)/(가정!$B$6-A32)</f>
        <v>1698647.5254995285</v>
      </c>
      <c r="C32" s="19">
        <f>B32*1000000/$B$5</f>
        <v>138.1688242638302</v>
      </c>
      <c r="D32" s="20">
        <f>C32/가정!$B$7-1</f>
        <v>-0.5105949961769592</v>
      </c>
    </row>
    <row r="33">
      <c r="A33" s="24" t="n">
        <v>0.04</v>
      </c>
      <c r="B33" s="14">
        <f>$B$7*(1-A33/$B$25)/(가정!$B$6-A33)</f>
        <v>1936166.8630827835</v>
      </c>
      <c r="C33" s="19">
        <f>B33*1000000/$B$5</f>
        <v>157.48876387528742</v>
      </c>
      <c r="D33" s="20">
        <f>C33/가정!$B$7-1</f>
        <v>-0.44216222800523686</v>
      </c>
    </row>
    <row r="34">
      <c r="A34" s="24" t="n">
        <v>0.05</v>
      </c>
      <c r="B34" s="14">
        <f>$B$7*(1-A34/$B$25)/(가정!$B$6-A34)</f>
        <v>2268693.9356993404</v>
      </c>
      <c r="C34" s="19">
        <f>B34*1000000/$B$5</f>
        <v>184.5366793313275</v>
      </c>
      <c r="D34" s="20">
        <f>C34/가정!$B$7-1</f>
        <v>-0.3463563525648258</v>
      </c>
    </row>
    <row r="35">
      <c r="A35" s="24" t="n">
        <v>0.06</v>
      </c>
      <c r="B35" s="14">
        <f>$B$7*(1-A35/$B$25)/(가정!$B$6-A35)</f>
        <v>2767484.5446241745</v>
      </c>
      <c r="C35" s="19">
        <f>B35*1000000/$B$5</f>
        <v>225.10855251538754</v>
      </c>
      <c r="D35" s="20">
        <f>C35/가정!$B$7-1</f>
        <v>-0.2026475394042092</v>
      </c>
    </row>
    <row r="36">
      <c r="A36" s="24" t="n">
        <v>0.07000000000000001</v>
      </c>
      <c r="B36" s="14">
        <f>$B$7*(1-A36/$B$25)/(가정!$B$6-A36)</f>
        <v>3598802.226165567</v>
      </c>
      <c r="C36" s="19">
        <f>B36*1000000/$B$5</f>
        <v>292.7283411554878</v>
      </c>
      <c r="D36" s="17">
        <f>C36/가정!$B$7-1</f>
        <v>0.03686714919681888</v>
      </c>
    </row>
    <row r="37">
      <c r="A37" s="24" t="n">
        <v>0.08</v>
      </c>
      <c r="B37" s="14">
        <f>$B$7*(1-A37/$B$25)/(가정!$B$6-A37)</f>
        <v>5261437.58924835</v>
      </c>
      <c r="C37" s="19">
        <f>B37*1000000/$B$5</f>
        <v>427.9679184356881</v>
      </c>
      <c r="D37" s="17">
        <f>C37/가정!$B$7-1</f>
        <v>0.5158965263988744</v>
      </c>
    </row>
    <row r="38" ht="30" customHeight="1">
      <c r="A38" s="12" t="inlineStr">
        <is>
          <t>성장률 칸(노란색)을 고치면 세 열이 따라 움직입니다. 3%p 차이로 가치가 2배 넘게 벌어지는 것이 이 표의 요점입니다 — 성장률이 할인율에 가까워질수록 분모가 0 으로 가기 때문입니다. '적정주가'로 읽으면 안 됩니다.</t>
        </is>
      </c>
    </row>
    <row r="40">
      <c r="A40" s="3" t="inlineStr">
        <is>
          <t>가격별 요구 성장률 (같은 모형을 거꾸로)</t>
        </is>
      </c>
      <c r="B40" s="4" t="n"/>
      <c r="C40" s="4" t="n"/>
    </row>
    <row r="41">
      <c r="A41" s="5" t="inlineStr">
        <is>
          <t>주가</t>
        </is>
      </c>
      <c r="B41" s="5" t="inlineStr">
        <is>
          <t>시가총액 (백만)</t>
        </is>
      </c>
      <c r="C41" s="5" t="inlineStr">
        <is>
          <t>요구 영구성장률</t>
        </is>
      </c>
    </row>
    <row r="42">
      <c r="A42" s="10" t="n">
        <v>200</v>
      </c>
      <c r="B42" s="14">
        <f>A42*$B$5/1000000</f>
        <v>2458800.0</v>
      </c>
      <c r="C42" s="20">
        <f>(B42*가정!$B$6-$B$7)/(B42-$B$7/$B$25)</f>
        <v>0.05434971867989356</v>
      </c>
    </row>
    <row r="43">
      <c r="A43" s="10" t="n">
        <v>250</v>
      </c>
      <c r="B43" s="14">
        <f>A43*$B$5/1000000</f>
        <v>3073500.0</v>
      </c>
      <c r="C43" s="20">
        <f>(B43*가정!$B$6-$B$7)/(B43-$B$7/$B$25)</f>
        <v>0.0643716985441204</v>
      </c>
    </row>
    <row r="44">
      <c r="A44" s="25" t="n">
        <v>282.3200073242188</v>
      </c>
      <c r="B44" s="14">
        <f>A44*$B$5/1000000</f>
        <v>3470842.170043946</v>
      </c>
      <c r="C44" s="20">
        <f>(B44*가정!$B$6-$B$7)/(B44-$B$7/$B$25)</f>
        <v>0.06879936544183371</v>
      </c>
    </row>
    <row r="45">
      <c r="A45" s="10" t="n">
        <v>300</v>
      </c>
      <c r="B45" s="14">
        <f>A45*$B$5/1000000</f>
        <v>3688200.0</v>
      </c>
      <c r="C45" s="20">
        <f>(B45*가정!$B$6-$B$7)/(B45-$B$7/$B$25)</f>
        <v>0.07078541539684832</v>
      </c>
    </row>
    <row r="46">
      <c r="A46" s="10" t="n">
        <v>355.84</v>
      </c>
      <c r="B46" s="14">
        <f>A46*$B$5/1000000</f>
        <v>4374696.96</v>
      </c>
      <c r="C46" s="20">
        <f>(B46*가정!$B$6-$B$7)/(B46-$B$7/$B$25)</f>
        <v>0.07567566518397259</v>
      </c>
    </row>
    <row r="47">
      <c r="A47" s="10" t="n">
        <v>400</v>
      </c>
      <c r="B47" s="14">
        <f>A47*$B$5/1000000</f>
        <v>4917600.0</v>
      </c>
      <c r="C47" s="20">
        <f>(B47*가정!$B$6-$B$7)/(B47-$B$7/$B$25)</f>
        <v>0.07851923980342515</v>
      </c>
    </row>
    <row r="48" ht="30" customHeight="1">
      <c r="A48" s="12" t="inlineStr">
        <is>
          <t>주황색 줄이 현재가입니다. 주가 칸을 바꾸면 그 가격이 요구하는 영구성장률이 나옵니다.</t>
        </is>
      </c>
    </row>
  </sheetData>
  <mergeCells count="4">
    <mergeCell ref="A48:C48"/>
    <mergeCell ref="A28:D28"/>
    <mergeCell ref="A21:C21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2" customWidth="1" min="4" max="4"/>
    <col width="16" customWidth="1" min="5" max="5"/>
    <col width="12" customWidth="1" min="6" max="6"/>
  </cols>
  <sheetData>
    <row r="1">
      <c r="A1" s="1" t="inlineStr">
        <is>
          <t>10년 ROIC 기록 — 50개사 조사 (생성 2026-10-29)</t>
        </is>
      </c>
    </row>
    <row r="3">
      <c r="A3" s="5" t="inlineStr">
        <is>
          <t>회계연도</t>
        </is>
      </c>
      <c r="B3" s="5" t="inlineStr">
        <is>
          <t>ROIC</t>
        </is>
      </c>
      <c r="C3" s="5" t="inlineStr">
        <is>
          <t>영업이익 (백만)</t>
        </is>
      </c>
      <c r="D3" s="5" t="inlineStr">
        <is>
          <t>투하자본 평균 (백만)</t>
        </is>
      </c>
      <c r="E3" s="5" t="inlineStr">
        <is>
          <t>스프레드 (수식)</t>
        </is>
      </c>
      <c r="F3" s="5" t="inlineStr">
        <is>
          <t>문턱 초과?</t>
        </is>
      </c>
    </row>
    <row r="4">
      <c r="A4" s="6" t="inlineStr">
        <is>
          <t>FY2016</t>
        </is>
      </c>
      <c r="B4" s="24" t="n">
        <v>0.3505761494773814</v>
      </c>
      <c r="C4" s="11" t="n">
        <v>23716</v>
      </c>
      <c r="D4" s="11" t="n">
        <v>54561.5</v>
      </c>
      <c r="E4" s="17">
        <f>B4-가정!$B$6</f>
        <v>0.2505761494773814</v>
      </c>
      <c r="F4" s="14">
        <f>IF(B4&gt;가정!$B$6,1,0)</f>
        <v>1.0</v>
      </c>
    </row>
    <row r="5">
      <c r="A5" s="6" t="inlineStr">
        <is>
          <t>FY2017</t>
        </is>
      </c>
      <c r="B5" s="24" t="n">
        <v>0.282465920943783</v>
      </c>
      <c r="C5" s="11" t="n">
        <v>26178</v>
      </c>
      <c r="D5" s="11" t="n">
        <v>55606</v>
      </c>
      <c r="E5" s="17">
        <f>B5-가정!$B$6</f>
        <v>0.18246592094378297</v>
      </c>
      <c r="F5" s="14">
        <f>IF(B5&gt;가정!$B$6,1,0)</f>
        <v>1.0</v>
      </c>
    </row>
    <row r="6">
      <c r="A6" s="6" t="inlineStr">
        <is>
          <t>FY2018</t>
        </is>
      </c>
      <c r="B6" s="24" t="n">
        <v>0.3815548420155316</v>
      </c>
      <c r="C6" s="11" t="n">
        <v>27524</v>
      </c>
      <c r="D6" s="11" t="n">
        <v>63506</v>
      </c>
      <c r="E6" s="17">
        <f>B6-가정!$B$6</f>
        <v>0.2815548420155316</v>
      </c>
      <c r="F6" s="14">
        <f>IF(B6&gt;가정!$B$6,1,0)</f>
        <v>1.0</v>
      </c>
    </row>
    <row r="7">
      <c r="A7" s="6" t="inlineStr">
        <is>
          <t>FY2019</t>
        </is>
      </c>
      <c r="B7" s="24" t="n">
        <v>0.3751575083732948</v>
      </c>
      <c r="C7" s="11" t="n">
        <v>34231</v>
      </c>
      <c r="D7" s="11" t="n">
        <v>79081.5</v>
      </c>
      <c r="E7" s="17">
        <f>B7-가정!$B$6</f>
        <v>0.2751575083732948</v>
      </c>
      <c r="F7" s="14">
        <f>IF(B7&gt;가정!$B$6,1,0)</f>
        <v>1.0</v>
      </c>
    </row>
    <row r="8">
      <c r="A8" s="6" t="inlineStr">
        <is>
          <t>FY2020</t>
        </is>
      </c>
      <c r="B8" s="24" t="n">
        <v>0.370233436402208</v>
      </c>
      <c r="C8" s="11" t="n">
        <v>41224</v>
      </c>
      <c r="D8" s="11" t="n">
        <v>93253</v>
      </c>
      <c r="E8" s="17">
        <f>B8-가정!$B$6</f>
        <v>0.270233436402208</v>
      </c>
      <c r="F8" s="14">
        <f>IF(B8&gt;가정!$B$6,1,0)</f>
        <v>1.0</v>
      </c>
    </row>
    <row r="9">
      <c r="A9" s="6" t="inlineStr">
        <is>
          <t>FY2021</t>
        </is>
      </c>
      <c r="B9" s="24" t="n">
        <v>0.5796586503269808</v>
      </c>
      <c r="C9" s="11" t="n">
        <v>78714</v>
      </c>
      <c r="D9" s="11" t="n">
        <v>113792</v>
      </c>
      <c r="E9" s="17">
        <f>B9-가정!$B$6</f>
        <v>0.47965865032698085</v>
      </c>
      <c r="F9" s="14">
        <f>IF(B9&gt;가정!$B$6,1,0)</f>
        <v>1.0</v>
      </c>
    </row>
    <row r="10">
      <c r="A10" s="6" t="inlineStr">
        <is>
          <t>FY2022</t>
        </is>
      </c>
      <c r="B10" s="24" t="n">
        <v>0.4433226189938993</v>
      </c>
      <c r="C10" s="11" t="n">
        <v>74842</v>
      </c>
      <c r="D10" s="11" t="n">
        <v>141943</v>
      </c>
      <c r="E10" s="17">
        <f>B10-가정!$B$6</f>
        <v>0.34332261899389926</v>
      </c>
      <c r="F10" s="14">
        <f>IF(B10&gt;가정!$B$6,1,0)</f>
        <v>1.0</v>
      </c>
    </row>
    <row r="11">
      <c r="A11" s="6" t="inlineStr">
        <is>
          <t>FY2023</t>
        </is>
      </c>
      <c r="B11" s="24" t="n">
        <v>0.4238648771562478</v>
      </c>
      <c r="C11" s="11" t="n">
        <v>84293</v>
      </c>
      <c r="D11" s="11" t="n">
        <v>171208</v>
      </c>
      <c r="E11" s="17">
        <f>B11-가정!$B$6</f>
        <v>0.3238648771562478</v>
      </c>
      <c r="F11" s="14">
        <f>IF(B11&gt;가정!$B$6,1,0)</f>
        <v>1.0</v>
      </c>
    </row>
    <row r="12">
      <c r="A12" s="6" t="inlineStr">
        <is>
          <t>FY2024</t>
        </is>
      </c>
      <c r="B12" s="24" t="n">
        <v>0.4378849993018393</v>
      </c>
      <c r="C12" s="11" t="n">
        <v>112390</v>
      </c>
      <c r="D12" s="11" t="n">
        <v>214471</v>
      </c>
      <c r="E12" s="17">
        <f>B12-가정!$B$6</f>
        <v>0.33788499930183924</v>
      </c>
      <c r="F12" s="14">
        <f>IF(B12&gt;가정!$B$6,1,0)</f>
        <v>1.0</v>
      </c>
    </row>
    <row r="13">
      <c r="A13" s="6" t="inlineStr">
        <is>
          <t>FY2025</t>
        </is>
      </c>
      <c r="B13" s="24" t="n">
        <v>0.3699173431782217</v>
      </c>
      <c r="C13" s="11" t="n">
        <v>129039</v>
      </c>
      <c r="D13" s="11" t="n">
        <v>290287</v>
      </c>
      <c r="E13" s="17">
        <f>B13-가정!$B$6</f>
        <v>0.2699173431782217</v>
      </c>
      <c r="F13" s="14">
        <f>IF(B13&gt;가정!$B$6,1,0)</f>
        <v>1.0</v>
      </c>
    </row>
    <row r="14">
      <c r="A14" s="6" t="inlineStr">
        <is>
          <t>TTM 2026-09</t>
        </is>
      </c>
      <c r="B14" s="18">
        <f>ROIC!B10</f>
        <v>0.2913651960293655</v>
      </c>
      <c r="C14" s="14">
        <f>ROIC!$B$3</f>
        <v>156976.0</v>
      </c>
      <c r="D14" s="14">
        <f>ROIC!E10</f>
        <v>436261.0</v>
      </c>
      <c r="E14" s="13">
        <f>B14-가정!$B$6</f>
        <v>0.1913651960293655</v>
      </c>
    </row>
    <row r="16">
      <c r="A16" s="6" t="inlineStr">
        <is>
          <t>중위 ROIC (10년)</t>
        </is>
      </c>
      <c r="B16" s="13">
        <f>MEDIAN(B4:B13)</f>
        <v>0.3783561751944132</v>
      </c>
    </row>
    <row r="17">
      <c r="A17" s="6" t="inlineStr">
        <is>
          <t>최고</t>
        </is>
      </c>
      <c r="B17" s="13">
        <f>MAX(B4:B13)</f>
        <v>0.5796586503269808</v>
      </c>
    </row>
    <row r="18">
      <c r="A18" s="6" t="inlineStr">
        <is>
          <t>최저</t>
        </is>
      </c>
      <c r="B18" s="13">
        <f>MIN(B4:B13)</f>
        <v>0.282465920943783</v>
      </c>
    </row>
    <row r="19">
      <c r="A19" s="6" t="inlineStr">
        <is>
          <t>문턱 초과 연수</t>
        </is>
      </c>
      <c r="B19" s="14">
        <f>SUM(F4:F13)</f>
        <v>10.0</v>
      </c>
    </row>
    <row r="20">
      <c r="A20" s="6" t="inlineStr">
        <is>
          <t>고점 대비 현재 (TTM ÷ 최고)</t>
        </is>
      </c>
      <c r="B20" s="13">
        <f>B14/MAX(B4:B13)</f>
        <v>0.5026496126039156</v>
      </c>
    </row>
    <row r="21">
      <c r="A21" s="6" t="inlineStr">
        <is>
          <t>영업이익 배수 (최근 ÷ 고점연도)</t>
        </is>
      </c>
      <c r="B21" s="21">
        <f>C13/C9</f>
        <v>1.6393398887110298</v>
      </c>
    </row>
    <row r="22">
      <c r="A22" s="6" t="inlineStr">
        <is>
          <t>투하자본 배수 (최근 ÷ 고점연도)</t>
        </is>
      </c>
      <c r="B22" s="21">
        <f>D13/D9</f>
        <v>2.551031706974128</v>
      </c>
    </row>
    <row r="23" ht="30" customHeight="1">
      <c r="A23" s="12" t="inlineStr">
        <is>
          <t>마지막 두 줄이 ROIC 하락의 원인입니다. 영업이익은 늘었는데 투하자본이 더 많이 늘면 ROIC 는 떨어집니다. 고점연도는 FY2021입니다.</t>
        </is>
      </c>
    </row>
  </sheetData>
  <mergeCells count="1"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2026-10-30T04:10:15Z</dcterms:created>
  <dcterms:modified xsi:type="dcterms:W3CDTF">2026-10-30T04:10:15Z</dcterms:modified>
</cp:coreProperties>
</file>