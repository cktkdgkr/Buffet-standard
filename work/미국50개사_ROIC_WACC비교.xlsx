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는 방법" sheetId="1" state="visible" r:id="rId1"/>
    <sheet name="기업 목록" sheetId="2" state="visible" r:id="rId2"/>
    <sheet name="계산 명세" sheetId="3" state="visible" r:id="rId3"/>
    <sheet name="ROIC 연도별" sheetId="4" state="visible" r:id="rId4"/>
    <sheet name="ROIC−WACC 스프레드" sheetId="5" state="visible" r:id="rId5"/>
    <sheet name="구 조사 대조" sheetId="6" state="visible" r:id="rId6"/>
    <sheet name="차입금 누락" sheetId="7" state="visible" r:id="rId7"/>
    <sheet name="정정 내역" sheetId="8" state="visible" r:id="rId8"/>
    <sheet name="경로 검정" sheetId="9" state="visible" r:id="rId9"/>
  </sheets>
  <definedNames>
    <definedName name="_xlnm._FilterDatabase" localSheetId="1" hidden="1">'기업 목록'!$A$3:$F$53</definedName>
    <definedName name="_xlnm._FilterDatabase" localSheetId="2" hidden="1">'계산 명세'!$A$1:$X$519</definedName>
    <definedName name="_xlnm._FilterDatabase" localSheetId="5" hidden="1">'구 조사 대조'!$A$2:$M$161</definedName>
    <definedName name="_xlnm._FilterDatabase" localSheetId="7" hidden="1">'정정 내역'!$A$2:$K$321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sz val="10"/>
    </font>
    <font>
      <b val="1"/>
      <sz val="14"/>
    </font>
    <font>
      <b val="1"/>
      <sz val="13"/>
    </font>
    <font>
      <i val="1"/>
      <color rgb="00555555"/>
      <sz val="9"/>
    </font>
    <font>
      <b val="1"/>
      <color rgb="00FFFFFF"/>
      <sz val="10"/>
    </font>
    <font>
      <i val="1"/>
      <sz val="10"/>
    </font>
  </fonts>
  <fills count="8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2F4F6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2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pivotButton="0" quotePrefix="0" xfId="0"/>
    <xf numFmtId="3" fontId="0" fillId="5" borderId="0" pivotButton="0" quotePrefix="0" xfId="0"/>
    <xf numFmtId="164" fontId="0" fillId="5" borderId="0" pivotButton="0" quotePrefix="0" xfId="0"/>
    <xf numFmtId="3" fontId="0" fillId="0" borderId="0" pivotButton="0" quotePrefix="0" xfId="0"/>
    <xf numFmtId="164" fontId="0" fillId="0" borderId="0" pivotButton="0" quotePrefix="0" xfId="0"/>
    <xf numFmtId="3" fontId="0" fillId="4" borderId="0" pivotButton="0" quotePrefix="0" xfId="0"/>
    <xf numFmtId="164" fontId="0" fillId="4" borderId="0" pivotButton="0" quotePrefix="0" xfId="0"/>
    <xf numFmtId="0" fontId="0" fillId="6" borderId="0" pivotButton="0" quotePrefix="0" xfId="0"/>
    <xf numFmtId="3" fontId="0" fillId="6" borderId="0" pivotButton="0" quotePrefix="0" xfId="0"/>
    <xf numFmtId="164" fontId="0" fillId="6" borderId="0" pivotButton="0" quotePrefix="0" xfId="0"/>
    <xf numFmtId="0" fontId="0" fillId="2" borderId="0" pivotButton="0" quotePrefix="0" xfId="0"/>
    <xf numFmtId="164" fontId="0" fillId="7" borderId="0" pivotButton="0" quotePrefix="0" xfId="0"/>
    <xf numFmtId="164" fontId="0" fillId="7" borderId="2" pivotButton="0" quotePrefix="0" xfId="0"/>
    <xf numFmtId="0" fontId="0" fillId="0" borderId="0" applyAlignment="1" pivotButton="0" quotePrefix="0" xfId="0">
      <alignment horizontal="center"/>
    </xf>
    <xf numFmtId="164" fontId="6" fillId="7" borderId="0" pivotButton="0" quotePrefix="0" xfId="0"/>
    <xf numFmtId="164" fontId="6" fillId="6" borderId="0" pivotButton="0" quotePrefix="0" xfId="0"/>
    <xf numFmtId="164" fontId="0" fillId="6" borderId="2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미국 50개사 ROIC vs WACC 10% — 읽는 방법</t>
        </is>
      </c>
      <c r="B1" s="2" t="inlineStr"/>
    </row>
    <row r="2">
      <c r="A2" s="3" t="inlineStr">
        <is>
          <t>무엇을 담았는지</t>
        </is>
      </c>
      <c r="B2" s="4" t="inlineStr"/>
    </row>
    <row r="3">
      <c r="A3" s="5" t="inlineStr">
        <is>
          <t>질문</t>
        </is>
      </c>
      <c r="B3" s="2" t="inlineStr">
        <is>
          <t>ROIC가 자본비용(WACC)보다 높은지, 그게 10년간 꾸준했는지</t>
        </is>
      </c>
    </row>
    <row r="4">
      <c r="A4" s="5" t="inlineStr">
        <is>
          <t>WACC</t>
        </is>
      </c>
      <c r="B4" s="2" t="inlineStr">
        <is>
          <t>전 종목 10% 고정 — 지시사항. 기업별로 다르게 잡으면 ROIC 비교가 아니라 베타 비교가 되므로 같은 문턱을 적용했습니다.</t>
        </is>
      </c>
    </row>
    <row r="5">
      <c r="A5" s="5" t="inlineStr">
        <is>
          <t>대상</t>
        </is>
      </c>
      <c r="B5" s="2" t="inlineStr">
        <is>
          <t>50개 미국 상장사, 기업별 최근 10개 회계연도 (FY2016~FY2026 범위). 결산월이 달라 같은 창을 강제하지 않았습니다.</t>
        </is>
      </c>
    </row>
    <row r="6">
      <c r="A6" s="5" t="inlineStr">
        <is>
          <t>자료 기준일</t>
        </is>
      </c>
      <c r="B6" s="2" t="inlineStr">
        <is>
          <t>2026-10-29 — 이 날짜에 SEC에서 받은 공시 기준입니다. 최신 회계연도는 FY2026.</t>
        </is>
      </c>
    </row>
    <row r="7">
      <c r="A7" s="5" t="inlineStr">
        <is>
          <t>자료 출처</t>
        </is>
      </c>
      <c r="B7" s="2" t="inlineStr">
        <is>
          <t>SEC XBRL companyfacts API. 1차 조사가 공시 본문을 읽은 것과 달리 이번 조사는 태그 데이터를 직접 받았습니다 — 같은 정의, 다른 경로. 두 결과가 어긋나면 한쪽이 틀렸다는 뜻이고, '구 조사 대조' 시트가 어느 쪽인지 가립니다.</t>
        </is>
      </c>
    </row>
    <row r="8">
      <c r="A8" t="inlineStr"/>
      <c r="B8" s="2" t="inlineStr"/>
    </row>
    <row r="9">
      <c r="A9" s="3" t="inlineStr">
        <is>
          <t>ROIC를 어떻게 계산했는지</t>
        </is>
      </c>
      <c r="B9" s="4" t="inlineStr"/>
    </row>
    <row r="10">
      <c r="A10" s="5" t="inlineStr">
        <is>
          <t>분자 NOPAT</t>
        </is>
      </c>
      <c r="B10" s="2" t="inlineStr">
        <is>
          <t>영업이익 × (1 − 실효세율). 실효세율 = 법인세비용 ÷ 세전이익, 5%~40%로 제한.</t>
        </is>
      </c>
    </row>
    <row r="11">
      <c r="A11" s="5" t="inlineStr">
        <is>
          <t>분모 투하자본</t>
        </is>
      </c>
      <c r="B11" s="2" t="inlineStr">
        <is>
          <t>자기자본(비지배지분 포함) + 이자부채입금 − 현금 및 단기투자자산. 2007년 주주서한의 '사업 운영에 필요한 자본' 기준으로, 국채 포트폴리오는 사업 자본이 아니므로 뺍니다.</t>
        </is>
      </c>
    </row>
    <row r="12">
      <c r="A12" s="5" t="inlineStr">
        <is>
          <t>분모 평균</t>
        </is>
      </c>
      <c r="B12" s="2" t="inlineStr">
        <is>
          <t>기초·기말 평균. 단 어느 한쪽이 0 이하인 해는 평균이 0 근처로 내려가 비율이 폭발하므로 기말값 단독 사용.</t>
        </is>
      </c>
    </row>
    <row r="13">
      <c r="A13" s="5" t="inlineStr">
        <is>
          <t>금융업</t>
        </is>
      </c>
      <c r="B13" s="2" t="inlineStr">
        <is>
          <t>SIC 6000~6799은 ROIC 미산출. 은행에게 차입은 자금조달이 아니라 원재료여서, 자기자본+차입금−현금은 아무것도 측정하지 않습니다.</t>
        </is>
      </c>
    </row>
    <row r="14">
      <c r="A14" t="inlineStr"/>
      <c r="B14" s="2" t="inlineStr"/>
    </row>
    <row r="15">
      <c r="A15" s="3" t="inlineStr">
        <is>
          <t>믿을 수 있는 정도</t>
        </is>
      </c>
      <c r="B15" s="4" t="inlineStr"/>
    </row>
    <row r="16">
      <c r="A16" s="5" t="inlineStr">
        <is>
          <t>HIGH</t>
        </is>
      </c>
      <c r="B16" s="2" t="inlineStr">
        <is>
          <t>기업이 보고한 영업이익 소계를 그대로 사용 (332개 연도), 또는 손익계산서 항목을 쌓아 세전이익으로 역검증 통과.</t>
        </is>
      </c>
    </row>
    <row r="17">
      <c r="A17" s="5" t="inlineStr">
        <is>
          <t>MEDIUM</t>
        </is>
      </c>
      <c r="B17" s="2" t="inlineStr">
        <is>
          <t>항목을 쌓아 만든 소계가 세전이익과 5% 이내로 맞은 경우.</t>
        </is>
      </c>
    </row>
    <row r="18">
      <c r="A18" s="5" t="inlineStr">
        <is>
          <t>LOW</t>
        </is>
      </c>
      <c r="B18" s="2" t="inlineStr">
        <is>
          <t>영업이익 소계를 아예 보고하지 않아 세전이익에서 거꾸로 추정한 경우 (릴리·머크·J&amp;J·IBM·엑슨·셰브론·GE). 두 가지 추정 방식을 모두 계산해 10% 문턱 판정이 일치하는지 '계산 명세' 시트에 기록했습니다.</t>
        </is>
      </c>
    </row>
    <row r="19">
      <c r="A19" s="5" t="inlineStr">
        <is>
          <t>분모가 작은 해</t>
        </is>
      </c>
      <c r="B19" s="2" t="inlineStr">
        <is>
          <t>아리스타·램리서치처럼 현금이 자기자본을 거의 상계해 순투하자본이 매출의 10% 미만이 되는 해는 노란색. 비율은 민감해지지만 10% 문턱 판정은 유효.</t>
        </is>
      </c>
    </row>
    <row r="20">
      <c r="A20" t="inlineStr"/>
      <c r="B20" s="2" t="inlineStr"/>
    </row>
    <row r="21">
      <c r="A21" s="3" t="inlineStr">
        <is>
          <t>검증</t>
        </is>
      </c>
      <c r="B21" s="4" t="inlineStr"/>
    </row>
    <row r="22">
      <c r="A22" s="5" t="inlineStr">
        <is>
          <t>자동 검사</t>
        </is>
      </c>
      <c r="B22" s="2" t="inlineStr">
        <is>
          <t>verify_roic.py에서 9,867건 통과. 항등식(투하자본·NOPAT·ROIC·평균 규칙), 트립와이어(차감 현금 ≤ 유동자산, 차입금 ≤ 총부채), 공시 원문에서 손으로 읽은 앵커 19건.</t>
        </is>
      </c>
    </row>
    <row r="23">
      <c r="A23" s="5" t="inlineStr">
        <is>
          <t>변이 검정</t>
        </is>
      </c>
      <c r="B23" s="2" t="inlineStr">
        <is>
          <t>값을 고의로 훼손한 10가지 시나리오 전부 탐지. 틀린 데이터에서도 통과하는 검사는 검사가 아닙니다.</t>
        </is>
      </c>
    </row>
    <row r="24">
      <c r="A24" t="inlineStr"/>
      <c r="B24" s="2" t="inlineStr"/>
    </row>
    <row r="25">
      <c r="A25" s="3" t="inlineStr">
        <is>
          <t>1차 조사에서 바로잡은 것</t>
        </is>
      </c>
      <c r="B25" s="4" t="inlineStr"/>
    </row>
    <row r="26">
      <c r="A26" s="5" t="inlineStr">
        <is>
          <t>대조 결과</t>
        </is>
      </c>
      <c r="B26" s="2" t="inlineStr">
        <is>
          <t>380개 기업-연도 중 221건은 1%p 이내 일치, 159건 불일치, 7건은 10% 문턱 판정까지 바뀜.</t>
        </is>
      </c>
    </row>
    <row r="27">
      <c r="A27" s="5" t="inlineStr">
        <is>
          <t>가장 큰 원인</t>
        </is>
      </c>
      <c r="B27" s="2" t="inlineStr">
        <is>
          <t>1차 조사가 공시된 장기차입금을 누락한 27개 기업-연도. 오라클 10년, 코카콜라 7년, 브로드컴 4년, 비자 3년. 오라클 FY2024 ROIC가 761%로 나온 이유입니다.</t>
        </is>
      </c>
    </row>
    <row r="28">
      <c r="A28" s="5" t="inlineStr">
        <is>
          <t>정정 범위</t>
        </is>
      </c>
      <c r="B28" s="2" t="inlineStr">
        <is>
          <t>319개 기업-연도의 ROIC·영업이익·세율·투하자본을 교체. 원본은 analysis.json.pre-roic-correction에 보존.</t>
        </is>
      </c>
    </row>
    <row r="29">
      <c r="A29" s="5" t="inlineStr">
        <is>
          <t>가치평가 파급</t>
        </is>
      </c>
      <c r="B29" s="2" t="inlineStr">
        <is>
          <t>순현금 입력값까지 어긋난 기업 5곳을 '정정 내역' 시트에 기록. 오라클은 시가총액의 24%에 해당하는 오차라 DCF 결론이 바뀔 수 있지만, 가치평가 재계산은 이번 작업 범위가 아니어서 표시만 했습니다.</t>
        </is>
      </c>
    </row>
    <row r="30">
      <c r="A30" t="inlineStr"/>
      <c r="B30" s="2" t="inlineStr"/>
    </row>
    <row r="31">
      <c r="A31" s="5" t="inlineStr">
        <is>
          <t>기업 이름</t>
        </is>
      </c>
      <c r="B31" s="2" t="inlineStr">
        <is>
          <t>표에는 한글명과 티커만 적었습니다. 영문 정식 명칭과 SEC 등록명은 '기업 목록' 시트에 있고, '계산 명세' 시트 마지막 열에도 등록명이 있습니다.</t>
        </is>
      </c>
    </row>
    <row r="32">
      <c r="A32" t="inlineStr"/>
      <c r="B32" s="2" t="inlineStr"/>
    </row>
    <row r="33">
      <c r="A33" s="5" t="inlineStr">
        <is>
          <t>수식</t>
        </is>
      </c>
      <c r="B33" s="2" t="inlineStr">
        <is>
          <t>파생 셀은 전부 같은 통합문서 안의 셀을 참조하는 수식입니다. '계산 명세' 시트의 공시 입력값만 바꾸면 모든 시트가 따라 바뀝니다. 수식이 아닌 값은 공시에서 가져온 원자료뿐입니다.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3" topLeftCell="A4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4" customWidth="1" min="3" max="3"/>
    <col width="34" customWidth="1" min="4" max="4"/>
    <col width="22" customWidth="1" min="5" max="5"/>
    <col width="46" customWidth="1" min="6" max="6"/>
  </cols>
  <sheetData>
    <row r="1">
      <c r="A1" s="6" t="inlineStr">
        <is>
          <t>기업 목록 — 티커 · 한글명 · 영문 정식 명칭</t>
        </is>
      </c>
    </row>
    <row r="2">
      <c r="A2" s="7" t="inlineStr">
        <is>
          <t>SEC가 반환하는 이름은 등록명(COSTCO WHOLESALE CORP /NEW, APPLIED MATERIALS INC /DE 등)이라 표에 그대로 쓰지 않았습니다. 등록명은 '계산 명세' 시트 마지막 열에 그대로 남겨두었습니다.</t>
        </is>
      </c>
    </row>
    <row r="3">
      <c r="A3" s="8" t="inlineStr">
        <is>
          <t>티커</t>
        </is>
      </c>
      <c r="B3" s="8" t="inlineStr">
        <is>
          <t>한글명</t>
        </is>
      </c>
      <c r="C3" s="8" t="inlineStr">
        <is>
          <t>영문 정식 명칭</t>
        </is>
      </c>
      <c r="D3" s="8" t="inlineStr">
        <is>
          <t>SEC 등록명</t>
        </is>
      </c>
      <c r="E3" s="8" t="inlineStr">
        <is>
          <t>구분</t>
        </is>
      </c>
      <c r="F3" s="8" t="inlineStr">
        <is>
          <t>비고</t>
        </is>
      </c>
    </row>
    <row r="4">
      <c r="A4" t="inlineStr">
        <is>
          <t>ANET</t>
        </is>
      </c>
      <c r="B4" t="inlineStr">
        <is>
          <t>아리스타 네트웍스</t>
        </is>
      </c>
      <c r="C4" t="inlineStr">
        <is>
          <t>Arista Networks</t>
        </is>
      </c>
      <c r="D4" t="inlineStr">
        <is>
          <t>Arista Networks, Inc.</t>
        </is>
      </c>
      <c r="E4" t="inlineStr">
        <is>
          <t>ROIC 순위 대상</t>
        </is>
      </c>
      <c r="F4" s="2" t="inlineStr">
        <is>
          <t>—</t>
        </is>
      </c>
    </row>
    <row r="5">
      <c r="A5" t="inlineStr">
        <is>
          <t>NVDA</t>
        </is>
      </c>
      <c r="B5" t="inlineStr">
        <is>
          <t>엔비디아</t>
        </is>
      </c>
      <c r="C5" t="inlineStr">
        <is>
          <t>NVIDIA</t>
        </is>
      </c>
      <c r="D5" t="inlineStr">
        <is>
          <t>NVIDIA CORP</t>
        </is>
      </c>
      <c r="E5" t="inlineStr">
        <is>
          <t>ROIC 순위 대상</t>
        </is>
      </c>
      <c r="F5" s="2" t="inlineStr">
        <is>
          <t>1월 결산 — 본문의 회계연도 표기 참고</t>
        </is>
      </c>
    </row>
    <row r="6">
      <c r="A6" t="inlineStr">
        <is>
          <t>MA</t>
        </is>
      </c>
      <c r="B6" t="inlineStr">
        <is>
          <t>마스터카드</t>
        </is>
      </c>
      <c r="C6" t="inlineStr">
        <is>
          <t>Mastercard</t>
        </is>
      </c>
      <c r="D6" t="inlineStr">
        <is>
          <t>Mastercard Inc</t>
        </is>
      </c>
      <c r="E6" t="inlineStr">
        <is>
          <t>ROIC 순위 대상</t>
        </is>
      </c>
      <c r="F6" s="2" t="inlineStr">
        <is>
          <t>—</t>
        </is>
      </c>
    </row>
    <row r="7">
      <c r="A7" t="inlineStr">
        <is>
          <t>AAPL</t>
        </is>
      </c>
      <c r="B7" t="inlineStr">
        <is>
          <t>애플</t>
        </is>
      </c>
      <c r="C7" t="inlineStr">
        <is>
          <t>Apple</t>
        </is>
      </c>
      <c r="D7" t="inlineStr">
        <is>
          <t>Apple Inc.</t>
        </is>
      </c>
      <c r="E7" t="inlineStr">
        <is>
          <t>ROIC 순위 대상</t>
        </is>
      </c>
      <c r="F7" s="2" t="inlineStr">
        <is>
          <t>—</t>
        </is>
      </c>
    </row>
    <row r="8">
      <c r="A8" t="inlineStr">
        <is>
          <t>MSFT</t>
        </is>
      </c>
      <c r="B8" t="inlineStr">
        <is>
          <t>마이크로소프트</t>
        </is>
      </c>
      <c r="C8" t="inlineStr">
        <is>
          <t>Microsoft</t>
        </is>
      </c>
      <c r="D8" t="inlineStr">
        <is>
          <t>MICROSOFT CORP</t>
        </is>
      </c>
      <c r="E8" t="inlineStr">
        <is>
          <t>ROIC 순위 대상</t>
        </is>
      </c>
      <c r="F8" s="2" t="inlineStr">
        <is>
          <t>—</t>
        </is>
      </c>
    </row>
    <row r="9">
      <c r="A9" t="inlineStr">
        <is>
          <t>LRCX</t>
        </is>
      </c>
      <c r="B9" t="inlineStr">
        <is>
          <t>램리서치</t>
        </is>
      </c>
      <c r="C9" t="inlineStr">
        <is>
          <t>Lam Research</t>
        </is>
      </c>
      <c r="D9" t="inlineStr">
        <is>
          <t>LAM RESEARCH CORP</t>
        </is>
      </c>
      <c r="E9" t="inlineStr">
        <is>
          <t>ROIC 순위 대상</t>
        </is>
      </c>
      <c r="F9" s="2" t="inlineStr">
        <is>
          <t>—</t>
        </is>
      </c>
    </row>
    <row r="10">
      <c r="A10" t="inlineStr">
        <is>
          <t>PM</t>
        </is>
      </c>
      <c r="B10" t="inlineStr">
        <is>
          <t>필립모리스 인터내셔널</t>
        </is>
      </c>
      <c r="C10" t="inlineStr">
        <is>
          <t>Philip Morris International</t>
        </is>
      </c>
      <c r="D10" t="inlineStr">
        <is>
          <t>Philip Morris International Inc.</t>
        </is>
      </c>
      <c r="E10" t="inlineStr">
        <is>
          <t>ROIC 순위 대상</t>
        </is>
      </c>
      <c r="F10" s="2" t="inlineStr">
        <is>
          <t>—</t>
        </is>
      </c>
    </row>
    <row r="11">
      <c r="A11" t="inlineStr">
        <is>
          <t>KLAC</t>
        </is>
      </c>
      <c r="B11" t="inlineStr">
        <is>
          <t>KLA</t>
        </is>
      </c>
      <c r="C11" t="inlineStr">
        <is>
          <t>KLA</t>
        </is>
      </c>
      <c r="D11" t="inlineStr">
        <is>
          <t>KLA CORP</t>
        </is>
      </c>
      <c r="E11" t="inlineStr">
        <is>
          <t>ROIC 순위 대상</t>
        </is>
      </c>
      <c r="F11" s="2" t="inlineStr">
        <is>
          <t>2019년까지 사명은 KLA-Tencor</t>
        </is>
      </c>
    </row>
    <row r="12">
      <c r="A12" t="inlineStr">
        <is>
          <t>TXN</t>
        </is>
      </c>
      <c r="B12" t="inlineStr">
        <is>
          <t>텍사스 인스트루먼츠</t>
        </is>
      </c>
      <c r="C12" t="inlineStr">
        <is>
          <t>Texas Instruments</t>
        </is>
      </c>
      <c r="D12" t="inlineStr">
        <is>
          <t>TEXAS INSTRUMENTS INC</t>
        </is>
      </c>
      <c r="E12" t="inlineStr">
        <is>
          <t>ROIC 순위 대상</t>
        </is>
      </c>
      <c r="F12" s="2" t="inlineStr">
        <is>
          <t>—</t>
        </is>
      </c>
    </row>
    <row r="13">
      <c r="A13" t="inlineStr">
        <is>
          <t>META</t>
        </is>
      </c>
      <c r="B13" t="inlineStr">
        <is>
          <t>메타 플랫폼스</t>
        </is>
      </c>
      <c r="C13" t="inlineStr">
        <is>
          <t>Meta Platforms</t>
        </is>
      </c>
      <c r="D13" t="inlineStr">
        <is>
          <t>Meta Platforms, Inc.</t>
        </is>
      </c>
      <c r="E13" t="inlineStr">
        <is>
          <t>ROIC 순위 대상</t>
        </is>
      </c>
      <c r="F13" s="2" t="inlineStr">
        <is>
          <t>2021년까지 사명은 Facebook</t>
        </is>
      </c>
    </row>
    <row r="14">
      <c r="A14" t="inlineStr">
        <is>
          <t>HD</t>
        </is>
      </c>
      <c r="B14" t="inlineStr">
        <is>
          <t>홈디포</t>
        </is>
      </c>
      <c r="C14" t="inlineStr">
        <is>
          <t>Home Depot</t>
        </is>
      </c>
      <c r="D14" t="inlineStr">
        <is>
          <t>HOME DEPOT, INC.</t>
        </is>
      </c>
      <c r="E14" t="inlineStr">
        <is>
          <t>ROIC 순위 대상</t>
        </is>
      </c>
      <c r="F14" s="2" t="inlineStr">
        <is>
          <t>—</t>
        </is>
      </c>
    </row>
    <row r="15">
      <c r="A15" t="inlineStr">
        <is>
          <t>AMAT</t>
        </is>
      </c>
      <c r="B15" t="inlineStr">
        <is>
          <t>어플라이드 머티리얼즈</t>
        </is>
      </c>
      <c r="C15" t="inlineStr">
        <is>
          <t>Applied Materials</t>
        </is>
      </c>
      <c r="D15" t="inlineStr">
        <is>
          <t>APPLIED MATERIALS INC /DE</t>
        </is>
      </c>
      <c r="E15" t="inlineStr">
        <is>
          <t>ROIC 순위 대상</t>
        </is>
      </c>
      <c r="F15" s="2" t="inlineStr">
        <is>
          <t>—</t>
        </is>
      </c>
    </row>
    <row r="16">
      <c r="A16" t="inlineStr">
        <is>
          <t>GOOG</t>
        </is>
      </c>
      <c r="B16" t="inlineStr">
        <is>
          <t>알파벳</t>
        </is>
      </c>
      <c r="C16" t="inlineStr">
        <is>
          <t>Alphabet</t>
        </is>
      </c>
      <c r="D16" t="inlineStr">
        <is>
          <t>Alphabet Inc.</t>
        </is>
      </c>
      <c r="E16" t="inlineStr">
        <is>
          <t>ROIC 순위 대상</t>
        </is>
      </c>
      <c r="F16" s="2" t="inlineStr">
        <is>
          <t>구글의 모회사</t>
        </is>
      </c>
    </row>
    <row r="17">
      <c r="A17" t="inlineStr">
        <is>
          <t>COST</t>
        </is>
      </c>
      <c r="B17" t="inlineStr">
        <is>
          <t>코스트코</t>
        </is>
      </c>
      <c r="C17" t="inlineStr">
        <is>
          <t>Costco Wholesale</t>
        </is>
      </c>
      <c r="D17" t="inlineStr">
        <is>
          <t>COSTCO WHOLESALE CORP /NEW</t>
        </is>
      </c>
      <c r="E17" t="inlineStr">
        <is>
          <t>ROIC 순위 대상</t>
        </is>
      </c>
      <c r="F17" s="2" t="inlineStr">
        <is>
          <t>—</t>
        </is>
      </c>
    </row>
    <row r="18">
      <c r="A18" t="inlineStr">
        <is>
          <t>CSCO</t>
        </is>
      </c>
      <c r="B18" t="inlineStr">
        <is>
          <t>시스코 시스템즈</t>
        </is>
      </c>
      <c r="C18" t="inlineStr">
        <is>
          <t>Cisco Systems</t>
        </is>
      </c>
      <c r="D18" t="inlineStr">
        <is>
          <t>CISCO SYSTEMS, INC.</t>
        </is>
      </c>
      <c r="E18" t="inlineStr">
        <is>
          <t>ROIC 순위 대상</t>
        </is>
      </c>
      <c r="F18" s="2" t="inlineStr">
        <is>
          <t>—</t>
        </is>
      </c>
    </row>
    <row r="19">
      <c r="A19" t="inlineStr">
        <is>
          <t>V</t>
        </is>
      </c>
      <c r="B19" t="inlineStr">
        <is>
          <t>비자</t>
        </is>
      </c>
      <c r="C19" t="inlineStr">
        <is>
          <t>Visa</t>
        </is>
      </c>
      <c r="D19" t="inlineStr">
        <is>
          <t>VISA INC.</t>
        </is>
      </c>
      <c r="E19" t="inlineStr">
        <is>
          <t>ROIC 순위 대상</t>
        </is>
      </c>
      <c r="F19" s="2" t="inlineStr">
        <is>
          <t>9월 결산</t>
        </is>
      </c>
    </row>
    <row r="20">
      <c r="A20" t="inlineStr">
        <is>
          <t>AMZN</t>
        </is>
      </c>
      <c r="B20" t="inlineStr">
        <is>
          <t>아마존</t>
        </is>
      </c>
      <c r="C20" t="inlineStr">
        <is>
          <t>Amazon.com</t>
        </is>
      </c>
      <c r="D20" t="inlineStr">
        <is>
          <t>AMAZON COM INC</t>
        </is>
      </c>
      <c r="E20" t="inlineStr">
        <is>
          <t>ROIC 순위 대상</t>
        </is>
      </c>
      <c r="F20" s="2" t="inlineStr">
        <is>
          <t>—</t>
        </is>
      </c>
    </row>
    <row r="21">
      <c r="A21" t="inlineStr">
        <is>
          <t>LLY</t>
        </is>
      </c>
      <c r="B21" t="inlineStr">
        <is>
          <t>일라이 릴리</t>
        </is>
      </c>
      <c r="C21" t="inlineStr">
        <is>
          <t>Eli Lilly</t>
        </is>
      </c>
      <c r="D21" t="inlineStr">
        <is>
          <t>ELI LILLY &amp; Co</t>
        </is>
      </c>
      <c r="E21" t="inlineStr">
        <is>
          <t>ROIC 순위 대상</t>
        </is>
      </c>
      <c r="F21" s="2" t="inlineStr">
        <is>
          <t>—</t>
        </is>
      </c>
    </row>
    <row r="22">
      <c r="A22" t="inlineStr">
        <is>
          <t>JNJ</t>
        </is>
      </c>
      <c r="B22" t="inlineStr">
        <is>
          <t>존슨앤드존슨</t>
        </is>
      </c>
      <c r="C22" t="inlineStr">
        <is>
          <t>Johnson &amp; Johnson</t>
        </is>
      </c>
      <c r="D22" t="inlineStr">
        <is>
          <t>JOHNSON &amp; JOHNSON</t>
        </is>
      </c>
      <c r="E22" t="inlineStr">
        <is>
          <t>ROIC 순위 대상</t>
        </is>
      </c>
      <c r="F22" s="2" t="inlineStr">
        <is>
          <t>—</t>
        </is>
      </c>
    </row>
    <row r="23">
      <c r="A23" t="inlineStr">
        <is>
          <t>PG</t>
        </is>
      </c>
      <c r="B23" t="inlineStr">
        <is>
          <t>프록터앤드갬블</t>
        </is>
      </c>
      <c r="C23" t="inlineStr">
        <is>
          <t>Procter &amp; Gamble</t>
        </is>
      </c>
      <c r="D23" t="inlineStr">
        <is>
          <t>PROCTER &amp; GAMBLE Co</t>
        </is>
      </c>
      <c r="E23" t="inlineStr">
        <is>
          <t>ROIC 순위 대상</t>
        </is>
      </c>
      <c r="F23" s="2" t="inlineStr">
        <is>
          <t>P&amp;G · 6월 결산</t>
        </is>
      </c>
    </row>
    <row r="24">
      <c r="A24" t="inlineStr">
        <is>
          <t>ABBV</t>
        </is>
      </c>
      <c r="B24" t="inlineStr">
        <is>
          <t>애브비</t>
        </is>
      </c>
      <c r="C24" t="inlineStr">
        <is>
          <t>AbbVie</t>
        </is>
      </c>
      <c r="D24" t="inlineStr">
        <is>
          <t>AbbVie Inc.</t>
        </is>
      </c>
      <c r="E24" t="inlineStr">
        <is>
          <t>ROIC 순위 대상</t>
        </is>
      </c>
      <c r="F24" s="2" t="inlineStr">
        <is>
          <t>2013년 애보트에서 분사</t>
        </is>
      </c>
    </row>
    <row r="25">
      <c r="A25" t="inlineStr">
        <is>
          <t>NFLX</t>
        </is>
      </c>
      <c r="B25" t="inlineStr">
        <is>
          <t>넷플릭스</t>
        </is>
      </c>
      <c r="C25" t="inlineStr">
        <is>
          <t>Netflix</t>
        </is>
      </c>
      <c r="D25" t="inlineStr">
        <is>
          <t>NETFLIX INC</t>
        </is>
      </c>
      <c r="E25" t="inlineStr">
        <is>
          <t>ROIC 순위 대상</t>
        </is>
      </c>
      <c r="F25" s="2" t="inlineStr">
        <is>
          <t>—</t>
        </is>
      </c>
    </row>
    <row r="26">
      <c r="A26" t="inlineStr">
        <is>
          <t>ORCL</t>
        </is>
      </c>
      <c r="B26" t="inlineStr">
        <is>
          <t>오라클</t>
        </is>
      </c>
      <c r="C26" t="inlineStr">
        <is>
          <t>Oracle</t>
        </is>
      </c>
      <c r="D26" t="inlineStr">
        <is>
          <t>ORACLE CORP</t>
        </is>
      </c>
      <c r="E26" t="inlineStr">
        <is>
          <t>ROIC 순위 대상</t>
        </is>
      </c>
      <c r="F26" s="2" t="inlineStr">
        <is>
          <t>5월 결산</t>
        </is>
      </c>
    </row>
    <row r="27">
      <c r="A27" t="inlineStr">
        <is>
          <t>MU</t>
        </is>
      </c>
      <c r="B27" t="inlineStr">
        <is>
          <t>마이크론 테크놀로지</t>
        </is>
      </c>
      <c r="C27" t="inlineStr">
        <is>
          <t>Micron Technology</t>
        </is>
      </c>
      <c r="D27" t="inlineStr">
        <is>
          <t>MICRON TECHNOLOGY INC</t>
        </is>
      </c>
      <c r="E27" t="inlineStr">
        <is>
          <t>ROIC 순위 대상</t>
        </is>
      </c>
      <c r="F27" s="2" t="inlineStr">
        <is>
          <t>—</t>
        </is>
      </c>
    </row>
    <row r="28">
      <c r="A28" t="inlineStr">
        <is>
          <t>CAT</t>
        </is>
      </c>
      <c r="B28" t="inlineStr">
        <is>
          <t>캐터필러</t>
        </is>
      </c>
      <c r="C28" t="inlineStr">
        <is>
          <t>Caterpillar</t>
        </is>
      </c>
      <c r="D28" t="inlineStr">
        <is>
          <t>CATERPILLAR INC</t>
        </is>
      </c>
      <c r="E28" t="inlineStr">
        <is>
          <t>ROIC 순위 대상</t>
        </is>
      </c>
      <c r="F28" s="2" t="inlineStr">
        <is>
          <t>—</t>
        </is>
      </c>
    </row>
    <row r="29">
      <c r="A29" t="inlineStr">
        <is>
          <t>DELL</t>
        </is>
      </c>
      <c r="B29" t="inlineStr">
        <is>
          <t>델 테크놀로지스</t>
        </is>
      </c>
      <c r="C29" t="inlineStr">
        <is>
          <t>Dell Technologies</t>
        </is>
      </c>
      <c r="D29" t="inlineStr">
        <is>
          <t>Dell Technologies Inc.</t>
        </is>
      </c>
      <c r="E29" t="inlineStr">
        <is>
          <t>ROIC 순위 대상</t>
        </is>
      </c>
      <c r="F29" s="2" t="inlineStr">
        <is>
          <t>2018년 재상장</t>
        </is>
      </c>
    </row>
    <row r="30">
      <c r="A30" t="inlineStr">
        <is>
          <t>KO</t>
        </is>
      </c>
      <c r="B30" t="inlineStr">
        <is>
          <t>코카콜라</t>
        </is>
      </c>
      <c r="C30" t="inlineStr">
        <is>
          <t>Coca-Cola</t>
        </is>
      </c>
      <c r="D30" t="inlineStr">
        <is>
          <t>COCA COLA CO</t>
        </is>
      </c>
      <c r="E30" t="inlineStr">
        <is>
          <t>ROIC 순위 대상</t>
        </is>
      </c>
      <c r="F30" s="2" t="inlineStr">
        <is>
          <t>—</t>
        </is>
      </c>
    </row>
    <row r="31">
      <c r="A31" t="inlineStr">
        <is>
          <t>WMT</t>
        </is>
      </c>
      <c r="B31" t="inlineStr">
        <is>
          <t>월마트</t>
        </is>
      </c>
      <c r="C31" t="inlineStr">
        <is>
          <t>Walmart</t>
        </is>
      </c>
      <c r="D31" t="inlineStr">
        <is>
          <t>Walmart Inc.</t>
        </is>
      </c>
      <c r="E31" t="inlineStr">
        <is>
          <t>ROIC 순위 대상</t>
        </is>
      </c>
      <c r="F31" s="2" t="inlineStr">
        <is>
          <t>1월 결산</t>
        </is>
      </c>
    </row>
    <row r="32">
      <c r="A32" t="inlineStr">
        <is>
          <t>INTC</t>
        </is>
      </c>
      <c r="B32" t="inlineStr">
        <is>
          <t>인텔</t>
        </is>
      </c>
      <c r="C32" t="inlineStr">
        <is>
          <t>Intel</t>
        </is>
      </c>
      <c r="D32" t="inlineStr">
        <is>
          <t>INTEL CORP</t>
        </is>
      </c>
      <c r="E32" t="inlineStr">
        <is>
          <t>ROIC 순위 대상</t>
        </is>
      </c>
      <c r="F32" s="2" t="inlineStr">
        <is>
          <t>—</t>
        </is>
      </c>
    </row>
    <row r="33">
      <c r="A33" t="inlineStr">
        <is>
          <t>MRK</t>
        </is>
      </c>
      <c r="B33" t="inlineStr">
        <is>
          <t>머크</t>
        </is>
      </c>
      <c r="C33" t="inlineStr">
        <is>
          <t>Merck &amp; Co.</t>
        </is>
      </c>
      <c r="D33" t="inlineStr">
        <is>
          <t>Merck &amp; Co., Inc.</t>
        </is>
      </c>
      <c r="E33" t="inlineStr">
        <is>
          <t>ROIC 순위 대상</t>
        </is>
      </c>
      <c r="F33" s="2" t="inlineStr">
        <is>
          <t>—</t>
        </is>
      </c>
    </row>
    <row r="34">
      <c r="A34" t="inlineStr">
        <is>
          <t>IBM</t>
        </is>
      </c>
      <c r="B34" t="inlineStr">
        <is>
          <t>IBM</t>
        </is>
      </c>
      <c r="C34" t="inlineStr">
        <is>
          <t>International Business Machines</t>
        </is>
      </c>
      <c r="D34" t="inlineStr">
        <is>
          <t>INTERNATIONAL BUSINESS MACHINES CORP</t>
        </is>
      </c>
      <c r="E34" t="inlineStr">
        <is>
          <t>ROIC 순위 대상</t>
        </is>
      </c>
      <c r="F34" s="2" t="inlineStr">
        <is>
          <t>—</t>
        </is>
      </c>
    </row>
    <row r="35">
      <c r="A35" t="inlineStr">
        <is>
          <t>AVGO</t>
        </is>
      </c>
      <c r="B35" t="inlineStr">
        <is>
          <t>브로드컴</t>
        </is>
      </c>
      <c r="C35" t="inlineStr">
        <is>
          <t>Broadcom</t>
        </is>
      </c>
      <c r="D35" t="inlineStr">
        <is>
          <t>Broadcom Inc.</t>
        </is>
      </c>
      <c r="E35" t="inlineStr">
        <is>
          <t>ROIC 순위 대상</t>
        </is>
      </c>
      <c r="F35" s="2" t="inlineStr">
        <is>
          <t>—</t>
        </is>
      </c>
    </row>
    <row r="36">
      <c r="A36" t="inlineStr">
        <is>
          <t>AMD</t>
        </is>
      </c>
      <c r="B36" t="inlineStr">
        <is>
          <t>AMD</t>
        </is>
      </c>
      <c r="C36" t="inlineStr">
        <is>
          <t>Advanced Micro Devices</t>
        </is>
      </c>
      <c r="D36" t="inlineStr">
        <is>
          <t>ADVANCED MICRO DEVICES INC</t>
        </is>
      </c>
      <c r="E36" t="inlineStr">
        <is>
          <t>ROIC 순위 대상</t>
        </is>
      </c>
      <c r="F36" s="2" t="inlineStr">
        <is>
          <t>—</t>
        </is>
      </c>
    </row>
    <row r="37">
      <c r="A37" t="inlineStr">
        <is>
          <t>TSLA</t>
        </is>
      </c>
      <c r="B37" t="inlineStr">
        <is>
          <t>테슬라</t>
        </is>
      </c>
      <c r="C37" t="inlineStr">
        <is>
          <t>Tesla</t>
        </is>
      </c>
      <c r="D37" t="inlineStr">
        <is>
          <t>Tesla, Inc.</t>
        </is>
      </c>
      <c r="E37" t="inlineStr">
        <is>
          <t>ROIC 순위 대상</t>
        </is>
      </c>
      <c r="F37" s="2" t="inlineStr">
        <is>
          <t>—</t>
        </is>
      </c>
    </row>
    <row r="38">
      <c r="A38" t="inlineStr">
        <is>
          <t>XOM</t>
        </is>
      </c>
      <c r="B38" t="inlineStr">
        <is>
          <t>엑슨모빌</t>
        </is>
      </c>
      <c r="C38" t="inlineStr">
        <is>
          <t>Exxon Mobil</t>
        </is>
      </c>
      <c r="D38" t="inlineStr">
        <is>
          <t>EXXON MOBIL CORP</t>
        </is>
      </c>
      <c r="E38" t="inlineStr">
        <is>
          <t>ROIC 순위 대상</t>
        </is>
      </c>
      <c r="F38" s="2" t="inlineStr">
        <is>
          <t>—</t>
        </is>
      </c>
    </row>
    <row r="39">
      <c r="A39" t="inlineStr">
        <is>
          <t>CVX</t>
        </is>
      </c>
      <c r="B39" t="inlineStr">
        <is>
          <t>셰브론</t>
        </is>
      </c>
      <c r="C39" t="inlineStr">
        <is>
          <t>Chevron</t>
        </is>
      </c>
      <c r="D39" t="inlineStr">
        <is>
          <t>CHEVRON CORP</t>
        </is>
      </c>
      <c r="E39" t="inlineStr">
        <is>
          <t>ROIC 순위 대상</t>
        </is>
      </c>
      <c r="F39" s="2" t="inlineStr">
        <is>
          <t>—</t>
        </is>
      </c>
    </row>
    <row r="40">
      <c r="A40" t="inlineStr">
        <is>
          <t>RTX</t>
        </is>
      </c>
      <c r="B40" t="inlineStr">
        <is>
          <t>RTX</t>
        </is>
      </c>
      <c r="C40" t="inlineStr">
        <is>
          <t>RTX</t>
        </is>
      </c>
      <c r="D40" t="inlineStr">
        <is>
          <t>RTX Corp</t>
        </is>
      </c>
      <c r="E40" t="inlineStr">
        <is>
          <t>ROIC 순위 대상</t>
        </is>
      </c>
      <c r="F40" s="2" t="inlineStr">
        <is>
          <t>2023년까지 사명은 Raytheon Technologies. 2020년 레이시온·유나이티드테크놀로지스 합병</t>
        </is>
      </c>
    </row>
    <row r="41">
      <c r="A41" t="inlineStr">
        <is>
          <t>GE</t>
        </is>
      </c>
      <c r="B41" t="inlineStr">
        <is>
          <t>제너럴 일렉트릭</t>
        </is>
      </c>
      <c r="C41" t="inlineStr">
        <is>
          <t>General Electric / GE Aerospace</t>
        </is>
      </c>
      <c r="D41" t="inlineStr">
        <is>
          <t>GENERAL ELECTRIC CO</t>
        </is>
      </c>
      <c r="E41" t="inlineStr">
        <is>
          <t>ROIC 순위 대상</t>
        </is>
      </c>
      <c r="F41" s="2" t="inlineStr">
        <is>
          <t>2024년 GE 에어로스페이스로 사명 변경. FY2023까지는 복합기업 기준이므로 현재의 항공엔진 단일 사업과 직접 비교 불가</t>
        </is>
      </c>
    </row>
    <row r="42">
      <c r="A42" t="inlineStr">
        <is>
          <t>PANW</t>
        </is>
      </c>
      <c r="B42" t="inlineStr">
        <is>
          <t>팔로알토 네트웍스</t>
        </is>
      </c>
      <c r="C42" t="inlineStr">
        <is>
          <t>Palo Alto Networks</t>
        </is>
      </c>
      <c r="D42" t="inlineStr">
        <is>
          <t>Palo Alto Networks Inc</t>
        </is>
      </c>
      <c r="E42" t="inlineStr">
        <is>
          <t>ROIC 순위 대상</t>
        </is>
      </c>
      <c r="F42" s="2" t="inlineStr">
        <is>
          <t>7월 결산</t>
        </is>
      </c>
    </row>
    <row r="43">
      <c r="A43" t="inlineStr">
        <is>
          <t>PLTR</t>
        </is>
      </c>
      <c r="B43" t="inlineStr">
        <is>
          <t>팔란티어 테크놀로지스</t>
        </is>
      </c>
      <c r="C43" t="inlineStr">
        <is>
          <t>Palantir Technologies</t>
        </is>
      </c>
      <c r="D43" t="inlineStr">
        <is>
          <t>Palantir Technologies Inc.</t>
        </is>
      </c>
      <c r="E43" t="inlineStr">
        <is>
          <t>표본 부족 (산출 5년 미만)</t>
        </is>
      </c>
      <c r="F43" s="2" t="inlineStr">
        <is>
          <t>2020년 상장</t>
        </is>
      </c>
    </row>
    <row r="44">
      <c r="A44" t="inlineStr">
        <is>
          <t>GEV</t>
        </is>
      </c>
      <c r="B44" t="inlineStr">
        <is>
          <t>GE 버노바</t>
        </is>
      </c>
      <c r="C44" t="inlineStr">
        <is>
          <t>GE Vernova</t>
        </is>
      </c>
      <c r="D44" t="inlineStr">
        <is>
          <t>GE Vernova Inc.</t>
        </is>
      </c>
      <c r="E44" t="inlineStr">
        <is>
          <t>표본 부족 (산출 5년 미만)</t>
        </is>
      </c>
      <c r="F44" s="2" t="inlineStr">
        <is>
          <t>2024년 4월 GE에서 분사 — 그래서 산출 연도가 4년</t>
        </is>
      </c>
    </row>
    <row r="45">
      <c r="A45" s="9" t="inlineStr">
        <is>
          <t>BRK-B</t>
        </is>
      </c>
      <c r="B45" s="9" t="inlineStr">
        <is>
          <t>버크셔 해서웨이</t>
        </is>
      </c>
      <c r="C45" s="9" t="inlineStr">
        <is>
          <t>Berkshire Hathaway</t>
        </is>
      </c>
      <c r="D45" s="9" t="inlineStr">
        <is>
          <t>BERKSHIRE HATHAWAY INC</t>
        </is>
      </c>
      <c r="E45" s="9" t="inlineStr">
        <is>
          <t>금융업 — ROIC 미산출</t>
        </is>
      </c>
      <c r="F45" s="10" t="inlineStr">
        <is>
          <t>—</t>
        </is>
      </c>
    </row>
    <row r="46">
      <c r="A46" s="9" t="inlineStr">
        <is>
          <t>JPM</t>
        </is>
      </c>
      <c r="B46" s="9" t="inlineStr">
        <is>
          <t>JP모건 체이스</t>
        </is>
      </c>
      <c r="C46" s="9" t="inlineStr">
        <is>
          <t>JPMorgan Chase</t>
        </is>
      </c>
      <c r="D46" s="9" t="inlineStr">
        <is>
          <t>JPMORGAN CHASE &amp; CO</t>
        </is>
      </c>
      <c r="E46" s="9" t="inlineStr">
        <is>
          <t>금융업 — ROIC 미산출</t>
        </is>
      </c>
      <c r="F46" s="10" t="inlineStr">
        <is>
          <t>—</t>
        </is>
      </c>
    </row>
    <row r="47">
      <c r="A47" s="9" t="inlineStr">
        <is>
          <t>BAC</t>
        </is>
      </c>
      <c r="B47" s="9" t="inlineStr">
        <is>
          <t>뱅크오브아메리카</t>
        </is>
      </c>
      <c r="C47" s="9" t="inlineStr">
        <is>
          <t>Bank of America</t>
        </is>
      </c>
      <c r="D47" s="9" t="inlineStr">
        <is>
          <t>BANK OF AMERICA CORP /DE/</t>
        </is>
      </c>
      <c r="E47" s="9" t="inlineStr">
        <is>
          <t>금융업 — ROIC 미산출</t>
        </is>
      </c>
      <c r="F47" s="10" t="inlineStr">
        <is>
          <t>—</t>
        </is>
      </c>
    </row>
    <row r="48">
      <c r="A48" s="9" t="inlineStr">
        <is>
          <t>UNH</t>
        </is>
      </c>
      <c r="B48" s="9" t="inlineStr">
        <is>
          <t>유나이티드헬스 그룹</t>
        </is>
      </c>
      <c r="C48" s="9" t="inlineStr">
        <is>
          <t>UnitedHealth Group</t>
        </is>
      </c>
      <c r="D48" s="9" t="inlineStr">
        <is>
          <t>UNITEDHEALTH GROUP INC</t>
        </is>
      </c>
      <c r="E48" s="9" t="inlineStr">
        <is>
          <t>금융업 — ROIC 미산출</t>
        </is>
      </c>
      <c r="F48" s="10" t="inlineStr">
        <is>
          <t>—</t>
        </is>
      </c>
    </row>
    <row r="49">
      <c r="A49" s="9" t="inlineStr">
        <is>
          <t>MS</t>
        </is>
      </c>
      <c r="B49" s="9" t="inlineStr">
        <is>
          <t>모건스탠리</t>
        </is>
      </c>
      <c r="C49" s="9" t="inlineStr">
        <is>
          <t>Morgan Stanley</t>
        </is>
      </c>
      <c r="D49" s="9" t="inlineStr">
        <is>
          <t>MORGAN STANLEY</t>
        </is>
      </c>
      <c r="E49" s="9" t="inlineStr">
        <is>
          <t>금융업 — ROIC 미산출</t>
        </is>
      </c>
      <c r="F49" s="10" t="inlineStr">
        <is>
          <t>—</t>
        </is>
      </c>
    </row>
    <row r="50">
      <c r="A50" s="9" t="inlineStr">
        <is>
          <t>GS</t>
        </is>
      </c>
      <c r="B50" s="9" t="inlineStr">
        <is>
          <t>골드만삭스</t>
        </is>
      </c>
      <c r="C50" s="9" t="inlineStr">
        <is>
          <t>Goldman Sachs Group</t>
        </is>
      </c>
      <c r="D50" s="9" t="inlineStr">
        <is>
          <t>GOLDMAN SACHS GROUP INC</t>
        </is>
      </c>
      <c r="E50" s="9" t="inlineStr">
        <is>
          <t>금융업 — ROIC 미산출</t>
        </is>
      </c>
      <c r="F50" s="10" t="inlineStr">
        <is>
          <t>—</t>
        </is>
      </c>
    </row>
    <row r="51">
      <c r="A51" s="9" t="inlineStr">
        <is>
          <t>WFC</t>
        </is>
      </c>
      <c r="B51" s="9" t="inlineStr">
        <is>
          <t>웰스파고</t>
        </is>
      </c>
      <c r="C51" s="9" t="inlineStr">
        <is>
          <t>Wells Fargo</t>
        </is>
      </c>
      <c r="D51" s="9" t="inlineStr">
        <is>
          <t>WELLS FARGO &amp; COMPANY/MN</t>
        </is>
      </c>
      <c r="E51" s="9" t="inlineStr">
        <is>
          <t>금융업 — ROIC 미산출</t>
        </is>
      </c>
      <c r="F51" s="10" t="inlineStr">
        <is>
          <t>—</t>
        </is>
      </c>
    </row>
    <row r="52">
      <c r="A52" s="9" t="inlineStr">
        <is>
          <t>AXP</t>
        </is>
      </c>
      <c r="B52" s="9" t="inlineStr">
        <is>
          <t>아메리칸 익스프레스</t>
        </is>
      </c>
      <c r="C52" s="9" t="inlineStr">
        <is>
          <t>American Express</t>
        </is>
      </c>
      <c r="D52" s="9" t="inlineStr">
        <is>
          <t>AMERICAN EXPRESS CO</t>
        </is>
      </c>
      <c r="E52" s="9" t="inlineStr">
        <is>
          <t>금융업 — ROIC 미산출</t>
        </is>
      </c>
      <c r="F52" s="10" t="inlineStr">
        <is>
          <t>—</t>
        </is>
      </c>
    </row>
    <row r="53">
      <c r="A53" s="9" t="inlineStr">
        <is>
          <t>C</t>
        </is>
      </c>
      <c r="B53" s="9" t="inlineStr">
        <is>
          <t>씨티그룹</t>
        </is>
      </c>
      <c r="C53" s="9" t="inlineStr">
        <is>
          <t>Citigroup</t>
        </is>
      </c>
      <c r="D53" s="9" t="inlineStr">
        <is>
          <t>CITIGROUP INC</t>
        </is>
      </c>
      <c r="E53" s="9" t="inlineStr">
        <is>
          <t>금융업 — ROIC 미산출</t>
        </is>
      </c>
      <c r="F53" s="10" t="inlineStr">
        <is>
          <t>—</t>
        </is>
      </c>
    </row>
  </sheetData>
  <autoFilter ref="A3:F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9" customWidth="1" min="3" max="3"/>
    <col width="11" customWidth="1" min="4" max="4"/>
    <col width="14" customWidth="1" min="5" max="5"/>
    <col width="14" customWidth="1" min="6" max="6"/>
    <col width="30" customWidth="1" min="7" max="7"/>
    <col width="9" customWidth="1" min="8" max="8"/>
    <col width="10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14" customWidth="1" min="16" max="16"/>
    <col width="24" customWidth="1" min="17" max="17"/>
    <col width="9" customWidth="1" min="18" max="18"/>
    <col width="10" customWidth="1" min="19" max="19"/>
    <col width="10" customWidth="1" min="20" max="20"/>
    <col width="18" customWidth="1" min="21" max="21"/>
    <col width="13" customWidth="1" min="22" max="22"/>
    <col width="34" customWidth="1" min="23" max="23"/>
    <col width="32" customWidth="1" min="24" max="24"/>
  </cols>
  <sheetData>
    <row r="1">
      <c r="A1" s="8" t="inlineStr">
        <is>
          <t>기업</t>
        </is>
      </c>
      <c r="B1" s="8" t="inlineStr">
        <is>
          <t>티커</t>
        </is>
      </c>
      <c r="C1" s="8" t="inlineStr">
        <is>
          <t>회계연도</t>
        </is>
      </c>
      <c r="D1" s="8" t="inlineStr">
        <is>
          <t>결산일</t>
        </is>
      </c>
      <c r="E1" s="8" t="inlineStr">
        <is>
          <t>매출</t>
        </is>
      </c>
      <c r="F1" s="8" t="inlineStr">
        <is>
          <t>영업이익</t>
        </is>
      </c>
      <c r="G1" s="8" t="inlineStr">
        <is>
          <t>산출 경로</t>
        </is>
      </c>
      <c r="H1" s="8" t="inlineStr">
        <is>
          <t>신뢰도</t>
        </is>
      </c>
      <c r="I1" s="8" t="inlineStr">
        <is>
          <t>실효세율</t>
        </is>
      </c>
      <c r="J1" s="8" t="inlineStr">
        <is>
          <t>NOPAT</t>
        </is>
      </c>
      <c r="K1" s="8" t="inlineStr">
        <is>
          <t>자기자본</t>
        </is>
      </c>
      <c r="L1" s="8" t="inlineStr">
        <is>
          <t>이자부차입금</t>
        </is>
      </c>
      <c r="M1" s="8" t="inlineStr">
        <is>
          <t>현금+단기투자</t>
        </is>
      </c>
      <c r="N1" s="8" t="inlineStr">
        <is>
          <t>투하자본</t>
        </is>
      </c>
      <c r="O1" s="8" t="inlineStr">
        <is>
          <t>직전 투하자본</t>
        </is>
      </c>
      <c r="P1" s="8" t="inlineStr">
        <is>
          <t>평균 투하자본</t>
        </is>
      </c>
      <c r="Q1" s="8" t="inlineStr">
        <is>
          <t>평균 산정</t>
        </is>
      </c>
      <c r="R1" s="8" t="inlineStr">
        <is>
          <t>ROIC</t>
        </is>
      </c>
      <c r="S1" s="8" t="inlineStr">
        <is>
          <t>ROIC−10%</t>
        </is>
      </c>
      <c r="T1" s="8" t="inlineStr">
        <is>
          <t>분모/매출</t>
        </is>
      </c>
      <c r="U1" s="8" t="inlineStr">
        <is>
          <t>대안 추정 ROIC</t>
        </is>
      </c>
      <c r="V1" s="8" t="inlineStr">
        <is>
          <t>문턱 판정 일치</t>
        </is>
      </c>
      <c r="W1" s="8" t="inlineStr">
        <is>
          <t>상태</t>
        </is>
      </c>
      <c r="X1" s="8" t="inlineStr">
        <is>
          <t>SEC 등록명</t>
        </is>
      </c>
    </row>
    <row r="2">
      <c r="A2" s="11" t="inlineStr">
        <is>
          <t>엔비디아</t>
        </is>
      </c>
      <c r="B2" s="11" t="inlineStr">
        <is>
          <t>NVDA</t>
        </is>
      </c>
      <c r="C2" s="11" t="n">
        <v>2015</v>
      </c>
      <c r="D2" s="11" t="inlineStr">
        <is>
          <t>2016-01-31</t>
        </is>
      </c>
      <c r="E2" s="12" t="n">
        <v>5010000000</v>
      </c>
      <c r="F2" s="12" t="n">
        <v>747000000</v>
      </c>
      <c r="G2" s="11" t="inlineStr">
        <is>
          <t>reported</t>
        </is>
      </c>
      <c r="H2" s="11" t="inlineStr">
        <is>
          <t>HIGH</t>
        </is>
      </c>
      <c r="I2" s="13" t="n">
        <v>0.1736204576043069</v>
      </c>
      <c r="J2" s="12">
        <f>IF(F2="","",F2*(1-I2))</f>
        <v>617305518.1695827</v>
      </c>
      <c r="K2" s="12" t="n">
        <v>4469000000</v>
      </c>
      <c r="L2" s="12" t="n">
        <v>0</v>
      </c>
      <c r="M2" s="12" t="n">
        <v>5037000000</v>
      </c>
      <c r="N2" s="12">
        <f>IF(COUNT(K2:M2)&lt;3,"",K2+L2-M2)</f>
        <v>-568000000.0</v>
      </c>
      <c r="O2" s="11" t="inlineStr">
        <is>
          <t>—</t>
        </is>
      </c>
      <c r="P2" s="12" t="inlineStr">
        <is>
          <t>—</t>
        </is>
      </c>
      <c r="Q2" s="11" t="inlineStr">
        <is>
          <t>—</t>
        </is>
      </c>
      <c r="R2" s="11" t="inlineStr">
        <is>
          <t>—</t>
        </is>
      </c>
      <c r="S2" s="11" t="inlineStr">
        <is>
          <t>—</t>
        </is>
      </c>
      <c r="T2" s="13" t="inlineStr">
        <is>
          <t>—</t>
        </is>
      </c>
      <c r="U2" s="11" t="inlineStr">
        <is>
          <t>—</t>
        </is>
      </c>
      <c r="V2" s="11" t="inlineStr">
        <is>
          <t>—</t>
        </is>
      </c>
      <c r="W2" s="11" t="inlineStr">
        <is>
          <t>다음 해 평균 투하자본의 기초값으로만 사용 (보고 기간 밖 — 자체 비율은 계산하지 않음)</t>
        </is>
      </c>
      <c r="X2" s="11" t="inlineStr">
        <is>
          <t>NVIDIA CORP</t>
        </is>
      </c>
    </row>
    <row r="3">
      <c r="A3" t="inlineStr">
        <is>
          <t>엔비디아</t>
        </is>
      </c>
      <c r="B3" t="inlineStr">
        <is>
          <t>NVDA</t>
        </is>
      </c>
      <c r="C3" t="n">
        <v>2016</v>
      </c>
      <c r="D3" t="inlineStr">
        <is>
          <t>2017-01-29</t>
        </is>
      </c>
      <c r="E3" s="14" t="n">
        <v>6910000000</v>
      </c>
      <c r="F3" s="14" t="n">
        <v>1934000000</v>
      </c>
      <c r="G3" t="inlineStr">
        <is>
          <t>reported</t>
        </is>
      </c>
      <c r="H3" t="inlineStr">
        <is>
          <t>HIGH</t>
        </is>
      </c>
      <c r="I3" s="15" t="n">
        <v>0.1254593175853018</v>
      </c>
      <c r="J3" s="14">
        <f>IF(F3="","",F3*(1-I3))</f>
        <v>1691361679.7900262</v>
      </c>
      <c r="K3" s="14" t="n">
        <v>5762000000</v>
      </c>
      <c r="L3" s="14" t="n">
        <v>1983000000</v>
      </c>
      <c r="M3" s="14" t="n">
        <v>6798000000</v>
      </c>
      <c r="N3" s="14">
        <f>IF(COUNT(K3:M3)&lt;3,"",K3+L3-M3)</f>
        <v>947000000.0</v>
      </c>
      <c r="O3" s="14">
        <f>N2</f>
        <v>-568000000.0</v>
      </c>
      <c r="P3" s="14">
        <f>IF(N3="","",IF(OR(O3="",O3&lt;=0,N3&lt;=0),N3,(N3+O3)/2))</f>
        <v>947000000.0</v>
      </c>
      <c r="Q3" t="inlineStr">
        <is>
          <t>기말 단독 (기초 또는 기말 자본이 0 이하)</t>
        </is>
      </c>
      <c r="R3" s="15">
        <f>IF(OR(P3="",P3&lt;=0),"",J3/P3)</f>
        <v>1.7860207811932696</v>
      </c>
      <c r="S3" s="15">
        <f>IF(R3="","",R3-0.1)</f>
        <v>1.6860207811932695</v>
      </c>
      <c r="T3" s="15">
        <f>IF(OR(P3="",E3=0,E3=""),"",P3/E3)</f>
        <v>0.1370477568740955</v>
      </c>
      <c r="U3" t="inlineStr">
        <is>
          <t>—</t>
        </is>
      </c>
      <c r="V3" t="inlineStr">
        <is>
          <t>—</t>
        </is>
      </c>
      <c r="W3" t="inlineStr">
        <is>
          <t>OK</t>
        </is>
      </c>
      <c r="X3" t="inlineStr">
        <is>
          <t>NVIDIA CORP</t>
        </is>
      </c>
    </row>
    <row r="4">
      <c r="A4" t="inlineStr">
        <is>
          <t>엔비디아</t>
        </is>
      </c>
      <c r="B4" t="inlineStr">
        <is>
          <t>NVDA</t>
        </is>
      </c>
      <c r="C4" t="n">
        <v>2017</v>
      </c>
      <c r="D4" t="inlineStr">
        <is>
          <t>2018-01-28</t>
        </is>
      </c>
      <c r="E4" s="14" t="n">
        <v>9714000000</v>
      </c>
      <c r="F4" s="14" t="n">
        <v>3210000000</v>
      </c>
      <c r="G4" t="inlineStr">
        <is>
          <t>reported</t>
        </is>
      </c>
      <c r="H4" t="inlineStr">
        <is>
          <t>HIGH</t>
        </is>
      </c>
      <c r="I4" s="15" t="n">
        <v>0.05</v>
      </c>
      <c r="J4" s="14">
        <f>IF(F4="","",F4*(1-I4))</f>
        <v>3049500000.0</v>
      </c>
      <c r="K4" s="14" t="n">
        <v>7471000000</v>
      </c>
      <c r="L4" s="14" t="n">
        <v>1985000000</v>
      </c>
      <c r="M4" s="14" t="n">
        <v>7108000000</v>
      </c>
      <c r="N4" s="14">
        <f>IF(COUNT(K4:M4)&lt;3,"",K4+L4-M4)</f>
        <v>2348000000.0</v>
      </c>
      <c r="O4" s="14">
        <f>N3</f>
        <v>947000000.0</v>
      </c>
      <c r="P4" s="14">
        <f>IF(N4="","",IF(OR(O4="",O4&lt;=0,N4&lt;=0),N4,(N4+O4)/2))</f>
        <v>1647500000.0</v>
      </c>
      <c r="Q4" t="inlineStr">
        <is>
          <t>기초·기말 평균</t>
        </is>
      </c>
      <c r="R4" s="15">
        <f>IF(OR(P4="",P4&lt;=0),"",J4/P4)</f>
        <v>1.8509863429438542</v>
      </c>
      <c r="S4" s="15">
        <f>IF(R4="","",R4-0.1)</f>
        <v>1.7509863429438541</v>
      </c>
      <c r="T4" s="15">
        <f>IF(OR(P4="",E4=0,E4=""),"",P4/E4)</f>
        <v>0.16960057648754376</v>
      </c>
      <c r="U4" t="inlineStr">
        <is>
          <t>—</t>
        </is>
      </c>
      <c r="V4" t="inlineStr">
        <is>
          <t>—</t>
        </is>
      </c>
      <c r="W4" t="inlineStr">
        <is>
          <t>OK</t>
        </is>
      </c>
      <c r="X4" t="inlineStr">
        <is>
          <t>NVIDIA CORP</t>
        </is>
      </c>
    </row>
    <row r="5">
      <c r="A5" t="inlineStr">
        <is>
          <t>엔비디아</t>
        </is>
      </c>
      <c r="B5" t="inlineStr">
        <is>
          <t>NVDA</t>
        </is>
      </c>
      <c r="C5" t="n">
        <v>2018</v>
      </c>
      <c r="D5" t="inlineStr">
        <is>
          <t>2019-01-27</t>
        </is>
      </c>
      <c r="E5" s="14" t="n">
        <v>11716000000</v>
      </c>
      <c r="F5" s="14" t="n">
        <v>3804000000</v>
      </c>
      <c r="G5" t="inlineStr">
        <is>
          <t>reported</t>
        </is>
      </c>
      <c r="H5" t="inlineStr">
        <is>
          <t>HIGH</t>
        </is>
      </c>
      <c r="I5" s="15" t="n">
        <v>0.05</v>
      </c>
      <c r="J5" s="14">
        <f>IF(F5="","",F5*(1-I5))</f>
        <v>3613800000.0</v>
      </c>
      <c r="K5" s="14" t="n">
        <v>9342000000</v>
      </c>
      <c r="L5" s="14" t="n">
        <v>1988000000</v>
      </c>
      <c r="M5" s="14" t="n">
        <v>7422000000</v>
      </c>
      <c r="N5" s="14">
        <f>IF(COUNT(K5:M5)&lt;3,"",K5+L5-M5)</f>
        <v>3908000000.0</v>
      </c>
      <c r="O5" s="14">
        <f>N4</f>
        <v>2348000000.0</v>
      </c>
      <c r="P5" s="14">
        <f>IF(N5="","",IF(OR(O5="",O5&lt;=0,N5&lt;=0),N5,(N5+O5)/2))</f>
        <v>3128000000.0</v>
      </c>
      <c r="Q5" t="inlineStr">
        <is>
          <t>기초·기말 평균</t>
        </is>
      </c>
      <c r="R5" s="15">
        <f>IF(OR(P5="",P5&lt;=0),"",J5/P5)</f>
        <v>1.155306905370844</v>
      </c>
      <c r="S5" s="15">
        <f>IF(R5="","",R5-0.1)</f>
        <v>1.055306905370844</v>
      </c>
      <c r="T5" s="15">
        <f>IF(OR(P5="",E5=0,E5=""),"",P5/E5)</f>
        <v>0.2669853192215773</v>
      </c>
      <c r="U5" t="inlineStr">
        <is>
          <t>—</t>
        </is>
      </c>
      <c r="V5" t="inlineStr">
        <is>
          <t>—</t>
        </is>
      </c>
      <c r="W5" t="inlineStr">
        <is>
          <t>OK</t>
        </is>
      </c>
      <c r="X5" t="inlineStr">
        <is>
          <t>NVIDIA CORP</t>
        </is>
      </c>
    </row>
    <row r="6">
      <c r="A6" t="inlineStr">
        <is>
          <t>엔비디아</t>
        </is>
      </c>
      <c r="B6" t="inlineStr">
        <is>
          <t>NVDA</t>
        </is>
      </c>
      <c r="C6" t="n">
        <v>2019</v>
      </c>
      <c r="D6" t="inlineStr">
        <is>
          <t>2020-01-26</t>
        </is>
      </c>
      <c r="E6" s="14" t="n">
        <v>10918000000</v>
      </c>
      <c r="F6" s="14" t="n">
        <v>2846000000</v>
      </c>
      <c r="G6" t="inlineStr">
        <is>
          <t>reported</t>
        </is>
      </c>
      <c r="H6" t="inlineStr">
        <is>
          <t>HIGH</t>
        </is>
      </c>
      <c r="I6" s="15" t="n">
        <v>0.05858585858585859</v>
      </c>
      <c r="J6" s="14">
        <f>IF(F6="","",F6*(1-I6))</f>
        <v>2679264646.4646463</v>
      </c>
      <c r="K6" s="14" t="n">
        <v>12204000000</v>
      </c>
      <c r="L6" s="14" t="n">
        <v>1991000000</v>
      </c>
      <c r="M6" s="14" t="n">
        <v>10897000000</v>
      </c>
      <c r="N6" s="14">
        <f>IF(COUNT(K6:M6)&lt;3,"",K6+L6-M6)</f>
        <v>3298000000.0</v>
      </c>
      <c r="O6" s="14">
        <f>N5</f>
        <v>3908000000.0</v>
      </c>
      <c r="P6" s="14">
        <f>IF(N6="","",IF(OR(O6="",O6&lt;=0,N6&lt;=0),N6,(N6+O6)/2))</f>
        <v>3603000000.0</v>
      </c>
      <c r="Q6" t="inlineStr">
        <is>
          <t>기초·기말 평균</t>
        </is>
      </c>
      <c r="R6" s="15">
        <f>IF(OR(P6="",P6&lt;=0),"",J6/P6)</f>
        <v>0.7436204958269904</v>
      </c>
      <c r="S6" s="15">
        <f>IF(R6="","",R6-0.1)</f>
        <v>0.6436204958269904</v>
      </c>
      <c r="T6" s="15">
        <f>IF(OR(P6="",E6=0,E6=""),"",P6/E6)</f>
        <v>0.33000549551199854</v>
      </c>
      <c r="U6" t="inlineStr">
        <is>
          <t>—</t>
        </is>
      </c>
      <c r="V6" t="inlineStr">
        <is>
          <t>—</t>
        </is>
      </c>
      <c r="W6" t="inlineStr">
        <is>
          <t>OK</t>
        </is>
      </c>
      <c r="X6" t="inlineStr">
        <is>
          <t>NVIDIA CORP</t>
        </is>
      </c>
    </row>
    <row r="7">
      <c r="A7" t="inlineStr">
        <is>
          <t>엔비디아</t>
        </is>
      </c>
      <c r="B7" t="inlineStr">
        <is>
          <t>NVDA</t>
        </is>
      </c>
      <c r="C7" t="n">
        <v>2020</v>
      </c>
      <c r="D7" t="inlineStr">
        <is>
          <t>2021-01-31</t>
        </is>
      </c>
      <c r="E7" s="14" t="n">
        <v>16675000000</v>
      </c>
      <c r="F7" s="14" t="n">
        <v>4532000000</v>
      </c>
      <c r="G7" t="inlineStr">
        <is>
          <t>reported</t>
        </is>
      </c>
      <c r="H7" t="inlineStr">
        <is>
          <t>HIGH</t>
        </is>
      </c>
      <c r="I7" s="15" t="n">
        <v>0.05</v>
      </c>
      <c r="J7" s="14">
        <f>IF(F7="","",F7*(1-I7))</f>
        <v>4305400000.0</v>
      </c>
      <c r="K7" s="14" t="n">
        <v>16893000000</v>
      </c>
      <c r="L7" s="14" t="n">
        <v>6963000000</v>
      </c>
      <c r="M7" s="14" t="n">
        <v>11561000000</v>
      </c>
      <c r="N7" s="14">
        <f>IF(COUNT(K7:M7)&lt;3,"",K7+L7-M7)</f>
        <v>12295000000.0</v>
      </c>
      <c r="O7" s="14">
        <f>N6</f>
        <v>3298000000.0</v>
      </c>
      <c r="P7" s="14">
        <f>IF(N7="","",IF(OR(O7="",O7&lt;=0,N7&lt;=0),N7,(N7+O7)/2))</f>
        <v>7796500000.0</v>
      </c>
      <c r="Q7" t="inlineStr">
        <is>
          <t>기초·기말 평균</t>
        </is>
      </c>
      <c r="R7" s="15">
        <f>IF(OR(P7="",P7&lt;=0),"",J7/P7)</f>
        <v>0.5522221509651767</v>
      </c>
      <c r="S7" s="15">
        <f>IF(R7="","",R7-0.1)</f>
        <v>0.4522221509651767</v>
      </c>
      <c r="T7" s="15">
        <f>IF(OR(P7="",E7=0,E7=""),"",P7/E7)</f>
        <v>0.4675562218890555</v>
      </c>
      <c r="U7" t="inlineStr">
        <is>
          <t>—</t>
        </is>
      </c>
      <c r="V7" t="inlineStr">
        <is>
          <t>—</t>
        </is>
      </c>
      <c r="W7" t="inlineStr">
        <is>
          <t>OK</t>
        </is>
      </c>
      <c r="X7" t="inlineStr">
        <is>
          <t>NVIDIA CORP</t>
        </is>
      </c>
    </row>
    <row r="8">
      <c r="A8" t="inlineStr">
        <is>
          <t>엔비디아</t>
        </is>
      </c>
      <c r="B8" t="inlineStr">
        <is>
          <t>NVDA</t>
        </is>
      </c>
      <c r="C8" t="n">
        <v>2021</v>
      </c>
      <c r="D8" t="inlineStr">
        <is>
          <t>2022-01-30</t>
        </is>
      </c>
      <c r="E8" s="14" t="n">
        <v>26914000000</v>
      </c>
      <c r="F8" s="14" t="n">
        <v>10041000000</v>
      </c>
      <c r="G8" t="inlineStr">
        <is>
          <t>reported</t>
        </is>
      </c>
      <c r="H8" t="inlineStr">
        <is>
          <t>HIGH</t>
        </is>
      </c>
      <c r="I8" s="15" t="n">
        <v>0.05</v>
      </c>
      <c r="J8" s="14">
        <f>IF(F8="","",F8*(1-I8))</f>
        <v>9538950000.0</v>
      </c>
      <c r="K8" s="14" t="n">
        <v>26612000000</v>
      </c>
      <c r="L8" s="14" t="n">
        <v>10946000000</v>
      </c>
      <c r="M8" s="14" t="n">
        <v>21208000000</v>
      </c>
      <c r="N8" s="14">
        <f>IF(COUNT(K8:M8)&lt;3,"",K8+L8-M8)</f>
        <v>16350000000.0</v>
      </c>
      <c r="O8" s="14">
        <f>N7</f>
        <v>12295000000.0</v>
      </c>
      <c r="P8" s="14">
        <f>IF(N8="","",IF(OR(O8="",O8&lt;=0,N8&lt;=0),N8,(N8+O8)/2))</f>
        <v>14322500000.0</v>
      </c>
      <c r="Q8" t="inlineStr">
        <is>
          <t>기초·기말 평균</t>
        </is>
      </c>
      <c r="R8" s="15">
        <f>IF(OR(P8="",P8&lt;=0),"",J8/P8)</f>
        <v>0.666011520335137</v>
      </c>
      <c r="S8" s="15">
        <f>IF(R8="","",R8-0.1)</f>
        <v>0.566011520335137</v>
      </c>
      <c r="T8" s="15">
        <f>IF(OR(P8="",E8=0,E8=""),"",P8/E8)</f>
        <v>0.5321579846919818</v>
      </c>
      <c r="U8" t="inlineStr">
        <is>
          <t>—</t>
        </is>
      </c>
      <c r="V8" t="inlineStr">
        <is>
          <t>—</t>
        </is>
      </c>
      <c r="W8" t="inlineStr">
        <is>
          <t>OK</t>
        </is>
      </c>
      <c r="X8" t="inlineStr">
        <is>
          <t>NVIDIA CORP</t>
        </is>
      </c>
    </row>
    <row r="9">
      <c r="A9" t="inlineStr">
        <is>
          <t>엔비디아</t>
        </is>
      </c>
      <c r="B9" t="inlineStr">
        <is>
          <t>NVDA</t>
        </is>
      </c>
      <c r="C9" t="n">
        <v>2022</v>
      </c>
      <c r="D9" t="inlineStr">
        <is>
          <t>2023-01-29</t>
        </is>
      </c>
      <c r="E9" s="14" t="n">
        <v>26974000000</v>
      </c>
      <c r="F9" s="14" t="n">
        <v>4224000000</v>
      </c>
      <c r="G9" t="inlineStr">
        <is>
          <t>reported</t>
        </is>
      </c>
      <c r="H9" t="inlineStr">
        <is>
          <t>HIGH</t>
        </is>
      </c>
      <c r="I9" s="15" t="n">
        <v>0.05</v>
      </c>
      <c r="J9" s="14">
        <f>IF(F9="","",F9*(1-I9))</f>
        <v>4012800000.0</v>
      </c>
      <c r="K9" s="14" t="n">
        <v>22101000000</v>
      </c>
      <c r="L9" s="14" t="n">
        <v>10953000000</v>
      </c>
      <c r="M9" s="14" t="n">
        <v>13296000000</v>
      </c>
      <c r="N9" s="14">
        <f>IF(COUNT(K9:M9)&lt;3,"",K9+L9-M9)</f>
        <v>19758000000.0</v>
      </c>
      <c r="O9" s="14">
        <f>N8</f>
        <v>16350000000.0</v>
      </c>
      <c r="P9" s="14">
        <f>IF(N9="","",IF(OR(O9="",O9&lt;=0,N9&lt;=0),N9,(N9+O9)/2))</f>
        <v>18054000000.0</v>
      </c>
      <c r="Q9" t="inlineStr">
        <is>
          <t>기초·기말 평균</t>
        </is>
      </c>
      <c r="R9" s="15">
        <f>IF(OR(P9="",P9&lt;=0),"",J9/P9)</f>
        <v>0.22226653373213692</v>
      </c>
      <c r="S9" s="15">
        <f>IF(R9="","",R9-0.1)</f>
        <v>0.12226653373213692</v>
      </c>
      <c r="T9" s="15">
        <f>IF(OR(P9="",E9=0,E9=""),"",P9/E9)</f>
        <v>0.6693111885519389</v>
      </c>
      <c r="U9" t="inlineStr">
        <is>
          <t>—</t>
        </is>
      </c>
      <c r="V9" t="inlineStr">
        <is>
          <t>—</t>
        </is>
      </c>
      <c r="W9" t="inlineStr">
        <is>
          <t>OK</t>
        </is>
      </c>
      <c r="X9" t="inlineStr">
        <is>
          <t>NVIDIA CORP</t>
        </is>
      </c>
    </row>
    <row r="10">
      <c r="A10" t="inlineStr">
        <is>
          <t>엔비디아</t>
        </is>
      </c>
      <c r="B10" t="inlineStr">
        <is>
          <t>NVDA</t>
        </is>
      </c>
      <c r="C10" t="n">
        <v>2023</v>
      </c>
      <c r="D10" t="inlineStr">
        <is>
          <t>2024-01-28</t>
        </is>
      </c>
      <c r="E10" s="14" t="n">
        <v>60922000000</v>
      </c>
      <c r="F10" s="14" t="n">
        <v>32972000000</v>
      </c>
      <c r="G10" t="inlineStr">
        <is>
          <t>reported</t>
        </is>
      </c>
      <c r="H10" t="inlineStr">
        <is>
          <t>HIGH</t>
        </is>
      </c>
      <c r="I10" s="15" t="n">
        <v>0.1199952687917677</v>
      </c>
      <c r="J10" s="14">
        <f>IF(F10="","",F10*(1-I10))</f>
        <v>29015515997.397835</v>
      </c>
      <c r="K10" s="14" t="n">
        <v>42978000000</v>
      </c>
      <c r="L10" s="14" t="n">
        <v>9709000000</v>
      </c>
      <c r="M10" s="14" t="n">
        <v>25984000000</v>
      </c>
      <c r="N10" s="14">
        <f>IF(COUNT(K10:M10)&lt;3,"",K10+L10-M10)</f>
        <v>26703000000.0</v>
      </c>
      <c r="O10" s="14">
        <f>N9</f>
        <v>19758000000.0</v>
      </c>
      <c r="P10" s="14">
        <f>IF(N10="","",IF(OR(O10="",O10&lt;=0,N10&lt;=0),N10,(N10+O10)/2))</f>
        <v>23230500000.0</v>
      </c>
      <c r="Q10" t="inlineStr">
        <is>
          <t>기초·기말 평균</t>
        </is>
      </c>
      <c r="R10" s="15">
        <f>IF(OR(P10="",P10&lt;=0),"",J10/P10)</f>
        <v>1.2490267535093018</v>
      </c>
      <c r="S10" s="15">
        <f>IF(R10="","",R10-0.1)</f>
        <v>1.1490267535093017</v>
      </c>
      <c r="T10" s="15">
        <f>IF(OR(P10="",E10=0,E10=""),"",P10/E10)</f>
        <v>0.38131545254587834</v>
      </c>
      <c r="U10" t="inlineStr">
        <is>
          <t>—</t>
        </is>
      </c>
      <c r="V10" t="inlineStr">
        <is>
          <t>—</t>
        </is>
      </c>
      <c r="W10" t="inlineStr">
        <is>
          <t>OK</t>
        </is>
      </c>
      <c r="X10" t="inlineStr">
        <is>
          <t>NVIDIA CORP</t>
        </is>
      </c>
    </row>
    <row r="11">
      <c r="A11" t="inlineStr">
        <is>
          <t>엔비디아</t>
        </is>
      </c>
      <c r="B11" t="inlineStr">
        <is>
          <t>NVDA</t>
        </is>
      </c>
      <c r="C11" t="n">
        <v>2024</v>
      </c>
      <c r="D11" t="inlineStr">
        <is>
          <t>2025-01-26</t>
        </is>
      </c>
      <c r="E11" s="14" t="n">
        <v>130497000000</v>
      </c>
      <c r="F11" s="14" t="n">
        <v>81453000000</v>
      </c>
      <c r="G11" t="inlineStr">
        <is>
          <t>reported</t>
        </is>
      </c>
      <c r="H11" t="inlineStr">
        <is>
          <t>HIGH</t>
        </is>
      </c>
      <c r="I11" s="15" t="n">
        <v>0.1326494180372742</v>
      </c>
      <c r="J11" s="14">
        <f>IF(F11="","",F11*(1-I11))</f>
        <v>70648306952.60991</v>
      </c>
      <c r="K11" s="14" t="n">
        <v>79327000000</v>
      </c>
      <c r="L11" s="14" t="n">
        <v>8463000000</v>
      </c>
      <c r="M11" s="14" t="n">
        <v>43210000000</v>
      </c>
      <c r="N11" s="14">
        <f>IF(COUNT(K11:M11)&lt;3,"",K11+L11-M11)</f>
        <v>44580000000.0</v>
      </c>
      <c r="O11" s="14">
        <f>N10</f>
        <v>26703000000.0</v>
      </c>
      <c r="P11" s="14">
        <f>IF(N11="","",IF(OR(O11="",O11&lt;=0,N11&lt;=0),N11,(N11+O11)/2))</f>
        <v>35641500000.0</v>
      </c>
      <c r="Q11" t="inlineStr">
        <is>
          <t>기초·기말 평균</t>
        </is>
      </c>
      <c r="R11" s="15">
        <f>IF(OR(P11="",P11&lt;=0),"",J11/P11)</f>
        <v>1.9821923025857473</v>
      </c>
      <c r="S11" s="15">
        <f>IF(R11="","",R11-0.1)</f>
        <v>1.8821923025857472</v>
      </c>
      <c r="T11" s="15">
        <f>IF(OR(P11="",E11=0,E11=""),"",P11/E11)</f>
        <v>0.2731212211774983</v>
      </c>
      <c r="U11" t="inlineStr">
        <is>
          <t>—</t>
        </is>
      </c>
      <c r="V11" t="inlineStr">
        <is>
          <t>—</t>
        </is>
      </c>
      <c r="W11" t="inlineStr">
        <is>
          <t>OK</t>
        </is>
      </c>
      <c r="X11" t="inlineStr">
        <is>
          <t>NVIDIA CORP</t>
        </is>
      </c>
    </row>
    <row r="12">
      <c r="A12" t="inlineStr">
        <is>
          <t>엔비디아</t>
        </is>
      </c>
      <c r="B12" t="inlineStr">
        <is>
          <t>NVDA</t>
        </is>
      </c>
      <c r="C12" t="n">
        <v>2025</v>
      </c>
      <c r="D12" t="inlineStr">
        <is>
          <t>2026-01-25</t>
        </is>
      </c>
      <c r="E12" s="14" t="n">
        <v>215938000000</v>
      </c>
      <c r="F12" s="14" t="n">
        <v>130387000000</v>
      </c>
      <c r="G12" t="inlineStr">
        <is>
          <t>reported</t>
        </is>
      </c>
      <c r="H12" t="inlineStr">
        <is>
          <t>HIGH</t>
        </is>
      </c>
      <c r="I12" s="15" t="n">
        <v>0.1511700247437257</v>
      </c>
      <c r="J12" s="14">
        <f>IF(F12="","",F12*(1-I12))</f>
        <v>110676393983.73982</v>
      </c>
      <c r="K12" s="14" t="n">
        <v>157293000000</v>
      </c>
      <c r="L12" s="14" t="n">
        <v>8468000000</v>
      </c>
      <c r="M12" s="14" t="n">
        <v>10605000000</v>
      </c>
      <c r="N12" s="14">
        <f>IF(COUNT(K12:M12)&lt;3,"",K12+L12-M12)</f>
        <v>155156000000.0</v>
      </c>
      <c r="O12" s="14">
        <f>N11</f>
        <v>44580000000.0</v>
      </c>
      <c r="P12" s="14">
        <f>IF(N12="","",IF(OR(O12="",O12&lt;=0,N12&lt;=0),N12,(N12+O12)/2))</f>
        <v>99868000000.0</v>
      </c>
      <c r="Q12" t="inlineStr">
        <is>
          <t>기초·기말 평균</t>
        </is>
      </c>
      <c r="R12" s="15">
        <f>IF(OR(P12="",P12&lt;=0),"",J12/P12)</f>
        <v>1.1082267992123584</v>
      </c>
      <c r="S12" s="15">
        <f>IF(R12="","",R12-0.1)</f>
        <v>1.0082267992123584</v>
      </c>
      <c r="T12" s="15">
        <f>IF(OR(P12="",E12=0,E12=""),"",P12/E12)</f>
        <v>0.4624846020617029</v>
      </c>
      <c r="U12" t="inlineStr">
        <is>
          <t>—</t>
        </is>
      </c>
      <c r="V12" t="inlineStr">
        <is>
          <t>—</t>
        </is>
      </c>
      <c r="W12" t="inlineStr">
        <is>
          <t>OK</t>
        </is>
      </c>
      <c r="X12" t="inlineStr">
        <is>
          <t>NVIDIA CORP</t>
        </is>
      </c>
    </row>
    <row r="13">
      <c r="A13" s="11" t="inlineStr">
        <is>
          <t>애플</t>
        </is>
      </c>
      <c r="B13" s="11" t="inlineStr">
        <is>
          <t>AAPL</t>
        </is>
      </c>
      <c r="C13" s="11" t="n">
        <v>2015</v>
      </c>
      <c r="D13" s="11" t="inlineStr">
        <is>
          <t>2015-09-26</t>
        </is>
      </c>
      <c r="E13" s="12" t="n">
        <v>233715000000</v>
      </c>
      <c r="F13" s="12" t="n">
        <v>71230000000</v>
      </c>
      <c r="G13" s="11" t="inlineStr">
        <is>
          <t>reported</t>
        </is>
      </c>
      <c r="H13" s="11" t="inlineStr">
        <is>
          <t>HIGH</t>
        </is>
      </c>
      <c r="I13" s="13" t="n">
        <v>0.2636833758532717</v>
      </c>
      <c r="J13" s="12">
        <f>IF(F13="","",F13*(1-I13))</f>
        <v>52447833137.97146</v>
      </c>
      <c r="K13" s="12" t="n">
        <v>119355000000</v>
      </c>
      <c r="L13" s="12" t="n">
        <v>64328000000</v>
      </c>
      <c r="M13" s="12" t="n">
        <v>41601000000</v>
      </c>
      <c r="N13" s="12">
        <f>IF(COUNT(K13:M13)&lt;3,"",K13+L13-M13)</f>
        <v>142082000000.0</v>
      </c>
      <c r="O13" s="11" t="inlineStr">
        <is>
          <t>—</t>
        </is>
      </c>
      <c r="P13" s="12" t="inlineStr">
        <is>
          <t>—</t>
        </is>
      </c>
      <c r="Q13" s="11" t="inlineStr">
        <is>
          <t>—</t>
        </is>
      </c>
      <c r="R13" s="13" t="inlineStr">
        <is>
          <t>—</t>
        </is>
      </c>
      <c r="S13" s="13" t="inlineStr">
        <is>
          <t>—</t>
        </is>
      </c>
      <c r="T13" s="13" t="inlineStr">
        <is>
          <t>—</t>
        </is>
      </c>
      <c r="U13" s="11" t="inlineStr">
        <is>
          <t>—</t>
        </is>
      </c>
      <c r="V13" s="11" t="inlineStr">
        <is>
          <t>—</t>
        </is>
      </c>
      <c r="W13" s="11" t="inlineStr">
        <is>
          <t>다음 해 평균 투하자본의 기초값으로만 사용 (보고 기간 밖 — 자체 비율은 계산하지 않음)</t>
        </is>
      </c>
      <c r="X13" s="11" t="inlineStr">
        <is>
          <t>Apple Inc.</t>
        </is>
      </c>
    </row>
    <row r="14">
      <c r="A14" t="inlineStr">
        <is>
          <t>애플</t>
        </is>
      </c>
      <c r="B14" t="inlineStr">
        <is>
          <t>AAPL</t>
        </is>
      </c>
      <c r="C14" t="n">
        <v>2016</v>
      </c>
      <c r="D14" t="inlineStr">
        <is>
          <t>2016-09-24</t>
        </is>
      </c>
      <c r="E14" s="14" t="n">
        <v>215639000000</v>
      </c>
      <c r="F14" s="14" t="n">
        <v>60024000000</v>
      </c>
      <c r="G14" t="inlineStr">
        <is>
          <t>reported</t>
        </is>
      </c>
      <c r="H14" t="inlineStr">
        <is>
          <t>HIGH</t>
        </is>
      </c>
      <c r="I14" s="15" t="n">
        <v>0.2555725738121619</v>
      </c>
      <c r="J14" s="14">
        <f>IF(F14="","",F14*(1-I14))</f>
        <v>44683511829.498795</v>
      </c>
      <c r="K14" s="14" t="n">
        <v>128249000000</v>
      </c>
      <c r="L14" s="14" t="n">
        <v>87032000000</v>
      </c>
      <c r="M14" s="14" t="n">
        <v>67155000000</v>
      </c>
      <c r="N14" s="14">
        <f>IF(COUNT(K14:M14)&lt;3,"",K14+L14-M14)</f>
        <v>148126000000.0</v>
      </c>
      <c r="O14" s="14">
        <f>N13</f>
        <v>142082000000.0</v>
      </c>
      <c r="P14" s="14">
        <f>IF(N14="","",IF(OR(O14="",O14&lt;=0,N14&lt;=0),N14,(N14+O14)/2))</f>
        <v>145104000000.0</v>
      </c>
      <c r="Q14" t="inlineStr">
        <is>
          <t>기초·기말 평균</t>
        </is>
      </c>
      <c r="R14" s="15">
        <f>IF(OR(P14="",P14&lt;=0),"",J14/P14)</f>
        <v>0.30794128231819107</v>
      </c>
      <c r="S14" s="15">
        <f>IF(R14="","",R14-0.1)</f>
        <v>0.20794128231819106</v>
      </c>
      <c r="T14" s="15">
        <f>IF(OR(P14="",E14=0,E14=""),"",P14/E14)</f>
        <v>0.672902397061756</v>
      </c>
      <c r="U14" t="inlineStr">
        <is>
          <t>—</t>
        </is>
      </c>
      <c r="V14" t="inlineStr">
        <is>
          <t>—</t>
        </is>
      </c>
      <c r="W14" t="inlineStr">
        <is>
          <t>OK</t>
        </is>
      </c>
      <c r="X14" t="inlineStr">
        <is>
          <t>Apple Inc.</t>
        </is>
      </c>
    </row>
    <row r="15">
      <c r="A15" t="inlineStr">
        <is>
          <t>애플</t>
        </is>
      </c>
      <c r="B15" t="inlineStr">
        <is>
          <t>AAPL</t>
        </is>
      </c>
      <c r="C15" t="n">
        <v>2017</v>
      </c>
      <c r="D15" t="inlineStr">
        <is>
          <t>2017-09-30</t>
        </is>
      </c>
      <c r="E15" s="14" t="n">
        <v>229234000000</v>
      </c>
      <c r="F15" s="14" t="n">
        <v>61344000000</v>
      </c>
      <c r="G15" t="inlineStr">
        <is>
          <t>reported</t>
        </is>
      </c>
      <c r="H15" t="inlineStr">
        <is>
          <t>HIGH</t>
        </is>
      </c>
      <c r="I15" s="15" t="n">
        <v>0.2455647615035342</v>
      </c>
      <c r="J15" s="14">
        <f>IF(F15="","",F15*(1-I15))</f>
        <v>46280075270.327194</v>
      </c>
      <c r="K15" s="14" t="n">
        <v>134047000000</v>
      </c>
      <c r="L15" s="14" t="n">
        <v>115680000000</v>
      </c>
      <c r="M15" s="14" t="n">
        <v>74181000000</v>
      </c>
      <c r="N15" s="14">
        <f>IF(COUNT(K15:M15)&lt;3,"",K15+L15-M15)</f>
        <v>175546000000.0</v>
      </c>
      <c r="O15" s="14">
        <f>N14</f>
        <v>148126000000.0</v>
      </c>
      <c r="P15" s="14">
        <f>IF(N15="","",IF(OR(O15="",O15&lt;=0,N15&lt;=0),N15,(N15+O15)/2))</f>
        <v>161836000000.0</v>
      </c>
      <c r="Q15" t="inlineStr">
        <is>
          <t>기초·기말 평균</t>
        </is>
      </c>
      <c r="R15" s="15">
        <f>IF(OR(P15="",P15&lt;=0),"",J15/P15)</f>
        <v>0.2859689764349539</v>
      </c>
      <c r="S15" s="15">
        <f>IF(R15="","",R15-0.1)</f>
        <v>0.1859689764349539</v>
      </c>
      <c r="T15" s="15">
        <f>IF(OR(P15="",E15=0,E15=""),"",P15/E15)</f>
        <v>0.705986023015783</v>
      </c>
      <c r="U15" t="inlineStr">
        <is>
          <t>—</t>
        </is>
      </c>
      <c r="V15" t="inlineStr">
        <is>
          <t>—</t>
        </is>
      </c>
      <c r="W15" t="inlineStr">
        <is>
          <t>OK</t>
        </is>
      </c>
      <c r="X15" t="inlineStr">
        <is>
          <t>Apple Inc.</t>
        </is>
      </c>
    </row>
    <row r="16">
      <c r="A16" t="inlineStr">
        <is>
          <t>애플</t>
        </is>
      </c>
      <c r="B16" t="inlineStr">
        <is>
          <t>AAPL</t>
        </is>
      </c>
      <c r="C16" t="n">
        <v>2018</v>
      </c>
      <c r="D16" t="inlineStr">
        <is>
          <t>2018-09-29</t>
        </is>
      </c>
      <c r="E16" s="14" t="n">
        <v>265595000000</v>
      </c>
      <c r="F16" s="14" t="n">
        <v>70898000000</v>
      </c>
      <c r="G16" t="inlineStr">
        <is>
          <t>reported</t>
        </is>
      </c>
      <c r="H16" t="inlineStr">
        <is>
          <t>HIGH</t>
        </is>
      </c>
      <c r="I16" s="15" t="n">
        <v>0.1834218070586944</v>
      </c>
      <c r="J16" s="14">
        <f>IF(F16="","",F16*(1-I16))</f>
        <v>57893760723.15269</v>
      </c>
      <c r="K16" s="14" t="n">
        <v>107147000000</v>
      </c>
      <c r="L16" s="14" t="n">
        <v>114483000000</v>
      </c>
      <c r="M16" s="14" t="n">
        <v>66301000000</v>
      </c>
      <c r="N16" s="14">
        <f>IF(COUNT(K16:M16)&lt;3,"",K16+L16-M16)</f>
        <v>155329000000.0</v>
      </c>
      <c r="O16" s="14">
        <f>N15</f>
        <v>175546000000.0</v>
      </c>
      <c r="P16" s="14">
        <f>IF(N16="","",IF(OR(O16="",O16&lt;=0,N16&lt;=0),N16,(N16+O16)/2))</f>
        <v>165437500000.0</v>
      </c>
      <c r="Q16" t="inlineStr">
        <is>
          <t>기초·기말 평균</t>
        </is>
      </c>
      <c r="R16" s="15">
        <f>IF(OR(P16="",P16&lt;=0),"",J16/P16)</f>
        <v>0.34994339689098714</v>
      </c>
      <c r="S16" s="15">
        <f>IF(R16="","",R16-0.1)</f>
        <v>0.24994339689098713</v>
      </c>
      <c r="T16" s="15">
        <f>IF(OR(P16="",E16=0,E16=""),"",P16/E16)</f>
        <v>0.6228938797793633</v>
      </c>
      <c r="U16" t="inlineStr">
        <is>
          <t>—</t>
        </is>
      </c>
      <c r="V16" t="inlineStr">
        <is>
          <t>—</t>
        </is>
      </c>
      <c r="W16" t="inlineStr">
        <is>
          <t>OK</t>
        </is>
      </c>
      <c r="X16" t="inlineStr">
        <is>
          <t>Apple Inc.</t>
        </is>
      </c>
    </row>
    <row r="17">
      <c r="A17" t="inlineStr">
        <is>
          <t>애플</t>
        </is>
      </c>
      <c r="B17" t="inlineStr">
        <is>
          <t>AAPL</t>
        </is>
      </c>
      <c r="C17" t="n">
        <v>2019</v>
      </c>
      <c r="D17" t="inlineStr">
        <is>
          <t>2019-09-28</t>
        </is>
      </c>
      <c r="E17" s="14" t="n">
        <v>260174000000</v>
      </c>
      <c r="F17" s="14" t="n">
        <v>63930000000</v>
      </c>
      <c r="G17" t="inlineStr">
        <is>
          <t>reported</t>
        </is>
      </c>
      <c r="H17" t="inlineStr">
        <is>
          <t>HIGH</t>
        </is>
      </c>
      <c r="I17" s="15" t="n">
        <v>0.1594383680423506</v>
      </c>
      <c r="J17" s="14">
        <f>IF(F17="","",F17*(1-I17))</f>
        <v>53737105131.05253</v>
      </c>
      <c r="K17" s="14" t="n">
        <v>90488000000</v>
      </c>
      <c r="L17" s="14" t="n">
        <v>108047000000</v>
      </c>
      <c r="M17" s="14" t="n">
        <v>100557000000</v>
      </c>
      <c r="N17" s="14">
        <f>IF(COUNT(K17:M17)&lt;3,"",K17+L17-M17)</f>
        <v>97978000000.0</v>
      </c>
      <c r="O17" s="14">
        <f>N16</f>
        <v>155329000000.0</v>
      </c>
      <c r="P17" s="14">
        <f>IF(N17="","",IF(OR(O17="",O17&lt;=0,N17&lt;=0),N17,(N17+O17)/2))</f>
        <v>126653500000.0</v>
      </c>
      <c r="Q17" t="inlineStr">
        <is>
          <t>기초·기말 평균</t>
        </is>
      </c>
      <c r="R17" s="15">
        <f>IF(OR(P17="",P17&lt;=0),"",J17/P17)</f>
        <v>0.42428440691376496</v>
      </c>
      <c r="S17" s="15">
        <f>IF(R17="","",R17-0.1)</f>
        <v>0.3242844069137649</v>
      </c>
      <c r="T17" s="15">
        <f>IF(OR(P17="",E17=0,E17=""),"",P17/E17)</f>
        <v>0.48680306256582134</v>
      </c>
      <c r="U17" t="inlineStr">
        <is>
          <t>—</t>
        </is>
      </c>
      <c r="V17" t="inlineStr">
        <is>
          <t>—</t>
        </is>
      </c>
      <c r="W17" t="inlineStr">
        <is>
          <t>OK</t>
        </is>
      </c>
      <c r="X17" t="inlineStr">
        <is>
          <t>Apple Inc.</t>
        </is>
      </c>
    </row>
    <row r="18">
      <c r="A18" t="inlineStr">
        <is>
          <t>애플</t>
        </is>
      </c>
      <c r="B18" t="inlineStr">
        <is>
          <t>AAPL</t>
        </is>
      </c>
      <c r="C18" t="n">
        <v>2020</v>
      </c>
      <c r="D18" t="inlineStr">
        <is>
          <t>2020-09-26</t>
        </is>
      </c>
      <c r="E18" s="14" t="n">
        <v>274515000000</v>
      </c>
      <c r="F18" s="14" t="n">
        <v>66288000000</v>
      </c>
      <c r="G18" t="inlineStr">
        <is>
          <t>reported</t>
        </is>
      </c>
      <c r="H18" t="inlineStr">
        <is>
          <t>HIGH</t>
        </is>
      </c>
      <c r="I18" s="15" t="n">
        <v>0.144281647314841</v>
      </c>
      <c r="J18" s="14">
        <f>IF(F18="","",F18*(1-I18))</f>
        <v>56723858162.79382</v>
      </c>
      <c r="K18" s="14" t="n">
        <v>65339000000</v>
      </c>
      <c r="L18" s="14" t="n">
        <v>112436000000</v>
      </c>
      <c r="M18" s="14" t="n">
        <v>90943000000</v>
      </c>
      <c r="N18" s="14">
        <f>IF(COUNT(K18:M18)&lt;3,"",K18+L18-M18)</f>
        <v>86832000000.0</v>
      </c>
      <c r="O18" s="14">
        <f>N17</f>
        <v>97978000000.0</v>
      </c>
      <c r="P18" s="14">
        <f>IF(N18="","",IF(OR(O18="",O18&lt;=0,N18&lt;=0),N18,(N18+O18)/2))</f>
        <v>92405000000.0</v>
      </c>
      <c r="Q18" t="inlineStr">
        <is>
          <t>기초·기말 평균</t>
        </is>
      </c>
      <c r="R18" s="15">
        <f>IF(OR(P18="",P18&lt;=0),"",J18/P18)</f>
        <v>0.6138613512558175</v>
      </c>
      <c r="S18" s="15">
        <f>IF(R18="","",R18-0.1)</f>
        <v>0.5138613512558176</v>
      </c>
      <c r="T18" s="15">
        <f>IF(OR(P18="",E18=0,E18=""),"",P18/E18)</f>
        <v>0.336611842704406</v>
      </c>
      <c r="U18" t="inlineStr">
        <is>
          <t>—</t>
        </is>
      </c>
      <c r="V18" t="inlineStr">
        <is>
          <t>—</t>
        </is>
      </c>
      <c r="W18" t="inlineStr">
        <is>
          <t>OK</t>
        </is>
      </c>
      <c r="X18" t="inlineStr">
        <is>
          <t>Apple Inc.</t>
        </is>
      </c>
    </row>
    <row r="19">
      <c r="A19" t="inlineStr">
        <is>
          <t>애플</t>
        </is>
      </c>
      <c r="B19" t="inlineStr">
        <is>
          <t>AAPL</t>
        </is>
      </c>
      <c r="C19" t="n">
        <v>2021</v>
      </c>
      <c r="D19" t="inlineStr">
        <is>
          <t>2021-09-25</t>
        </is>
      </c>
      <c r="E19" s="14" t="n">
        <v>365817000000</v>
      </c>
      <c r="F19" s="14" t="n">
        <v>108949000000</v>
      </c>
      <c r="G19" t="inlineStr">
        <is>
          <t>reported</t>
        </is>
      </c>
      <c r="H19" t="inlineStr">
        <is>
          <t>HIGH</t>
        </is>
      </c>
      <c r="I19" s="15" t="n">
        <v>0.1330226084408509</v>
      </c>
      <c r="J19" s="14">
        <f>IF(F19="","",F19*(1-I19))</f>
        <v>94456319832.97774</v>
      </c>
      <c r="K19" s="14" t="n">
        <v>63090000000</v>
      </c>
      <c r="L19" s="14" t="n">
        <v>124719000000</v>
      </c>
      <c r="M19" s="14" t="n">
        <v>62639000000</v>
      </c>
      <c r="N19" s="14">
        <f>IF(COUNT(K19:M19)&lt;3,"",K19+L19-M19)</f>
        <v>125170000000.0</v>
      </c>
      <c r="O19" s="14">
        <f>N18</f>
        <v>86832000000.0</v>
      </c>
      <c r="P19" s="14">
        <f>IF(N19="","",IF(OR(O19="",O19&lt;=0,N19&lt;=0),N19,(N19+O19)/2))</f>
        <v>106001000000.0</v>
      </c>
      <c r="Q19" t="inlineStr">
        <is>
          <t>기초·기말 평균</t>
        </is>
      </c>
      <c r="R19" s="15">
        <f>IF(OR(P19="",P19&lt;=0),"",J19/P19)</f>
        <v>0.8910889504153521</v>
      </c>
      <c r="S19" s="15">
        <f>IF(R19="","",R19-0.1)</f>
        <v>0.7910889504153521</v>
      </c>
      <c r="T19" s="15">
        <f>IF(OR(P19="",E19=0,E19=""),"",P19/E19)</f>
        <v>0.28976510112979986</v>
      </c>
      <c r="U19" t="inlineStr">
        <is>
          <t>—</t>
        </is>
      </c>
      <c r="V19" t="inlineStr">
        <is>
          <t>—</t>
        </is>
      </c>
      <c r="W19" t="inlineStr">
        <is>
          <t>OK</t>
        </is>
      </c>
      <c r="X19" t="inlineStr">
        <is>
          <t>Apple Inc.</t>
        </is>
      </c>
    </row>
    <row r="20">
      <c r="A20" t="inlineStr">
        <is>
          <t>애플</t>
        </is>
      </c>
      <c r="B20" t="inlineStr">
        <is>
          <t>AAPL</t>
        </is>
      </c>
      <c r="C20" t="n">
        <v>2022</v>
      </c>
      <c r="D20" t="inlineStr">
        <is>
          <t>2022-09-24</t>
        </is>
      </c>
      <c r="E20" s="14" t="n">
        <v>394328000000</v>
      </c>
      <c r="F20" s="14" t="n">
        <v>119437000000</v>
      </c>
      <c r="G20" t="inlineStr">
        <is>
          <t>reported</t>
        </is>
      </c>
      <c r="H20" t="inlineStr">
        <is>
          <t>HIGH</t>
        </is>
      </c>
      <c r="I20" s="15" t="n">
        <v>0.1620446168442441</v>
      </c>
      <c r="J20" s="14">
        <f>IF(F20="","",F20*(1-I20))</f>
        <v>100082877097.97401</v>
      </c>
      <c r="K20" s="14" t="n">
        <v>50672000000</v>
      </c>
      <c r="L20" s="14" t="n">
        <v>120069000000</v>
      </c>
      <c r="M20" s="14" t="n">
        <v>48304000000</v>
      </c>
      <c r="N20" s="14">
        <f>IF(COUNT(K20:M20)&lt;3,"",K20+L20-M20)</f>
        <v>122437000000.0</v>
      </c>
      <c r="O20" s="14">
        <f>N19</f>
        <v>125170000000.0</v>
      </c>
      <c r="P20" s="14">
        <f>IF(N20="","",IF(OR(O20="",O20&lt;=0,N20&lt;=0),N20,(N20+O20)/2))</f>
        <v>123803500000.0</v>
      </c>
      <c r="Q20" t="inlineStr">
        <is>
          <t>기초·기말 평균</t>
        </is>
      </c>
      <c r="R20" s="15">
        <f>IF(OR(P20="",P20&lt;=0),"",J20/P20)</f>
        <v>0.8084010314568976</v>
      </c>
      <c r="S20" s="15">
        <f>IF(R20="","",R20-0.1)</f>
        <v>0.7084010314568976</v>
      </c>
      <c r="T20" s="15">
        <f>IF(OR(P20="",E20=0,E20=""),"",P20/E20)</f>
        <v>0.3139607129090503</v>
      </c>
      <c r="U20" t="inlineStr">
        <is>
          <t>—</t>
        </is>
      </c>
      <c r="V20" t="inlineStr">
        <is>
          <t>—</t>
        </is>
      </c>
      <c r="W20" t="inlineStr">
        <is>
          <t>OK</t>
        </is>
      </c>
      <c r="X20" t="inlineStr">
        <is>
          <t>Apple Inc.</t>
        </is>
      </c>
    </row>
    <row r="21">
      <c r="A21" t="inlineStr">
        <is>
          <t>애플</t>
        </is>
      </c>
      <c r="B21" t="inlineStr">
        <is>
          <t>AAPL</t>
        </is>
      </c>
      <c r="C21" t="n">
        <v>2023</v>
      </c>
      <c r="D21" t="inlineStr">
        <is>
          <t>2023-09-30</t>
        </is>
      </c>
      <c r="E21" s="14" t="n">
        <v>383285000000</v>
      </c>
      <c r="F21" s="14" t="n">
        <v>114301000000</v>
      </c>
      <c r="G21" t="inlineStr">
        <is>
          <t>reported</t>
        </is>
      </c>
      <c r="H21" t="inlineStr">
        <is>
          <t>HIGH</t>
        </is>
      </c>
      <c r="I21" s="15" t="n">
        <v>0.1471917422803686</v>
      </c>
      <c r="J21" s="14">
        <f>IF(F21="","",F21*(1-I21))</f>
        <v>97476836665.61159</v>
      </c>
      <c r="K21" s="14" t="n">
        <v>62146000000</v>
      </c>
      <c r="L21" s="14" t="n">
        <v>111088000000</v>
      </c>
      <c r="M21" s="14" t="n">
        <v>61555000000</v>
      </c>
      <c r="N21" s="14">
        <f>IF(COUNT(K21:M21)&lt;3,"",K21+L21-M21)</f>
        <v>111679000000.0</v>
      </c>
      <c r="O21" s="14">
        <f>N20</f>
        <v>122437000000.0</v>
      </c>
      <c r="P21" s="14">
        <f>IF(N21="","",IF(OR(O21="",O21&lt;=0,N21&lt;=0),N21,(N21+O21)/2))</f>
        <v>117058000000.0</v>
      </c>
      <c r="Q21" t="inlineStr">
        <is>
          <t>기초·기말 평균</t>
        </is>
      </c>
      <c r="R21" s="15">
        <f>IF(OR(P21="",P21&lt;=0),"",J21/P21)</f>
        <v>0.8327225534829878</v>
      </c>
      <c r="S21" s="15">
        <f>IF(R21="","",R21-0.1)</f>
        <v>0.7327225534829879</v>
      </c>
      <c r="T21" s="15">
        <f>IF(OR(P21="",E21=0,E21=""),"",P21/E21)</f>
        <v>0.3054072035169652</v>
      </c>
      <c r="U21" t="inlineStr">
        <is>
          <t>—</t>
        </is>
      </c>
      <c r="V21" t="inlineStr">
        <is>
          <t>—</t>
        </is>
      </c>
      <c r="W21" t="inlineStr">
        <is>
          <t>OK</t>
        </is>
      </c>
      <c r="X21" t="inlineStr">
        <is>
          <t>Apple Inc.</t>
        </is>
      </c>
    </row>
    <row r="22">
      <c r="A22" t="inlineStr">
        <is>
          <t>애플</t>
        </is>
      </c>
      <c r="B22" t="inlineStr">
        <is>
          <t>AAPL</t>
        </is>
      </c>
      <c r="C22" t="n">
        <v>2024</v>
      </c>
      <c r="D22" t="inlineStr">
        <is>
          <t>2024-09-28</t>
        </is>
      </c>
      <c r="E22" s="14" t="n">
        <v>391035000000</v>
      </c>
      <c r="F22" s="14" t="n">
        <v>123216000000</v>
      </c>
      <c r="G22" t="inlineStr">
        <is>
          <t>reported</t>
        </is>
      </c>
      <c r="H22" t="inlineStr">
        <is>
          <t>HIGH</t>
        </is>
      </c>
      <c r="I22" s="15" t="n">
        <v>0.2409118516418998</v>
      </c>
      <c r="J22" s="14">
        <f>IF(F22="","",F22*(1-I22))</f>
        <v>93531805288.09167</v>
      </c>
      <c r="K22" s="14" t="n">
        <v>56950000000</v>
      </c>
      <c r="L22" s="14" t="n">
        <v>106629000000</v>
      </c>
      <c r="M22" s="14" t="n">
        <v>65171000000</v>
      </c>
      <c r="N22" s="14">
        <f>IF(COUNT(K22:M22)&lt;3,"",K22+L22-M22)</f>
        <v>98408000000.0</v>
      </c>
      <c r="O22" s="14">
        <f>N21</f>
        <v>111679000000.0</v>
      </c>
      <c r="P22" s="14">
        <f>IF(N22="","",IF(OR(O22="",O22&lt;=0,N22&lt;=0),N22,(N22+O22)/2))</f>
        <v>105043500000.0</v>
      </c>
      <c r="Q22" t="inlineStr">
        <is>
          <t>기초·기말 평균</t>
        </is>
      </c>
      <c r="R22" s="15">
        <f>IF(OR(P22="",P22&lt;=0),"",J22/P22)</f>
        <v>0.8904102137504146</v>
      </c>
      <c r="S22" s="15">
        <f>IF(R22="","",R22-0.1)</f>
        <v>0.7904102137504146</v>
      </c>
      <c r="T22" s="15">
        <f>IF(OR(P22="",E22=0,E22=""),"",P22/E22)</f>
        <v>0.268629406574859</v>
      </c>
      <c r="U22" t="inlineStr">
        <is>
          <t>—</t>
        </is>
      </c>
      <c r="V22" t="inlineStr">
        <is>
          <t>—</t>
        </is>
      </c>
      <c r="W22" t="inlineStr">
        <is>
          <t>OK</t>
        </is>
      </c>
      <c r="X22" t="inlineStr">
        <is>
          <t>Apple Inc.</t>
        </is>
      </c>
    </row>
    <row r="23">
      <c r="A23" t="inlineStr">
        <is>
          <t>애플</t>
        </is>
      </c>
      <c r="B23" t="inlineStr">
        <is>
          <t>AAPL</t>
        </is>
      </c>
      <c r="C23" t="n">
        <v>2025</v>
      </c>
      <c r="D23" t="inlineStr">
        <is>
          <t>2025-09-27</t>
        </is>
      </c>
      <c r="E23" s="14" t="n">
        <v>416161000000</v>
      </c>
      <c r="F23" s="14" t="n">
        <v>133050000000</v>
      </c>
      <c r="G23" t="inlineStr">
        <is>
          <t>reported</t>
        </is>
      </c>
      <c r="H23" t="inlineStr">
        <is>
          <t>HIGH</t>
        </is>
      </c>
      <c r="I23" s="15" t="n">
        <v>0.1561000233558604</v>
      </c>
      <c r="J23" s="14">
        <f>IF(F23="","",F23*(1-I23))</f>
        <v>112280891892.50278</v>
      </c>
      <c r="K23" s="14" t="n">
        <v>73733000000</v>
      </c>
      <c r="L23" s="14" t="n">
        <v>98657000000</v>
      </c>
      <c r="M23" s="14" t="n">
        <v>54697000000</v>
      </c>
      <c r="N23" s="14">
        <f>IF(COUNT(K23:M23)&lt;3,"",K23+L23-M23)</f>
        <v>117693000000.0</v>
      </c>
      <c r="O23" s="14">
        <f>N22</f>
        <v>98408000000.0</v>
      </c>
      <c r="P23" s="14">
        <f>IF(N23="","",IF(OR(O23="",O23&lt;=0,N23&lt;=0),N23,(N23+O23)/2))</f>
        <v>108050500000.0</v>
      </c>
      <c r="Q23" t="inlineStr">
        <is>
          <t>기초·기말 평균</t>
        </is>
      </c>
      <c r="R23" s="15">
        <f>IF(OR(P23="",P23&lt;=0),"",J23/P23)</f>
        <v>1.039151988121321</v>
      </c>
      <c r="S23" s="15">
        <f>IF(R23="","",R23-0.1)</f>
        <v>0.939151988121321</v>
      </c>
      <c r="T23" s="15">
        <f>IF(OR(P23="",E23=0,E23=""),"",P23/E23)</f>
        <v>0.2596362946071352</v>
      </c>
      <c r="U23" t="inlineStr">
        <is>
          <t>—</t>
        </is>
      </c>
      <c r="V23" t="inlineStr">
        <is>
          <t>—</t>
        </is>
      </c>
      <c r="W23" t="inlineStr">
        <is>
          <t>OK</t>
        </is>
      </c>
      <c r="X23" t="inlineStr">
        <is>
          <t>Apple Inc.</t>
        </is>
      </c>
    </row>
    <row r="24">
      <c r="A24" s="11" t="inlineStr">
        <is>
          <t>알파벳</t>
        </is>
      </c>
      <c r="B24" s="11" t="inlineStr">
        <is>
          <t>GOOG</t>
        </is>
      </c>
      <c r="C24" s="11" t="n">
        <v>2015</v>
      </c>
      <c r="D24" s="11" t="inlineStr">
        <is>
          <t>2015-12-31</t>
        </is>
      </c>
      <c r="E24" s="12" t="n">
        <v>74989000000</v>
      </c>
      <c r="F24" s="12" t="n">
        <v>19360000000</v>
      </c>
      <c r="G24" s="11" t="inlineStr">
        <is>
          <t>reported</t>
        </is>
      </c>
      <c r="H24" s="11" t="inlineStr">
        <is>
          <t>HIGH</t>
        </is>
      </c>
      <c r="I24" s="13" t="n">
        <v>0.1680830492086917</v>
      </c>
      <c r="J24" s="12">
        <f>IF(F24="","",F24*(1-I24))</f>
        <v>16105912167.319729</v>
      </c>
      <c r="K24" s="12" t="n">
        <v>120331000000</v>
      </c>
      <c r="L24" s="12" t="n">
        <v>5220000000</v>
      </c>
      <c r="M24" s="12" t="n">
        <v>73066000000</v>
      </c>
      <c r="N24" s="12">
        <f>IF(COUNT(K24:M24)&lt;3,"",K24+L24-M24)</f>
        <v>52485000000.0</v>
      </c>
      <c r="O24" s="11" t="inlineStr">
        <is>
          <t>—</t>
        </is>
      </c>
      <c r="P24" s="12" t="inlineStr">
        <is>
          <t>—</t>
        </is>
      </c>
      <c r="Q24" s="11" t="inlineStr">
        <is>
          <t>—</t>
        </is>
      </c>
      <c r="R24" s="13" t="inlineStr">
        <is>
          <t>—</t>
        </is>
      </c>
      <c r="S24" s="13" t="inlineStr">
        <is>
          <t>—</t>
        </is>
      </c>
      <c r="T24" s="13" t="inlineStr">
        <is>
          <t>—</t>
        </is>
      </c>
      <c r="U24" s="11" t="inlineStr">
        <is>
          <t>—</t>
        </is>
      </c>
      <c r="V24" s="11" t="inlineStr">
        <is>
          <t>—</t>
        </is>
      </c>
      <c r="W24" s="11" t="inlineStr">
        <is>
          <t>다음 해 평균 투하자본의 기초값으로만 사용 (보고 기간 밖 — 자체 비율은 계산하지 않음)</t>
        </is>
      </c>
      <c r="X24" s="11" t="inlineStr">
        <is>
          <t>Alphabet Inc.</t>
        </is>
      </c>
    </row>
    <row r="25">
      <c r="A25" t="inlineStr">
        <is>
          <t>알파벳</t>
        </is>
      </c>
      <c r="B25" t="inlineStr">
        <is>
          <t>GOOG</t>
        </is>
      </c>
      <c r="C25" t="n">
        <v>2016</v>
      </c>
      <c r="D25" t="inlineStr">
        <is>
          <t>2016-12-31</t>
        </is>
      </c>
      <c r="E25" s="14" t="n">
        <v>90272000000</v>
      </c>
      <c r="F25" s="14" t="n">
        <v>23716000000</v>
      </c>
      <c r="G25" t="inlineStr">
        <is>
          <t>reported</t>
        </is>
      </c>
      <c r="H25" t="inlineStr">
        <is>
          <t>HIGH</t>
        </is>
      </c>
      <c r="I25" s="15" t="n">
        <v>0.1934575569358178</v>
      </c>
      <c r="J25" s="14">
        <f>IF(F25="","",F25*(1-I25))</f>
        <v>19127960579.710144</v>
      </c>
      <c r="K25" s="14" t="n">
        <v>139036000000</v>
      </c>
      <c r="L25" s="14" t="n">
        <v>3935000000</v>
      </c>
      <c r="M25" s="14" t="n">
        <v>86333000000</v>
      </c>
      <c r="N25" s="14">
        <f>IF(COUNT(K25:M25)&lt;3,"",K25+L25-M25)</f>
        <v>56638000000.0</v>
      </c>
      <c r="O25" s="14">
        <f>N24</f>
        <v>52485000000.0</v>
      </c>
      <c r="P25" s="14">
        <f>IF(N25="","",IF(OR(O25="",O25&lt;=0,N25&lt;=0),N25,(N25+O25)/2))</f>
        <v>54561500000.0</v>
      </c>
      <c r="Q25" t="inlineStr">
        <is>
          <t>기초·기말 평균</t>
        </is>
      </c>
      <c r="R25" s="15">
        <f>IF(OR(P25="",P25&lt;=0),"",J25/P25)</f>
        <v>0.35057614947738136</v>
      </c>
      <c r="S25" s="15">
        <f>IF(R25="","",R25-0.1)</f>
        <v>0.2505761494773814</v>
      </c>
      <c r="T25" s="15">
        <f>IF(OR(P25="",E25=0,E25=""),"",P25/E25)</f>
        <v>0.6044122208436724</v>
      </c>
      <c r="U25" t="inlineStr">
        <is>
          <t>—</t>
        </is>
      </c>
      <c r="V25" t="inlineStr">
        <is>
          <t>—</t>
        </is>
      </c>
      <c r="W25" t="inlineStr">
        <is>
          <t>OK</t>
        </is>
      </c>
      <c r="X25" t="inlineStr">
        <is>
          <t>Alphabet Inc.</t>
        </is>
      </c>
    </row>
    <row r="26">
      <c r="A26" t="inlineStr">
        <is>
          <t>알파벳</t>
        </is>
      </c>
      <c r="B26" t="inlineStr">
        <is>
          <t>GOOG</t>
        </is>
      </c>
      <c r="C26" t="n">
        <v>2017</v>
      </c>
      <c r="D26" t="inlineStr">
        <is>
          <t>2017-12-31</t>
        </is>
      </c>
      <c r="E26" s="14" t="n">
        <v>110855000000</v>
      </c>
      <c r="F26" s="14" t="n">
        <v>26178000000</v>
      </c>
      <c r="G26" t="inlineStr">
        <is>
          <t>reported</t>
        </is>
      </c>
      <c r="H26" t="inlineStr">
        <is>
          <t>HIGH</t>
        </is>
      </c>
      <c r="I26" s="15" t="n">
        <v>0.4</v>
      </c>
      <c r="J26" s="14">
        <f>IF(F26="","",F26*(1-I26))</f>
        <v>15706800000.0</v>
      </c>
      <c r="K26" s="14" t="n">
        <v>152502000000</v>
      </c>
      <c r="L26" s="14" t="n">
        <v>3943000000</v>
      </c>
      <c r="M26" s="14" t="n">
        <v>101871000000</v>
      </c>
      <c r="N26" s="14">
        <f>IF(COUNT(K26:M26)&lt;3,"",K26+L26-M26)</f>
        <v>54574000000.0</v>
      </c>
      <c r="O26" s="14">
        <f>N25</f>
        <v>56638000000.0</v>
      </c>
      <c r="P26" s="14">
        <f>IF(N26="","",IF(OR(O26="",O26&lt;=0,N26&lt;=0),N26,(N26+O26)/2))</f>
        <v>55606000000.0</v>
      </c>
      <c r="Q26" t="inlineStr">
        <is>
          <t>기초·기말 평균</t>
        </is>
      </c>
      <c r="R26" s="15">
        <f>IF(OR(P26="",P26&lt;=0),"",J26/P26)</f>
        <v>0.28246592094378303</v>
      </c>
      <c r="S26" s="15">
        <f>IF(R26="","",R26-0.1)</f>
        <v>0.18246592094378303</v>
      </c>
      <c r="T26" s="15">
        <f>IF(OR(P26="",E26=0,E26=""),"",P26/E26)</f>
        <v>0.5016102115375941</v>
      </c>
      <c r="U26" t="inlineStr">
        <is>
          <t>—</t>
        </is>
      </c>
      <c r="V26" t="inlineStr">
        <is>
          <t>—</t>
        </is>
      </c>
      <c r="W26" t="inlineStr">
        <is>
          <t>OK</t>
        </is>
      </c>
      <c r="X26" t="inlineStr">
        <is>
          <t>Alphabet Inc.</t>
        </is>
      </c>
    </row>
    <row r="27">
      <c r="A27" t="inlineStr">
        <is>
          <t>알파벳</t>
        </is>
      </c>
      <c r="B27" t="inlineStr">
        <is>
          <t>GOOG</t>
        </is>
      </c>
      <c r="C27" t="n">
        <v>2018</v>
      </c>
      <c r="D27" t="inlineStr">
        <is>
          <t>2018-12-31</t>
        </is>
      </c>
      <c r="E27" s="14" t="n">
        <v>136819000000</v>
      </c>
      <c r="F27" s="14" t="n">
        <v>27524000000</v>
      </c>
      <c r="G27" t="inlineStr">
        <is>
          <t>reported</t>
        </is>
      </c>
      <c r="H27" t="inlineStr">
        <is>
          <t>HIGH</t>
        </is>
      </c>
      <c r="I27" s="15" t="n">
        <v>0.1196402486179933</v>
      </c>
      <c r="J27" s="14">
        <f>IF(F27="","",F27*(1-I27))</f>
        <v>24231021797.038353</v>
      </c>
      <c r="K27" s="14" t="n">
        <v>177628000000</v>
      </c>
      <c r="L27" s="14" t="n">
        <v>3950000000</v>
      </c>
      <c r="M27" s="14" t="n">
        <v>109140000000</v>
      </c>
      <c r="N27" s="14">
        <f>IF(COUNT(K27:M27)&lt;3,"",K27+L27-M27)</f>
        <v>72438000000.0</v>
      </c>
      <c r="O27" s="14">
        <f>N26</f>
        <v>54574000000.0</v>
      </c>
      <c r="P27" s="14">
        <f>IF(N27="","",IF(OR(O27="",O27&lt;=0,N27&lt;=0),N27,(N27+O27)/2))</f>
        <v>63506000000.0</v>
      </c>
      <c r="Q27" t="inlineStr">
        <is>
          <t>기초·기말 평균</t>
        </is>
      </c>
      <c r="R27" s="15">
        <f>IF(OR(P27="",P27&lt;=0),"",J27/P27)</f>
        <v>0.38155484201553164</v>
      </c>
      <c r="S27" s="15">
        <f>IF(R27="","",R27-0.1)</f>
        <v>0.2815548420155316</v>
      </c>
      <c r="T27" s="15">
        <f>IF(OR(P27="",E27=0,E27=""),"",P27/E27)</f>
        <v>0.4641606794377974</v>
      </c>
      <c r="U27" t="inlineStr">
        <is>
          <t>—</t>
        </is>
      </c>
      <c r="V27" t="inlineStr">
        <is>
          <t>—</t>
        </is>
      </c>
      <c r="W27" t="inlineStr">
        <is>
          <t>OK</t>
        </is>
      </c>
      <c r="X27" t="inlineStr">
        <is>
          <t>Alphabet Inc.</t>
        </is>
      </c>
    </row>
    <row r="28">
      <c r="A28" t="inlineStr">
        <is>
          <t>알파벳</t>
        </is>
      </c>
      <c r="B28" t="inlineStr">
        <is>
          <t>GOOG</t>
        </is>
      </c>
      <c r="C28" t="n">
        <v>2019</v>
      </c>
      <c r="D28" t="inlineStr">
        <is>
          <t>2019-12-31</t>
        </is>
      </c>
      <c r="E28" s="14" t="n">
        <v>161857000000</v>
      </c>
      <c r="F28" s="14" t="n">
        <v>34231000000</v>
      </c>
      <c r="G28" t="inlineStr">
        <is>
          <t>reported</t>
        </is>
      </c>
      <c r="H28" t="inlineStr">
        <is>
          <t>HIGH</t>
        </is>
      </c>
      <c r="I28" s="15" t="n">
        <v>0.1332996845425868</v>
      </c>
      <c r="J28" s="14">
        <f>IF(F28="","",F28*(1-I28))</f>
        <v>29668018498.42271</v>
      </c>
      <c r="K28" s="14" t="n">
        <v>201442000000</v>
      </c>
      <c r="L28" s="14" t="n">
        <v>3958000000</v>
      </c>
      <c r="M28" s="14" t="n">
        <v>119675000000</v>
      </c>
      <c r="N28" s="14">
        <f>IF(COUNT(K28:M28)&lt;3,"",K28+L28-M28)</f>
        <v>85725000000.0</v>
      </c>
      <c r="O28" s="14">
        <f>N27</f>
        <v>72438000000.0</v>
      </c>
      <c r="P28" s="14">
        <f>IF(N28="","",IF(OR(O28="",O28&lt;=0,N28&lt;=0),N28,(N28+O28)/2))</f>
        <v>79081500000.0</v>
      </c>
      <c r="Q28" t="inlineStr">
        <is>
          <t>기초·기말 평균</t>
        </is>
      </c>
      <c r="R28" s="15">
        <f>IF(OR(P28="",P28&lt;=0),"",J28/P28)</f>
        <v>0.37515750837329476</v>
      </c>
      <c r="S28" s="15">
        <f>IF(R28="","",R28-0.1)</f>
        <v>0.2751575083732948</v>
      </c>
      <c r="T28" s="15">
        <f>IF(OR(P28="",E28=0,E28=""),"",P28/E28)</f>
        <v>0.48858869248781334</v>
      </c>
      <c r="U28" t="inlineStr">
        <is>
          <t>—</t>
        </is>
      </c>
      <c r="V28" t="inlineStr">
        <is>
          <t>—</t>
        </is>
      </c>
      <c r="W28" t="inlineStr">
        <is>
          <t>OK</t>
        </is>
      </c>
      <c r="X28" t="inlineStr">
        <is>
          <t>Alphabet Inc.</t>
        </is>
      </c>
    </row>
    <row r="29">
      <c r="A29" t="inlineStr">
        <is>
          <t>알파벳</t>
        </is>
      </c>
      <c r="B29" t="inlineStr">
        <is>
          <t>GOOG</t>
        </is>
      </c>
      <c r="C29" t="n">
        <v>2020</v>
      </c>
      <c r="D29" t="inlineStr">
        <is>
          <t>2020-12-31</t>
        </is>
      </c>
      <c r="E29" s="14" t="n">
        <v>182527000000</v>
      </c>
      <c r="F29" s="14" t="n">
        <v>41224000000</v>
      </c>
      <c r="G29" t="inlineStr">
        <is>
          <t>reported</t>
        </is>
      </c>
      <c r="H29" t="inlineStr">
        <is>
          <t>HIGH</t>
        </is>
      </c>
      <c r="I29" s="15" t="n">
        <v>0.1624932407137806</v>
      </c>
      <c r="J29" s="14">
        <f>IF(F29="","",F29*(1-I29))</f>
        <v>34525378644.81511</v>
      </c>
      <c r="K29" s="14" t="n">
        <v>222544000000</v>
      </c>
      <c r="L29" s="14" t="n">
        <v>14931000000</v>
      </c>
      <c r="M29" s="14" t="n">
        <v>136694000000</v>
      </c>
      <c r="N29" s="14">
        <f>IF(COUNT(K29:M29)&lt;3,"",K29+L29-M29)</f>
        <v>100781000000.0</v>
      </c>
      <c r="O29" s="14">
        <f>N28</f>
        <v>85725000000.0</v>
      </c>
      <c r="P29" s="14">
        <f>IF(N29="","",IF(OR(O29="",O29&lt;=0,N29&lt;=0),N29,(N29+O29)/2))</f>
        <v>93253000000.0</v>
      </c>
      <c r="Q29" t="inlineStr">
        <is>
          <t>기초·기말 평균</t>
        </is>
      </c>
      <c r="R29" s="15">
        <f>IF(OR(P29="",P29&lt;=0),"",J29/P29)</f>
        <v>0.37023343640220807</v>
      </c>
      <c r="S29" s="15">
        <f>IF(R29="","",R29-0.1)</f>
        <v>0.2702334364022081</v>
      </c>
      <c r="T29" s="15">
        <f>IF(OR(P29="",E29=0,E29=""),"",P29/E29)</f>
        <v>0.5108997572961809</v>
      </c>
      <c r="U29" t="inlineStr">
        <is>
          <t>—</t>
        </is>
      </c>
      <c r="V29" t="inlineStr">
        <is>
          <t>—</t>
        </is>
      </c>
      <c r="W29" t="inlineStr">
        <is>
          <t>OK</t>
        </is>
      </c>
      <c r="X29" t="inlineStr">
        <is>
          <t>Alphabet Inc.</t>
        </is>
      </c>
    </row>
    <row r="30">
      <c r="A30" t="inlineStr">
        <is>
          <t>알파벳</t>
        </is>
      </c>
      <c r="B30" t="inlineStr">
        <is>
          <t>GOOG</t>
        </is>
      </c>
      <c r="C30" t="n">
        <v>2021</v>
      </c>
      <c r="D30" t="inlineStr">
        <is>
          <t>2021-12-31</t>
        </is>
      </c>
      <c r="E30" s="14" t="n">
        <v>257637000000</v>
      </c>
      <c r="F30" s="14" t="n">
        <v>78714000000</v>
      </c>
      <c r="G30" t="inlineStr">
        <is>
          <t>reported</t>
        </is>
      </c>
      <c r="H30" t="inlineStr">
        <is>
          <t>HIGH</t>
        </is>
      </c>
      <c r="I30" s="15" t="n">
        <v>0.1620230564066392</v>
      </c>
      <c r="J30" s="14">
        <f>IF(F30="","",F30*(1-I30))</f>
        <v>65960517138.007805</v>
      </c>
      <c r="K30" s="14" t="n">
        <v>251635000000</v>
      </c>
      <c r="L30" s="14" t="n">
        <v>14817000000</v>
      </c>
      <c r="M30" s="14" t="n">
        <v>139649000000</v>
      </c>
      <c r="N30" s="14">
        <f>IF(COUNT(K30:M30)&lt;3,"",K30+L30-M30)</f>
        <v>126803000000.0</v>
      </c>
      <c r="O30" s="14">
        <f>N29</f>
        <v>100781000000.0</v>
      </c>
      <c r="P30" s="14">
        <f>IF(N30="","",IF(OR(O30="",O30&lt;=0,N30&lt;=0),N30,(N30+O30)/2))</f>
        <v>113792000000.0</v>
      </c>
      <c r="Q30" t="inlineStr">
        <is>
          <t>기초·기말 평균</t>
        </is>
      </c>
      <c r="R30" s="15">
        <f>IF(OR(P30="",P30&lt;=0),"",J30/P30)</f>
        <v>0.5796586503269808</v>
      </c>
      <c r="S30" s="15">
        <f>IF(R30="","",R30-0.1)</f>
        <v>0.47965865032698085</v>
      </c>
      <c r="T30" s="15">
        <f>IF(OR(P30="",E30=0,E30=""),"",P30/E30)</f>
        <v>0.44167569099158893</v>
      </c>
      <c r="U30" t="inlineStr">
        <is>
          <t>—</t>
        </is>
      </c>
      <c r="V30" t="inlineStr">
        <is>
          <t>—</t>
        </is>
      </c>
      <c r="W30" t="inlineStr">
        <is>
          <t>OK</t>
        </is>
      </c>
      <c r="X30" t="inlineStr">
        <is>
          <t>Alphabet Inc.</t>
        </is>
      </c>
    </row>
    <row r="31">
      <c r="A31" t="inlineStr">
        <is>
          <t>알파벳</t>
        </is>
      </c>
      <c r="B31" t="inlineStr">
        <is>
          <t>GOOG</t>
        </is>
      </c>
      <c r="C31" t="n">
        <v>2022</v>
      </c>
      <c r="D31" t="inlineStr">
        <is>
          <t>2022-12-31</t>
        </is>
      </c>
      <c r="E31" s="14" t="n">
        <v>282836000000</v>
      </c>
      <c r="F31" s="14" t="n">
        <v>74842000000</v>
      </c>
      <c r="G31" t="inlineStr">
        <is>
          <t>reported</t>
        </is>
      </c>
      <c r="H31" t="inlineStr">
        <is>
          <t>HIGH</t>
        </is>
      </c>
      <c r="I31" s="15" t="n">
        <v>0.1592081650964558</v>
      </c>
      <c r="J31" s="14">
        <f>IF(F31="","",F31*(1-I31))</f>
        <v>62926542507.85105</v>
      </c>
      <c r="K31" s="14" t="n">
        <v>256144000000</v>
      </c>
      <c r="L31" s="14" t="n">
        <v>14701000000</v>
      </c>
      <c r="M31" s="14" t="n">
        <v>113762000000</v>
      </c>
      <c r="N31" s="14">
        <f>IF(COUNT(K31:M31)&lt;3,"",K31+L31-M31)</f>
        <v>157083000000.0</v>
      </c>
      <c r="O31" s="14">
        <f>N30</f>
        <v>126803000000.0</v>
      </c>
      <c r="P31" s="14">
        <f>IF(N31="","",IF(OR(O31="",O31&lt;=0,N31&lt;=0),N31,(N31+O31)/2))</f>
        <v>141943000000.0</v>
      </c>
      <c r="Q31" t="inlineStr">
        <is>
          <t>기초·기말 평균</t>
        </is>
      </c>
      <c r="R31" s="15">
        <f>IF(OR(P31="",P31&lt;=0),"",J31/P31)</f>
        <v>0.4433226189938993</v>
      </c>
      <c r="S31" s="15">
        <f>IF(R31="","",R31-0.1)</f>
        <v>0.34332261899389926</v>
      </c>
      <c r="T31" s="15">
        <f>IF(OR(P31="",E31=0,E31=""),"",P31/E31)</f>
        <v>0.5018561993522748</v>
      </c>
      <c r="U31" t="inlineStr">
        <is>
          <t>—</t>
        </is>
      </c>
      <c r="V31" t="inlineStr">
        <is>
          <t>—</t>
        </is>
      </c>
      <c r="W31" t="inlineStr">
        <is>
          <t>OK</t>
        </is>
      </c>
      <c r="X31" t="inlineStr">
        <is>
          <t>Alphabet Inc.</t>
        </is>
      </c>
    </row>
    <row r="32">
      <c r="A32" t="inlineStr">
        <is>
          <t>알파벳</t>
        </is>
      </c>
      <c r="B32" t="inlineStr">
        <is>
          <t>GOOG</t>
        </is>
      </c>
      <c r="C32" t="n">
        <v>2023</v>
      </c>
      <c r="D32" t="inlineStr">
        <is>
          <t>2023-12-31</t>
        </is>
      </c>
      <c r="E32" s="14" t="n">
        <v>307394000000</v>
      </c>
      <c r="F32" s="14" t="n">
        <v>84293000000</v>
      </c>
      <c r="G32" t="inlineStr">
        <is>
          <t>reported</t>
        </is>
      </c>
      <c r="H32" t="inlineStr">
        <is>
          <t>HIGH</t>
        </is>
      </c>
      <c r="I32" s="15" t="n">
        <v>0.1390855956228053</v>
      </c>
      <c r="J32" s="14">
        <f>IF(F32="","",F32*(1-I32))</f>
        <v>72569057888.16687</v>
      </c>
      <c r="K32" s="14" t="n">
        <v>283379000000</v>
      </c>
      <c r="L32" s="14" t="n">
        <v>12870000000</v>
      </c>
      <c r="M32" s="14" t="n">
        <v>110916000000</v>
      </c>
      <c r="N32" s="14">
        <f>IF(COUNT(K32:M32)&lt;3,"",K32+L32-M32)</f>
        <v>185333000000.0</v>
      </c>
      <c r="O32" s="14">
        <f>N31</f>
        <v>157083000000.0</v>
      </c>
      <c r="P32" s="14">
        <f>IF(N32="","",IF(OR(O32="",O32&lt;=0,N32&lt;=0),N32,(N32+O32)/2))</f>
        <v>171208000000.0</v>
      </c>
      <c r="Q32" t="inlineStr">
        <is>
          <t>기초·기말 평균</t>
        </is>
      </c>
      <c r="R32" s="15">
        <f>IF(OR(P32="",P32&lt;=0),"",J32/P32)</f>
        <v>0.42386487715624777</v>
      </c>
      <c r="S32" s="15">
        <f>IF(R32="","",R32-0.1)</f>
        <v>0.3238648771562478</v>
      </c>
      <c r="T32" s="15">
        <f>IF(OR(P32="",E32=0,E32=""),"",P32/E32)</f>
        <v>0.5569659785161715</v>
      </c>
      <c r="U32" t="inlineStr">
        <is>
          <t>—</t>
        </is>
      </c>
      <c r="V32" t="inlineStr">
        <is>
          <t>—</t>
        </is>
      </c>
      <c r="W32" t="inlineStr">
        <is>
          <t>OK</t>
        </is>
      </c>
      <c r="X32" t="inlineStr">
        <is>
          <t>Alphabet Inc.</t>
        </is>
      </c>
    </row>
    <row r="33">
      <c r="A33" t="inlineStr">
        <is>
          <t>알파벳</t>
        </is>
      </c>
      <c r="B33" t="inlineStr">
        <is>
          <t>GOOG</t>
        </is>
      </c>
      <c r="C33" t="n">
        <v>2024</v>
      </c>
      <c r="D33" t="inlineStr">
        <is>
          <t>2024-12-31</t>
        </is>
      </c>
      <c r="E33" s="14" t="n">
        <v>350018000000</v>
      </c>
      <c r="F33" s="14" t="n">
        <v>112390000000</v>
      </c>
      <c r="G33" t="inlineStr">
        <is>
          <t>reported</t>
        </is>
      </c>
      <c r="H33" t="inlineStr">
        <is>
          <t>HIGH</t>
        </is>
      </c>
      <c r="I33" s="15" t="n">
        <v>0.1643951091265701</v>
      </c>
      <c r="J33" s="14">
        <f>IF(F33="","",F33*(1-I33))</f>
        <v>93913633685.26479</v>
      </c>
      <c r="K33" s="14" t="n">
        <v>325084000000</v>
      </c>
      <c r="L33" s="14" t="n">
        <v>14182000000</v>
      </c>
      <c r="M33" s="14" t="n">
        <v>95657000000</v>
      </c>
      <c r="N33" s="14">
        <f>IF(COUNT(K33:M33)&lt;3,"",K33+L33-M33)</f>
        <v>243609000000.0</v>
      </c>
      <c r="O33" s="14">
        <f>N32</f>
        <v>185333000000.0</v>
      </c>
      <c r="P33" s="14">
        <f>IF(N33="","",IF(OR(O33="",O33&lt;=0,N33&lt;=0),N33,(N33+O33)/2))</f>
        <v>214471000000.0</v>
      </c>
      <c r="Q33" t="inlineStr">
        <is>
          <t>기초·기말 평균</t>
        </is>
      </c>
      <c r="R33" s="15">
        <f>IF(OR(P33="",P33&lt;=0),"",J33/P33)</f>
        <v>0.43788499930183933</v>
      </c>
      <c r="S33" s="15">
        <f>IF(R33="","",R33-0.1)</f>
        <v>0.33788499930183935</v>
      </c>
      <c r="T33" s="15">
        <f>IF(OR(P33="",E33=0,E33=""),"",P33/E33)</f>
        <v>0.6127427732288053</v>
      </c>
      <c r="U33" t="inlineStr">
        <is>
          <t>—</t>
        </is>
      </c>
      <c r="V33" t="inlineStr">
        <is>
          <t>—</t>
        </is>
      </c>
      <c r="W33" t="inlineStr">
        <is>
          <t>OK</t>
        </is>
      </c>
      <c r="X33" t="inlineStr">
        <is>
          <t>Alphabet Inc.</t>
        </is>
      </c>
    </row>
    <row r="34">
      <c r="A34" t="inlineStr">
        <is>
          <t>알파벳</t>
        </is>
      </c>
      <c r="B34" t="inlineStr">
        <is>
          <t>GOOG</t>
        </is>
      </c>
      <c r="C34" t="n">
        <v>2025</v>
      </c>
      <c r="D34" t="inlineStr">
        <is>
          <t>2025-12-31</t>
        </is>
      </c>
      <c r="E34" s="14" t="n">
        <v>402836000000</v>
      </c>
      <c r="F34" s="14" t="n">
        <v>129039000000</v>
      </c>
      <c r="G34" t="inlineStr">
        <is>
          <t>reported</t>
        </is>
      </c>
      <c r="H34" t="inlineStr">
        <is>
          <t>HIGH</t>
        </is>
      </c>
      <c r="I34" s="15" t="n">
        <v>0.1678314633624218</v>
      </c>
      <c r="J34" s="14">
        <f>IF(F34="","",F34*(1-I34))</f>
        <v>107382195799.17645</v>
      </c>
      <c r="K34" s="14" t="n">
        <v>415265000000</v>
      </c>
      <c r="L34" s="14" t="n">
        <v>48543000000</v>
      </c>
      <c r="M34" s="14" t="n">
        <v>126843000000</v>
      </c>
      <c r="N34" s="14">
        <f>IF(COUNT(K34:M34)&lt;3,"",K34+L34-M34)</f>
        <v>336965000000.0</v>
      </c>
      <c r="O34" s="14">
        <f>N33</f>
        <v>243609000000.0</v>
      </c>
      <c r="P34" s="14">
        <f>IF(N34="","",IF(OR(O34="",O34&lt;=0,N34&lt;=0),N34,(N34+O34)/2))</f>
        <v>290287000000.0</v>
      </c>
      <c r="Q34" t="inlineStr">
        <is>
          <t>기초·기말 평균</t>
        </is>
      </c>
      <c r="R34" s="15">
        <f>IF(OR(P34="",P34&lt;=0),"",J34/P34)</f>
        <v>0.3699173431782217</v>
      </c>
      <c r="S34" s="15">
        <f>IF(R34="","",R34-0.1)</f>
        <v>0.2699173431782217</v>
      </c>
      <c r="T34" s="15">
        <f>IF(OR(P34="",E34=0,E34=""),"",P34/E34)</f>
        <v>0.7206083865394354</v>
      </c>
      <c r="U34" t="inlineStr">
        <is>
          <t>—</t>
        </is>
      </c>
      <c r="V34" t="inlineStr">
        <is>
          <t>—</t>
        </is>
      </c>
      <c r="W34" t="inlineStr">
        <is>
          <t>OK</t>
        </is>
      </c>
      <c r="X34" t="inlineStr">
        <is>
          <t>Alphabet Inc.</t>
        </is>
      </c>
    </row>
    <row r="35">
      <c r="A35" s="11" t="inlineStr">
        <is>
          <t>마이크로소프트</t>
        </is>
      </c>
      <c r="B35" s="11" t="inlineStr">
        <is>
          <t>MSFT</t>
        </is>
      </c>
      <c r="C35" s="11" t="n">
        <v>2015</v>
      </c>
      <c r="D35" s="11" t="inlineStr">
        <is>
          <t>2015-06-30</t>
        </is>
      </c>
      <c r="E35" s="12" t="n">
        <v>93580000000</v>
      </c>
      <c r="F35" s="12" t="n">
        <v>18161000000</v>
      </c>
      <c r="G35" s="11" t="inlineStr">
        <is>
          <t>reported</t>
        </is>
      </c>
      <c r="H35" s="11" t="inlineStr">
        <is>
          <t>HIGH</t>
        </is>
      </c>
      <c r="I35" s="13" t="n">
        <v>0.3411682066245205</v>
      </c>
      <c r="J35" s="12">
        <f>IF(F35="","",F35*(1-I35))</f>
        <v>11965044199.492083</v>
      </c>
      <c r="K35" s="12" t="n">
        <v>80083000000</v>
      </c>
      <c r="L35" s="12" t="n">
        <v>35292000000</v>
      </c>
      <c r="M35" s="12" t="n">
        <v>96526000000</v>
      </c>
      <c r="N35" s="12">
        <f>IF(COUNT(K35:M35)&lt;3,"",K35+L35-M35)</f>
        <v>18849000000.0</v>
      </c>
      <c r="O35" s="11" t="inlineStr">
        <is>
          <t>—</t>
        </is>
      </c>
      <c r="P35" s="12" t="inlineStr">
        <is>
          <t>—</t>
        </is>
      </c>
      <c r="Q35" s="11" t="inlineStr">
        <is>
          <t>—</t>
        </is>
      </c>
      <c r="R35" s="13" t="inlineStr">
        <is>
          <t>—</t>
        </is>
      </c>
      <c r="S35" s="13" t="inlineStr">
        <is>
          <t>—</t>
        </is>
      </c>
      <c r="T35" s="13" t="inlineStr">
        <is>
          <t>—</t>
        </is>
      </c>
      <c r="U35" s="11" t="inlineStr">
        <is>
          <t>—</t>
        </is>
      </c>
      <c r="V35" s="11" t="inlineStr">
        <is>
          <t>—</t>
        </is>
      </c>
      <c r="W35" s="11" t="inlineStr">
        <is>
          <t>다음 해 평균 투하자본의 기초값으로만 사용 (보고 기간 밖 — 자체 비율은 계산하지 않음)</t>
        </is>
      </c>
      <c r="X35" s="11" t="inlineStr">
        <is>
          <t>MICROSOFT CORP</t>
        </is>
      </c>
    </row>
    <row r="36">
      <c r="A36" s="11" t="inlineStr">
        <is>
          <t>마이크로소프트</t>
        </is>
      </c>
      <c r="B36" s="11" t="inlineStr">
        <is>
          <t>MSFT</t>
        </is>
      </c>
      <c r="C36" s="11" t="n">
        <v>2016</v>
      </c>
      <c r="D36" s="11" t="inlineStr">
        <is>
          <t>2016-06-30</t>
        </is>
      </c>
      <c r="E36" s="12" t="n">
        <v>91154000000</v>
      </c>
      <c r="F36" s="12" t="n">
        <v>26078000000</v>
      </c>
      <c r="G36" s="11" t="inlineStr">
        <is>
          <t>reported</t>
        </is>
      </c>
      <c r="H36" s="11" t="inlineStr">
        <is>
          <t>HIGH</t>
        </is>
      </c>
      <c r="I36" s="13" t="n">
        <v>0.198915714341433</v>
      </c>
      <c r="J36" s="12">
        <f>IF(F36="","",F36*(1-I36))</f>
        <v>20890676001.40411</v>
      </c>
      <c r="K36" s="12" t="n">
        <v>83090000000</v>
      </c>
      <c r="L36" s="12" t="n">
        <v>53461000000</v>
      </c>
      <c r="M36" s="12" t="n">
        <v>113240000000</v>
      </c>
      <c r="N36" s="12">
        <f>IF(COUNT(K36:M36)&lt;3,"",K36+L36-M36)</f>
        <v>23311000000.0</v>
      </c>
      <c r="O36" s="12" t="inlineStr">
        <is>
          <t>—</t>
        </is>
      </c>
      <c r="P36" s="12" t="inlineStr">
        <is>
          <t>—</t>
        </is>
      </c>
      <c r="Q36" s="11" t="inlineStr">
        <is>
          <t>—</t>
        </is>
      </c>
      <c r="R36" s="13" t="inlineStr">
        <is>
          <t>—</t>
        </is>
      </c>
      <c r="S36" s="13" t="inlineStr">
        <is>
          <t>—</t>
        </is>
      </c>
      <c r="T36" s="13" t="inlineStr">
        <is>
          <t>—</t>
        </is>
      </c>
      <c r="U36" s="11" t="inlineStr">
        <is>
          <t>—</t>
        </is>
      </c>
      <c r="V36" s="11" t="inlineStr">
        <is>
          <t>—</t>
        </is>
      </c>
      <c r="W36" s="11" t="inlineStr">
        <is>
          <t>다음 해 평균 투하자본의 기초값으로만 사용 (보고 기간 밖 — 자체 비율은 계산하지 않음)</t>
        </is>
      </c>
      <c r="X36" s="11" t="inlineStr">
        <is>
          <t>MICROSOFT CORP</t>
        </is>
      </c>
    </row>
    <row r="37">
      <c r="A37" t="inlineStr">
        <is>
          <t>마이크로소프트</t>
        </is>
      </c>
      <c r="B37" t="inlineStr">
        <is>
          <t>MSFT</t>
        </is>
      </c>
      <c r="C37" t="n">
        <v>2017</v>
      </c>
      <c r="D37" t="inlineStr">
        <is>
          <t>2017-06-30</t>
        </is>
      </c>
      <c r="E37" s="14" t="n">
        <v>96571000000</v>
      </c>
      <c r="F37" s="14" t="n">
        <v>29025000000</v>
      </c>
      <c r="G37" t="inlineStr">
        <is>
          <t>reported</t>
        </is>
      </c>
      <c r="H37" t="inlineStr">
        <is>
          <t>HIGH</t>
        </is>
      </c>
      <c r="I37" s="15" t="n">
        <v>0.1475535935253001</v>
      </c>
      <c r="J37" s="14">
        <f>IF(F37="","",F37*(1-I37))</f>
        <v>24742256947.928165</v>
      </c>
      <c r="K37" s="14" t="n">
        <v>87711000000</v>
      </c>
      <c r="L37" s="14" t="n">
        <v>86194000000</v>
      </c>
      <c r="M37" s="14" t="n">
        <v>132981000000</v>
      </c>
      <c r="N37" s="14">
        <f>IF(COUNT(K37:M37)&lt;3,"",K37+L37-M37)</f>
        <v>40924000000.0</v>
      </c>
      <c r="O37" s="14">
        <f>N36</f>
        <v>23311000000.0</v>
      </c>
      <c r="P37" s="14">
        <f>IF(N37="","",IF(OR(O37="",O37&lt;=0,N37&lt;=0),N37,(N37+O37)/2))</f>
        <v>32117500000.0</v>
      </c>
      <c r="Q37" t="inlineStr">
        <is>
          <t>기초·기말 평균</t>
        </is>
      </c>
      <c r="R37" s="15">
        <f>IF(OR(P37="",P37&lt;=0),"",J37/P37)</f>
        <v>0.7703668388862198</v>
      </c>
      <c r="S37" s="15">
        <f>IF(R37="","",R37-0.1)</f>
        <v>0.6703668388862198</v>
      </c>
      <c r="T37" s="15">
        <f>IF(OR(P37="",E37=0,E37=""),"",P37/E37)</f>
        <v>0.3325791386648166</v>
      </c>
      <c r="U37" t="inlineStr">
        <is>
          <t>—</t>
        </is>
      </c>
      <c r="V37" t="inlineStr">
        <is>
          <t>—</t>
        </is>
      </c>
      <c r="W37" t="inlineStr">
        <is>
          <t>OK</t>
        </is>
      </c>
      <c r="X37" t="inlineStr">
        <is>
          <t>MICROSOFT CORP</t>
        </is>
      </c>
    </row>
    <row r="38">
      <c r="A38" t="inlineStr">
        <is>
          <t>마이크로소프트</t>
        </is>
      </c>
      <c r="B38" t="inlineStr">
        <is>
          <t>MSFT</t>
        </is>
      </c>
      <c r="C38" t="n">
        <v>2018</v>
      </c>
      <c r="D38" t="inlineStr">
        <is>
          <t>2018-06-30</t>
        </is>
      </c>
      <c r="E38" s="14" t="n">
        <v>110360000000</v>
      </c>
      <c r="F38" s="14" t="n">
        <v>35058000000</v>
      </c>
      <c r="G38" t="inlineStr">
        <is>
          <t>reported</t>
        </is>
      </c>
      <c r="H38" t="inlineStr">
        <is>
          <t>HIGH</t>
        </is>
      </c>
      <c r="I38" s="15" t="n">
        <v>0.4</v>
      </c>
      <c r="J38" s="14">
        <f>IF(F38="","",F38*(1-I38))</f>
        <v>21034800000.0</v>
      </c>
      <c r="K38" s="14" t="n">
        <v>82718000000</v>
      </c>
      <c r="L38" s="14" t="n">
        <v>76240000000</v>
      </c>
      <c r="M38" s="14" t="n">
        <v>133768000000</v>
      </c>
      <c r="N38" s="14">
        <f>IF(COUNT(K38:M38)&lt;3,"",K38+L38-M38)</f>
        <v>25190000000.0</v>
      </c>
      <c r="O38" s="14">
        <f>N37</f>
        <v>40924000000.0</v>
      </c>
      <c r="P38" s="14">
        <f>IF(N38="","",IF(OR(O38="",O38&lt;=0,N38&lt;=0),N38,(N38+O38)/2))</f>
        <v>33057000000.0</v>
      </c>
      <c r="Q38" t="inlineStr">
        <is>
          <t>기초·기말 평균</t>
        </is>
      </c>
      <c r="R38" s="15">
        <f>IF(OR(P38="",P38&lt;=0),"",J38/P38)</f>
        <v>0.6363190852164443</v>
      </c>
      <c r="S38" s="15">
        <f>IF(R38="","",R38-0.1)</f>
        <v>0.5363190852164443</v>
      </c>
      <c r="T38" s="15">
        <f>IF(OR(P38="",E38=0,E38=""),"",P38/E38)</f>
        <v>0.29953787604204424</v>
      </c>
      <c r="U38" t="inlineStr">
        <is>
          <t>—</t>
        </is>
      </c>
      <c r="V38" t="inlineStr">
        <is>
          <t>—</t>
        </is>
      </c>
      <c r="W38" t="inlineStr">
        <is>
          <t>OK</t>
        </is>
      </c>
      <c r="X38" t="inlineStr">
        <is>
          <t>MICROSOFT CORP</t>
        </is>
      </c>
    </row>
    <row r="39">
      <c r="A39" t="inlineStr">
        <is>
          <t>마이크로소프트</t>
        </is>
      </c>
      <c r="B39" t="inlineStr">
        <is>
          <t>MSFT</t>
        </is>
      </c>
      <c r="C39" t="n">
        <v>2019</v>
      </c>
      <c r="D39" t="inlineStr">
        <is>
          <t>2019-06-30</t>
        </is>
      </c>
      <c r="E39" s="14" t="n">
        <v>125843000000</v>
      </c>
      <c r="F39" s="14" t="n">
        <v>42959000000</v>
      </c>
      <c r="G39" t="inlineStr">
        <is>
          <t>reported</t>
        </is>
      </c>
      <c r="H39" t="inlineStr">
        <is>
          <t>HIGH</t>
        </is>
      </c>
      <c r="I39" s="15" t="n">
        <v>0.1018128547885003</v>
      </c>
      <c r="J39" s="14">
        <f>IF(F39="","",F39*(1-I39))</f>
        <v>38585221571.140816</v>
      </c>
      <c r="K39" s="14" t="n">
        <v>102330000000</v>
      </c>
      <c r="L39" s="14" t="n">
        <v>72178000000</v>
      </c>
      <c r="M39" s="14" t="n">
        <v>133819000000</v>
      </c>
      <c r="N39" s="14">
        <f>IF(COUNT(K39:M39)&lt;3,"",K39+L39-M39)</f>
        <v>40689000000.0</v>
      </c>
      <c r="O39" s="14">
        <f>N38</f>
        <v>25190000000.0</v>
      </c>
      <c r="P39" s="14">
        <f>IF(N39="","",IF(OR(O39="",O39&lt;=0,N39&lt;=0),N39,(N39+O39)/2))</f>
        <v>32939500000.0</v>
      </c>
      <c r="Q39" t="inlineStr">
        <is>
          <t>기초·기말 평균</t>
        </is>
      </c>
      <c r="R39" s="15">
        <f>IF(OR(P39="",P39&lt;=0),"",J39/P39)</f>
        <v>1.1713966991344986</v>
      </c>
      <c r="S39" s="15">
        <f>IF(R39="","",R39-0.1)</f>
        <v>1.0713966991344985</v>
      </c>
      <c r="T39" s="15">
        <f>IF(OR(P39="",E39=0,E39=""),"",P39/E39)</f>
        <v>0.26175075292229205</v>
      </c>
      <c r="U39" t="inlineStr">
        <is>
          <t>—</t>
        </is>
      </c>
      <c r="V39" t="inlineStr">
        <is>
          <t>—</t>
        </is>
      </c>
      <c r="W39" t="inlineStr">
        <is>
          <t>OK</t>
        </is>
      </c>
      <c r="X39" t="inlineStr">
        <is>
          <t>MICROSOFT CORP</t>
        </is>
      </c>
    </row>
    <row r="40">
      <c r="A40" t="inlineStr">
        <is>
          <t>마이크로소프트</t>
        </is>
      </c>
      <c r="B40" t="inlineStr">
        <is>
          <t>MSFT</t>
        </is>
      </c>
      <c r="C40" t="n">
        <v>2020</v>
      </c>
      <c r="D40" t="inlineStr">
        <is>
          <t>2020-06-30</t>
        </is>
      </c>
      <c r="E40" s="14" t="n">
        <v>143015000000</v>
      </c>
      <c r="F40" s="14" t="n">
        <v>52959000000</v>
      </c>
      <c r="G40" t="inlineStr">
        <is>
          <t>reported</t>
        </is>
      </c>
      <c r="H40" t="inlineStr">
        <is>
          <t>HIGH</t>
        </is>
      </c>
      <c r="I40" s="15" t="n">
        <v>0.165076551776152</v>
      </c>
      <c r="J40" s="14">
        <f>IF(F40="","",F40*(1-I40))</f>
        <v>44216710894.48676</v>
      </c>
      <c r="K40" s="14" t="n">
        <v>118304000000</v>
      </c>
      <c r="L40" s="14" t="n">
        <v>63327000000</v>
      </c>
      <c r="M40" s="14" t="n">
        <v>136527000000</v>
      </c>
      <c r="N40" s="14">
        <f>IF(COUNT(K40:M40)&lt;3,"",K40+L40-M40)</f>
        <v>45104000000.0</v>
      </c>
      <c r="O40" s="14">
        <f>N39</f>
        <v>40689000000.0</v>
      </c>
      <c r="P40" s="14">
        <f>IF(N40="","",IF(OR(O40="",O40&lt;=0,N40&lt;=0),N40,(N40+O40)/2))</f>
        <v>42896500000.0</v>
      </c>
      <c r="Q40" t="inlineStr">
        <is>
          <t>기초·기말 평균</t>
        </is>
      </c>
      <c r="R40" s="15">
        <f>IF(OR(P40="",P40&lt;=0),"",J40/P40)</f>
        <v>1.0307766576407578</v>
      </c>
      <c r="S40" s="15">
        <f>IF(R40="","",R40-0.1)</f>
        <v>0.9307766576407578</v>
      </c>
      <c r="T40" s="15">
        <f>IF(OR(P40="",E40=0,E40=""),"",P40/E40)</f>
        <v>0.2999440618116981</v>
      </c>
      <c r="U40" t="inlineStr">
        <is>
          <t>—</t>
        </is>
      </c>
      <c r="V40" t="inlineStr">
        <is>
          <t>—</t>
        </is>
      </c>
      <c r="W40" t="inlineStr">
        <is>
          <t>OK</t>
        </is>
      </c>
      <c r="X40" t="inlineStr">
        <is>
          <t>MICROSOFT CORP</t>
        </is>
      </c>
    </row>
    <row r="41">
      <c r="A41" t="inlineStr">
        <is>
          <t>마이크로소프트</t>
        </is>
      </c>
      <c r="B41" t="inlineStr">
        <is>
          <t>MSFT</t>
        </is>
      </c>
      <c r="C41" t="n">
        <v>2021</v>
      </c>
      <c r="D41" t="inlineStr">
        <is>
          <t>2021-06-30</t>
        </is>
      </c>
      <c r="E41" s="14" t="n">
        <v>168088000000</v>
      </c>
      <c r="F41" s="14" t="n">
        <v>69916000000</v>
      </c>
      <c r="G41" t="inlineStr">
        <is>
          <t>reported</t>
        </is>
      </c>
      <c r="H41" t="inlineStr">
        <is>
          <t>HIGH</t>
        </is>
      </c>
      <c r="I41" s="15" t="n">
        <v>0.138266152850834</v>
      </c>
      <c r="J41" s="14">
        <f>IF(F41="","",F41*(1-I41))</f>
        <v>60248983657.28109</v>
      </c>
      <c r="K41" s="14" t="n">
        <v>141988000000</v>
      </c>
      <c r="L41" s="14" t="n">
        <v>58146000000</v>
      </c>
      <c r="M41" s="14" t="n">
        <v>130334000000</v>
      </c>
      <c r="N41" s="14">
        <f>IF(COUNT(K41:M41)&lt;3,"",K41+L41-M41)</f>
        <v>69800000000.0</v>
      </c>
      <c r="O41" s="14">
        <f>N40</f>
        <v>45104000000.0</v>
      </c>
      <c r="P41" s="14">
        <f>IF(N41="","",IF(OR(O41="",O41&lt;=0,N41&lt;=0),N41,(N41+O41)/2))</f>
        <v>57452000000.0</v>
      </c>
      <c r="Q41" t="inlineStr">
        <is>
          <t>기초·기말 평균</t>
        </is>
      </c>
      <c r="R41" s="15">
        <f>IF(OR(P41="",P41&lt;=0),"",J41/P41)</f>
        <v>1.0486838344580012</v>
      </c>
      <c r="S41" s="15">
        <f>IF(R41="","",R41-0.1)</f>
        <v>0.9486838344580012</v>
      </c>
      <c r="T41" s="15">
        <f>IF(OR(P41="",E41=0,E41=""),"",P41/E41)</f>
        <v>0.34179715387178145</v>
      </c>
      <c r="U41" t="inlineStr">
        <is>
          <t>—</t>
        </is>
      </c>
      <c r="V41" t="inlineStr">
        <is>
          <t>—</t>
        </is>
      </c>
      <c r="W41" t="inlineStr">
        <is>
          <t>OK</t>
        </is>
      </c>
      <c r="X41" t="inlineStr">
        <is>
          <t>MICROSOFT CORP</t>
        </is>
      </c>
    </row>
    <row r="42">
      <c r="A42" t="inlineStr">
        <is>
          <t>마이크로소프트</t>
        </is>
      </c>
      <c r="B42" t="inlineStr">
        <is>
          <t>MSFT</t>
        </is>
      </c>
      <c r="C42" t="n">
        <v>2022</v>
      </c>
      <c r="D42" t="inlineStr">
        <is>
          <t>2022-06-30</t>
        </is>
      </c>
      <c r="E42" s="14" t="n">
        <v>198270000000</v>
      </c>
      <c r="F42" s="14" t="n">
        <v>83383000000</v>
      </c>
      <c r="G42" t="inlineStr">
        <is>
          <t>reported</t>
        </is>
      </c>
      <c r="H42" t="inlineStr">
        <is>
          <t>HIGH</t>
        </is>
      </c>
      <c r="I42" s="15" t="n">
        <v>0.1311338334368579</v>
      </c>
      <c r="J42" s="14">
        <f>IF(F42="","",F42*(1-I42))</f>
        <v>72448667566.53447</v>
      </c>
      <c r="K42" s="14" t="n">
        <v>166542000000</v>
      </c>
      <c r="L42" s="14" t="n">
        <v>49781000000</v>
      </c>
      <c r="M42" s="14" t="n">
        <v>104757000000</v>
      </c>
      <c r="N42" s="14">
        <f>IF(COUNT(K42:M42)&lt;3,"",K42+L42-M42)</f>
        <v>111566000000.0</v>
      </c>
      <c r="O42" s="14">
        <f>N41</f>
        <v>69800000000.0</v>
      </c>
      <c r="P42" s="14">
        <f>IF(N42="","",IF(OR(O42="",O42&lt;=0,N42&lt;=0),N42,(N42+O42)/2))</f>
        <v>90683000000.0</v>
      </c>
      <c r="Q42" t="inlineStr">
        <is>
          <t>기초·기말 평균</t>
        </is>
      </c>
      <c r="R42" s="15">
        <f>IF(OR(P42="",P42&lt;=0),"",J42/P42)</f>
        <v>0.7989222628997108</v>
      </c>
      <c r="S42" s="15">
        <f>IF(R42="","",R42-0.1)</f>
        <v>0.6989222628997108</v>
      </c>
      <c r="T42" s="15">
        <f>IF(OR(P42="",E42=0,E42=""),"",P42/E42)</f>
        <v>0.45737126141120693</v>
      </c>
      <c r="U42" t="inlineStr">
        <is>
          <t>—</t>
        </is>
      </c>
      <c r="V42" t="inlineStr">
        <is>
          <t>—</t>
        </is>
      </c>
      <c r="W42" t="inlineStr">
        <is>
          <t>OK</t>
        </is>
      </c>
      <c r="X42" t="inlineStr">
        <is>
          <t>MICROSOFT CORP</t>
        </is>
      </c>
    </row>
    <row r="43">
      <c r="A43" t="inlineStr">
        <is>
          <t>마이크로소프트</t>
        </is>
      </c>
      <c r="B43" t="inlineStr">
        <is>
          <t>MSFT</t>
        </is>
      </c>
      <c r="C43" t="n">
        <v>2023</v>
      </c>
      <c r="D43" t="inlineStr">
        <is>
          <t>2023-06-30</t>
        </is>
      </c>
      <c r="E43" s="14" t="n">
        <v>211915000000</v>
      </c>
      <c r="F43" s="14" t="n">
        <v>88523000000</v>
      </c>
      <c r="G43" t="inlineStr">
        <is>
          <t>reported</t>
        </is>
      </c>
      <c r="H43" t="inlineStr">
        <is>
          <t>HIGH</t>
        </is>
      </c>
      <c r="I43" s="15" t="n">
        <v>0.1897862525332826</v>
      </c>
      <c r="J43" s="14">
        <f>IF(F43="","",F43*(1-I43))</f>
        <v>71722551566.99622</v>
      </c>
      <c r="K43" s="14" t="n">
        <v>206223000000</v>
      </c>
      <c r="L43" s="14" t="n">
        <v>47237000000</v>
      </c>
      <c r="M43" s="14" t="n">
        <v>111262000000</v>
      </c>
      <c r="N43" s="14">
        <f>IF(COUNT(K43:M43)&lt;3,"",K43+L43-M43)</f>
        <v>142198000000.0</v>
      </c>
      <c r="O43" s="14">
        <f>N42</f>
        <v>111566000000.0</v>
      </c>
      <c r="P43" s="14">
        <f>IF(N43="","",IF(OR(O43="",O43&lt;=0,N43&lt;=0),N43,(N43+O43)/2))</f>
        <v>126882000000.0</v>
      </c>
      <c r="Q43" t="inlineStr">
        <is>
          <t>기초·기말 평균</t>
        </is>
      </c>
      <c r="R43" s="15">
        <f>IF(OR(P43="",P43&lt;=0),"",J43/P43)</f>
        <v>0.5652697117557748</v>
      </c>
      <c r="S43" s="15">
        <f>IF(R43="","",R43-0.1)</f>
        <v>0.4652697117557748</v>
      </c>
      <c r="T43" s="15">
        <f>IF(OR(P43="",E43=0,E43=""),"",P43/E43)</f>
        <v>0.5987400608734634</v>
      </c>
      <c r="U43" t="inlineStr">
        <is>
          <t>—</t>
        </is>
      </c>
      <c r="V43" t="inlineStr">
        <is>
          <t>—</t>
        </is>
      </c>
      <c r="W43" t="inlineStr">
        <is>
          <t>OK</t>
        </is>
      </c>
      <c r="X43" t="inlineStr">
        <is>
          <t>MICROSOFT CORP</t>
        </is>
      </c>
    </row>
    <row r="44">
      <c r="A44" t="inlineStr">
        <is>
          <t>마이크로소프트</t>
        </is>
      </c>
      <c r="B44" t="inlineStr">
        <is>
          <t>MSFT</t>
        </is>
      </c>
      <c r="C44" t="n">
        <v>2024</v>
      </c>
      <c r="D44" t="inlineStr">
        <is>
          <t>2024-06-30</t>
        </is>
      </c>
      <c r="E44" s="14" t="n">
        <v>245122000000</v>
      </c>
      <c r="F44" s="14" t="n">
        <v>109433000000</v>
      </c>
      <c r="G44" t="inlineStr">
        <is>
          <t>reported</t>
        </is>
      </c>
      <c r="H44" t="inlineStr">
        <is>
          <t>HIGH</t>
        </is>
      </c>
      <c r="I44" s="15" t="n">
        <v>0.182313265978272</v>
      </c>
      <c r="J44" s="14">
        <f>IF(F44="","",F44*(1-I44))</f>
        <v>89481912364.19975</v>
      </c>
      <c r="K44" s="14" t="n">
        <v>268477000000</v>
      </c>
      <c r="L44" s="14" t="n">
        <v>51630000000</v>
      </c>
      <c r="M44" s="14" t="n">
        <v>75543000000</v>
      </c>
      <c r="N44" s="14">
        <f>IF(COUNT(K44:M44)&lt;3,"",K44+L44-M44)</f>
        <v>244564000000.0</v>
      </c>
      <c r="O44" s="14">
        <f>N43</f>
        <v>142198000000.0</v>
      </c>
      <c r="P44" s="14">
        <f>IF(N44="","",IF(OR(O44="",O44&lt;=0,N44&lt;=0),N44,(N44+O44)/2))</f>
        <v>193381000000.0</v>
      </c>
      <c r="Q44" t="inlineStr">
        <is>
          <t>기초·기말 평균</t>
        </is>
      </c>
      <c r="R44" s="15">
        <f>IF(OR(P44="",P44&lt;=0),"",J44/P44)</f>
        <v>0.46272339249564204</v>
      </c>
      <c r="S44" s="15">
        <f>IF(R44="","",R44-0.1)</f>
        <v>0.362723392495642</v>
      </c>
      <c r="T44" s="15">
        <f>IF(OR(P44="",E44=0,E44=""),"",P44/E44)</f>
        <v>0.7889173554393323</v>
      </c>
      <c r="U44" t="inlineStr">
        <is>
          <t>—</t>
        </is>
      </c>
      <c r="V44" t="inlineStr">
        <is>
          <t>—</t>
        </is>
      </c>
      <c r="W44" t="inlineStr">
        <is>
          <t>OK</t>
        </is>
      </c>
      <c r="X44" t="inlineStr">
        <is>
          <t>MICROSOFT CORP</t>
        </is>
      </c>
    </row>
    <row r="45">
      <c r="A45" t="inlineStr">
        <is>
          <t>마이크로소프트</t>
        </is>
      </c>
      <c r="B45" t="inlineStr">
        <is>
          <t>MSFT</t>
        </is>
      </c>
      <c r="C45" t="n">
        <v>2025</v>
      </c>
      <c r="D45" t="inlineStr">
        <is>
          <t>2025-06-30</t>
        </is>
      </c>
      <c r="E45" s="14" t="n">
        <v>281724000000</v>
      </c>
      <c r="F45" s="14" t="n">
        <v>128528000000</v>
      </c>
      <c r="G45" t="inlineStr">
        <is>
          <t>reported</t>
        </is>
      </c>
      <c r="H45" t="inlineStr">
        <is>
          <t>HIGH</t>
        </is>
      </c>
      <c r="I45" s="15" t="n">
        <v>0.1762964400980368</v>
      </c>
      <c r="J45" s="14">
        <f>IF(F45="","",F45*(1-I45))</f>
        <v>105868971147.07953</v>
      </c>
      <c r="K45" s="14" t="n">
        <v>343479000000</v>
      </c>
      <c r="L45" s="14" t="n">
        <v>43151000000</v>
      </c>
      <c r="M45" s="14" t="n">
        <v>94565000000</v>
      </c>
      <c r="N45" s="14">
        <f>IF(COUNT(K45:M45)&lt;3,"",K45+L45-M45)</f>
        <v>292065000000.0</v>
      </c>
      <c r="O45" s="14">
        <f>N44</f>
        <v>244564000000.0</v>
      </c>
      <c r="P45" s="14">
        <f>IF(N45="","",IF(OR(O45="",O45&lt;=0,N45&lt;=0),N45,(N45+O45)/2))</f>
        <v>268314500000.0</v>
      </c>
      <c r="Q45" t="inlineStr">
        <is>
          <t>기초·기말 평균</t>
        </is>
      </c>
      <c r="R45" s="15">
        <f>IF(OR(P45="",P45&lt;=0),"",J45/P45)</f>
        <v>0.39457044306990313</v>
      </c>
      <c r="S45" s="15">
        <f>IF(R45="","",R45-0.1)</f>
        <v>0.2945704430699031</v>
      </c>
      <c r="T45" s="15">
        <f>IF(OR(P45="",E45=0,E45=""),"",P45/E45)</f>
        <v>0.9524019962800472</v>
      </c>
      <c r="U45" t="inlineStr">
        <is>
          <t>—</t>
        </is>
      </c>
      <c r="V45" t="inlineStr">
        <is>
          <t>—</t>
        </is>
      </c>
      <c r="W45" t="inlineStr">
        <is>
          <t>OK</t>
        </is>
      </c>
      <c r="X45" t="inlineStr">
        <is>
          <t>MICROSOFT CORP</t>
        </is>
      </c>
    </row>
    <row r="46">
      <c r="A46" t="inlineStr">
        <is>
          <t>마이크로소프트</t>
        </is>
      </c>
      <c r="B46" t="inlineStr">
        <is>
          <t>MSFT</t>
        </is>
      </c>
      <c r="C46" t="n">
        <v>2026</v>
      </c>
      <c r="D46" t="inlineStr">
        <is>
          <t>2026-06-30</t>
        </is>
      </c>
      <c r="E46" s="14" t="n">
        <v>331839000000</v>
      </c>
      <c r="F46" s="14" t="n">
        <v>155237000000</v>
      </c>
      <c r="G46" t="inlineStr">
        <is>
          <t>reported</t>
        </is>
      </c>
      <c r="H46" t="inlineStr">
        <is>
          <t>HIGH</t>
        </is>
      </c>
      <c r="I46" s="15" t="n">
        <v>0.1939626598527125</v>
      </c>
      <c r="J46" s="14">
        <f>IF(F46="","",F46*(1-I46))</f>
        <v>125126818572.44447</v>
      </c>
      <c r="K46" s="14" t="n">
        <v>442387000000</v>
      </c>
      <c r="L46" s="14" t="n">
        <v>40294000000</v>
      </c>
      <c r="M46" s="14" t="n">
        <v>76843000000</v>
      </c>
      <c r="N46" s="14">
        <f>IF(COUNT(K46:M46)&lt;3,"",K46+L46-M46)</f>
        <v>405838000000.0</v>
      </c>
      <c r="O46" s="14">
        <f>N45</f>
        <v>292065000000.0</v>
      </c>
      <c r="P46" s="14">
        <f>IF(N46="","",IF(OR(O46="",O46&lt;=0,N46&lt;=0),N46,(N46+O46)/2))</f>
        <v>348951500000.0</v>
      </c>
      <c r="Q46" t="inlineStr">
        <is>
          <t>기초·기말 평균</t>
        </is>
      </c>
      <c r="R46" s="15">
        <f>IF(OR(P46="",P46&lt;=0),"",J46/P46)</f>
        <v>0.35857939734445754</v>
      </c>
      <c r="S46" s="15">
        <f>IF(R46="","",R46-0.1)</f>
        <v>0.25857939734445756</v>
      </c>
      <c r="T46" s="15">
        <f>IF(OR(P46="",E46=0,E46=""),"",P46/E46)</f>
        <v>1.0515686824032136</v>
      </c>
      <c r="U46" t="inlineStr">
        <is>
          <t>—</t>
        </is>
      </c>
      <c r="V46" t="inlineStr">
        <is>
          <t>—</t>
        </is>
      </c>
      <c r="W46" t="inlineStr">
        <is>
          <t>OK</t>
        </is>
      </c>
      <c r="X46" t="inlineStr">
        <is>
          <t>MICROSOFT CORP</t>
        </is>
      </c>
    </row>
    <row r="47">
      <c r="A47" s="11" t="inlineStr">
        <is>
          <t>아마존</t>
        </is>
      </c>
      <c r="B47" s="11" t="inlineStr">
        <is>
          <t>AMZN</t>
        </is>
      </c>
      <c r="C47" s="11" t="n">
        <v>2015</v>
      </c>
      <c r="D47" s="11" t="inlineStr">
        <is>
          <t>2015-12-31</t>
        </is>
      </c>
      <c r="E47" s="12" t="n">
        <v>107006000000</v>
      </c>
      <c r="F47" s="12" t="n">
        <v>2233000000</v>
      </c>
      <c r="G47" s="11" t="inlineStr">
        <is>
          <t>reported</t>
        </is>
      </c>
      <c r="H47" s="11" t="inlineStr">
        <is>
          <t>HIGH</t>
        </is>
      </c>
      <c r="I47" s="13" t="n">
        <v>0.4</v>
      </c>
      <c r="J47" s="12">
        <f>IF(F47="","",F47*(1-I47))</f>
        <v>1339800000.0</v>
      </c>
      <c r="K47" s="12" t="n">
        <v>13384000000</v>
      </c>
      <c r="L47" s="12" t="n">
        <v>8465000000</v>
      </c>
      <c r="M47" s="12" t="n">
        <v>19808000000</v>
      </c>
      <c r="N47" s="12">
        <f>IF(COUNT(K47:M47)&lt;3,"",K47+L47-M47)</f>
        <v>2041000000.0</v>
      </c>
      <c r="O47" s="11" t="inlineStr">
        <is>
          <t>—</t>
        </is>
      </c>
      <c r="P47" s="12" t="inlineStr">
        <is>
          <t>—</t>
        </is>
      </c>
      <c r="Q47" s="11" t="inlineStr">
        <is>
          <t>—</t>
        </is>
      </c>
      <c r="R47" s="13" t="inlineStr">
        <is>
          <t>—</t>
        </is>
      </c>
      <c r="S47" s="13" t="inlineStr">
        <is>
          <t>—</t>
        </is>
      </c>
      <c r="T47" s="13" t="inlineStr">
        <is>
          <t>—</t>
        </is>
      </c>
      <c r="U47" s="11" t="inlineStr">
        <is>
          <t>—</t>
        </is>
      </c>
      <c r="V47" s="11" t="inlineStr">
        <is>
          <t>—</t>
        </is>
      </c>
      <c r="W47" s="11" t="inlineStr">
        <is>
          <t>다음 해 평균 투하자본의 기초값으로만 사용 (보고 기간 밖 — 자체 비율은 계산하지 않음)</t>
        </is>
      </c>
      <c r="X47" s="11" t="inlineStr">
        <is>
          <t>AMAZON COM INC</t>
        </is>
      </c>
    </row>
    <row r="48">
      <c r="A48" s="9" t="inlineStr">
        <is>
          <t>아마존</t>
        </is>
      </c>
      <c r="B48" s="9" t="inlineStr">
        <is>
          <t>AMZN</t>
        </is>
      </c>
      <c r="C48" s="9" t="n">
        <v>2016</v>
      </c>
      <c r="D48" s="9" t="inlineStr">
        <is>
          <t>2016-12-31</t>
        </is>
      </c>
      <c r="E48" s="16" t="n">
        <v>135987000000</v>
      </c>
      <c r="F48" s="16" t="n">
        <v>4186000000</v>
      </c>
      <c r="G48" s="9" t="inlineStr">
        <is>
          <t>reported</t>
        </is>
      </c>
      <c r="H48" s="9" t="inlineStr">
        <is>
          <t>HIGH</t>
        </is>
      </c>
      <c r="I48" s="17" t="n">
        <v>0.3661356628982528</v>
      </c>
      <c r="J48" s="16">
        <f>IF(F48="","",F48*(1-I48))</f>
        <v>2653356115.1079135</v>
      </c>
      <c r="K48" s="16" t="n">
        <v>19285000000</v>
      </c>
      <c r="L48" s="16" t="n">
        <v>8750000000</v>
      </c>
      <c r="M48" s="16" t="n">
        <v>25981000000</v>
      </c>
      <c r="N48" s="16">
        <f>IF(COUNT(K48:M48)&lt;3,"",K48+L48-M48)</f>
        <v>2054000000.0</v>
      </c>
      <c r="O48" s="16">
        <f>N47</f>
        <v>2041000000.0</v>
      </c>
      <c r="P48" s="16">
        <f>IF(N48="","",IF(OR(O48="",O48&lt;=0,N48&lt;=0),N48,(N48+O48)/2))</f>
        <v>2047500000.0</v>
      </c>
      <c r="Q48" s="9" t="inlineStr">
        <is>
          <t>기초·기말 평균</t>
        </is>
      </c>
      <c r="R48" s="17">
        <f>IF(OR(P48="",P48&lt;=0),"",J48/P48)</f>
        <v>1.2959004225191275</v>
      </c>
      <c r="S48" s="17">
        <f>IF(R48="","",R48-0.1)</f>
        <v>1.1959004225191274</v>
      </c>
      <c r="T48" s="17">
        <f>IF(OR(P48="",E48=0,E48=""),"",P48/E48)</f>
        <v>0.015056586291336672</v>
      </c>
      <c r="U48" s="9" t="inlineStr">
        <is>
          <t>—</t>
        </is>
      </c>
      <c r="V48" s="9" t="inlineStr">
        <is>
          <t>—</t>
        </is>
      </c>
      <c r="W48" s="9" t="inlineStr">
        <is>
          <t>투하자본이 매출의 1.5% — 분모가 작아 비율이 민감 (판정은 유효)</t>
        </is>
      </c>
      <c r="X48" s="9" t="inlineStr">
        <is>
          <t>AMAZON COM INC</t>
        </is>
      </c>
    </row>
    <row r="49">
      <c r="A49" s="9" t="inlineStr">
        <is>
          <t>아마존</t>
        </is>
      </c>
      <c r="B49" s="9" t="inlineStr">
        <is>
          <t>AMZN</t>
        </is>
      </c>
      <c r="C49" s="9" t="n">
        <v>2017</v>
      </c>
      <c r="D49" s="9" t="inlineStr">
        <is>
          <t>2017-12-31</t>
        </is>
      </c>
      <c r="E49" s="16" t="n">
        <v>177866000000</v>
      </c>
      <c r="F49" s="16" t="n">
        <v>4106000000</v>
      </c>
      <c r="G49" s="9" t="inlineStr">
        <is>
          <t>reported</t>
        </is>
      </c>
      <c r="H49" s="9" t="inlineStr">
        <is>
          <t>HIGH</t>
        </is>
      </c>
      <c r="I49" s="17" t="n">
        <v>0.2020493956910142</v>
      </c>
      <c r="J49" s="16">
        <f>IF(F49="","",F49*(1-I49))</f>
        <v>3276385181.2926955</v>
      </c>
      <c r="K49" s="16" t="n">
        <v>27709000000</v>
      </c>
      <c r="L49" s="16" t="n">
        <v>24843000000</v>
      </c>
      <c r="M49" s="16" t="n">
        <v>30986000000</v>
      </c>
      <c r="N49" s="16">
        <f>IF(COUNT(K49:M49)&lt;3,"",K49+L49-M49)</f>
        <v>21566000000.0</v>
      </c>
      <c r="O49" s="16">
        <f>N48</f>
        <v>2054000000.0</v>
      </c>
      <c r="P49" s="16">
        <f>IF(N49="","",IF(OR(O49="",O49&lt;=0,N49&lt;=0),N49,(N49+O49)/2))</f>
        <v>11810000000.0</v>
      </c>
      <c r="Q49" s="9" t="inlineStr">
        <is>
          <t>기초·기말 평균</t>
        </is>
      </c>
      <c r="R49" s="17">
        <f>IF(OR(P49="",P49&lt;=0),"",J49/P49)</f>
        <v>0.27742465548625705</v>
      </c>
      <c r="S49" s="17">
        <f>IF(R49="","",R49-0.1)</f>
        <v>0.17742465548625705</v>
      </c>
      <c r="T49" s="17">
        <f>IF(OR(P49="",E49=0,E49=""),"",P49/E49)</f>
        <v>0.06639829984370256</v>
      </c>
      <c r="U49" s="9" t="inlineStr">
        <is>
          <t>—</t>
        </is>
      </c>
      <c r="V49" s="9" t="inlineStr">
        <is>
          <t>—</t>
        </is>
      </c>
      <c r="W49" s="9" t="inlineStr">
        <is>
          <t>투하자본이 매출의 6.6% — 분모가 작아 비율이 민감 (판정은 유효)</t>
        </is>
      </c>
      <c r="X49" s="9" t="inlineStr">
        <is>
          <t>AMAZON COM INC</t>
        </is>
      </c>
    </row>
    <row r="50">
      <c r="A50" t="inlineStr">
        <is>
          <t>아마존</t>
        </is>
      </c>
      <c r="B50" t="inlineStr">
        <is>
          <t>AMZN</t>
        </is>
      </c>
      <c r="C50" t="n">
        <v>2018</v>
      </c>
      <c r="D50" t="inlineStr">
        <is>
          <t>2018-12-31</t>
        </is>
      </c>
      <c r="E50" s="14" t="n">
        <v>232887000000</v>
      </c>
      <c r="F50" s="14" t="n">
        <v>12421000000</v>
      </c>
      <c r="G50" t="inlineStr">
        <is>
          <t>reported</t>
        </is>
      </c>
      <c r="H50" t="inlineStr">
        <is>
          <t>HIGH</t>
        </is>
      </c>
      <c r="I50" s="15" t="n">
        <v>0.1062960660687328</v>
      </c>
      <c r="J50" s="14">
        <f>IF(F50="","",F50*(1-I50))</f>
        <v>11100696563.36027</v>
      </c>
      <c r="K50" s="14" t="n">
        <v>43549000000</v>
      </c>
      <c r="L50" s="14" t="n">
        <v>24866000000</v>
      </c>
      <c r="M50" s="14" t="n">
        <v>41250000000</v>
      </c>
      <c r="N50" s="14">
        <f>IF(COUNT(K50:M50)&lt;3,"",K50+L50-M50)</f>
        <v>27165000000.0</v>
      </c>
      <c r="O50" s="14">
        <f>N49</f>
        <v>21566000000.0</v>
      </c>
      <c r="P50" s="14">
        <f>IF(N50="","",IF(OR(O50="",O50&lt;=0,N50&lt;=0),N50,(N50+O50)/2))</f>
        <v>24365500000.0</v>
      </c>
      <c r="Q50" t="inlineStr">
        <is>
          <t>기초·기말 평균</t>
        </is>
      </c>
      <c r="R50" s="15">
        <f>IF(OR(P50="",P50&lt;=0),"",J50/P50)</f>
        <v>0.45559075591965154</v>
      </c>
      <c r="S50" s="15">
        <f>IF(R50="","",R50-0.1)</f>
        <v>0.3555907559196515</v>
      </c>
      <c r="T50" s="15">
        <f>IF(OR(P50="",E50=0,E50=""),"",P50/E50)</f>
        <v>0.10462370162353415</v>
      </c>
      <c r="U50" t="inlineStr">
        <is>
          <t>—</t>
        </is>
      </c>
      <c r="V50" t="inlineStr">
        <is>
          <t>—</t>
        </is>
      </c>
      <c r="W50" t="inlineStr">
        <is>
          <t>OK</t>
        </is>
      </c>
      <c r="X50" t="inlineStr">
        <is>
          <t>AMAZON COM INC</t>
        </is>
      </c>
    </row>
    <row r="51">
      <c r="A51" t="inlineStr">
        <is>
          <t>아마존</t>
        </is>
      </c>
      <c r="B51" t="inlineStr">
        <is>
          <t>AMZN</t>
        </is>
      </c>
      <c r="C51" t="n">
        <v>2019</v>
      </c>
      <c r="D51" t="inlineStr">
        <is>
          <t>2019-12-31</t>
        </is>
      </c>
      <c r="E51" s="14" t="n">
        <v>280522000000</v>
      </c>
      <c r="F51" s="14" t="n">
        <v>14541000000</v>
      </c>
      <c r="G51" t="inlineStr">
        <is>
          <t>reported</t>
        </is>
      </c>
      <c r="H51" t="inlineStr">
        <is>
          <t>HIGH</t>
        </is>
      </c>
      <c r="I51" s="15" t="n">
        <v>0.1698626216370921</v>
      </c>
      <c r="J51" s="14">
        <f>IF(F51="","",F51*(1-I51))</f>
        <v>12071027618.775043</v>
      </c>
      <c r="K51" s="14" t="n">
        <v>62060000000</v>
      </c>
      <c r="L51" s="14" t="n">
        <v>24719000000</v>
      </c>
      <c r="M51" s="14" t="n">
        <v>55021000000</v>
      </c>
      <c r="N51" s="14">
        <f>IF(COUNT(K51:M51)&lt;3,"",K51+L51-M51)</f>
        <v>31758000000.0</v>
      </c>
      <c r="O51" s="14">
        <f>N50</f>
        <v>27165000000.0</v>
      </c>
      <c r="P51" s="14">
        <f>IF(N51="","",IF(OR(O51="",O51&lt;=0,N51&lt;=0),N51,(N51+O51)/2))</f>
        <v>29461500000.0</v>
      </c>
      <c r="Q51" t="inlineStr">
        <is>
          <t>기초·기말 평균</t>
        </is>
      </c>
      <c r="R51" s="15">
        <f>IF(OR(P51="",P51&lt;=0),"",J51/P51)</f>
        <v>0.4097220989689949</v>
      </c>
      <c r="S51" s="15">
        <f>IF(R51="","",R51-0.1)</f>
        <v>0.30972209896899494</v>
      </c>
      <c r="T51" s="15">
        <f>IF(OR(P51="",E51=0,E51=""),"",P51/E51)</f>
        <v>0.10502384839691718</v>
      </c>
      <c r="U51" t="inlineStr">
        <is>
          <t>—</t>
        </is>
      </c>
      <c r="V51" t="inlineStr">
        <is>
          <t>—</t>
        </is>
      </c>
      <c r="W51" t="inlineStr">
        <is>
          <t>OK</t>
        </is>
      </c>
      <c r="X51" t="inlineStr">
        <is>
          <t>AMAZON COM INC</t>
        </is>
      </c>
    </row>
    <row r="52">
      <c r="A52" s="9" t="inlineStr">
        <is>
          <t>아마존</t>
        </is>
      </c>
      <c r="B52" s="9" t="inlineStr">
        <is>
          <t>AMZN</t>
        </is>
      </c>
      <c r="C52" s="9" t="n">
        <v>2020</v>
      </c>
      <c r="D52" s="9" t="inlineStr">
        <is>
          <t>2020-12-31</t>
        </is>
      </c>
      <c r="E52" s="16" t="n">
        <v>386064000000</v>
      </c>
      <c r="F52" s="16" t="n">
        <v>22899000000</v>
      </c>
      <c r="G52" s="9" t="inlineStr">
        <is>
          <t>reported</t>
        </is>
      </c>
      <c r="H52" s="9" t="inlineStr">
        <is>
          <t>HIGH</t>
        </is>
      </c>
      <c r="I52" s="17" t="n">
        <v>0.1184134337000579</v>
      </c>
      <c r="J52" s="16">
        <f>IF(F52="","",F52*(1-I52))</f>
        <v>20187450781.702374</v>
      </c>
      <c r="K52" s="16" t="n">
        <v>93404000000</v>
      </c>
      <c r="L52" s="16" t="n">
        <v>32971000000</v>
      </c>
      <c r="M52" s="16" t="n">
        <v>84396000000</v>
      </c>
      <c r="N52" s="16">
        <f>IF(COUNT(K52:M52)&lt;3,"",K52+L52-M52)</f>
        <v>41979000000.0</v>
      </c>
      <c r="O52" s="16">
        <f>N51</f>
        <v>31758000000.0</v>
      </c>
      <c r="P52" s="16">
        <f>IF(N52="","",IF(OR(O52="",O52&lt;=0,N52&lt;=0),N52,(N52+O52)/2))</f>
        <v>36868500000.0</v>
      </c>
      <c r="Q52" s="9" t="inlineStr">
        <is>
          <t>기초·기말 평균</t>
        </is>
      </c>
      <c r="R52" s="17">
        <f>IF(OR(P52="",P52&lt;=0),"",J52/P52)</f>
        <v>0.5475528101686364</v>
      </c>
      <c r="S52" s="17">
        <f>IF(R52="","",R52-0.1)</f>
        <v>0.44755281016863646</v>
      </c>
      <c r="T52" s="17">
        <f>IF(OR(P52="",E52=0,E52=""),"",P52/E52)</f>
        <v>0.09549841477060798</v>
      </c>
      <c r="U52" s="9" t="inlineStr">
        <is>
          <t>—</t>
        </is>
      </c>
      <c r="V52" s="9" t="inlineStr">
        <is>
          <t>—</t>
        </is>
      </c>
      <c r="W52" s="9" t="inlineStr">
        <is>
          <t>투하자본이 매출의 9.5% — 분모가 작아 비율이 민감 (판정은 유효)</t>
        </is>
      </c>
      <c r="X52" s="9" t="inlineStr">
        <is>
          <t>AMAZON COM INC</t>
        </is>
      </c>
    </row>
    <row r="53">
      <c r="A53" t="inlineStr">
        <is>
          <t>아마존</t>
        </is>
      </c>
      <c r="B53" t="inlineStr">
        <is>
          <t>AMZN</t>
        </is>
      </c>
      <c r="C53" t="n">
        <v>2021</v>
      </c>
      <c r="D53" t="inlineStr">
        <is>
          <t>2021-12-31</t>
        </is>
      </c>
      <c r="E53" s="14" t="n">
        <v>469822000000</v>
      </c>
      <c r="F53" s="14" t="n">
        <v>24879000000</v>
      </c>
      <c r="G53" t="inlineStr">
        <is>
          <t>reported</t>
        </is>
      </c>
      <c r="H53" t="inlineStr">
        <is>
          <t>HIGH</t>
        </is>
      </c>
      <c r="I53" s="15" t="n">
        <v>0.1255799323739876</v>
      </c>
      <c r="J53" s="14">
        <f>IF(F53="","",F53*(1-I53))</f>
        <v>21754696862.467564</v>
      </c>
      <c r="K53" s="14" t="n">
        <v>138245000000</v>
      </c>
      <c r="L53" s="14" t="n">
        <v>50553000000</v>
      </c>
      <c r="M53" s="14" t="n">
        <v>96049000000</v>
      </c>
      <c r="N53" s="14">
        <f>IF(COUNT(K53:M53)&lt;3,"",K53+L53-M53)</f>
        <v>92749000000.0</v>
      </c>
      <c r="O53" s="14">
        <f>N52</f>
        <v>41979000000.0</v>
      </c>
      <c r="P53" s="14">
        <f>IF(N53="","",IF(OR(O53="",O53&lt;=0,N53&lt;=0),N53,(N53+O53)/2))</f>
        <v>67364000000.0</v>
      </c>
      <c r="Q53" t="inlineStr">
        <is>
          <t>기초·기말 평균</t>
        </is>
      </c>
      <c r="R53" s="15">
        <f>IF(OR(P53="",P53&lt;=0),"",J53/P53)</f>
        <v>0.3229424746521519</v>
      </c>
      <c r="S53" s="15">
        <f>IF(R53="","",R53-0.1)</f>
        <v>0.22294247465215192</v>
      </c>
      <c r="T53" s="15">
        <f>IF(OR(P53="",E53=0,E53=""),"",P53/E53)</f>
        <v>0.143381961679104</v>
      </c>
      <c r="U53" t="inlineStr">
        <is>
          <t>—</t>
        </is>
      </c>
      <c r="V53" t="inlineStr">
        <is>
          <t>—</t>
        </is>
      </c>
      <c r="W53" t="inlineStr">
        <is>
          <t>OK</t>
        </is>
      </c>
      <c r="X53" t="inlineStr">
        <is>
          <t>AMAZON COM INC</t>
        </is>
      </c>
    </row>
    <row r="54">
      <c r="A54" t="inlineStr">
        <is>
          <t>아마존</t>
        </is>
      </c>
      <c r="B54" t="inlineStr">
        <is>
          <t>AMZN</t>
        </is>
      </c>
      <c r="C54" t="n">
        <v>2022</v>
      </c>
      <c r="D54" t="inlineStr">
        <is>
          <t>2022-12-31</t>
        </is>
      </c>
      <c r="E54" s="14" t="n">
        <v>513983000000</v>
      </c>
      <c r="F54" s="14" t="n">
        <v>12248000000</v>
      </c>
      <c r="G54" t="inlineStr">
        <is>
          <t>reported</t>
        </is>
      </c>
      <c r="H54" t="inlineStr">
        <is>
          <t>HIGH</t>
        </is>
      </c>
      <c r="I54" s="15" t="n">
        <v>0.21</v>
      </c>
      <c r="J54" s="14">
        <f>IF(F54="","",F54*(1-I54))</f>
        <v>9675920000.0</v>
      </c>
      <c r="K54" s="14" t="n">
        <v>146043000000</v>
      </c>
      <c r="L54" s="14" t="n">
        <v>71349000000</v>
      </c>
      <c r="M54" s="14" t="n">
        <v>70026000000</v>
      </c>
      <c r="N54" s="14">
        <f>IF(COUNT(K54:M54)&lt;3,"",K54+L54-M54)</f>
        <v>147366000000.0</v>
      </c>
      <c r="O54" s="14">
        <f>N53</f>
        <v>92749000000.0</v>
      </c>
      <c r="P54" s="14">
        <f>IF(N54="","",IF(OR(O54="",O54&lt;=0,N54&lt;=0),N54,(N54+O54)/2))</f>
        <v>120057500000.0</v>
      </c>
      <c r="Q54" t="inlineStr">
        <is>
          <t>기초·기말 평균</t>
        </is>
      </c>
      <c r="R54" s="15">
        <f>IF(OR(P54="",P54&lt;=0),"",J54/P54)</f>
        <v>0.0805940486850051</v>
      </c>
      <c r="S54" s="15">
        <f>IF(R54="","",R54-0.1)</f>
        <v>-0.01940595131499491</v>
      </c>
      <c r="T54" s="15">
        <f>IF(OR(P54="",E54=0,E54=""),"",P54/E54)</f>
        <v>0.23358262821922127</v>
      </c>
      <c r="U54" t="inlineStr">
        <is>
          <t>—</t>
        </is>
      </c>
      <c r="V54" t="inlineStr">
        <is>
          <t>—</t>
        </is>
      </c>
      <c r="W54" t="inlineStr">
        <is>
          <t>OK</t>
        </is>
      </c>
      <c r="X54" t="inlineStr">
        <is>
          <t>AMAZON COM INC</t>
        </is>
      </c>
    </row>
    <row r="55">
      <c r="A55" t="inlineStr">
        <is>
          <t>아마존</t>
        </is>
      </c>
      <c r="B55" t="inlineStr">
        <is>
          <t>AMZN</t>
        </is>
      </c>
      <c r="C55" t="n">
        <v>2023</v>
      </c>
      <c r="D55" t="inlineStr">
        <is>
          <t>2023-12-31</t>
        </is>
      </c>
      <c r="E55" s="14" t="n">
        <v>574785000000</v>
      </c>
      <c r="F55" s="14" t="n">
        <v>36852000000</v>
      </c>
      <c r="G55" t="inlineStr">
        <is>
          <t>reported</t>
        </is>
      </c>
      <c r="H55" t="inlineStr">
        <is>
          <t>HIGH</t>
        </is>
      </c>
      <c r="I55" s="15" t="n">
        <v>0.1895785073355167</v>
      </c>
      <c r="J55" s="14">
        <f>IF(F55="","",F55*(1-I55))</f>
        <v>29865652847.671535</v>
      </c>
      <c r="K55" s="14" t="n">
        <v>201875000000</v>
      </c>
      <c r="L55" s="14" t="n">
        <v>66955000000</v>
      </c>
      <c r="M55" s="14" t="n">
        <v>86780000000</v>
      </c>
      <c r="N55" s="14">
        <f>IF(COUNT(K55:M55)&lt;3,"",K55+L55-M55)</f>
        <v>182050000000.0</v>
      </c>
      <c r="O55" s="14">
        <f>N54</f>
        <v>147366000000.0</v>
      </c>
      <c r="P55" s="14">
        <f>IF(N55="","",IF(OR(O55="",O55&lt;=0,N55&lt;=0),N55,(N55+O55)/2))</f>
        <v>164708000000.0</v>
      </c>
      <c r="Q55" t="inlineStr">
        <is>
          <t>기초·기말 평균</t>
        </is>
      </c>
      <c r="R55" s="15">
        <f>IF(OR(P55="",P55&lt;=0),"",J55/P55)</f>
        <v>0.18132484668426266</v>
      </c>
      <c r="S55" s="15">
        <f>IF(R55="","",R55-0.1)</f>
        <v>0.08132484668426265</v>
      </c>
      <c r="T55" s="15">
        <f>IF(OR(P55="",E55=0,E55=""),"",P55/E55)</f>
        <v>0.2865558426194142</v>
      </c>
      <c r="U55" t="inlineStr">
        <is>
          <t>—</t>
        </is>
      </c>
      <c r="V55" t="inlineStr">
        <is>
          <t>—</t>
        </is>
      </c>
      <c r="W55" t="inlineStr">
        <is>
          <t>OK</t>
        </is>
      </c>
      <c r="X55" t="inlineStr">
        <is>
          <t>AMAZON COM INC</t>
        </is>
      </c>
    </row>
    <row r="56">
      <c r="A56" t="inlineStr">
        <is>
          <t>아마존</t>
        </is>
      </c>
      <c r="B56" t="inlineStr">
        <is>
          <t>AMZN</t>
        </is>
      </c>
      <c r="C56" t="n">
        <v>2024</v>
      </c>
      <c r="D56" t="inlineStr">
        <is>
          <t>2024-12-31</t>
        </is>
      </c>
      <c r="E56" s="14" t="n">
        <v>637959000000</v>
      </c>
      <c r="F56" s="14" t="n">
        <v>68593000000</v>
      </c>
      <c r="G56" t="inlineStr">
        <is>
          <t>reported</t>
        </is>
      </c>
      <c r="H56" t="inlineStr">
        <is>
          <t>HIGH</t>
        </is>
      </c>
      <c r="I56" s="15" t="n">
        <v>0.1350307517416271</v>
      </c>
      <c r="J56" s="14">
        <f>IF(F56="","",F56*(1-I56))</f>
        <v>59330835645.78657</v>
      </c>
      <c r="K56" s="14" t="n">
        <v>285970000000</v>
      </c>
      <c r="L56" s="14" t="n">
        <v>57791000000</v>
      </c>
      <c r="M56" s="14" t="n">
        <v>101202000000</v>
      </c>
      <c r="N56" s="14">
        <f>IF(COUNT(K56:M56)&lt;3,"",K56+L56-M56)</f>
        <v>242559000000.0</v>
      </c>
      <c r="O56" s="14">
        <f>N55</f>
        <v>182050000000.0</v>
      </c>
      <c r="P56" s="14">
        <f>IF(N56="","",IF(OR(O56="",O56&lt;=0,N56&lt;=0),N56,(N56+O56)/2))</f>
        <v>212304500000.0</v>
      </c>
      <c r="Q56" t="inlineStr">
        <is>
          <t>기초·기말 평균</t>
        </is>
      </c>
      <c r="R56" s="15">
        <f>IF(OR(P56="",P56&lt;=0),"",J56/P56)</f>
        <v>0.2794610366044364</v>
      </c>
      <c r="S56" s="15">
        <f>IF(R56="","",R56-0.1)</f>
        <v>0.17946103660443638</v>
      </c>
      <c r="T56" s="15">
        <f>IF(OR(P56="",E56=0,E56=""),"",P56/E56)</f>
        <v>0.3327870599834786</v>
      </c>
      <c r="U56" t="inlineStr">
        <is>
          <t>—</t>
        </is>
      </c>
      <c r="V56" t="inlineStr">
        <is>
          <t>—</t>
        </is>
      </c>
      <c r="W56" t="inlineStr">
        <is>
          <t>OK</t>
        </is>
      </c>
      <c r="X56" t="inlineStr">
        <is>
          <t>AMAZON COM INC</t>
        </is>
      </c>
    </row>
    <row r="57">
      <c r="A57" t="inlineStr">
        <is>
          <t>아마존</t>
        </is>
      </c>
      <c r="B57" t="inlineStr">
        <is>
          <t>AMZN</t>
        </is>
      </c>
      <c r="C57" t="n">
        <v>2025</v>
      </c>
      <c r="D57" t="inlineStr">
        <is>
          <t>2025-12-31</t>
        </is>
      </c>
      <c r="E57" s="14" t="n">
        <v>716924000000</v>
      </c>
      <c r="F57" s="14" t="n">
        <v>79975000000</v>
      </c>
      <c r="G57" t="inlineStr">
        <is>
          <t>reported</t>
        </is>
      </c>
      <c r="H57" t="inlineStr">
        <is>
          <t>HIGH</t>
        </is>
      </c>
      <c r="I57" s="15" t="n">
        <v>0.1961443207859337</v>
      </c>
      <c r="J57" s="14">
        <f>IF(F57="","",F57*(1-I57))</f>
        <v>64288357945.14495</v>
      </c>
      <c r="K57" s="14" t="n">
        <v>411065000000</v>
      </c>
      <c r="L57" s="14" t="n">
        <v>68851000000</v>
      </c>
      <c r="M57" s="14" t="n">
        <v>123029000000</v>
      </c>
      <c r="N57" s="14">
        <f>IF(COUNT(K57:M57)&lt;3,"",K57+L57-M57)</f>
        <v>356887000000.0</v>
      </c>
      <c r="O57" s="14">
        <f>N56</f>
        <v>242559000000.0</v>
      </c>
      <c r="P57" s="14">
        <f>IF(N57="","",IF(OR(O57="",O57&lt;=0,N57&lt;=0),N57,(N57+O57)/2))</f>
        <v>299723000000.0</v>
      </c>
      <c r="Q57" t="inlineStr">
        <is>
          <t>기초·기말 평균</t>
        </is>
      </c>
      <c r="R57" s="15">
        <f>IF(OR(P57="",P57&lt;=0),"",J57/P57)</f>
        <v>0.21449257462772275</v>
      </c>
      <c r="S57" s="15">
        <f>IF(R57="","",R57-0.1)</f>
        <v>0.11449257462772275</v>
      </c>
      <c r="T57" s="15">
        <f>IF(OR(P57="",E57=0,E57=""),"",P57/E57)</f>
        <v>0.4180680239467503</v>
      </c>
      <c r="U57" t="inlineStr">
        <is>
          <t>—</t>
        </is>
      </c>
      <c r="V57" t="inlineStr">
        <is>
          <t>—</t>
        </is>
      </c>
      <c r="W57" t="inlineStr">
        <is>
          <t>OK</t>
        </is>
      </c>
      <c r="X57" t="inlineStr">
        <is>
          <t>AMAZON COM INC</t>
        </is>
      </c>
    </row>
    <row r="58">
      <c r="A58" t="inlineStr">
        <is>
          <t>브로드컴</t>
        </is>
      </c>
      <c r="B58" t="inlineStr">
        <is>
          <t>AVGO</t>
        </is>
      </c>
      <c r="C58" t="n">
        <v>2016</v>
      </c>
      <c r="D58" t="inlineStr">
        <is>
          <t>2016-10-30</t>
        </is>
      </c>
      <c r="E58" s="14" t="n">
        <v>13240000000</v>
      </c>
      <c r="F58" s="14" t="n">
        <v>-409000000</v>
      </c>
      <c r="G58" t="inlineStr">
        <is>
          <t>reported</t>
        </is>
      </c>
      <c r="H58" t="inlineStr">
        <is>
          <t>HIGH</t>
        </is>
      </c>
      <c r="I58" s="15" t="n">
        <v>0.21</v>
      </c>
      <c r="J58" s="14">
        <f>IF(F58="","",F58*(1-I58))</f>
        <v>-323110000.0</v>
      </c>
      <c r="K58" s="14" t="n">
        <v>21876000000</v>
      </c>
      <c r="L58" s="14" t="n">
        <v>0</v>
      </c>
      <c r="M58" s="14" t="n">
        <v>3097000000</v>
      </c>
      <c r="N58" s="14">
        <f>IF(COUNT(K58:M58)&lt;3,"",K58+L58-M58)</f>
        <v>18779000000.0</v>
      </c>
      <c r="O58" t="inlineStr">
        <is>
          <t>—</t>
        </is>
      </c>
      <c r="P58" s="14">
        <f>N58</f>
        <v>18779000000.0</v>
      </c>
      <c r="Q58" t="inlineStr">
        <is>
          <t>기말 (직전연도 없음)</t>
        </is>
      </c>
      <c r="R58" s="15">
        <f>IF(OR(P58="",P58&lt;=0),"",J58/P58)</f>
        <v>-0.01720592150806752</v>
      </c>
      <c r="S58" s="15">
        <f>IF(R58="","",R58-0.1)</f>
        <v>-0.11720592150806752</v>
      </c>
      <c r="T58" s="15">
        <f>IF(OR(P58="",E58=0,E58=""),"",P58/E58)</f>
        <v>1.4183534743202417</v>
      </c>
      <c r="U58" t="inlineStr">
        <is>
          <t>—</t>
        </is>
      </c>
      <c r="V58" t="inlineStr">
        <is>
          <t>—</t>
        </is>
      </c>
      <c r="W58" t="inlineStr">
        <is>
          <t>OK</t>
        </is>
      </c>
      <c r="X58" t="inlineStr">
        <is>
          <t>Broadcom Inc.</t>
        </is>
      </c>
    </row>
    <row r="59">
      <c r="A59" t="inlineStr">
        <is>
          <t>브로드컴</t>
        </is>
      </c>
      <c r="B59" t="inlineStr">
        <is>
          <t>AVGO</t>
        </is>
      </c>
      <c r="C59" t="n">
        <v>2017</v>
      </c>
      <c r="D59" t="inlineStr">
        <is>
          <t>2017-10-29</t>
        </is>
      </c>
      <c r="E59" s="14" t="n">
        <v>17636000000</v>
      </c>
      <c r="F59" s="14" t="n">
        <v>2371000000</v>
      </c>
      <c r="G59" t="inlineStr">
        <is>
          <t>reported</t>
        </is>
      </c>
      <c r="H59" t="inlineStr">
        <is>
          <t>HIGH</t>
        </is>
      </c>
      <c r="I59" s="15" t="n">
        <v>0.05</v>
      </c>
      <c r="J59" s="14">
        <f>IF(F59="","",F59*(1-I59))</f>
        <v>2252450000.0</v>
      </c>
      <c r="K59" s="14" t="n">
        <v>23186000000</v>
      </c>
      <c r="L59" s="14" t="n">
        <v>17548000000</v>
      </c>
      <c r="M59" s="14" t="n">
        <v>11204000000</v>
      </c>
      <c r="N59" s="14">
        <f>IF(COUNT(K59:M59)&lt;3,"",K59+L59-M59)</f>
        <v>29530000000.0</v>
      </c>
      <c r="O59" s="14">
        <f>N58</f>
        <v>18779000000.0</v>
      </c>
      <c r="P59" s="14">
        <f>IF(N59="","",IF(OR(O59="",O59&lt;=0,N59&lt;=0),N59,(N59+O59)/2))</f>
        <v>24154500000.0</v>
      </c>
      <c r="Q59" t="inlineStr">
        <is>
          <t>기초·기말 평균</t>
        </is>
      </c>
      <c r="R59" s="15">
        <f>IF(OR(P59="",P59&lt;=0),"",J59/P59)</f>
        <v>0.09325177503156762</v>
      </c>
      <c r="S59" s="15">
        <f>IF(R59="","",R59-0.1)</f>
        <v>-0.006748224968432387</v>
      </c>
      <c r="T59" s="15">
        <f>IF(OR(P59="",E59=0,E59=""),"",P59/E59)</f>
        <v>1.3696132909956906</v>
      </c>
      <c r="U59" t="inlineStr">
        <is>
          <t>—</t>
        </is>
      </c>
      <c r="V59" t="inlineStr">
        <is>
          <t>—</t>
        </is>
      </c>
      <c r="W59" t="inlineStr">
        <is>
          <t>OK</t>
        </is>
      </c>
      <c r="X59" t="inlineStr">
        <is>
          <t>Broadcom Inc.</t>
        </is>
      </c>
    </row>
    <row r="60">
      <c r="A60" t="inlineStr">
        <is>
          <t>브로드컴</t>
        </is>
      </c>
      <c r="B60" t="inlineStr">
        <is>
          <t>AVGO</t>
        </is>
      </c>
      <c r="C60" t="n">
        <v>2018</v>
      </c>
      <c r="D60" t="inlineStr">
        <is>
          <t>2018-11-04</t>
        </is>
      </c>
      <c r="E60" s="14" t="n">
        <v>20848000000</v>
      </c>
      <c r="F60" s="14" t="n">
        <v>5135000000</v>
      </c>
      <c r="G60" t="inlineStr">
        <is>
          <t>reported</t>
        </is>
      </c>
      <c r="H60" t="inlineStr">
        <is>
          <t>HIGH</t>
        </is>
      </c>
      <c r="I60" s="15" t="n">
        <v>0.05</v>
      </c>
      <c r="J60" s="14">
        <f>IF(F60="","",F60*(1-I60))</f>
        <v>4878250000.0</v>
      </c>
      <c r="K60" s="14" t="n">
        <v>26657000000</v>
      </c>
      <c r="L60" s="14" t="n">
        <v>17609000000</v>
      </c>
      <c r="M60" s="14" t="n">
        <v>4292000000</v>
      </c>
      <c r="N60" s="14">
        <f>IF(COUNT(K60:M60)&lt;3,"",K60+L60-M60)</f>
        <v>39974000000.0</v>
      </c>
      <c r="O60" s="14">
        <f>N59</f>
        <v>29530000000.0</v>
      </c>
      <c r="P60" s="14">
        <f>IF(N60="","",IF(OR(O60="",O60&lt;=0,N60&lt;=0),N60,(N60+O60)/2))</f>
        <v>34752000000.0</v>
      </c>
      <c r="Q60" t="inlineStr">
        <is>
          <t>기초·기말 평균</t>
        </is>
      </c>
      <c r="R60" s="15">
        <f>IF(OR(P60="",P60&lt;=0),"",J60/P60)</f>
        <v>0.14037321593001842</v>
      </c>
      <c r="S60" s="15">
        <f>IF(R60="","",R60-0.1)</f>
        <v>0.04037321593001841</v>
      </c>
      <c r="T60" s="15">
        <f>IF(OR(P60="",E60=0,E60=""),"",P60/E60)</f>
        <v>1.6669224865694552</v>
      </c>
      <c r="U60" t="inlineStr">
        <is>
          <t>—</t>
        </is>
      </c>
      <c r="V60" t="inlineStr">
        <is>
          <t>—</t>
        </is>
      </c>
      <c r="W60" t="inlineStr">
        <is>
          <t>OK</t>
        </is>
      </c>
      <c r="X60" t="inlineStr">
        <is>
          <t>Broadcom Inc.</t>
        </is>
      </c>
    </row>
    <row r="61">
      <c r="A61" t="inlineStr">
        <is>
          <t>브로드컴</t>
        </is>
      </c>
      <c r="B61" t="inlineStr">
        <is>
          <t>AVGO</t>
        </is>
      </c>
      <c r="C61" t="n">
        <v>2019</v>
      </c>
      <c r="D61" t="inlineStr">
        <is>
          <t>2019-11-03</t>
        </is>
      </c>
      <c r="E61" s="14" t="n">
        <v>22597000000</v>
      </c>
      <c r="F61" s="14" t="n">
        <v>3444000000</v>
      </c>
      <c r="G61" t="inlineStr">
        <is>
          <t>reported</t>
        </is>
      </c>
      <c r="H61" t="inlineStr">
        <is>
          <t>HIGH</t>
        </is>
      </c>
      <c r="I61" s="15" t="n">
        <v>0.05</v>
      </c>
      <c r="J61" s="14">
        <f>IF(F61="","",F61*(1-I61))</f>
        <v>3271800000.0</v>
      </c>
      <c r="K61" s="14" t="n">
        <v>24941000000</v>
      </c>
      <c r="L61" s="14" t="n">
        <v>33059000000</v>
      </c>
      <c r="M61" s="14" t="n">
        <v>5055000000</v>
      </c>
      <c r="N61" s="14">
        <f>IF(COUNT(K61:M61)&lt;3,"",K61+L61-M61)</f>
        <v>52945000000.0</v>
      </c>
      <c r="O61" s="14">
        <f>N60</f>
        <v>39974000000.0</v>
      </c>
      <c r="P61" s="14">
        <f>IF(N61="","",IF(OR(O61="",O61&lt;=0,N61&lt;=0),N61,(N61+O61)/2))</f>
        <v>46459500000.0</v>
      </c>
      <c r="Q61" t="inlineStr">
        <is>
          <t>기초·기말 평균</t>
        </is>
      </c>
      <c r="R61" s="15">
        <f>IF(OR(P61="",P61&lt;=0),"",J61/P61)</f>
        <v>0.07042262615826687</v>
      </c>
      <c r="S61" s="15">
        <f>IF(R61="","",R61-0.1)</f>
        <v>-0.02957737384173313</v>
      </c>
      <c r="T61" s="15">
        <f>IF(OR(P61="",E61=0,E61=""),"",P61/E61)</f>
        <v>2.0560030092490154</v>
      </c>
      <c r="U61" t="inlineStr">
        <is>
          <t>—</t>
        </is>
      </c>
      <c r="V61" t="inlineStr">
        <is>
          <t>—</t>
        </is>
      </c>
      <c r="W61" t="inlineStr">
        <is>
          <t>OK</t>
        </is>
      </c>
      <c r="X61" t="inlineStr">
        <is>
          <t>Broadcom Inc.</t>
        </is>
      </c>
    </row>
    <row r="62">
      <c r="A62" t="inlineStr">
        <is>
          <t>브로드컴</t>
        </is>
      </c>
      <c r="B62" t="inlineStr">
        <is>
          <t>AVGO</t>
        </is>
      </c>
      <c r="C62" t="n">
        <v>2020</v>
      </c>
      <c r="D62" t="inlineStr">
        <is>
          <t>2020-11-01</t>
        </is>
      </c>
      <c r="E62" s="14" t="n">
        <v>23888000000</v>
      </c>
      <c r="F62" s="14" t="n">
        <v>4014000000</v>
      </c>
      <c r="G62" t="inlineStr">
        <is>
          <t>reported</t>
        </is>
      </c>
      <c r="H62" t="inlineStr">
        <is>
          <t>HIGH</t>
        </is>
      </c>
      <c r="I62" s="15" t="n">
        <v>0.05</v>
      </c>
      <c r="J62" s="14">
        <f>IF(F62="","",F62*(1-I62))</f>
        <v>3813300000.0</v>
      </c>
      <c r="K62" s="14" t="n">
        <v>23874000000</v>
      </c>
      <c r="L62" s="14" t="n">
        <v>41498000000</v>
      </c>
      <c r="M62" s="14" t="n">
        <v>7618000000</v>
      </c>
      <c r="N62" s="14">
        <f>IF(COUNT(K62:M62)&lt;3,"",K62+L62-M62)</f>
        <v>57754000000.0</v>
      </c>
      <c r="O62" s="14">
        <f>N61</f>
        <v>52945000000.0</v>
      </c>
      <c r="P62" s="14">
        <f>IF(N62="","",IF(OR(O62="",O62&lt;=0,N62&lt;=0),N62,(N62+O62)/2))</f>
        <v>55349500000.0</v>
      </c>
      <c r="Q62" t="inlineStr">
        <is>
          <t>기초·기말 평균</t>
        </is>
      </c>
      <c r="R62" s="15">
        <f>IF(OR(P62="",P62&lt;=0),"",J62/P62)</f>
        <v>0.06889493130019242</v>
      </c>
      <c r="S62" s="15">
        <f>IF(R62="","",R62-0.1)</f>
        <v>-0.031105068699807586</v>
      </c>
      <c r="T62" s="15">
        <f>IF(OR(P62="",E62=0,E62=""),"",P62/E62)</f>
        <v>2.3170420294708642</v>
      </c>
      <c r="U62" t="inlineStr">
        <is>
          <t>—</t>
        </is>
      </c>
      <c r="V62" t="inlineStr">
        <is>
          <t>—</t>
        </is>
      </c>
      <c r="W62" t="inlineStr">
        <is>
          <t>OK</t>
        </is>
      </c>
      <c r="X62" t="inlineStr">
        <is>
          <t>Broadcom Inc.</t>
        </is>
      </c>
    </row>
    <row r="63">
      <c r="A63" t="inlineStr">
        <is>
          <t>브로드컴</t>
        </is>
      </c>
      <c r="B63" t="inlineStr">
        <is>
          <t>AVGO</t>
        </is>
      </c>
      <c r="C63" t="n">
        <v>2021</v>
      </c>
      <c r="D63" t="inlineStr">
        <is>
          <t>2021-10-31</t>
        </is>
      </c>
      <c r="E63" s="14" t="n">
        <v>27450000000</v>
      </c>
      <c r="F63" s="14" t="n">
        <v>8519000000</v>
      </c>
      <c r="G63" t="inlineStr">
        <is>
          <t>reported</t>
        </is>
      </c>
      <c r="H63" t="inlineStr">
        <is>
          <t>HIGH</t>
        </is>
      </c>
      <c r="I63" s="15" t="n">
        <v>0.05</v>
      </c>
      <c r="J63" s="14">
        <f>IF(F63="","",F63*(1-I63))</f>
        <v>8093050000.0</v>
      </c>
      <c r="K63" s="14" t="n">
        <v>24962000000</v>
      </c>
      <c r="L63" s="14" t="n">
        <v>39704000000</v>
      </c>
      <c r="M63" s="14" t="n">
        <v>12163000000</v>
      </c>
      <c r="N63" s="14">
        <f>IF(COUNT(K63:M63)&lt;3,"",K63+L63-M63)</f>
        <v>52503000000.0</v>
      </c>
      <c r="O63" s="14">
        <f>N62</f>
        <v>57754000000.0</v>
      </c>
      <c r="P63" s="14">
        <f>IF(N63="","",IF(OR(O63="",O63&lt;=0,N63&lt;=0),N63,(N63+O63)/2))</f>
        <v>55128500000.0</v>
      </c>
      <c r="Q63" t="inlineStr">
        <is>
          <t>기초·기말 평균</t>
        </is>
      </c>
      <c r="R63" s="15">
        <f>IF(OR(P63="",P63&lt;=0),"",J63/P63)</f>
        <v>0.1468033775633293</v>
      </c>
      <c r="S63" s="15">
        <f>IF(R63="","",R63-0.1)</f>
        <v>0.04680337756332931</v>
      </c>
      <c r="T63" s="15">
        <f>IF(OR(P63="",E63=0,E63=""),"",P63/E63)</f>
        <v>2.0083242258652096</v>
      </c>
      <c r="U63" t="inlineStr">
        <is>
          <t>—</t>
        </is>
      </c>
      <c r="V63" t="inlineStr">
        <is>
          <t>—</t>
        </is>
      </c>
      <c r="W63" t="inlineStr">
        <is>
          <t>OK</t>
        </is>
      </c>
      <c r="X63" t="inlineStr">
        <is>
          <t>Broadcom Inc.</t>
        </is>
      </c>
    </row>
    <row r="64">
      <c r="A64" t="inlineStr">
        <is>
          <t>브로드컴</t>
        </is>
      </c>
      <c r="B64" t="inlineStr">
        <is>
          <t>AVGO</t>
        </is>
      </c>
      <c r="C64" t="n">
        <v>2022</v>
      </c>
      <c r="D64" t="inlineStr">
        <is>
          <t>2022-10-30</t>
        </is>
      </c>
      <c r="E64" s="14" t="n">
        <v>33203000000</v>
      </c>
      <c r="F64" s="14" t="n">
        <v>14225000000</v>
      </c>
      <c r="G64" t="inlineStr">
        <is>
          <t>reported</t>
        </is>
      </c>
      <c r="H64" t="inlineStr">
        <is>
          <t>HIGH</t>
        </is>
      </c>
      <c r="I64" s="15" t="n">
        <v>0.07551873894161171</v>
      </c>
      <c r="J64" s="14">
        <f>IF(F64="","",F64*(1-I64))</f>
        <v>13150745938.555574</v>
      </c>
      <c r="K64" s="14" t="n">
        <v>22709000000</v>
      </c>
      <c r="L64" s="14" t="n">
        <v>39478000000</v>
      </c>
      <c r="M64" s="14" t="n">
        <v>12416000000</v>
      </c>
      <c r="N64" s="14">
        <f>IF(COUNT(K64:M64)&lt;3,"",K64+L64-M64)</f>
        <v>49771000000.0</v>
      </c>
      <c r="O64" s="14">
        <f>N63</f>
        <v>52503000000.0</v>
      </c>
      <c r="P64" s="14">
        <f>IF(N64="","",IF(OR(O64="",O64&lt;=0,N64&lt;=0),N64,(N64+O64)/2))</f>
        <v>51137000000.0</v>
      </c>
      <c r="Q64" t="inlineStr">
        <is>
          <t>기초·기말 평균</t>
        </is>
      </c>
      <c r="R64" s="15">
        <f>IF(OR(P64="",P64&lt;=0),"",J64/P64)</f>
        <v>0.25716694249869126</v>
      </c>
      <c r="S64" s="15">
        <f>IF(R64="","",R64-0.1)</f>
        <v>0.15716694249869126</v>
      </c>
      <c r="T64" s="15">
        <f>IF(OR(P64="",E64=0,E64=""),"",P64/E64)</f>
        <v>1.5401319157907418</v>
      </c>
      <c r="U64" t="inlineStr">
        <is>
          <t>—</t>
        </is>
      </c>
      <c r="V64" t="inlineStr">
        <is>
          <t>—</t>
        </is>
      </c>
      <c r="W64" t="inlineStr">
        <is>
          <t>OK</t>
        </is>
      </c>
      <c r="X64" t="inlineStr">
        <is>
          <t>Broadcom Inc.</t>
        </is>
      </c>
    </row>
    <row r="65">
      <c r="A65" t="inlineStr">
        <is>
          <t>브로드컴</t>
        </is>
      </c>
      <c r="B65" t="inlineStr">
        <is>
          <t>AVGO</t>
        </is>
      </c>
      <c r="C65" t="n">
        <v>2023</v>
      </c>
      <c r="D65" t="inlineStr">
        <is>
          <t>2023-10-29</t>
        </is>
      </c>
      <c r="E65" s="14" t="n">
        <v>35819000000</v>
      </c>
      <c r="F65" s="14" t="n">
        <v>16207000000</v>
      </c>
      <c r="G65" t="inlineStr">
        <is>
          <t>reported</t>
        </is>
      </c>
      <c r="H65" t="inlineStr">
        <is>
          <t>HIGH</t>
        </is>
      </c>
      <c r="I65" s="15" t="n">
        <v>0.06723190037755845</v>
      </c>
      <c r="J65" s="14">
        <f>IF(F65="","",F65*(1-I65))</f>
        <v>15117372590.58091</v>
      </c>
      <c r="K65" s="14" t="n">
        <v>23988000000</v>
      </c>
      <c r="L65" s="14" t="n">
        <v>39184000000</v>
      </c>
      <c r="M65" s="14" t="n">
        <v>14189000000</v>
      </c>
      <c r="N65" s="14">
        <f>IF(COUNT(K65:M65)&lt;3,"",K65+L65-M65)</f>
        <v>48983000000.0</v>
      </c>
      <c r="O65" s="14">
        <f>N64</f>
        <v>49771000000.0</v>
      </c>
      <c r="P65" s="14">
        <f>IF(N65="","",IF(OR(O65="",O65&lt;=0,N65&lt;=0),N65,(N65+O65)/2))</f>
        <v>49377000000.0</v>
      </c>
      <c r="Q65" t="inlineStr">
        <is>
          <t>기초·기말 평균</t>
        </is>
      </c>
      <c r="R65" s="15">
        <f>IF(OR(P65="",P65&lt;=0),"",J65/P65)</f>
        <v>0.3061622332377607</v>
      </c>
      <c r="S65" s="15">
        <f>IF(R65="","",R65-0.1)</f>
        <v>0.2061622332377607</v>
      </c>
      <c r="T65" s="15">
        <f>IF(OR(P65="",E65=0,E65=""),"",P65/E65)</f>
        <v>1.3785141963762249</v>
      </c>
      <c r="U65" t="inlineStr">
        <is>
          <t>—</t>
        </is>
      </c>
      <c r="V65" t="inlineStr">
        <is>
          <t>—</t>
        </is>
      </c>
      <c r="W65" t="inlineStr">
        <is>
          <t>OK</t>
        </is>
      </c>
      <c r="X65" t="inlineStr">
        <is>
          <t>Broadcom Inc.</t>
        </is>
      </c>
    </row>
    <row r="66">
      <c r="A66" t="inlineStr">
        <is>
          <t>브로드컴</t>
        </is>
      </c>
      <c r="B66" t="inlineStr">
        <is>
          <t>AVGO</t>
        </is>
      </c>
      <c r="C66" t="n">
        <v>2024</v>
      </c>
      <c r="D66" t="inlineStr">
        <is>
          <t>2024-11-03</t>
        </is>
      </c>
      <c r="E66" s="14" t="n">
        <v>51574000000</v>
      </c>
      <c r="F66" s="14" t="n">
        <v>13463000000</v>
      </c>
      <c r="G66" t="inlineStr">
        <is>
          <t>reported</t>
        </is>
      </c>
      <c r="H66" t="inlineStr">
        <is>
          <t>HIGH</t>
        </is>
      </c>
      <c r="I66" s="15" t="n">
        <v>0.3779749899152884</v>
      </c>
      <c r="J66" s="14">
        <f>IF(F66="","",F66*(1-I66))</f>
        <v>8374322710.770472</v>
      </c>
      <c r="K66" s="14" t="n">
        <v>67678000000</v>
      </c>
      <c r="L66" s="14" t="n">
        <v>69847000000</v>
      </c>
      <c r="M66" s="14" t="n">
        <v>9348000000</v>
      </c>
      <c r="N66" s="14">
        <f>IF(COUNT(K66:M66)&lt;3,"",K66+L66-M66)</f>
        <v>128177000000.0</v>
      </c>
      <c r="O66" s="14">
        <f>N65</f>
        <v>48983000000.0</v>
      </c>
      <c r="P66" s="14">
        <f>IF(N66="","",IF(OR(O66="",O66&lt;=0,N66&lt;=0),N66,(N66+O66)/2))</f>
        <v>88580000000.0</v>
      </c>
      <c r="Q66" t="inlineStr">
        <is>
          <t>기초·기말 평균</t>
        </is>
      </c>
      <c r="R66" s="15">
        <f>IF(OR(P66="",P66&lt;=0),"",J66/P66)</f>
        <v>0.09453965580007306</v>
      </c>
      <c r="S66" s="15">
        <f>IF(R66="","",R66-0.1)</f>
        <v>-0.005460344199926942</v>
      </c>
      <c r="T66" s="15">
        <f>IF(OR(P66="",E66=0,E66=""),"",P66/E66)</f>
        <v>1.7175320898126962</v>
      </c>
      <c r="U66" t="inlineStr">
        <is>
          <t>—</t>
        </is>
      </c>
      <c r="V66" t="inlineStr">
        <is>
          <t>—</t>
        </is>
      </c>
      <c r="W66" t="inlineStr">
        <is>
          <t>OK</t>
        </is>
      </c>
      <c r="X66" t="inlineStr">
        <is>
          <t>Broadcom Inc.</t>
        </is>
      </c>
    </row>
    <row r="67">
      <c r="A67" t="inlineStr">
        <is>
          <t>브로드컴</t>
        </is>
      </c>
      <c r="B67" t="inlineStr">
        <is>
          <t>AVGO</t>
        </is>
      </c>
      <c r="C67" t="n">
        <v>2025</v>
      </c>
      <c r="D67" t="inlineStr">
        <is>
          <t>2025-11-02</t>
        </is>
      </c>
      <c r="E67" s="14" t="n">
        <v>63887000000</v>
      </c>
      <c r="F67" s="14" t="n">
        <v>25484000000</v>
      </c>
      <c r="G67" t="inlineStr">
        <is>
          <t>reported</t>
        </is>
      </c>
      <c r="H67" t="inlineStr">
        <is>
          <t>HIGH</t>
        </is>
      </c>
      <c r="I67" s="15" t="n">
        <v>0.05</v>
      </c>
      <c r="J67" s="14">
        <f>IF(F67="","",F67*(1-I67))</f>
        <v>24209800000.0</v>
      </c>
      <c r="K67" s="14" t="n">
        <v>81292000000</v>
      </c>
      <c r="L67" s="14" t="n">
        <v>67120000000</v>
      </c>
      <c r="M67" s="14" t="n">
        <v>16178000000</v>
      </c>
      <c r="N67" s="14">
        <f>IF(COUNT(K67:M67)&lt;3,"",K67+L67-M67)</f>
        <v>132234000000.0</v>
      </c>
      <c r="O67" s="14">
        <f>N66</f>
        <v>128177000000.0</v>
      </c>
      <c r="P67" s="14">
        <f>IF(N67="","",IF(OR(O67="",O67&lt;=0,N67&lt;=0),N67,(N67+O67)/2))</f>
        <v>130205500000.0</v>
      </c>
      <c r="Q67" t="inlineStr">
        <is>
          <t>기초·기말 평균</t>
        </is>
      </c>
      <c r="R67" s="15">
        <f>IF(OR(P67="",P67&lt;=0),"",J67/P67)</f>
        <v>0.18593530995234456</v>
      </c>
      <c r="S67" s="15">
        <f>IF(R67="","",R67-0.1)</f>
        <v>0.08593530995234455</v>
      </c>
      <c r="T67" s="15">
        <f>IF(OR(P67="",E67=0,E67=""),"",P67/E67)</f>
        <v>2.038059386103589</v>
      </c>
      <c r="U67" t="inlineStr">
        <is>
          <t>—</t>
        </is>
      </c>
      <c r="V67" t="inlineStr">
        <is>
          <t>—</t>
        </is>
      </c>
      <c r="W67" t="inlineStr">
        <is>
          <t>OK</t>
        </is>
      </c>
      <c r="X67" t="inlineStr">
        <is>
          <t>Broadcom Inc.</t>
        </is>
      </c>
    </row>
    <row r="68">
      <c r="A68" s="11" t="inlineStr">
        <is>
          <t>메타 플랫폼스</t>
        </is>
      </c>
      <c r="B68" s="11" t="inlineStr">
        <is>
          <t>META</t>
        </is>
      </c>
      <c r="C68" s="11" t="n">
        <v>2015</v>
      </c>
      <c r="D68" s="11" t="inlineStr">
        <is>
          <t>2015-12-31</t>
        </is>
      </c>
      <c r="E68" s="12" t="n">
        <v>17928000000</v>
      </c>
      <c r="F68" s="12" t="n">
        <v>6225000000</v>
      </c>
      <c r="G68" s="11" t="inlineStr">
        <is>
          <t>reported</t>
        </is>
      </c>
      <c r="H68" s="11" t="inlineStr">
        <is>
          <t>HIGH</t>
        </is>
      </c>
      <c r="I68" s="13" t="n">
        <v>0.4</v>
      </c>
      <c r="J68" s="12">
        <f>IF(F68="","",F68*(1-I68))</f>
        <v>3735000000.0</v>
      </c>
      <c r="K68" s="12" t="n">
        <v>44218000000</v>
      </c>
      <c r="L68" s="12" t="n">
        <v>201000000</v>
      </c>
      <c r="M68" s="12" t="n">
        <v>18434000000</v>
      </c>
      <c r="N68" s="12">
        <f>IF(COUNT(K68:M68)&lt;3,"",K68+L68-M68)</f>
        <v>25985000000.0</v>
      </c>
      <c r="O68" s="11" t="inlineStr">
        <is>
          <t>—</t>
        </is>
      </c>
      <c r="P68" s="12" t="inlineStr">
        <is>
          <t>—</t>
        </is>
      </c>
      <c r="Q68" s="11" t="inlineStr">
        <is>
          <t>—</t>
        </is>
      </c>
      <c r="R68" s="13" t="inlineStr">
        <is>
          <t>—</t>
        </is>
      </c>
      <c r="S68" s="13" t="inlineStr">
        <is>
          <t>—</t>
        </is>
      </c>
      <c r="T68" s="13" t="inlineStr">
        <is>
          <t>—</t>
        </is>
      </c>
      <c r="U68" s="11" t="inlineStr">
        <is>
          <t>—</t>
        </is>
      </c>
      <c r="V68" s="11" t="inlineStr">
        <is>
          <t>—</t>
        </is>
      </c>
      <c r="W68" s="11" t="inlineStr">
        <is>
          <t>다음 해 평균 투하자본의 기초값으로만 사용 (보고 기간 밖 — 자체 비율은 계산하지 않음)</t>
        </is>
      </c>
      <c r="X68" s="11" t="inlineStr">
        <is>
          <t>Meta Platforms, Inc.</t>
        </is>
      </c>
    </row>
    <row r="69">
      <c r="A69" t="inlineStr">
        <is>
          <t>메타 플랫폼스</t>
        </is>
      </c>
      <c r="B69" t="inlineStr">
        <is>
          <t>META</t>
        </is>
      </c>
      <c r="C69" t="n">
        <v>2016</v>
      </c>
      <c r="D69" t="inlineStr">
        <is>
          <t>2016-12-31</t>
        </is>
      </c>
      <c r="E69" s="14" t="n">
        <v>27638000000</v>
      </c>
      <c r="F69" s="14" t="n">
        <v>12427000000</v>
      </c>
      <c r="G69" t="inlineStr">
        <is>
          <t>reported</t>
        </is>
      </c>
      <c r="H69" t="inlineStr">
        <is>
          <t>HIGH</t>
        </is>
      </c>
      <c r="I69" s="15" t="n">
        <v>0.1838153059594184</v>
      </c>
      <c r="J69" s="14">
        <f>IF(F69="","",F69*(1-I69))</f>
        <v>10142727192.842308</v>
      </c>
      <c r="K69" s="14" t="n">
        <v>59194000000</v>
      </c>
      <c r="L69" s="14" t="n">
        <v>0</v>
      </c>
      <c r="M69" s="14" t="n">
        <v>29449000000</v>
      </c>
      <c r="N69" s="14">
        <f>IF(COUNT(K69:M69)&lt;3,"",K69+L69-M69)</f>
        <v>29745000000.0</v>
      </c>
      <c r="O69" s="14">
        <f>N68</f>
        <v>25985000000.0</v>
      </c>
      <c r="P69" s="14">
        <f>IF(N69="","",IF(OR(O69="",O69&lt;=0,N69&lt;=0),N69,(N69+O69)/2))</f>
        <v>27865000000.0</v>
      </c>
      <c r="Q69" t="inlineStr">
        <is>
          <t>기초·기말 평균</t>
        </is>
      </c>
      <c r="R69" s="15">
        <f>IF(OR(P69="",P69&lt;=0),"",J69/P69)</f>
        <v>0.36399523390785243</v>
      </c>
      <c r="S69" s="15">
        <f>IF(R69="","",R69-0.1)</f>
        <v>0.2639952339078524</v>
      </c>
      <c r="T69" s="15">
        <f>IF(OR(P69="",E69=0,E69=""),"",P69/E69)</f>
        <v>1.0082133294739126</v>
      </c>
      <c r="U69" t="inlineStr">
        <is>
          <t>—</t>
        </is>
      </c>
      <c r="V69" t="inlineStr">
        <is>
          <t>—</t>
        </is>
      </c>
      <c r="W69" t="inlineStr">
        <is>
          <t>OK</t>
        </is>
      </c>
      <c r="X69" t="inlineStr">
        <is>
          <t>Meta Platforms, Inc.</t>
        </is>
      </c>
    </row>
    <row r="70">
      <c r="A70" t="inlineStr">
        <is>
          <t>메타 플랫폼스</t>
        </is>
      </c>
      <c r="B70" t="inlineStr">
        <is>
          <t>META</t>
        </is>
      </c>
      <c r="C70" t="n">
        <v>2017</v>
      </c>
      <c r="D70" t="inlineStr">
        <is>
          <t>2017-12-31</t>
        </is>
      </c>
      <c r="E70" s="14" t="n">
        <v>40653000000</v>
      </c>
      <c r="F70" s="14" t="n">
        <v>20203000000</v>
      </c>
      <c r="G70" t="inlineStr">
        <is>
          <t>reported</t>
        </is>
      </c>
      <c r="H70" t="inlineStr">
        <is>
          <t>HIGH</t>
        </is>
      </c>
      <c r="I70" s="15" t="n">
        <v>0.2262794988831699</v>
      </c>
      <c r="J70" s="14">
        <f>IF(F70="","",F70*(1-I70))</f>
        <v>15631475284.063318</v>
      </c>
      <c r="K70" s="14" t="n">
        <v>74347000000</v>
      </c>
      <c r="L70" s="14" t="n">
        <v>0</v>
      </c>
      <c r="M70" s="14" t="n">
        <v>41711000000</v>
      </c>
      <c r="N70" s="14">
        <f>IF(COUNT(K70:M70)&lt;3,"",K70+L70-M70)</f>
        <v>32636000000.0</v>
      </c>
      <c r="O70" s="14">
        <f>N69</f>
        <v>29745000000.0</v>
      </c>
      <c r="P70" s="14">
        <f>IF(N70="","",IF(OR(O70="",O70&lt;=0,N70&lt;=0),N70,(N70+O70)/2))</f>
        <v>31190500000.0</v>
      </c>
      <c r="Q70" t="inlineStr">
        <is>
          <t>기초·기말 평균</t>
        </is>
      </c>
      <c r="R70" s="15">
        <f>IF(OR(P70="",P70&lt;=0),"",J70/P70)</f>
        <v>0.5011614204345335</v>
      </c>
      <c r="S70" s="15">
        <f>IF(R70="","",R70-0.1)</f>
        <v>0.4011614204345335</v>
      </c>
      <c r="T70" s="15">
        <f>IF(OR(P70="",E70=0,E70=""),"",P70/E70)</f>
        <v>0.7672373502570536</v>
      </c>
      <c r="U70" t="inlineStr">
        <is>
          <t>—</t>
        </is>
      </c>
      <c r="V70" t="inlineStr">
        <is>
          <t>—</t>
        </is>
      </c>
      <c r="W70" t="inlineStr">
        <is>
          <t>OK</t>
        </is>
      </c>
      <c r="X70" t="inlineStr">
        <is>
          <t>Meta Platforms, Inc.</t>
        </is>
      </c>
    </row>
    <row r="71">
      <c r="A71" t="inlineStr">
        <is>
          <t>메타 플랫폼스</t>
        </is>
      </c>
      <c r="B71" t="inlineStr">
        <is>
          <t>META</t>
        </is>
      </c>
      <c r="C71" t="n">
        <v>2018</v>
      </c>
      <c r="D71" t="inlineStr">
        <is>
          <t>2018-12-31</t>
        </is>
      </c>
      <c r="E71" s="14" t="n">
        <v>55838000000</v>
      </c>
      <c r="F71" s="14" t="n">
        <v>24913000000</v>
      </c>
      <c r="G71" t="inlineStr">
        <is>
          <t>reported</t>
        </is>
      </c>
      <c r="H71" t="inlineStr">
        <is>
          <t>HIGH</t>
        </is>
      </c>
      <c r="I71" s="15" t="n">
        <v>0.128110090296124</v>
      </c>
      <c r="J71" s="14">
        <f>IF(F71="","",F71*(1-I71))</f>
        <v>21721393320.452663</v>
      </c>
      <c r="K71" s="14" t="n">
        <v>84127000000</v>
      </c>
      <c r="L71" s="14" t="n">
        <v>0</v>
      </c>
      <c r="M71" s="14" t="n">
        <v>41114000000</v>
      </c>
      <c r="N71" s="14">
        <f>IF(COUNT(K71:M71)&lt;3,"",K71+L71-M71)</f>
        <v>43013000000.0</v>
      </c>
      <c r="O71" s="14">
        <f>N70</f>
        <v>32636000000.0</v>
      </c>
      <c r="P71" s="14">
        <f>IF(N71="","",IF(OR(O71="",O71&lt;=0,N71&lt;=0),N71,(N71+O71)/2))</f>
        <v>37824500000.0</v>
      </c>
      <c r="Q71" t="inlineStr">
        <is>
          <t>기초·기말 평균</t>
        </is>
      </c>
      <c r="R71" s="15">
        <f>IF(OR(P71="",P71&lt;=0),"",J71/P71)</f>
        <v>0.5742678243057453</v>
      </c>
      <c r="S71" s="15">
        <f>IF(R71="","",R71-0.1)</f>
        <v>0.4742678243057453</v>
      </c>
      <c r="T71" s="15">
        <f>IF(OR(P71="",E71=0,E71=""),"",P71/E71)</f>
        <v>0.6773971130771159</v>
      </c>
      <c r="U71" t="inlineStr">
        <is>
          <t>—</t>
        </is>
      </c>
      <c r="V71" t="inlineStr">
        <is>
          <t>—</t>
        </is>
      </c>
      <c r="W71" t="inlineStr">
        <is>
          <t>OK</t>
        </is>
      </c>
      <c r="X71" t="inlineStr">
        <is>
          <t>Meta Platforms, Inc.</t>
        </is>
      </c>
    </row>
    <row r="72">
      <c r="A72" t="inlineStr">
        <is>
          <t>메타 플랫폼스</t>
        </is>
      </c>
      <c r="B72" t="inlineStr">
        <is>
          <t>META</t>
        </is>
      </c>
      <c r="C72" t="n">
        <v>2019</v>
      </c>
      <c r="D72" t="inlineStr">
        <is>
          <t>2019-12-31</t>
        </is>
      </c>
      <c r="E72" s="14" t="n">
        <v>70697000000</v>
      </c>
      <c r="F72" s="14" t="n">
        <v>23986000000</v>
      </c>
      <c r="G72" t="inlineStr">
        <is>
          <t>reported</t>
        </is>
      </c>
      <c r="H72" t="inlineStr">
        <is>
          <t>HIGH</t>
        </is>
      </c>
      <c r="I72" s="15" t="n">
        <v>0.2549975818152507</v>
      </c>
      <c r="J72" s="14">
        <f>IF(F72="","",F72*(1-I72))</f>
        <v>17869628002.5794</v>
      </c>
      <c r="K72" s="14" t="n">
        <v>101054000000</v>
      </c>
      <c r="L72" s="14" t="n">
        <v>0</v>
      </c>
      <c r="M72" s="14" t="n">
        <v>54855000000</v>
      </c>
      <c r="N72" s="14">
        <f>IF(COUNT(K72:M72)&lt;3,"",K72+L72-M72)</f>
        <v>46199000000.0</v>
      </c>
      <c r="O72" s="14">
        <f>N71</f>
        <v>43013000000.0</v>
      </c>
      <c r="P72" s="14">
        <f>IF(N72="","",IF(OR(O72="",O72&lt;=0,N72&lt;=0),N72,(N72+O72)/2))</f>
        <v>44606000000.0</v>
      </c>
      <c r="Q72" t="inlineStr">
        <is>
          <t>기초·기말 평균</t>
        </is>
      </c>
      <c r="R72" s="15">
        <f>IF(OR(P72="",P72&lt;=0),"",J72/P72)</f>
        <v>0.40061041121327623</v>
      </c>
      <c r="S72" s="15">
        <f>IF(R72="","",R72-0.1)</f>
        <v>0.30061041121327625</v>
      </c>
      <c r="T72" s="15">
        <f>IF(OR(P72="",E72=0,E72=""),"",P72/E72)</f>
        <v>0.630946150473146</v>
      </c>
      <c r="U72" t="inlineStr">
        <is>
          <t>—</t>
        </is>
      </c>
      <c r="V72" t="inlineStr">
        <is>
          <t>—</t>
        </is>
      </c>
      <c r="W72" t="inlineStr">
        <is>
          <t>OK</t>
        </is>
      </c>
      <c r="X72" t="inlineStr">
        <is>
          <t>Meta Platforms, Inc.</t>
        </is>
      </c>
    </row>
    <row r="73">
      <c r="A73" t="inlineStr">
        <is>
          <t>메타 플랫폼스</t>
        </is>
      </c>
      <c r="B73" t="inlineStr">
        <is>
          <t>META</t>
        </is>
      </c>
      <c r="C73" t="n">
        <v>2020</v>
      </c>
      <c r="D73" t="inlineStr">
        <is>
          <t>2020-12-31</t>
        </is>
      </c>
      <c r="E73" s="14" t="n">
        <v>85965000000</v>
      </c>
      <c r="F73" s="14" t="n">
        <v>32671000000</v>
      </c>
      <c r="G73" t="inlineStr">
        <is>
          <t>reported</t>
        </is>
      </c>
      <c r="H73" t="inlineStr">
        <is>
          <t>HIGH</t>
        </is>
      </c>
      <c r="I73" s="15" t="n">
        <v>0.1215792646172393</v>
      </c>
      <c r="J73" s="14">
        <f>IF(F73="","",F73*(1-I73))</f>
        <v>28698883845.690174</v>
      </c>
      <c r="K73" s="14" t="n">
        <v>128290000000</v>
      </c>
      <c r="L73" s="14" t="n">
        <v>0</v>
      </c>
      <c r="M73" s="14" t="n">
        <v>61954000000</v>
      </c>
      <c r="N73" s="14">
        <f>IF(COUNT(K73:M73)&lt;3,"",K73+L73-M73)</f>
        <v>66336000000.0</v>
      </c>
      <c r="O73" s="14">
        <f>N72</f>
        <v>46199000000.0</v>
      </c>
      <c r="P73" s="14">
        <f>IF(N73="","",IF(OR(O73="",O73&lt;=0,N73&lt;=0),N73,(N73+O73)/2))</f>
        <v>56267500000.0</v>
      </c>
      <c r="Q73" t="inlineStr">
        <is>
          <t>기초·기말 평균</t>
        </is>
      </c>
      <c r="R73" s="15">
        <f>IF(OR(P73="",P73&lt;=0),"",J73/P73)</f>
        <v>0.5100436992169578</v>
      </c>
      <c r="S73" s="15">
        <f>IF(R73="","",R73-0.1)</f>
        <v>0.4100436992169578</v>
      </c>
      <c r="T73" s="15">
        <f>IF(OR(P73="",E73=0,E73=""),"",P73/E73)</f>
        <v>0.6545396382248589</v>
      </c>
      <c r="U73" t="inlineStr">
        <is>
          <t>—</t>
        </is>
      </c>
      <c r="V73" t="inlineStr">
        <is>
          <t>—</t>
        </is>
      </c>
      <c r="W73" t="inlineStr">
        <is>
          <t>OK</t>
        </is>
      </c>
      <c r="X73" t="inlineStr">
        <is>
          <t>Meta Platforms, Inc.</t>
        </is>
      </c>
    </row>
    <row r="74">
      <c r="A74" t="inlineStr">
        <is>
          <t>메타 플랫폼스</t>
        </is>
      </c>
      <c r="B74" t="inlineStr">
        <is>
          <t>META</t>
        </is>
      </c>
      <c r="C74" t="n">
        <v>2021</v>
      </c>
      <c r="D74" t="inlineStr">
        <is>
          <t>2021-12-31</t>
        </is>
      </c>
      <c r="E74" s="14" t="n">
        <v>117929000000</v>
      </c>
      <c r="F74" s="14" t="n">
        <v>46753000000</v>
      </c>
      <c r="G74" t="inlineStr">
        <is>
          <t>reported</t>
        </is>
      </c>
      <c r="H74" t="inlineStr">
        <is>
          <t>HIGH</t>
        </is>
      </c>
      <c r="I74" s="15" t="n">
        <v>0.167371626765925</v>
      </c>
      <c r="J74" s="14">
        <f>IF(F74="","",F74*(1-I74))</f>
        <v>38927874333.812706</v>
      </c>
      <c r="K74" s="14" t="n">
        <v>124879000000</v>
      </c>
      <c r="L74" s="14" t="n">
        <v>0</v>
      </c>
      <c r="M74" s="14" t="n">
        <v>47998000000</v>
      </c>
      <c r="N74" s="14">
        <f>IF(COUNT(K74:M74)&lt;3,"",K74+L74-M74)</f>
        <v>76881000000.0</v>
      </c>
      <c r="O74" s="14">
        <f>N73</f>
        <v>66336000000.0</v>
      </c>
      <c r="P74" s="14">
        <f>IF(N74="","",IF(OR(O74="",O74&lt;=0,N74&lt;=0),N74,(N74+O74)/2))</f>
        <v>71608500000.0</v>
      </c>
      <c r="Q74" t="inlineStr">
        <is>
          <t>기초·기말 평균</t>
        </is>
      </c>
      <c r="R74" s="15">
        <f>IF(OR(P74="",P74&lt;=0),"",J74/P74)</f>
        <v>0.5436208597277238</v>
      </c>
      <c r="S74" s="15">
        <f>IF(R74="","",R74-0.1)</f>
        <v>0.4436208597277238</v>
      </c>
      <c r="T74" s="15">
        <f>IF(OR(P74="",E74=0,E74=""),"",P74/E74)</f>
        <v>0.6072170543292998</v>
      </c>
      <c r="U74" t="inlineStr">
        <is>
          <t>—</t>
        </is>
      </c>
      <c r="V74" t="inlineStr">
        <is>
          <t>—</t>
        </is>
      </c>
      <c r="W74" t="inlineStr">
        <is>
          <t>OK</t>
        </is>
      </c>
      <c r="X74" t="inlineStr">
        <is>
          <t>Meta Platforms, Inc.</t>
        </is>
      </c>
    </row>
    <row r="75">
      <c r="A75" t="inlineStr">
        <is>
          <t>메타 플랫폼스</t>
        </is>
      </c>
      <c r="B75" t="inlineStr">
        <is>
          <t>META</t>
        </is>
      </c>
      <c r="C75" t="n">
        <v>2022</v>
      </c>
      <c r="D75" t="inlineStr">
        <is>
          <t>2022-12-31</t>
        </is>
      </c>
      <c r="E75" s="14" t="n">
        <v>116609000000</v>
      </c>
      <c r="F75" s="14" t="n">
        <v>28944000000</v>
      </c>
      <c r="G75" t="inlineStr">
        <is>
          <t>reported</t>
        </is>
      </c>
      <c r="H75" t="inlineStr">
        <is>
          <t>HIGH</t>
        </is>
      </c>
      <c r="I75" s="15" t="n">
        <v>0.1949755369721364</v>
      </c>
      <c r="J75" s="14">
        <f>IF(F75="","",F75*(1-I75))</f>
        <v>23300628057.878483</v>
      </c>
      <c r="K75" s="14" t="n">
        <v>125713000000</v>
      </c>
      <c r="L75" s="14" t="n">
        <v>9923000000</v>
      </c>
      <c r="M75" s="14" t="n">
        <v>40738000000</v>
      </c>
      <c r="N75" s="14">
        <f>IF(COUNT(K75:M75)&lt;3,"",K75+L75-M75)</f>
        <v>94898000000.0</v>
      </c>
      <c r="O75" s="14">
        <f>N74</f>
        <v>76881000000.0</v>
      </c>
      <c r="P75" s="14">
        <f>IF(N75="","",IF(OR(O75="",O75&lt;=0,N75&lt;=0),N75,(N75+O75)/2))</f>
        <v>85889500000.0</v>
      </c>
      <c r="Q75" t="inlineStr">
        <is>
          <t>기초·기말 평균</t>
        </is>
      </c>
      <c r="R75" s="15">
        <f>IF(OR(P75="",P75&lt;=0),"",J75/P75)</f>
        <v>0.2712861066588871</v>
      </c>
      <c r="S75" s="15">
        <f>IF(R75="","",R75-0.1)</f>
        <v>0.17128610665888708</v>
      </c>
      <c r="T75" s="15">
        <f>IF(OR(P75="",E75=0,E75=""),"",P75/E75)</f>
        <v>0.7365597852652883</v>
      </c>
      <c r="U75" t="inlineStr">
        <is>
          <t>—</t>
        </is>
      </c>
      <c r="V75" t="inlineStr">
        <is>
          <t>—</t>
        </is>
      </c>
      <c r="W75" t="inlineStr">
        <is>
          <t>OK</t>
        </is>
      </c>
      <c r="X75" t="inlineStr">
        <is>
          <t>Meta Platforms, Inc.</t>
        </is>
      </c>
    </row>
    <row r="76">
      <c r="A76" t="inlineStr">
        <is>
          <t>메타 플랫폼스</t>
        </is>
      </c>
      <c r="B76" t="inlineStr">
        <is>
          <t>META</t>
        </is>
      </c>
      <c r="C76" t="n">
        <v>2023</v>
      </c>
      <c r="D76" t="inlineStr">
        <is>
          <t>2023-12-31</t>
        </is>
      </c>
      <c r="E76" s="14" t="n">
        <v>134902000000</v>
      </c>
      <c r="F76" s="14" t="n">
        <v>46751000000</v>
      </c>
      <c r="G76" t="inlineStr">
        <is>
          <t>reported</t>
        </is>
      </c>
      <c r="H76" t="inlineStr">
        <is>
          <t>HIGH</t>
        </is>
      </c>
      <c r="I76" s="15" t="n">
        <v>0.1756346462005566</v>
      </c>
      <c r="J76" s="14">
        <f>IF(F76="","",F76*(1-I76))</f>
        <v>38539904655.47778</v>
      </c>
      <c r="K76" s="14" t="n">
        <v>153168000000</v>
      </c>
      <c r="L76" s="14" t="n">
        <v>18385000000</v>
      </c>
      <c r="M76" s="14" t="n">
        <v>65403000000</v>
      </c>
      <c r="N76" s="14">
        <f>IF(COUNT(K76:M76)&lt;3,"",K76+L76-M76)</f>
        <v>106150000000.0</v>
      </c>
      <c r="O76" s="14">
        <f>N75</f>
        <v>94898000000.0</v>
      </c>
      <c r="P76" s="14">
        <f>IF(N76="","",IF(OR(O76="",O76&lt;=0,N76&lt;=0),N76,(N76+O76)/2))</f>
        <v>100524000000.0</v>
      </c>
      <c r="Q76" t="inlineStr">
        <is>
          <t>기초·기말 평균</t>
        </is>
      </c>
      <c r="R76" s="15">
        <f>IF(OR(P76="",P76&lt;=0),"",J76/P76)</f>
        <v>0.3833900825223607</v>
      </c>
      <c r="S76" s="15">
        <f>IF(R76="","",R76-0.1)</f>
        <v>0.28339008252236064</v>
      </c>
      <c r="T76" s="15">
        <f>IF(OR(P76="",E76=0,E76=""),"",P76/E76)</f>
        <v>0.7451631554758269</v>
      </c>
      <c r="U76" t="inlineStr">
        <is>
          <t>—</t>
        </is>
      </c>
      <c r="V76" t="inlineStr">
        <is>
          <t>—</t>
        </is>
      </c>
      <c r="W76" t="inlineStr">
        <is>
          <t>OK</t>
        </is>
      </c>
      <c r="X76" t="inlineStr">
        <is>
          <t>Meta Platforms, Inc.</t>
        </is>
      </c>
    </row>
    <row r="77">
      <c r="A77" t="inlineStr">
        <is>
          <t>메타 플랫폼스</t>
        </is>
      </c>
      <c r="B77" t="inlineStr">
        <is>
          <t>META</t>
        </is>
      </c>
      <c r="C77" t="n">
        <v>2024</v>
      </c>
      <c r="D77" t="inlineStr">
        <is>
          <t>2024-12-31</t>
        </is>
      </c>
      <c r="E77" s="14" t="n">
        <v>164501000000</v>
      </c>
      <c r="F77" s="14" t="n">
        <v>69380000000</v>
      </c>
      <c r="G77" t="inlineStr">
        <is>
          <t>reported</t>
        </is>
      </c>
      <c r="H77" t="inlineStr">
        <is>
          <t>HIGH</t>
        </is>
      </c>
      <c r="I77" s="15" t="n">
        <v>0.1175013797885739</v>
      </c>
      <c r="J77" s="14">
        <f>IF(F77="","",F77*(1-I77))</f>
        <v>61227754270.268745</v>
      </c>
      <c r="K77" s="14" t="n">
        <v>182637000000</v>
      </c>
      <c r="L77" s="14" t="n">
        <v>28826000000</v>
      </c>
      <c r="M77" s="14" t="n">
        <v>77815000000</v>
      </c>
      <c r="N77" s="14">
        <f>IF(COUNT(K77:M77)&lt;3,"",K77+L77-M77)</f>
        <v>133648000000.0</v>
      </c>
      <c r="O77" s="14">
        <f>N76</f>
        <v>106150000000.0</v>
      </c>
      <c r="P77" s="14">
        <f>IF(N77="","",IF(OR(O77="",O77&lt;=0,N77&lt;=0),N77,(N77+O77)/2))</f>
        <v>119899000000.0</v>
      </c>
      <c r="Q77" t="inlineStr">
        <is>
          <t>기초·기말 평균</t>
        </is>
      </c>
      <c r="R77" s="15">
        <f>IF(OR(P77="",P77&lt;=0),"",J77/P77)</f>
        <v>0.5106610920046768</v>
      </c>
      <c r="S77" s="15">
        <f>IF(R77="","",R77-0.1)</f>
        <v>0.4106610920046768</v>
      </c>
      <c r="T77" s="15">
        <f>IF(OR(P77="",E77=0,E77=""),"",P77/E77)</f>
        <v>0.7288648701223701</v>
      </c>
      <c r="U77" t="inlineStr">
        <is>
          <t>—</t>
        </is>
      </c>
      <c r="V77" t="inlineStr">
        <is>
          <t>—</t>
        </is>
      </c>
      <c r="W77" t="inlineStr">
        <is>
          <t>OK</t>
        </is>
      </c>
      <c r="X77" t="inlineStr">
        <is>
          <t>Meta Platforms, Inc.</t>
        </is>
      </c>
    </row>
    <row r="78">
      <c r="A78" t="inlineStr">
        <is>
          <t>메타 플랫폼스</t>
        </is>
      </c>
      <c r="B78" t="inlineStr">
        <is>
          <t>META</t>
        </is>
      </c>
      <c r="C78" t="n">
        <v>2025</v>
      </c>
      <c r="D78" t="inlineStr">
        <is>
          <t>2025-12-31</t>
        </is>
      </c>
      <c r="E78" s="14" t="n">
        <v>200966000000</v>
      </c>
      <c r="F78" s="14" t="n">
        <v>83276000000</v>
      </c>
      <c r="G78" t="inlineStr">
        <is>
          <t>reported</t>
        </is>
      </c>
      <c r="H78" t="inlineStr">
        <is>
          <t>HIGH</t>
        </is>
      </c>
      <c r="I78" s="15" t="n">
        <v>0.2964436996695061</v>
      </c>
      <c r="J78" s="14">
        <f>IF(F78="","",F78*(1-I78))</f>
        <v>58589354466.322205</v>
      </c>
      <c r="K78" s="14" t="n">
        <v>217243000000</v>
      </c>
      <c r="L78" s="14" t="n">
        <v>58744000000</v>
      </c>
      <c r="M78" s="14" t="n">
        <v>81592000000</v>
      </c>
      <c r="N78" s="14">
        <f>IF(COUNT(K78:M78)&lt;3,"",K78+L78-M78)</f>
        <v>194395000000.0</v>
      </c>
      <c r="O78" s="14">
        <f>N77</f>
        <v>133648000000.0</v>
      </c>
      <c r="P78" s="14">
        <f>IF(N78="","",IF(OR(O78="",O78&lt;=0,N78&lt;=0),N78,(N78+O78)/2))</f>
        <v>164021500000.0</v>
      </c>
      <c r="Q78" t="inlineStr">
        <is>
          <t>기초·기말 평균</t>
        </is>
      </c>
      <c r="R78" s="15">
        <f>IF(OR(P78="",P78&lt;=0),"",J78/P78)</f>
        <v>0.3572053326321379</v>
      </c>
      <c r="S78" s="15">
        <f>IF(R78="","",R78-0.1)</f>
        <v>0.25720533263213785</v>
      </c>
      <c r="T78" s="15">
        <f>IF(OR(P78="",E78=0,E78=""),"",P78/E78)</f>
        <v>0.8161654210164904</v>
      </c>
      <c r="U78" t="inlineStr">
        <is>
          <t>—</t>
        </is>
      </c>
      <c r="V78" t="inlineStr">
        <is>
          <t>—</t>
        </is>
      </c>
      <c r="W78" t="inlineStr">
        <is>
          <t>OK</t>
        </is>
      </c>
      <c r="X78" t="inlineStr">
        <is>
          <t>Meta Platforms, Inc.</t>
        </is>
      </c>
    </row>
    <row r="79">
      <c r="A79" s="11" t="inlineStr">
        <is>
          <t>테슬라</t>
        </is>
      </c>
      <c r="B79" s="11" t="inlineStr">
        <is>
          <t>TSLA</t>
        </is>
      </c>
      <c r="C79" s="11" t="n">
        <v>2015</v>
      </c>
      <c r="D79" s="11" t="inlineStr">
        <is>
          <t>2015-12-31</t>
        </is>
      </c>
      <c r="E79" s="12" t="n">
        <v>4046025000</v>
      </c>
      <c r="F79" s="12" t="n">
        <v>-716629000</v>
      </c>
      <c r="G79" s="11" t="inlineStr">
        <is>
          <t>reported</t>
        </is>
      </c>
      <c r="H79" s="11" t="inlineStr">
        <is>
          <t>HIGH</t>
        </is>
      </c>
      <c r="I79" s="13" t="n">
        <v>0.21</v>
      </c>
      <c r="J79" s="12">
        <f>IF(F79="","",F79*(1-I79))</f>
        <v>-566136910.0</v>
      </c>
      <c r="K79" s="12" t="n">
        <v>1083704000</v>
      </c>
      <c r="L79" s="12" t="n">
        <v>2649020000</v>
      </c>
      <c r="M79" s="12" t="n">
        <v>1213608000</v>
      </c>
      <c r="N79" s="12">
        <f>IF(COUNT(K79:M79)&lt;3,"",K79+L79-M79)</f>
        <v>2519116000.0</v>
      </c>
      <c r="O79" s="11" t="inlineStr">
        <is>
          <t>—</t>
        </is>
      </c>
      <c r="P79" s="12" t="inlineStr">
        <is>
          <t>—</t>
        </is>
      </c>
      <c r="Q79" s="11" t="inlineStr">
        <is>
          <t>—</t>
        </is>
      </c>
      <c r="R79" s="13" t="inlineStr">
        <is>
          <t>—</t>
        </is>
      </c>
      <c r="S79" s="13" t="inlineStr">
        <is>
          <t>—</t>
        </is>
      </c>
      <c r="T79" s="13" t="inlineStr">
        <is>
          <t>—</t>
        </is>
      </c>
      <c r="U79" s="11" t="inlineStr">
        <is>
          <t>—</t>
        </is>
      </c>
      <c r="V79" s="11" t="inlineStr">
        <is>
          <t>—</t>
        </is>
      </c>
      <c r="W79" s="11" t="inlineStr">
        <is>
          <t>다음 해 평균 투하자본의 기초값으로만 사용 (보고 기간 밖 — 자체 비율은 계산하지 않음)</t>
        </is>
      </c>
      <c r="X79" s="11" t="inlineStr">
        <is>
          <t>Tesla, Inc.</t>
        </is>
      </c>
    </row>
    <row r="80">
      <c r="A80" t="inlineStr">
        <is>
          <t>테슬라</t>
        </is>
      </c>
      <c r="B80" t="inlineStr">
        <is>
          <t>TSLA</t>
        </is>
      </c>
      <c r="C80" t="n">
        <v>2016</v>
      </c>
      <c r="D80" t="inlineStr">
        <is>
          <t>2016-12-31</t>
        </is>
      </c>
      <c r="E80" s="14" t="n">
        <v>7000132000</v>
      </c>
      <c r="F80" s="14" t="n">
        <v>-667340000</v>
      </c>
      <c r="G80" t="inlineStr">
        <is>
          <t>reported</t>
        </is>
      </c>
      <c r="H80" t="inlineStr">
        <is>
          <t>HIGH</t>
        </is>
      </c>
      <c r="I80" s="15" t="n">
        <v>0.21</v>
      </c>
      <c r="J80" s="14">
        <f>IF(F80="","",F80*(1-I80))</f>
        <v>-527198600.0</v>
      </c>
      <c r="K80" s="14" t="n">
        <v>5538000000</v>
      </c>
      <c r="L80" s="14" t="n">
        <v>6974701000</v>
      </c>
      <c r="M80" s="14" t="n">
        <v>3393000000</v>
      </c>
      <c r="N80" s="14">
        <f>IF(COUNT(K80:M80)&lt;3,"",K80+L80-M80)</f>
        <v>9119701000.0</v>
      </c>
      <c r="O80" s="14">
        <f>N79</f>
        <v>2519116000.0</v>
      </c>
      <c r="P80" s="14">
        <f>IF(N80="","",IF(OR(O80="",O80&lt;=0,N80&lt;=0),N80,(N80+O80)/2))</f>
        <v>5819408500.0</v>
      </c>
      <c r="Q80" t="inlineStr">
        <is>
          <t>기초·기말 평균</t>
        </is>
      </c>
      <c r="R80" s="15">
        <f>IF(OR(P80="",P80&lt;=0),"",J80/P80)</f>
        <v>-0.090593159081374</v>
      </c>
      <c r="S80" s="15">
        <f>IF(R80="","",R80-0.1)</f>
        <v>-0.190593159081374</v>
      </c>
      <c r="T80" s="15">
        <f>IF(OR(P80="",E80=0,E80=""),"",P80/E80)</f>
        <v>0.8313283949502667</v>
      </c>
      <c r="U80" t="inlineStr">
        <is>
          <t>—</t>
        </is>
      </c>
      <c r="V80" t="inlineStr">
        <is>
          <t>—</t>
        </is>
      </c>
      <c r="W80" t="inlineStr">
        <is>
          <t>OK</t>
        </is>
      </c>
      <c r="X80" t="inlineStr">
        <is>
          <t>Tesla, Inc.</t>
        </is>
      </c>
    </row>
    <row r="81">
      <c r="A81" t="inlineStr">
        <is>
          <t>테슬라</t>
        </is>
      </c>
      <c r="B81" t="inlineStr">
        <is>
          <t>TSLA</t>
        </is>
      </c>
      <c r="C81" t="n">
        <v>2017</v>
      </c>
      <c r="D81" t="inlineStr">
        <is>
          <t>2017-12-31</t>
        </is>
      </c>
      <c r="E81" s="14" t="n">
        <v>11759000000</v>
      </c>
      <c r="F81" s="14" t="n">
        <v>-1632000000</v>
      </c>
      <c r="G81" t="inlineStr">
        <is>
          <t>reported</t>
        </is>
      </c>
      <c r="H81" t="inlineStr">
        <is>
          <t>HIGH</t>
        </is>
      </c>
      <c r="I81" s="15" t="n">
        <v>0.21</v>
      </c>
      <c r="J81" s="14">
        <f>IF(F81="","",F81*(1-I81))</f>
        <v>-1289280000.0</v>
      </c>
      <c r="K81" s="14" t="n">
        <v>5234000000</v>
      </c>
      <c r="L81" s="14" t="n">
        <v>10218168000</v>
      </c>
      <c r="M81" s="14" t="n">
        <v>3368000000</v>
      </c>
      <c r="N81" s="14">
        <f>IF(COUNT(K81:M81)&lt;3,"",K81+L81-M81)</f>
        <v>12084168000.0</v>
      </c>
      <c r="O81" s="14">
        <f>N80</f>
        <v>9119701000.0</v>
      </c>
      <c r="P81" s="14">
        <f>IF(N81="","",IF(OR(O81="",O81&lt;=0,N81&lt;=0),N81,(N81+O81)/2))</f>
        <v>10601934500.0</v>
      </c>
      <c r="Q81" t="inlineStr">
        <is>
          <t>기초·기말 평균</t>
        </is>
      </c>
      <c r="R81" s="15">
        <f>IF(OR(P81="",P81&lt;=0),"",J81/P81)</f>
        <v>-0.12160799522011762</v>
      </c>
      <c r="S81" s="15">
        <f>IF(R81="","",R81-0.1)</f>
        <v>-0.22160799522011762</v>
      </c>
      <c r="T81" s="15">
        <f>IF(OR(P81="",E81=0,E81=""),"",P81/E81)</f>
        <v>0.9016017093290246</v>
      </c>
      <c r="U81" t="inlineStr">
        <is>
          <t>—</t>
        </is>
      </c>
      <c r="V81" t="inlineStr">
        <is>
          <t>—</t>
        </is>
      </c>
      <c r="W81" t="inlineStr">
        <is>
          <t>OK</t>
        </is>
      </c>
      <c r="X81" t="inlineStr">
        <is>
          <t>Tesla, Inc.</t>
        </is>
      </c>
    </row>
    <row r="82">
      <c r="A82" t="inlineStr">
        <is>
          <t>테슬라</t>
        </is>
      </c>
      <c r="B82" t="inlineStr">
        <is>
          <t>TSLA</t>
        </is>
      </c>
      <c r="C82" t="n">
        <v>2018</v>
      </c>
      <c r="D82" t="inlineStr">
        <is>
          <t>2018-12-31</t>
        </is>
      </c>
      <c r="E82" s="14" t="n">
        <v>21461268000</v>
      </c>
      <c r="F82" s="14" t="n">
        <v>-388000000</v>
      </c>
      <c r="G82" t="inlineStr">
        <is>
          <t>reported</t>
        </is>
      </c>
      <c r="H82" t="inlineStr">
        <is>
          <t>HIGH</t>
        </is>
      </c>
      <c r="I82" s="15" t="n">
        <v>0.21</v>
      </c>
      <c r="J82" s="14">
        <f>IF(F82="","",F82*(1-I82))</f>
        <v>-306520000.0</v>
      </c>
      <c r="K82" s="14" t="n">
        <v>5757000000</v>
      </c>
      <c r="L82" s="14" t="n">
        <v>11625672000</v>
      </c>
      <c r="M82" s="14" t="n">
        <v>3686000000</v>
      </c>
      <c r="N82" s="14">
        <f>IF(COUNT(K82:M82)&lt;3,"",K82+L82-M82)</f>
        <v>13696672000.0</v>
      </c>
      <c r="O82" s="14">
        <f>N81</f>
        <v>12084168000.0</v>
      </c>
      <c r="P82" s="14">
        <f>IF(N82="","",IF(OR(O82="",O82&lt;=0,N82&lt;=0),N82,(N82+O82)/2))</f>
        <v>12890420000.0</v>
      </c>
      <c r="Q82" t="inlineStr">
        <is>
          <t>기초·기말 평균</t>
        </is>
      </c>
      <c r="R82" s="15">
        <f>IF(OR(P82="",P82&lt;=0),"",J82/P82)</f>
        <v>-0.023778899368678445</v>
      </c>
      <c r="S82" s="15">
        <f>IF(R82="","",R82-0.1)</f>
        <v>-0.12377889936867845</v>
      </c>
      <c r="T82" s="15">
        <f>IF(OR(P82="",E82=0,E82=""),"",P82/E82)</f>
        <v>0.6006364581999535</v>
      </c>
      <c r="U82" t="inlineStr">
        <is>
          <t>—</t>
        </is>
      </c>
      <c r="V82" t="inlineStr">
        <is>
          <t>—</t>
        </is>
      </c>
      <c r="W82" t="inlineStr">
        <is>
          <t>OK</t>
        </is>
      </c>
      <c r="X82" t="inlineStr">
        <is>
          <t>Tesla, Inc.</t>
        </is>
      </c>
    </row>
    <row r="83">
      <c r="A83" t="inlineStr">
        <is>
          <t>테슬라</t>
        </is>
      </c>
      <c r="B83" t="inlineStr">
        <is>
          <t>TSLA</t>
        </is>
      </c>
      <c r="C83" t="n">
        <v>2019</v>
      </c>
      <c r="D83" t="inlineStr">
        <is>
          <t>2019-12-31</t>
        </is>
      </c>
      <c r="E83" s="14" t="n">
        <v>24578000000</v>
      </c>
      <c r="F83" s="14" t="n">
        <v>-69000000</v>
      </c>
      <c r="G83" t="inlineStr">
        <is>
          <t>reported</t>
        </is>
      </c>
      <c r="H83" t="inlineStr">
        <is>
          <t>HIGH</t>
        </is>
      </c>
      <c r="I83" s="15" t="n">
        <v>0.21</v>
      </c>
      <c r="J83" s="14">
        <f>IF(F83="","",F83*(1-I83))</f>
        <v>-54510000.0</v>
      </c>
      <c r="K83" s="14" t="n">
        <v>7467000000</v>
      </c>
      <c r="L83" s="14" t="n">
        <v>10402000000</v>
      </c>
      <c r="M83" s="14" t="n">
        <v>6268000000</v>
      </c>
      <c r="N83" s="14">
        <f>IF(COUNT(K83:M83)&lt;3,"",K83+L83-M83)</f>
        <v>11601000000.0</v>
      </c>
      <c r="O83" s="14">
        <f>N82</f>
        <v>13696672000.0</v>
      </c>
      <c r="P83" s="14">
        <f>IF(N83="","",IF(OR(O83="",O83&lt;=0,N83&lt;=0),N83,(N83+O83)/2))</f>
        <v>12648836000.0</v>
      </c>
      <c r="Q83" t="inlineStr">
        <is>
          <t>기초·기말 평균</t>
        </is>
      </c>
      <c r="R83" s="15">
        <f>IF(OR(P83="",P83&lt;=0),"",J83/P83)</f>
        <v>-0.004309487450070504</v>
      </c>
      <c r="S83" s="15">
        <f>IF(R83="","",R83-0.1)</f>
        <v>-0.10430948745007051</v>
      </c>
      <c r="T83" s="15">
        <f>IF(OR(P83="",E83=0,E83=""),"",P83/E83)</f>
        <v>0.5146405728700464</v>
      </c>
      <c r="U83" t="inlineStr">
        <is>
          <t>—</t>
        </is>
      </c>
      <c r="V83" t="inlineStr">
        <is>
          <t>—</t>
        </is>
      </c>
      <c r="W83" t="inlineStr">
        <is>
          <t>OK</t>
        </is>
      </c>
      <c r="X83" t="inlineStr">
        <is>
          <t>Tesla, Inc.</t>
        </is>
      </c>
    </row>
    <row r="84">
      <c r="A84" t="inlineStr">
        <is>
          <t>테슬라</t>
        </is>
      </c>
      <c r="B84" t="inlineStr">
        <is>
          <t>TSLA</t>
        </is>
      </c>
      <c r="C84" t="n">
        <v>2020</v>
      </c>
      <c r="D84" t="inlineStr">
        <is>
          <t>2020-12-31</t>
        </is>
      </c>
      <c r="E84" s="14" t="n">
        <v>31536000000</v>
      </c>
      <c r="F84" s="14" t="n">
        <v>1994000000</v>
      </c>
      <c r="G84" t="inlineStr">
        <is>
          <t>reported</t>
        </is>
      </c>
      <c r="H84" t="inlineStr">
        <is>
          <t>HIGH</t>
        </is>
      </c>
      <c r="I84" s="15" t="n">
        <v>0.2530329289428076</v>
      </c>
      <c r="J84" s="14">
        <f>IF(F84="","",F84*(1-I84))</f>
        <v>1489452339.6880417</v>
      </c>
      <c r="K84" s="14" t="n">
        <v>23075000000</v>
      </c>
      <c r="L84" s="14" t="n">
        <v>8462000000</v>
      </c>
      <c r="M84" s="14" t="n">
        <v>19384000000</v>
      </c>
      <c r="N84" s="14">
        <f>IF(COUNT(K84:M84)&lt;3,"",K84+L84-M84)</f>
        <v>12153000000.0</v>
      </c>
      <c r="O84" s="14">
        <f>N83</f>
        <v>11601000000.0</v>
      </c>
      <c r="P84" s="14">
        <f>IF(N84="","",IF(OR(O84="",O84&lt;=0,N84&lt;=0),N84,(N84+O84)/2))</f>
        <v>11877000000.0</v>
      </c>
      <c r="Q84" t="inlineStr">
        <is>
          <t>기초·기말 평균</t>
        </is>
      </c>
      <c r="R84" s="15">
        <f>IF(OR(P84="",P84&lt;=0),"",J84/P84)</f>
        <v>0.1254064443620478</v>
      </c>
      <c r="S84" s="15">
        <f>IF(R84="","",R84-0.1)</f>
        <v>0.02540644436204778</v>
      </c>
      <c r="T84" s="15">
        <f>IF(OR(P84="",E84=0,E84=""),"",P84/E84)</f>
        <v>0.376617199391172</v>
      </c>
      <c r="U84" t="inlineStr">
        <is>
          <t>—</t>
        </is>
      </c>
      <c r="V84" t="inlineStr">
        <is>
          <t>—</t>
        </is>
      </c>
      <c r="W84" t="inlineStr">
        <is>
          <t>OK</t>
        </is>
      </c>
      <c r="X84" t="inlineStr">
        <is>
          <t>Tesla, Inc.</t>
        </is>
      </c>
    </row>
    <row r="85">
      <c r="A85" t="inlineStr">
        <is>
          <t>테슬라</t>
        </is>
      </c>
      <c r="B85" t="inlineStr">
        <is>
          <t>TSLA</t>
        </is>
      </c>
      <c r="C85" t="n">
        <v>2021</v>
      </c>
      <c r="D85" t="inlineStr">
        <is>
          <t>2021-12-31</t>
        </is>
      </c>
      <c r="E85" s="14" t="n">
        <v>53823000000</v>
      </c>
      <c r="F85" s="14" t="n">
        <v>6523000000</v>
      </c>
      <c r="G85" t="inlineStr">
        <is>
          <t>reported</t>
        </is>
      </c>
      <c r="H85" t="inlineStr">
        <is>
          <t>HIGH</t>
        </is>
      </c>
      <c r="I85" s="15" t="n">
        <v>0.1102002207157496</v>
      </c>
      <c r="J85" s="14">
        <f>IF(F85="","",F85*(1-I85))</f>
        <v>5804163960.271165</v>
      </c>
      <c r="K85" s="14" t="n">
        <v>31015000000</v>
      </c>
      <c r="L85" s="14" t="n">
        <v>4254000000</v>
      </c>
      <c r="M85" s="14" t="n">
        <v>17707000000</v>
      </c>
      <c r="N85" s="14">
        <f>IF(COUNT(K85:M85)&lt;3,"",K85+L85-M85)</f>
        <v>17562000000.0</v>
      </c>
      <c r="O85" s="14">
        <f>N84</f>
        <v>12153000000.0</v>
      </c>
      <c r="P85" s="14">
        <f>IF(N85="","",IF(OR(O85="",O85&lt;=0,N85&lt;=0),N85,(N85+O85)/2))</f>
        <v>14857500000.0</v>
      </c>
      <c r="Q85" t="inlineStr">
        <is>
          <t>기초·기말 평균</t>
        </is>
      </c>
      <c r="R85" s="15">
        <f>IF(OR(P85="",P85&lt;=0),"",J85/P85)</f>
        <v>0.3906554911843288</v>
      </c>
      <c r="S85" s="15">
        <f>IF(R85="","",R85-0.1)</f>
        <v>0.29065549118432876</v>
      </c>
      <c r="T85" s="15">
        <f>IF(OR(P85="",E85=0,E85=""),"",P85/E85)</f>
        <v>0.2760436987904799</v>
      </c>
      <c r="U85" t="inlineStr">
        <is>
          <t>—</t>
        </is>
      </c>
      <c r="V85" t="inlineStr">
        <is>
          <t>—</t>
        </is>
      </c>
      <c r="W85" t="inlineStr">
        <is>
          <t>OK</t>
        </is>
      </c>
      <c r="X85" t="inlineStr">
        <is>
          <t>Tesla, Inc.</t>
        </is>
      </c>
    </row>
    <row r="86">
      <c r="A86" t="inlineStr">
        <is>
          <t>테슬라</t>
        </is>
      </c>
      <c r="B86" t="inlineStr">
        <is>
          <t>TSLA</t>
        </is>
      </c>
      <c r="C86" t="n">
        <v>2022</v>
      </c>
      <c r="D86" t="inlineStr">
        <is>
          <t>2022-12-31</t>
        </is>
      </c>
      <c r="E86" s="14" t="n">
        <v>81462000000</v>
      </c>
      <c r="F86" s="14" t="n">
        <v>13656000000</v>
      </c>
      <c r="G86" t="inlineStr">
        <is>
          <t>reported</t>
        </is>
      </c>
      <c r="H86" t="inlineStr">
        <is>
          <t>HIGH</t>
        </is>
      </c>
      <c r="I86" s="15" t="n">
        <v>0.08251330271885705</v>
      </c>
      <c r="J86" s="14">
        <f>IF(F86="","",F86*(1-I86))</f>
        <v>12529198338.07129</v>
      </c>
      <c r="K86" s="14" t="n">
        <v>45489000000</v>
      </c>
      <c r="L86" s="14" t="n">
        <v>1029000000</v>
      </c>
      <c r="M86" s="14" t="n">
        <v>22185000000</v>
      </c>
      <c r="N86" s="14">
        <f>IF(COUNT(K86:M86)&lt;3,"",K86+L86-M86)</f>
        <v>24333000000.0</v>
      </c>
      <c r="O86" s="14">
        <f>N85</f>
        <v>17562000000.0</v>
      </c>
      <c r="P86" s="14">
        <f>IF(N86="","",IF(OR(O86="",O86&lt;=0,N86&lt;=0),N86,(N86+O86)/2))</f>
        <v>20947500000.0</v>
      </c>
      <c r="Q86" t="inlineStr">
        <is>
          <t>기초·기말 평균</t>
        </is>
      </c>
      <c r="R86" s="15">
        <f>IF(OR(P86="",P86&lt;=0),"",J86/P86)</f>
        <v>0.598123801793593</v>
      </c>
      <c r="S86" s="15">
        <f>IF(R86="","",R86-0.1)</f>
        <v>0.49812380179359306</v>
      </c>
      <c r="T86" s="15">
        <f>IF(OR(P86="",E86=0,E86=""),"",P86/E86)</f>
        <v>0.2571444354422921</v>
      </c>
      <c r="U86" t="inlineStr">
        <is>
          <t>—</t>
        </is>
      </c>
      <c r="V86" t="inlineStr">
        <is>
          <t>—</t>
        </is>
      </c>
      <c r="W86" t="inlineStr">
        <is>
          <t>OK</t>
        </is>
      </c>
      <c r="X86" t="inlineStr">
        <is>
          <t>Tesla, Inc.</t>
        </is>
      </c>
    </row>
    <row r="87">
      <c r="A87" t="inlineStr">
        <is>
          <t>테슬라</t>
        </is>
      </c>
      <c r="B87" t="inlineStr">
        <is>
          <t>TSLA</t>
        </is>
      </c>
      <c r="C87" t="n">
        <v>2023</v>
      </c>
      <c r="D87" t="inlineStr">
        <is>
          <t>2023-12-31</t>
        </is>
      </c>
      <c r="E87" s="14" t="n">
        <v>96773000000</v>
      </c>
      <c r="F87" s="14" t="n">
        <v>8891000000</v>
      </c>
      <c r="G87" t="inlineStr">
        <is>
          <t>reported</t>
        </is>
      </c>
      <c r="H87" t="inlineStr">
        <is>
          <t>HIGH</t>
        </is>
      </c>
      <c r="I87" s="15" t="n">
        <v>0.05</v>
      </c>
      <c r="J87" s="14">
        <f>IF(F87="","",F87*(1-I87))</f>
        <v>8446450000.0</v>
      </c>
      <c r="K87" s="14" t="n">
        <v>63367000000</v>
      </c>
      <c r="L87" s="14" t="n">
        <v>2682000000</v>
      </c>
      <c r="M87" s="14" t="n">
        <v>29094000000</v>
      </c>
      <c r="N87" s="14">
        <f>IF(COUNT(K87:M87)&lt;3,"",K87+L87-M87)</f>
        <v>36955000000.0</v>
      </c>
      <c r="O87" s="14">
        <f>N86</f>
        <v>24333000000.0</v>
      </c>
      <c r="P87" s="14">
        <f>IF(N87="","",IF(OR(O87="",O87&lt;=0,N87&lt;=0),N87,(N87+O87)/2))</f>
        <v>30644000000.0</v>
      </c>
      <c r="Q87" t="inlineStr">
        <is>
          <t>기초·기말 평균</t>
        </is>
      </c>
      <c r="R87" s="15">
        <f>IF(OR(P87="",P87&lt;=0),"",J87/P87)</f>
        <v>0.27563144498107295</v>
      </c>
      <c r="S87" s="15">
        <f>IF(R87="","",R87-0.1)</f>
        <v>0.17563144498107294</v>
      </c>
      <c r="T87" s="15">
        <f>IF(OR(P87="",E87=0,E87=""),"",P87/E87)</f>
        <v>0.3166585721223895</v>
      </c>
      <c r="U87" t="inlineStr">
        <is>
          <t>—</t>
        </is>
      </c>
      <c r="V87" t="inlineStr">
        <is>
          <t>—</t>
        </is>
      </c>
      <c r="W87" t="inlineStr">
        <is>
          <t>OK</t>
        </is>
      </c>
      <c r="X87" t="inlineStr">
        <is>
          <t>Tesla, Inc.</t>
        </is>
      </c>
    </row>
    <row r="88">
      <c r="A88" t="inlineStr">
        <is>
          <t>테슬라</t>
        </is>
      </c>
      <c r="B88" t="inlineStr">
        <is>
          <t>TSLA</t>
        </is>
      </c>
      <c r="C88" t="n">
        <v>2024</v>
      </c>
      <c r="D88" t="inlineStr">
        <is>
          <t>2024-12-31</t>
        </is>
      </c>
      <c r="E88" s="14" t="n">
        <v>97690000000</v>
      </c>
      <c r="F88" s="14" t="n">
        <v>7076000000</v>
      </c>
      <c r="G88" t="inlineStr">
        <is>
          <t>reported</t>
        </is>
      </c>
      <c r="H88" t="inlineStr">
        <is>
          <t>HIGH</t>
        </is>
      </c>
      <c r="I88" s="15" t="n">
        <v>0.2043381535038932</v>
      </c>
      <c r="J88" s="14">
        <f>IF(F88="","",F88*(1-I88))</f>
        <v>5630103225.806452</v>
      </c>
      <c r="K88" s="14" t="n">
        <v>73617000000</v>
      </c>
      <c r="L88" s="14" t="n">
        <v>5535000000</v>
      </c>
      <c r="M88" s="14" t="n">
        <v>36563000000</v>
      </c>
      <c r="N88" s="14">
        <f>IF(COUNT(K88:M88)&lt;3,"",K88+L88-M88)</f>
        <v>42589000000.0</v>
      </c>
      <c r="O88" s="14">
        <f>N87</f>
        <v>36955000000.0</v>
      </c>
      <c r="P88" s="14">
        <f>IF(N88="","",IF(OR(O88="",O88&lt;=0,N88&lt;=0),N88,(N88+O88)/2))</f>
        <v>39772000000.0</v>
      </c>
      <c r="Q88" t="inlineStr">
        <is>
          <t>기초·기말 평균</t>
        </is>
      </c>
      <c r="R88" s="15">
        <f>IF(OR(P88="",P88&lt;=0),"",J88/P88)</f>
        <v>0.14155946962200674</v>
      </c>
      <c r="S88" s="15">
        <f>IF(R88="","",R88-0.1)</f>
        <v>0.04155946962200674</v>
      </c>
      <c r="T88" s="15">
        <f>IF(OR(P88="",E88=0,E88=""),"",P88/E88)</f>
        <v>0.407124577745931</v>
      </c>
      <c r="U88" t="inlineStr">
        <is>
          <t>—</t>
        </is>
      </c>
      <c r="V88" t="inlineStr">
        <is>
          <t>—</t>
        </is>
      </c>
      <c r="W88" t="inlineStr">
        <is>
          <t>OK</t>
        </is>
      </c>
      <c r="X88" t="inlineStr">
        <is>
          <t>Tesla, Inc.</t>
        </is>
      </c>
    </row>
    <row r="89">
      <c r="A89" t="inlineStr">
        <is>
          <t>테슬라</t>
        </is>
      </c>
      <c r="B89" t="inlineStr">
        <is>
          <t>TSLA</t>
        </is>
      </c>
      <c r="C89" t="n">
        <v>2025</v>
      </c>
      <c r="D89" t="inlineStr">
        <is>
          <t>2025-12-31</t>
        </is>
      </c>
      <c r="E89" s="14" t="n">
        <v>94827000000</v>
      </c>
      <c r="F89" s="14" t="n">
        <v>4355000000</v>
      </c>
      <c r="G89" t="inlineStr">
        <is>
          <t>reported</t>
        </is>
      </c>
      <c r="H89" t="inlineStr">
        <is>
          <t>HIGH</t>
        </is>
      </c>
      <c r="I89" s="15" t="n">
        <v>0.2696097006441834</v>
      </c>
      <c r="J89" s="14">
        <f>IF(F89="","",F89*(1-I89))</f>
        <v>3180849753.6945815</v>
      </c>
      <c r="K89" s="14" t="n">
        <v>82807000000</v>
      </c>
      <c r="L89" s="14" t="n">
        <v>6584000000</v>
      </c>
      <c r="M89" s="14" t="n">
        <v>44059000000</v>
      </c>
      <c r="N89" s="14">
        <f>IF(COUNT(K89:M89)&lt;3,"",K89+L89-M89)</f>
        <v>45332000000.0</v>
      </c>
      <c r="O89" s="14">
        <f>N88</f>
        <v>42589000000.0</v>
      </c>
      <c r="P89" s="14">
        <f>IF(N89="","",IF(OR(O89="",O89&lt;=0,N89&lt;=0),N89,(N89+O89)/2))</f>
        <v>43960500000.0</v>
      </c>
      <c r="Q89" t="inlineStr">
        <is>
          <t>기초·기말 평균</t>
        </is>
      </c>
      <c r="R89" s="15">
        <f>IF(OR(P89="",P89&lt;=0),"",J89/P89)</f>
        <v>0.07235699670601066</v>
      </c>
      <c r="S89" s="15">
        <f>IF(R89="","",R89-0.1)</f>
        <v>-0.027643003293989346</v>
      </c>
      <c r="T89" s="15">
        <f>IF(OR(P89="",E89=0,E89=""),"",P89/E89)</f>
        <v>0.46358632035179853</v>
      </c>
      <c r="U89" t="inlineStr">
        <is>
          <t>—</t>
        </is>
      </c>
      <c r="V89" t="inlineStr">
        <is>
          <t>—</t>
        </is>
      </c>
      <c r="W89" t="inlineStr">
        <is>
          <t>OK</t>
        </is>
      </c>
      <c r="X89" t="inlineStr">
        <is>
          <t>Tesla, Inc.</t>
        </is>
      </c>
    </row>
    <row r="90">
      <c r="A90" s="11" t="inlineStr">
        <is>
          <t>버크셔 해서웨이</t>
        </is>
      </c>
      <c r="B90" s="11" t="inlineStr">
        <is>
          <t>BRK-B</t>
        </is>
      </c>
      <c r="C90" s="11" t="n">
        <v>2015</v>
      </c>
      <c r="D90" s="11" t="inlineStr">
        <is>
          <t>2015-12-31</t>
        </is>
      </c>
      <c r="E90" s="12" t="n">
        <v>210943000000</v>
      </c>
      <c r="F90" s="12" t="n">
        <v>38461000000</v>
      </c>
      <c r="G90" s="11" t="inlineStr">
        <is>
          <t>pretax_plus_interest_less_investment_income</t>
        </is>
      </c>
      <c r="H90" s="11" t="inlineStr">
        <is>
          <t>LOW</t>
        </is>
      </c>
      <c r="I90" s="13" t="n">
        <v>0.3013792708750644</v>
      </c>
      <c r="J90" s="12">
        <f>IF(F90="","",F90*(1-I90))</f>
        <v>26869651862.874146</v>
      </c>
      <c r="K90" s="12" t="n">
        <v>257696000000</v>
      </c>
      <c r="L90" s="12" t="n">
        <v>0</v>
      </c>
      <c r="M90" s="12" t="n">
        <v>67161000000</v>
      </c>
      <c r="N90" s="12">
        <f>IF(COUNT(K90:M90)&lt;3,"",K90+L90-M90)</f>
        <v>190535000000.0</v>
      </c>
      <c r="O90" s="11" t="inlineStr">
        <is>
          <t>—</t>
        </is>
      </c>
      <c r="P90" s="12" t="inlineStr">
        <is>
          <t>—</t>
        </is>
      </c>
      <c r="Q90" s="11" t="inlineStr">
        <is>
          <t>—</t>
        </is>
      </c>
      <c r="R90" s="11" t="inlineStr">
        <is>
          <t>—</t>
        </is>
      </c>
      <c r="S90" s="11" t="inlineStr">
        <is>
          <t>—</t>
        </is>
      </c>
      <c r="T90" s="13" t="inlineStr">
        <is>
          <t>—</t>
        </is>
      </c>
      <c r="U90" s="11" t="inlineStr">
        <is>
          <t>—</t>
        </is>
      </c>
      <c r="V90" s="11" t="inlineStr">
        <is>
          <t>—</t>
        </is>
      </c>
      <c r="W90" s="11" t="inlineStr">
        <is>
          <t>다음 해 평균 투하자본의 기초값으로만 사용 (보고 기간 밖 — 자체 비율은 계산하지 않음)</t>
        </is>
      </c>
      <c r="X90" s="11" t="inlineStr">
        <is>
          <t>BERKSHIRE HATHAWAY INC</t>
        </is>
      </c>
    </row>
    <row r="91">
      <c r="A91" s="18" t="inlineStr">
        <is>
          <t>버크셔 해서웨이</t>
        </is>
      </c>
      <c r="B91" s="18" t="inlineStr">
        <is>
          <t>BRK-B</t>
        </is>
      </c>
      <c r="C91" s="18" t="n">
        <v>2016</v>
      </c>
      <c r="D91" s="18" t="inlineStr">
        <is>
          <t>2016-12-31</t>
        </is>
      </c>
      <c r="E91" s="19" t="n">
        <v>215114000000</v>
      </c>
      <c r="F91" s="19" t="n">
        <v>37408000000</v>
      </c>
      <c r="G91" s="18" t="inlineStr">
        <is>
          <t>pretax_plus_interest_less_investment_income</t>
        </is>
      </c>
      <c r="H91" s="18" t="inlineStr">
        <is>
          <t>LOW</t>
        </is>
      </c>
      <c r="I91" s="20" t="n">
        <v>0.27445272819081</v>
      </c>
      <c r="J91" s="19">
        <f>IF(F91="","",F91*(1-I91))</f>
        <v>27141272343.83818</v>
      </c>
      <c r="K91" s="19" t="n">
        <v>285428000000</v>
      </c>
      <c r="L91" s="19" t="n">
        <v>0</v>
      </c>
      <c r="M91" s="19" t="n">
        <v>28048000000</v>
      </c>
      <c r="N91" s="19">
        <f>IF(COUNT(K91:M91)&lt;3,"",K91+L91-M91)</f>
        <v>257380000000.0</v>
      </c>
      <c r="O91" s="19">
        <f>N90</f>
        <v>190535000000.0</v>
      </c>
      <c r="P91" s="19">
        <f>IF(N91="","",IF(OR(O91="",O91&lt;=0,N91&lt;=0),N91,(N91+O91)/2))</f>
        <v>223957500000.0</v>
      </c>
      <c r="Q91" s="18" t="inlineStr">
        <is>
          <t>기초·기말 평균</t>
        </is>
      </c>
      <c r="R91" s="18" t="inlineStr">
        <is>
          <t>—</t>
        </is>
      </c>
      <c r="S91" s="18" t="inlineStr">
        <is>
          <t>—</t>
        </is>
      </c>
      <c r="T91" s="20">
        <f>IF(OR(P91="",E91=0,E91=""),"",P91/E91)</f>
        <v>1.0411107598761586</v>
      </c>
      <c r="U91" s="18" t="inlineStr">
        <is>
          <t>—</t>
        </is>
      </c>
      <c r="V91" s="18" t="inlineStr">
        <is>
          <t>—</t>
        </is>
      </c>
      <c r="W91" s="18" t="inlineStr">
        <is>
          <t>금융업 — ROIC 정의 부적합</t>
        </is>
      </c>
      <c r="X91" s="18" t="inlineStr">
        <is>
          <t>BERKSHIRE HATHAWAY INC</t>
        </is>
      </c>
    </row>
    <row r="92">
      <c r="A92" s="18" t="inlineStr">
        <is>
          <t>버크셔 해서웨이</t>
        </is>
      </c>
      <c r="B92" s="18" t="inlineStr">
        <is>
          <t>BRK-B</t>
        </is>
      </c>
      <c r="C92" s="18" t="n">
        <v>2017</v>
      </c>
      <c r="D92" s="18" t="inlineStr">
        <is>
          <t>2017-12-31</t>
        </is>
      </c>
      <c r="E92" s="19" t="n">
        <v>239933000000</v>
      </c>
      <c r="F92" s="19" t="n">
        <v>28224000000</v>
      </c>
      <c r="G92" s="18" t="inlineStr">
        <is>
          <t>pretax_plus_interest_less_investment_income</t>
        </is>
      </c>
      <c r="H92" s="18" t="inlineStr">
        <is>
          <t>LOW</t>
        </is>
      </c>
      <c r="I92" s="20" t="n">
        <v>0.05</v>
      </c>
      <c r="J92" s="19">
        <f>IF(F92="","",F92*(1-I92))</f>
        <v>26812800000.0</v>
      </c>
      <c r="K92" s="19" t="n">
        <v>351954000000</v>
      </c>
      <c r="L92" s="19" t="n">
        <v>0</v>
      </c>
      <c r="M92" s="19" t="n">
        <v>31583000000</v>
      </c>
      <c r="N92" s="19">
        <f>IF(COUNT(K92:M92)&lt;3,"",K92+L92-M92)</f>
        <v>320371000000.0</v>
      </c>
      <c r="O92" s="19">
        <f>N91</f>
        <v>257380000000.0</v>
      </c>
      <c r="P92" s="19">
        <f>IF(N92="","",IF(OR(O92="",O92&lt;=0,N92&lt;=0),N92,(N92+O92)/2))</f>
        <v>288875500000.0</v>
      </c>
      <c r="Q92" s="18" t="inlineStr">
        <is>
          <t>기초·기말 평균</t>
        </is>
      </c>
      <c r="R92" s="18" t="inlineStr">
        <is>
          <t>—</t>
        </is>
      </c>
      <c r="S92" s="18" t="inlineStr">
        <is>
          <t>—</t>
        </is>
      </c>
      <c r="T92" s="20">
        <f>IF(OR(P92="",E92=0,E92=""),"",P92/E92)</f>
        <v>1.2039840288747274</v>
      </c>
      <c r="U92" s="18" t="inlineStr">
        <is>
          <t>—</t>
        </is>
      </c>
      <c r="V92" s="18" t="inlineStr">
        <is>
          <t>—</t>
        </is>
      </c>
      <c r="W92" s="18" t="inlineStr">
        <is>
          <t>금융업 — ROIC 정의 부적합</t>
        </is>
      </c>
      <c r="X92" s="18" t="inlineStr">
        <is>
          <t>BERKSHIRE HATHAWAY INC</t>
        </is>
      </c>
    </row>
    <row r="93">
      <c r="A93" s="18" t="inlineStr">
        <is>
          <t>버크셔 해서웨이</t>
        </is>
      </c>
      <c r="B93" s="18" t="inlineStr">
        <is>
          <t>BRK-B</t>
        </is>
      </c>
      <c r="C93" s="18" t="n">
        <v>2018</v>
      </c>
      <c r="D93" s="18" t="inlineStr">
        <is>
          <t>2018-12-31</t>
        </is>
      </c>
      <c r="E93" s="19" t="n">
        <v>175445000000</v>
      </c>
      <c r="F93" s="19" t="n">
        <v>7854000000</v>
      </c>
      <c r="G93" s="18" t="inlineStr">
        <is>
          <t>pretax_plus_interest_less_investment_income</t>
        </is>
      </c>
      <c r="H93" s="18" t="inlineStr">
        <is>
          <t>LOW</t>
        </is>
      </c>
      <c r="I93" s="20" t="n">
        <v>0.05</v>
      </c>
      <c r="J93" s="19">
        <f>IF(F93="","",F93*(1-I93))</f>
        <v>7461300000.0</v>
      </c>
      <c r="K93" s="19" t="n">
        <v>352500000000</v>
      </c>
      <c r="L93" s="19" t="n">
        <v>0</v>
      </c>
      <c r="M93" s="19" t="n">
        <v>30811000000</v>
      </c>
      <c r="N93" s="19">
        <f>IF(COUNT(K93:M93)&lt;3,"",K93+L93-M93)</f>
        <v>321689000000.0</v>
      </c>
      <c r="O93" s="19">
        <f>N92</f>
        <v>320371000000.0</v>
      </c>
      <c r="P93" s="19">
        <f>IF(N93="","",IF(OR(O93="",O93&lt;=0,N93&lt;=0),N93,(N93+O93)/2))</f>
        <v>321030000000.0</v>
      </c>
      <c r="Q93" s="18" t="inlineStr">
        <is>
          <t>기초·기말 평균</t>
        </is>
      </c>
      <c r="R93" s="18" t="inlineStr">
        <is>
          <t>—</t>
        </is>
      </c>
      <c r="S93" s="18" t="inlineStr">
        <is>
          <t>—</t>
        </is>
      </c>
      <c r="T93" s="20">
        <f>IF(OR(P93="",E93=0,E93=""),"",P93/E93)</f>
        <v>1.8298042121462568</v>
      </c>
      <c r="U93" s="18" t="inlineStr">
        <is>
          <t>—</t>
        </is>
      </c>
      <c r="V93" s="18" t="inlineStr">
        <is>
          <t>—</t>
        </is>
      </c>
      <c r="W93" s="18" t="inlineStr">
        <is>
          <t>금융업 — ROIC 정의 부적합</t>
        </is>
      </c>
      <c r="X93" s="18" t="inlineStr">
        <is>
          <t>BERKSHIRE HATHAWAY INC</t>
        </is>
      </c>
    </row>
    <row r="94">
      <c r="A94" s="18" t="inlineStr">
        <is>
          <t>버크셔 해서웨이</t>
        </is>
      </c>
      <c r="B94" s="18" t="inlineStr">
        <is>
          <t>BRK-B</t>
        </is>
      </c>
      <c r="C94" s="18" t="n">
        <v>2019</v>
      </c>
      <c r="D94" s="18" t="inlineStr">
        <is>
          <t>2019-12-31</t>
        </is>
      </c>
      <c r="E94" s="19" t="n">
        <v>176512000000</v>
      </c>
      <c r="F94" s="19" t="n">
        <v>106657000000</v>
      </c>
      <c r="G94" s="18" t="inlineStr">
        <is>
          <t>pretax_plus_interest_less_investment_income</t>
        </is>
      </c>
      <c r="H94" s="18" t="inlineStr">
        <is>
          <t>LOW</t>
        </is>
      </c>
      <c r="I94" s="20" t="n">
        <v>0.2035522318298668</v>
      </c>
      <c r="J94" s="19">
        <f>IF(F94="","",F94*(1-I94))</f>
        <v>84946729609.7219</v>
      </c>
      <c r="K94" s="19" t="n">
        <v>428563000000</v>
      </c>
      <c r="L94" s="19" t="n">
        <v>0</v>
      </c>
      <c r="M94" s="19" t="n">
        <v>64632000000</v>
      </c>
      <c r="N94" s="19">
        <f>IF(COUNT(K94:M94)&lt;3,"",K94+L94-M94)</f>
        <v>363931000000.0</v>
      </c>
      <c r="O94" s="19">
        <f>N93</f>
        <v>321689000000.0</v>
      </c>
      <c r="P94" s="19">
        <f>IF(N94="","",IF(OR(O94="",O94&lt;=0,N94&lt;=0),N94,(N94+O94)/2))</f>
        <v>342810000000.0</v>
      </c>
      <c r="Q94" s="18" t="inlineStr">
        <is>
          <t>기초·기말 평균</t>
        </is>
      </c>
      <c r="R94" s="18" t="inlineStr">
        <is>
          <t>—</t>
        </is>
      </c>
      <c r="S94" s="18" t="inlineStr">
        <is>
          <t>—</t>
        </is>
      </c>
      <c r="T94" s="20">
        <f>IF(OR(P94="",E94=0,E94=""),"",P94/E94)</f>
        <v>1.942134245830312</v>
      </c>
      <c r="U94" s="18" t="inlineStr">
        <is>
          <t>—</t>
        </is>
      </c>
      <c r="V94" s="18" t="inlineStr">
        <is>
          <t>—</t>
        </is>
      </c>
      <c r="W94" s="18" t="inlineStr">
        <is>
          <t>금융업 — ROIC 정의 부적합</t>
        </is>
      </c>
      <c r="X94" s="18" t="inlineStr">
        <is>
          <t>BERKSHIRE HATHAWAY INC</t>
        </is>
      </c>
    </row>
    <row r="95">
      <c r="A95" s="18" t="inlineStr">
        <is>
          <t>버크셔 해서웨이</t>
        </is>
      </c>
      <c r="B95" s="18" t="inlineStr">
        <is>
          <t>BRK-B</t>
        </is>
      </c>
      <c r="C95" s="18" t="n">
        <v>2020</v>
      </c>
      <c r="D95" s="18" t="inlineStr">
        <is>
          <t>2020-12-31</t>
        </is>
      </c>
      <c r="E95" s="19" t="n">
        <v>166733000000</v>
      </c>
      <c r="F95" s="19" t="n">
        <v>59776000000</v>
      </c>
      <c r="G95" s="18" t="inlineStr">
        <is>
          <t>pretax_plus_interest_less_investment_income</t>
        </is>
      </c>
      <c r="H95" s="18" t="inlineStr">
        <is>
          <t>LOW</t>
        </is>
      </c>
      <c r="I95" s="20" t="n">
        <v>0.2233673890794175</v>
      </c>
      <c r="J95" s="19">
        <f>IF(F95="","",F95*(1-I95))</f>
        <v>46423990950.38874</v>
      </c>
      <c r="K95" s="19" t="n">
        <v>444908000000</v>
      </c>
      <c r="L95" s="19" t="n">
        <v>0</v>
      </c>
      <c r="M95" s="19" t="n">
        <v>48396000000</v>
      </c>
      <c r="N95" s="19">
        <f>IF(COUNT(K95:M95)&lt;3,"",K95+L95-M95)</f>
        <v>396512000000.0</v>
      </c>
      <c r="O95" s="19">
        <f>N94</f>
        <v>363931000000.0</v>
      </c>
      <c r="P95" s="19">
        <f>IF(N95="","",IF(OR(O95="",O95&lt;=0,N95&lt;=0),N95,(N95+O95)/2))</f>
        <v>380221500000.0</v>
      </c>
      <c r="Q95" s="18" t="inlineStr">
        <is>
          <t>기초·기말 평균</t>
        </is>
      </c>
      <c r="R95" s="18" t="inlineStr">
        <is>
          <t>—</t>
        </is>
      </c>
      <c r="S95" s="18" t="inlineStr">
        <is>
          <t>—</t>
        </is>
      </c>
      <c r="T95" s="20">
        <f>IF(OR(P95="",E95=0,E95=""),"",P95/E95)</f>
        <v>2.28042139228587</v>
      </c>
      <c r="U95" s="18" t="inlineStr">
        <is>
          <t>—</t>
        </is>
      </c>
      <c r="V95" s="18" t="inlineStr">
        <is>
          <t>—</t>
        </is>
      </c>
      <c r="W95" s="18" t="inlineStr">
        <is>
          <t>금융업 — ROIC 정의 부적합</t>
        </is>
      </c>
      <c r="X95" s="18" t="inlineStr">
        <is>
          <t>BERKSHIRE HATHAWAY INC</t>
        </is>
      </c>
    </row>
    <row r="96">
      <c r="A96" s="18" t="inlineStr">
        <is>
          <t>버크셔 해서웨이</t>
        </is>
      </c>
      <c r="B96" s="18" t="inlineStr">
        <is>
          <t>BRK-B</t>
        </is>
      </c>
      <c r="C96" s="18" t="n">
        <v>2021</v>
      </c>
      <c r="D96" s="18" t="inlineStr">
        <is>
          <t>2021-12-31</t>
        </is>
      </c>
      <c r="E96" s="19" t="n">
        <v>191252000000</v>
      </c>
      <c r="F96" s="19" t="n">
        <v>116033000000</v>
      </c>
      <c r="G96" s="18" t="inlineStr">
        <is>
          <t>pretax_plus_interest_less_investment_income</t>
        </is>
      </c>
      <c r="H96" s="18" t="inlineStr">
        <is>
          <t>LOW</t>
        </is>
      </c>
      <c r="I96" s="20" t="n">
        <v>0.1869462994251795</v>
      </c>
      <c r="J96" s="19">
        <f>IF(F96="","",F96*(1-I96))</f>
        <v>94341060038.79814</v>
      </c>
      <c r="K96" s="19" t="n">
        <v>510299000000</v>
      </c>
      <c r="L96" s="19" t="n">
        <v>0</v>
      </c>
      <c r="M96" s="19" t="n">
        <v>88706000000</v>
      </c>
      <c r="N96" s="19">
        <f>IF(COUNT(K96:M96)&lt;3,"",K96+L96-M96)</f>
        <v>421593000000.0</v>
      </c>
      <c r="O96" s="19">
        <f>N95</f>
        <v>396512000000.0</v>
      </c>
      <c r="P96" s="19">
        <f>IF(N96="","",IF(OR(O96="",O96&lt;=0,N96&lt;=0),N96,(N96+O96)/2))</f>
        <v>409052500000.0</v>
      </c>
      <c r="Q96" s="18" t="inlineStr">
        <is>
          <t>기초·기말 평균</t>
        </is>
      </c>
      <c r="R96" s="18" t="inlineStr">
        <is>
          <t>—</t>
        </is>
      </c>
      <c r="S96" s="18" t="inlineStr">
        <is>
          <t>—</t>
        </is>
      </c>
      <c r="T96" s="20">
        <f>IF(OR(P96="",E96=0,E96=""),"",P96/E96)</f>
        <v>2.138814234622383</v>
      </c>
      <c r="U96" s="18" t="inlineStr">
        <is>
          <t>—</t>
        </is>
      </c>
      <c r="V96" s="18" t="inlineStr">
        <is>
          <t>—</t>
        </is>
      </c>
      <c r="W96" s="18" t="inlineStr">
        <is>
          <t>금융업 — ROIC 정의 부적합</t>
        </is>
      </c>
      <c r="X96" s="18" t="inlineStr">
        <is>
          <t>BERKSHIRE HATHAWAY INC</t>
        </is>
      </c>
    </row>
    <row r="97">
      <c r="A97" s="18" t="inlineStr">
        <is>
          <t>버크셔 해서웨이</t>
        </is>
      </c>
      <c r="B97" s="18" t="inlineStr">
        <is>
          <t>BRK-B</t>
        </is>
      </c>
      <c r="C97" s="18" t="n">
        <v>2022</v>
      </c>
      <c r="D97" s="18" t="inlineStr">
        <is>
          <t>2022-12-31</t>
        </is>
      </c>
      <c r="E97" s="19" t="n">
        <v>207771000000</v>
      </c>
      <c r="F97" s="19" t="n">
        <v>-26148000000</v>
      </c>
      <c r="G97" s="18" t="inlineStr">
        <is>
          <t>pretax_plus_interest_less_investment_income</t>
        </is>
      </c>
      <c r="H97" s="18" t="inlineStr">
        <is>
          <t>LOW</t>
        </is>
      </c>
      <c r="I97" s="20" t="n">
        <v>0.21</v>
      </c>
      <c r="J97" s="19">
        <f>IF(F97="","",F97*(1-I97))</f>
        <v>-20656920000.0</v>
      </c>
      <c r="K97" s="19" t="n">
        <v>481681000000</v>
      </c>
      <c r="L97" s="19" t="n">
        <v>0</v>
      </c>
      <c r="M97" s="19" t="n">
        <v>36399000000</v>
      </c>
      <c r="N97" s="19">
        <f>IF(COUNT(K97:M97)&lt;3,"",K97+L97-M97)</f>
        <v>445282000000.0</v>
      </c>
      <c r="O97" s="19">
        <f>N96</f>
        <v>421593000000.0</v>
      </c>
      <c r="P97" s="19">
        <f>IF(N97="","",IF(OR(O97="",O97&lt;=0,N97&lt;=0),N97,(N97+O97)/2))</f>
        <v>433437500000.0</v>
      </c>
      <c r="Q97" s="18" t="inlineStr">
        <is>
          <t>기초·기말 평균</t>
        </is>
      </c>
      <c r="R97" s="18" t="inlineStr">
        <is>
          <t>—</t>
        </is>
      </c>
      <c r="S97" s="18" t="inlineStr">
        <is>
          <t>—</t>
        </is>
      </c>
      <c r="T97" s="20">
        <f>IF(OR(P97="",E97=0,E97=""),"",P97/E97)</f>
        <v>2.0861308844833975</v>
      </c>
      <c r="U97" s="18" t="inlineStr">
        <is>
          <t>—</t>
        </is>
      </c>
      <c r="V97" s="18" t="inlineStr">
        <is>
          <t>—</t>
        </is>
      </c>
      <c r="W97" s="18" t="inlineStr">
        <is>
          <t>금융업 — ROIC 정의 부적합</t>
        </is>
      </c>
      <c r="X97" s="18" t="inlineStr">
        <is>
          <t>BERKSHIRE HATHAWAY INC</t>
        </is>
      </c>
    </row>
    <row r="98">
      <c r="A98" s="18" t="inlineStr">
        <is>
          <t>버크셔 해서웨이</t>
        </is>
      </c>
      <c r="B98" s="18" t="inlineStr">
        <is>
          <t>BRK-B</t>
        </is>
      </c>
      <c r="C98" s="18" t="n">
        <v>2023</v>
      </c>
      <c r="D98" s="18" t="inlineStr">
        <is>
          <t>2023-12-31</t>
        </is>
      </c>
      <c r="E98" s="19" t="n">
        <v>254906000000</v>
      </c>
      <c r="F98" s="19" t="n">
        <v>125169000000</v>
      </c>
      <c r="G98" s="18" t="inlineStr">
        <is>
          <t>pretax_plus_interest_less_investment_income</t>
        </is>
      </c>
      <c r="H98" s="18" t="inlineStr">
        <is>
          <t>LOW</t>
        </is>
      </c>
      <c r="I98" s="20" t="n">
        <v>0.1915600086546943</v>
      </c>
      <c r="J98" s="19">
        <f>IF(F98="","",F98*(1-I98))</f>
        <v>101191625276.70058</v>
      </c>
      <c r="K98" s="19" t="n">
        <v>567509000000</v>
      </c>
      <c r="L98" s="19" t="n">
        <v>0</v>
      </c>
      <c r="M98" s="19" t="n">
        <v>38643000000</v>
      </c>
      <c r="N98" s="19">
        <f>IF(COUNT(K98:M98)&lt;3,"",K98+L98-M98)</f>
        <v>528866000000.0</v>
      </c>
      <c r="O98" s="19">
        <f>N97</f>
        <v>445282000000.0</v>
      </c>
      <c r="P98" s="19">
        <f>IF(N98="","",IF(OR(O98="",O98&lt;=0,N98&lt;=0),N98,(N98+O98)/2))</f>
        <v>487074000000.0</v>
      </c>
      <c r="Q98" s="18" t="inlineStr">
        <is>
          <t>기초·기말 평균</t>
        </is>
      </c>
      <c r="R98" s="18" t="inlineStr">
        <is>
          <t>—</t>
        </is>
      </c>
      <c r="S98" s="18" t="inlineStr">
        <is>
          <t>—</t>
        </is>
      </c>
      <c r="T98" s="20">
        <f>IF(OR(P98="",E98=0,E98=""),"",P98/E98)</f>
        <v>1.910798490423921</v>
      </c>
      <c r="U98" s="18" t="inlineStr">
        <is>
          <t>—</t>
        </is>
      </c>
      <c r="V98" s="18" t="inlineStr">
        <is>
          <t>—</t>
        </is>
      </c>
      <c r="W98" s="18" t="inlineStr">
        <is>
          <t>금융업 — ROIC 정의 부적합</t>
        </is>
      </c>
      <c r="X98" s="18" t="inlineStr">
        <is>
          <t>BERKSHIRE HATHAWAY INC</t>
        </is>
      </c>
    </row>
    <row r="99">
      <c r="A99" s="18" t="inlineStr">
        <is>
          <t>버크셔 해서웨이</t>
        </is>
      </c>
      <c r="B99" s="18" t="inlineStr">
        <is>
          <t>BRK-B</t>
        </is>
      </c>
      <c r="C99" s="18" t="n">
        <v>2024</v>
      </c>
      <c r="D99" s="18" t="inlineStr">
        <is>
          <t>2024-12-31</t>
        </is>
      </c>
      <c r="E99" s="19" t="n">
        <v>249714000000</v>
      </c>
      <c r="F99" s="19" t="n">
        <v>115576000000</v>
      </c>
      <c r="G99" s="18" t="inlineStr">
        <is>
          <t>pretax_plus_interest_less_investment_income</t>
        </is>
      </c>
      <c r="H99" s="18" t="inlineStr">
        <is>
          <t>LOW</t>
        </is>
      </c>
      <c r="I99" s="20" t="n">
        <v>0.1885826628977314</v>
      </c>
      <c r="J99" s="19">
        <f>IF(F99="","",F99*(1-I99))</f>
        <v>93780370152.9318</v>
      </c>
      <c r="K99" s="19" t="n">
        <v>651655000000</v>
      </c>
      <c r="L99" s="19" t="n">
        <v>0</v>
      </c>
      <c r="M99" s="19" t="n">
        <v>48376000000</v>
      </c>
      <c r="N99" s="19">
        <f>IF(COUNT(K99:M99)&lt;3,"",K99+L99-M99)</f>
        <v>603279000000.0</v>
      </c>
      <c r="O99" s="19">
        <f>N98</f>
        <v>528866000000.0</v>
      </c>
      <c r="P99" s="19">
        <f>IF(N99="","",IF(OR(O99="",O99&lt;=0,N99&lt;=0),N99,(N99+O99)/2))</f>
        <v>566072500000.0</v>
      </c>
      <c r="Q99" s="18" t="inlineStr">
        <is>
          <t>기초·기말 평균</t>
        </is>
      </c>
      <c r="R99" s="18" t="inlineStr">
        <is>
          <t>—</t>
        </is>
      </c>
      <c r="S99" s="18" t="inlineStr">
        <is>
          <t>—</t>
        </is>
      </c>
      <c r="T99" s="20">
        <f>IF(OR(P99="",E99=0,E99=""),"",P99/E99)</f>
        <v>2.2668833145118015</v>
      </c>
      <c r="U99" s="18" t="inlineStr">
        <is>
          <t>—</t>
        </is>
      </c>
      <c r="V99" s="18" t="inlineStr">
        <is>
          <t>—</t>
        </is>
      </c>
      <c r="W99" s="18" t="inlineStr">
        <is>
          <t>금융업 — ROIC 정의 부적합</t>
        </is>
      </c>
      <c r="X99" s="18" t="inlineStr">
        <is>
          <t>BERKSHIRE HATHAWAY INC</t>
        </is>
      </c>
    </row>
    <row r="100">
      <c r="A100" s="18" t="inlineStr">
        <is>
          <t>버크셔 해서웨이</t>
        </is>
      </c>
      <c r="B100" s="18" t="inlineStr">
        <is>
          <t>BRK-B</t>
        </is>
      </c>
      <c r="C100" s="18" t="n">
        <v>2025</v>
      </c>
      <c r="D100" s="18" t="inlineStr">
        <is>
          <t>2025-12-31</t>
        </is>
      </c>
      <c r="E100" s="19" t="n">
        <v>247244000000</v>
      </c>
      <c r="F100" s="19" t="n">
        <v>87528000000</v>
      </c>
      <c r="G100" s="18" t="inlineStr">
        <is>
          <t>pretax_plus_interest_less_investment_income</t>
        </is>
      </c>
      <c r="H100" s="18" t="inlineStr">
        <is>
          <t>LOW</t>
        </is>
      </c>
      <c r="I100" s="20" t="n">
        <v>0.1843219054317903</v>
      </c>
      <c r="J100" s="19">
        <f>IF(F100="","",F100*(1-I100))</f>
        <v>71394672261.36626</v>
      </c>
      <c r="K100" s="19" t="n">
        <v>719703000000</v>
      </c>
      <c r="L100" s="19" t="n">
        <v>0</v>
      </c>
      <c r="M100" s="19" t="n">
        <v>52569000000</v>
      </c>
      <c r="N100" s="19">
        <f>IF(COUNT(K100:M100)&lt;3,"",K100+L100-M100)</f>
        <v>667134000000.0</v>
      </c>
      <c r="O100" s="19">
        <f>N99</f>
        <v>603279000000.0</v>
      </c>
      <c r="P100" s="19">
        <f>IF(N100="","",IF(OR(O100="",O100&lt;=0,N100&lt;=0),N100,(N100+O100)/2))</f>
        <v>635206500000.0</v>
      </c>
      <c r="Q100" s="18" t="inlineStr">
        <is>
          <t>기초·기말 평균</t>
        </is>
      </c>
      <c r="R100" s="18" t="inlineStr">
        <is>
          <t>—</t>
        </is>
      </c>
      <c r="S100" s="18" t="inlineStr">
        <is>
          <t>—</t>
        </is>
      </c>
      <c r="T100" s="20">
        <f>IF(OR(P100="",E100=0,E100=""),"",P100/E100)</f>
        <v>2.5691482907573087</v>
      </c>
      <c r="U100" s="18" t="inlineStr">
        <is>
          <t>—</t>
        </is>
      </c>
      <c r="V100" s="18" t="inlineStr">
        <is>
          <t>—</t>
        </is>
      </c>
      <c r="W100" s="18" t="inlineStr">
        <is>
          <t>금융업 — ROIC 정의 부적합</t>
        </is>
      </c>
      <c r="X100" s="18" t="inlineStr">
        <is>
          <t>BERKSHIRE HATHAWAY INC</t>
        </is>
      </c>
    </row>
    <row r="101">
      <c r="A101" s="11" t="inlineStr">
        <is>
          <t>일라이 릴리</t>
        </is>
      </c>
      <c r="B101" s="11" t="inlineStr">
        <is>
          <t>LLY</t>
        </is>
      </c>
      <c r="C101" s="11" t="n">
        <v>2015</v>
      </c>
      <c r="D101" s="11" t="inlineStr">
        <is>
          <t>2015-12-31</t>
        </is>
      </c>
      <c r="E101" s="12" t="n">
        <v>19958700000</v>
      </c>
      <c r="F101" s="12" t="n">
        <v>2689400000</v>
      </c>
      <c r="G101" s="11" t="inlineStr">
        <is>
          <t>pretax_less_nonoperating</t>
        </is>
      </c>
      <c r="H101" s="11" t="inlineStr">
        <is>
          <t>LOW</t>
        </is>
      </c>
      <c r="I101" s="13" t="n">
        <v>0.1367741935483871</v>
      </c>
      <c r="J101" s="12">
        <f>IF(F101="","",F101*(1-I101))</f>
        <v>2321559483.870968</v>
      </c>
      <c r="K101" s="12" t="n">
        <v>14590300000</v>
      </c>
      <c r="L101" s="12" t="n">
        <v>7978500000</v>
      </c>
      <c r="M101" s="12" t="n">
        <v>4451800000</v>
      </c>
      <c r="N101" s="12">
        <f>IF(COUNT(K101:M101)&lt;3,"",K101+L101-M101)</f>
        <v>18117000000.0</v>
      </c>
      <c r="O101" s="11" t="inlineStr">
        <is>
          <t>—</t>
        </is>
      </c>
      <c r="P101" s="12" t="inlineStr">
        <is>
          <t>—</t>
        </is>
      </c>
      <c r="Q101" s="11" t="inlineStr">
        <is>
          <t>—</t>
        </is>
      </c>
      <c r="R101" s="13" t="inlineStr">
        <is>
          <t>—</t>
        </is>
      </c>
      <c r="S101" s="13" t="inlineStr">
        <is>
          <t>—</t>
        </is>
      </c>
      <c r="T101" s="13" t="inlineStr">
        <is>
          <t>—</t>
        </is>
      </c>
      <c r="U101" s="11" t="inlineStr">
        <is>
          <t>—</t>
        </is>
      </c>
      <c r="V101" s="11" t="inlineStr">
        <is>
          <t>—</t>
        </is>
      </c>
      <c r="W101" s="11" t="inlineStr">
        <is>
          <t>다음 해 평균 투하자본의 기초값으로만 사용 (보고 기간 밖 — 자체 비율은 계산하지 않음)</t>
        </is>
      </c>
      <c r="X101" s="11" t="inlineStr">
        <is>
          <t>ELI LILLY &amp; Co</t>
        </is>
      </c>
    </row>
    <row r="102">
      <c r="A102" s="18" t="inlineStr">
        <is>
          <t>일라이 릴리</t>
        </is>
      </c>
      <c r="B102" s="18" t="inlineStr">
        <is>
          <t>LLY</t>
        </is>
      </c>
      <c r="C102" s="18" t="n">
        <v>2016</v>
      </c>
      <c r="D102" s="18" t="inlineStr">
        <is>
          <t>2016-12-31</t>
        </is>
      </c>
      <c r="E102" s="19" t="n">
        <v>21222100000</v>
      </c>
      <c r="F102" s="19" t="n">
        <v>3261200000</v>
      </c>
      <c r="G102" s="18" t="inlineStr">
        <is>
          <t>pretax_less_nonoperating</t>
        </is>
      </c>
      <c r="H102" s="18" t="inlineStr">
        <is>
          <t>LOW</t>
        </is>
      </c>
      <c r="I102" s="20" t="n">
        <v>0.1886188500296384</v>
      </c>
      <c r="J102" s="19">
        <f>IF(F102="","",F102*(1-I102))</f>
        <v>2646076206.2833433</v>
      </c>
      <c r="K102" s="19" t="n">
        <v>14080500000</v>
      </c>
      <c r="L102" s="19" t="n">
        <v>10305200000</v>
      </c>
      <c r="M102" s="19" t="n">
        <v>6038600000</v>
      </c>
      <c r="N102" s="19">
        <f>IF(COUNT(K102:M102)&lt;3,"",K102+L102-M102)</f>
        <v>18347100000.0</v>
      </c>
      <c r="O102" s="19">
        <f>N101</f>
        <v>18117000000.0</v>
      </c>
      <c r="P102" s="19">
        <f>IF(N102="","",IF(OR(O102="",O102&lt;=0,N102&lt;=0),N102,(N102+O102)/2))</f>
        <v>18232050000.0</v>
      </c>
      <c r="Q102" s="18" t="inlineStr">
        <is>
          <t>기초·기말 평균</t>
        </is>
      </c>
      <c r="R102" s="20">
        <f>IF(OR(P102="",P102&lt;=0),"",J102/P102)</f>
        <v>0.14513322452951496</v>
      </c>
      <c r="S102" s="20">
        <f>IF(R102="","",R102-0.1)</f>
        <v>0.04513322452951496</v>
      </c>
      <c r="T102" s="20">
        <f>IF(OR(P102="",E102=0,E102=""),"",P102/E102)</f>
        <v>0.8591067801961163</v>
      </c>
      <c r="U102" s="18" t="inlineStr">
        <is>
          <t>14.5% / 15.4%</t>
        </is>
      </c>
      <c r="V102" s="18" t="inlineStr">
        <is>
          <t>일치</t>
        </is>
      </c>
      <c r="W102" s="18" t="inlineStr">
        <is>
          <t>OK</t>
        </is>
      </c>
      <c r="X102" s="18" t="inlineStr">
        <is>
          <t>ELI LILLY &amp; Co</t>
        </is>
      </c>
    </row>
    <row r="103">
      <c r="A103" s="18" t="inlineStr">
        <is>
          <t>일라이 릴리</t>
        </is>
      </c>
      <c r="B103" s="18" t="inlineStr">
        <is>
          <t>LLY</t>
        </is>
      </c>
      <c r="C103" s="18" t="n">
        <v>2017</v>
      </c>
      <c r="D103" s="18" t="inlineStr">
        <is>
          <t>2017-12-31</t>
        </is>
      </c>
      <c r="E103" s="19" t="n">
        <v>19973800000</v>
      </c>
      <c r="F103" s="19" t="n">
        <v>2003300000</v>
      </c>
      <c r="G103" s="18" t="inlineStr">
        <is>
          <t>pretax_less_nonoperating</t>
        </is>
      </c>
      <c r="H103" s="18" t="inlineStr">
        <is>
          <t>LOW</t>
        </is>
      </c>
      <c r="I103" s="20" t="n">
        <v>0.4</v>
      </c>
      <c r="J103" s="19">
        <f>IF(F103="","",F103*(1-I103))</f>
        <v>1201980000.0</v>
      </c>
      <c r="K103" s="19" t="n">
        <v>11667900000</v>
      </c>
      <c r="L103" s="19" t="n">
        <v>13647100000</v>
      </c>
      <c r="M103" s="19" t="n">
        <v>8034100000</v>
      </c>
      <c r="N103" s="19">
        <f>IF(COUNT(K103:M103)&lt;3,"",K103+L103-M103)</f>
        <v>17280900000.0</v>
      </c>
      <c r="O103" s="19">
        <f>N102</f>
        <v>18347100000.0</v>
      </c>
      <c r="P103" s="19">
        <f>IF(N103="","",IF(OR(O103="",O103&lt;=0,N103&lt;=0),N103,(N103+O103)/2))</f>
        <v>17814000000.0</v>
      </c>
      <c r="Q103" s="18" t="inlineStr">
        <is>
          <t>기초·기말 평균</t>
        </is>
      </c>
      <c r="R103" s="20">
        <f>IF(OR(P103="",P103&lt;=0),"",J103/P103)</f>
        <v>0.06747389693499495</v>
      </c>
      <c r="S103" s="20">
        <f>IF(R103="","",R103-0.1)</f>
        <v>-0.03252610306500506</v>
      </c>
      <c r="T103" s="20">
        <f>IF(OR(P103="",E103=0,E103=""),"",P103/E103)</f>
        <v>0.8918683475352712</v>
      </c>
      <c r="U103" s="18" t="inlineStr">
        <is>
          <t>6.7% / 8.0%</t>
        </is>
      </c>
      <c r="V103" s="18" t="inlineStr">
        <is>
          <t>일치</t>
        </is>
      </c>
      <c r="W103" s="18" t="inlineStr">
        <is>
          <t>OK</t>
        </is>
      </c>
      <c r="X103" s="18" t="inlineStr">
        <is>
          <t>ELI LILLY &amp; Co</t>
        </is>
      </c>
    </row>
    <row r="104">
      <c r="A104" s="18" t="inlineStr">
        <is>
          <t>일라이 릴리</t>
        </is>
      </c>
      <c r="B104" s="18" t="inlineStr">
        <is>
          <t>LLY</t>
        </is>
      </c>
      <c r="C104" s="18" t="n">
        <v>2018</v>
      </c>
      <c r="D104" s="18" t="inlineStr">
        <is>
          <t>2018-12-31</t>
        </is>
      </c>
      <c r="E104" s="19" t="n">
        <v>21493300000</v>
      </c>
      <c r="F104" s="19" t="n">
        <v>3534500000</v>
      </c>
      <c r="G104" s="18" t="inlineStr">
        <is>
          <t>pretax_less_nonoperating</t>
        </is>
      </c>
      <c r="H104" s="18" t="inlineStr">
        <is>
          <t>LOW</t>
        </is>
      </c>
      <c r="I104" s="20" t="n">
        <v>0.1438819597293552</v>
      </c>
      <c r="J104" s="19">
        <f>IF(F104="","",F104*(1-I104))</f>
        <v>3025949213.336594</v>
      </c>
      <c r="K104" s="19" t="n">
        <v>10909100000</v>
      </c>
      <c r="L104" s="19" t="n">
        <v>10298600000</v>
      </c>
      <c r="M104" s="19" t="n">
        <v>7408900000</v>
      </c>
      <c r="N104" s="19">
        <f>IF(COUNT(K104:M104)&lt;3,"",K104+L104-M104)</f>
        <v>13798800000.0</v>
      </c>
      <c r="O104" s="19">
        <f>N103</f>
        <v>17280900000.0</v>
      </c>
      <c r="P104" s="19">
        <f>IF(N104="","",IF(OR(O104="",O104&lt;=0,N104&lt;=0),N104,(N104+O104)/2))</f>
        <v>15539850000.0</v>
      </c>
      <c r="Q104" s="18" t="inlineStr">
        <is>
          <t>기초·기말 평균</t>
        </is>
      </c>
      <c r="R104" s="20">
        <f>IF(OR(P104="",P104&lt;=0),"",J104/P104)</f>
        <v>0.19472190615331514</v>
      </c>
      <c r="S104" s="20">
        <f>IF(R104="","",R104-0.1)</f>
        <v>0.09472190615331513</v>
      </c>
      <c r="T104" s="20">
        <f>IF(OR(P104="",E104=0,E104=""),"",P104/E104)</f>
        <v>0.7230090307212015</v>
      </c>
      <c r="U104" s="18" t="inlineStr">
        <is>
          <t>19.5% / 20.7%</t>
        </is>
      </c>
      <c r="V104" s="18" t="inlineStr">
        <is>
          <t>일치</t>
        </is>
      </c>
      <c r="W104" s="18" t="inlineStr">
        <is>
          <t>OK</t>
        </is>
      </c>
      <c r="X104" s="18" t="inlineStr">
        <is>
          <t>ELI LILLY &amp; Co</t>
        </is>
      </c>
    </row>
    <row r="105">
      <c r="A105" s="18" t="inlineStr">
        <is>
          <t>일라이 릴리</t>
        </is>
      </c>
      <c r="B105" s="18" t="inlineStr">
        <is>
          <t>LLY</t>
        </is>
      </c>
      <c r="C105" s="18" t="n">
        <v>2019</v>
      </c>
      <c r="D105" s="18" t="inlineStr">
        <is>
          <t>2019-12-31</t>
        </is>
      </c>
      <c r="E105" s="19" t="n">
        <v>22319500000</v>
      </c>
      <c r="F105" s="19" t="n">
        <v>4974300000</v>
      </c>
      <c r="G105" s="18" t="inlineStr">
        <is>
          <t>pretax_less_nonoperating</t>
        </is>
      </c>
      <c r="H105" s="18" t="inlineStr">
        <is>
          <t>LOW</t>
        </is>
      </c>
      <c r="I105" s="20" t="n">
        <v>0.1192578666514746</v>
      </c>
      <c r="J105" s="19">
        <f>IF(F105="","",F105*(1-I105))</f>
        <v>4381075593.915569</v>
      </c>
      <c r="K105" s="19" t="n">
        <v>2699100000</v>
      </c>
      <c r="L105" s="19" t="n">
        <v>15317200000</v>
      </c>
      <c r="M105" s="19" t="n">
        <v>2438500000</v>
      </c>
      <c r="N105" s="19">
        <f>IF(COUNT(K105:M105)&lt;3,"",K105+L105-M105)</f>
        <v>15577800000.0</v>
      </c>
      <c r="O105" s="19">
        <f>N104</f>
        <v>13798800000.0</v>
      </c>
      <c r="P105" s="19">
        <f>IF(N105="","",IF(OR(O105="",O105&lt;=0,N105&lt;=0),N105,(N105+O105)/2))</f>
        <v>14688300000.0</v>
      </c>
      <c r="Q105" s="18" t="inlineStr">
        <is>
          <t>기초·기말 평균</t>
        </is>
      </c>
      <c r="R105" s="20">
        <f>IF(OR(P105="",P105&lt;=0),"",J105/P105)</f>
        <v>0.2982697517013929</v>
      </c>
      <c r="S105" s="20">
        <f>IF(R105="","",R105-0.1)</f>
        <v>0.1982697517013929</v>
      </c>
      <c r="T105" s="20">
        <f>IF(OR(P105="",E105=0,E105=""),"",P105/E105)</f>
        <v>0.6580926992092117</v>
      </c>
      <c r="U105" s="18" t="inlineStr">
        <is>
          <t>29.8% / 33.5%</t>
        </is>
      </c>
      <c r="V105" s="18" t="inlineStr">
        <is>
          <t>일치</t>
        </is>
      </c>
      <c r="W105" s="18" t="inlineStr">
        <is>
          <t>OK</t>
        </is>
      </c>
      <c r="X105" s="18" t="inlineStr">
        <is>
          <t>ELI LILLY &amp; Co</t>
        </is>
      </c>
    </row>
    <row r="106">
      <c r="A106" s="18" t="inlineStr">
        <is>
          <t>일라이 릴리</t>
        </is>
      </c>
      <c r="B106" s="18" t="inlineStr">
        <is>
          <t>LLY</t>
        </is>
      </c>
      <c r="C106" s="18" t="n">
        <v>2020</v>
      </c>
      <c r="D106" s="18" t="inlineStr">
        <is>
          <t>2020-12-31</t>
        </is>
      </c>
      <c r="E106" s="19" t="n">
        <v>24539800000</v>
      </c>
      <c r="F106" s="19" t="n">
        <v>6058000000</v>
      </c>
      <c r="G106" s="18" t="inlineStr">
        <is>
          <t>pretax_less_nonoperating</t>
        </is>
      </c>
      <c r="H106" s="18" t="inlineStr">
        <is>
          <t>LOW</t>
        </is>
      </c>
      <c r="I106" s="20" t="n">
        <v>0.1433214843912087</v>
      </c>
      <c r="J106" s="19">
        <f>IF(F106="","",F106*(1-I106))</f>
        <v>5189758447.558058</v>
      </c>
      <c r="K106" s="19" t="n">
        <v>5825200000</v>
      </c>
      <c r="L106" s="19" t="n">
        <v>16595300000</v>
      </c>
      <c r="M106" s="19" t="n">
        <v>3681300000</v>
      </c>
      <c r="N106" s="19">
        <f>IF(COUNT(K106:M106)&lt;3,"",K106+L106-M106)</f>
        <v>18739200000.0</v>
      </c>
      <c r="O106" s="19">
        <f>N105</f>
        <v>15577800000.0</v>
      </c>
      <c r="P106" s="19">
        <f>IF(N106="","",IF(OR(O106="",O106&lt;=0,N106&lt;=0),N106,(N106+O106)/2))</f>
        <v>17158500000.0</v>
      </c>
      <c r="Q106" s="18" t="inlineStr">
        <is>
          <t>기초·기말 평균</t>
        </is>
      </c>
      <c r="R106" s="20">
        <f>IF(OR(P106="",P106&lt;=0),"",J106/P106)</f>
        <v>0.3024599147686603</v>
      </c>
      <c r="S106" s="20">
        <f>IF(R106="","",R106-0.1)</f>
        <v>0.2024599147686603</v>
      </c>
      <c r="T106" s="20">
        <f>IF(OR(P106="",E106=0,E106=""),"",P106/E106)</f>
        <v>0.6992110775148942</v>
      </c>
      <c r="U106" s="18" t="inlineStr">
        <is>
          <t>30.2% / 37.7%</t>
        </is>
      </c>
      <c r="V106" s="18" t="inlineStr">
        <is>
          <t>일치</t>
        </is>
      </c>
      <c r="W106" s="18" t="inlineStr">
        <is>
          <t>OK</t>
        </is>
      </c>
      <c r="X106" s="18" t="inlineStr">
        <is>
          <t>ELI LILLY &amp; Co</t>
        </is>
      </c>
    </row>
    <row r="107">
      <c r="A107" s="18" t="inlineStr">
        <is>
          <t>일라이 릴리</t>
        </is>
      </c>
      <c r="B107" s="18" t="inlineStr">
        <is>
          <t>LLY</t>
        </is>
      </c>
      <c r="C107" s="18" t="n">
        <v>2021</v>
      </c>
      <c r="D107" s="18" t="inlineStr">
        <is>
          <t>2021-12-31</t>
        </is>
      </c>
      <c r="E107" s="19" t="n">
        <v>28318400000</v>
      </c>
      <c r="F107" s="19" t="n">
        <v>6357100000</v>
      </c>
      <c r="G107" s="18" t="inlineStr">
        <is>
          <t>pretax_less_nonoperating</t>
        </is>
      </c>
      <c r="H107" s="18" t="inlineStr">
        <is>
          <t>LOW</t>
        </is>
      </c>
      <c r="I107" s="20" t="n">
        <v>0.09321744781090081</v>
      </c>
      <c r="J107" s="19">
        <f>IF(F107="","",F107*(1-I107))</f>
        <v>5764507362.521322</v>
      </c>
      <c r="K107" s="19" t="n">
        <v>9154800000</v>
      </c>
      <c r="L107" s="19" t="n">
        <v>16884700000</v>
      </c>
      <c r="M107" s="19" t="n">
        <v>3908600000</v>
      </c>
      <c r="N107" s="19">
        <f>IF(COUNT(K107:M107)&lt;3,"",K107+L107-M107)</f>
        <v>22130900000.0</v>
      </c>
      <c r="O107" s="19">
        <f>N106</f>
        <v>18739200000.0</v>
      </c>
      <c r="P107" s="19">
        <f>IF(N107="","",IF(OR(O107="",O107&lt;=0,N107&lt;=0),N107,(N107+O107)/2))</f>
        <v>20435050000.0</v>
      </c>
      <c r="Q107" s="18" t="inlineStr">
        <is>
          <t>기초·기말 평균</t>
        </is>
      </c>
      <c r="R107" s="20">
        <f>IF(OR(P107="",P107&lt;=0),"",J107/P107)</f>
        <v>0.2820892223176025</v>
      </c>
      <c r="S107" s="20">
        <f>IF(R107="","",R107-0.1)</f>
        <v>0.18208922231760247</v>
      </c>
      <c r="T107" s="20">
        <f>IF(OR(P107="",E107=0,E107=""),"",P107/E107)</f>
        <v>0.7216173936380587</v>
      </c>
      <c r="U107" s="18" t="inlineStr">
        <is>
          <t>28.2% / 28.7%</t>
        </is>
      </c>
      <c r="V107" s="18" t="inlineStr">
        <is>
          <t>일치</t>
        </is>
      </c>
      <c r="W107" s="18" t="inlineStr">
        <is>
          <t>OK</t>
        </is>
      </c>
      <c r="X107" s="18" t="inlineStr">
        <is>
          <t>ELI LILLY &amp; Co</t>
        </is>
      </c>
    </row>
    <row r="108">
      <c r="A108" s="18" t="inlineStr">
        <is>
          <t>일라이 릴리</t>
        </is>
      </c>
      <c r="B108" s="18" t="inlineStr">
        <is>
          <t>LLY</t>
        </is>
      </c>
      <c r="C108" s="18" t="n">
        <v>2022</v>
      </c>
      <c r="D108" s="18" t="inlineStr">
        <is>
          <t>2022-12-31</t>
        </is>
      </c>
      <c r="E108" s="19" t="n">
        <v>28541400000</v>
      </c>
      <c r="F108" s="19" t="n">
        <v>7127300000</v>
      </c>
      <c r="G108" s="18" t="inlineStr">
        <is>
          <t>pretax_less_nonoperating</t>
        </is>
      </c>
      <c r="H108" s="18" t="inlineStr">
        <is>
          <t>LOW</t>
        </is>
      </c>
      <c r="I108" s="20" t="n">
        <v>0.08251057827926657</v>
      </c>
      <c r="J108" s="19">
        <f>IF(F108="","",F108*(1-I108))</f>
        <v>6539222355.430183</v>
      </c>
      <c r="K108" s="19" t="n">
        <v>10775400000</v>
      </c>
      <c r="L108" s="19" t="n">
        <v>16238600000</v>
      </c>
      <c r="M108" s="19" t="n">
        <v>2211800000</v>
      </c>
      <c r="N108" s="19">
        <f>IF(COUNT(K108:M108)&lt;3,"",K108+L108-M108)</f>
        <v>24802200000.0</v>
      </c>
      <c r="O108" s="19">
        <f>N107</f>
        <v>22130900000.0</v>
      </c>
      <c r="P108" s="19">
        <f>IF(N108="","",IF(OR(O108="",O108&lt;=0,N108&lt;=0),N108,(N108+O108)/2))</f>
        <v>23466550000.0</v>
      </c>
      <c r="Q108" s="18" t="inlineStr">
        <is>
          <t>기초·기말 평균</t>
        </is>
      </c>
      <c r="R108" s="20">
        <f>IF(OR(P108="",P108&lt;=0),"",J108/P108)</f>
        <v>0.27866142894589035</v>
      </c>
      <c r="S108" s="20">
        <f>IF(R108="","",R108-0.1)</f>
        <v>0.17866142894589035</v>
      </c>
      <c r="T108" s="20">
        <f>IF(OR(P108="",E108=0,E108=""),"",P108/E108)</f>
        <v>0.8221933752373745</v>
      </c>
      <c r="U108" s="18" t="inlineStr">
        <is>
          <t>27.9% / 27.7%</t>
        </is>
      </c>
      <c r="V108" s="18" t="inlineStr">
        <is>
          <t>일치</t>
        </is>
      </c>
      <c r="W108" s="18" t="inlineStr">
        <is>
          <t>OK</t>
        </is>
      </c>
      <c r="X108" s="18" t="inlineStr">
        <is>
          <t>ELI LILLY &amp; Co</t>
        </is>
      </c>
    </row>
    <row r="109">
      <c r="A109" s="18" t="inlineStr">
        <is>
          <t>일라이 릴리</t>
        </is>
      </c>
      <c r="B109" s="18" t="inlineStr">
        <is>
          <t>LLY</t>
        </is>
      </c>
      <c r="C109" s="18" t="n">
        <v>2023</v>
      </c>
      <c r="D109" s="18" t="inlineStr">
        <is>
          <t>2023-12-31</t>
        </is>
      </c>
      <c r="E109" s="19" t="n">
        <v>34124000000</v>
      </c>
      <c r="F109" s="19" t="n">
        <v>6457000000</v>
      </c>
      <c r="G109" s="18" t="inlineStr">
        <is>
          <t>pretax_less_nonoperating</t>
        </is>
      </c>
      <c r="H109" s="18" t="inlineStr">
        <is>
          <t>LOW</t>
        </is>
      </c>
      <c r="I109" s="20" t="n">
        <v>0.2004882514494965</v>
      </c>
      <c r="J109" s="19">
        <f>IF(F109="","",F109*(1-I109))</f>
        <v>5162447360.390601</v>
      </c>
      <c r="K109" s="19" t="n">
        <v>10863700000</v>
      </c>
      <c r="L109" s="19" t="n">
        <v>25225300000</v>
      </c>
      <c r="M109" s="19" t="n">
        <v>2927700000</v>
      </c>
      <c r="N109" s="19">
        <f>IF(COUNT(K109:M109)&lt;3,"",K109+L109-M109)</f>
        <v>33161300000.0</v>
      </c>
      <c r="O109" s="19">
        <f>N108</f>
        <v>24802200000.0</v>
      </c>
      <c r="P109" s="19">
        <f>IF(N109="","",IF(OR(O109="",O109&lt;=0,N109&lt;=0),N109,(N109+O109)/2))</f>
        <v>28981750000.0</v>
      </c>
      <c r="Q109" s="18" t="inlineStr">
        <is>
          <t>기초·기말 평균</t>
        </is>
      </c>
      <c r="R109" s="20">
        <f>IF(OR(P109="",P109&lt;=0),"",J109/P109)</f>
        <v>0.17812752371373713</v>
      </c>
      <c r="S109" s="20">
        <f>IF(R109="","",R109-0.1)</f>
        <v>0.07812752371373713</v>
      </c>
      <c r="T109" s="20">
        <f>IF(OR(P109="",E109=0,E109=""),"",P109/E109)</f>
        <v>0.8493069393974915</v>
      </c>
      <c r="U109" s="18" t="inlineStr">
        <is>
          <t>17.8% / 18.9%</t>
        </is>
      </c>
      <c r="V109" s="18" t="inlineStr">
        <is>
          <t>일치</t>
        </is>
      </c>
      <c r="W109" s="18" t="inlineStr">
        <is>
          <t>OK</t>
        </is>
      </c>
      <c r="X109" s="18" t="inlineStr">
        <is>
          <t>ELI LILLY &amp; Co</t>
        </is>
      </c>
    </row>
    <row r="110">
      <c r="A110" s="18" t="inlineStr">
        <is>
          <t>일라이 릴리</t>
        </is>
      </c>
      <c r="B110" s="18" t="inlineStr">
        <is>
          <t>LLY</t>
        </is>
      </c>
      <c r="C110" s="18" t="n">
        <v>2024</v>
      </c>
      <c r="D110" s="18" t="inlineStr">
        <is>
          <t>2024-12-31</t>
        </is>
      </c>
      <c r="E110" s="19" t="n">
        <v>45043000000</v>
      </c>
      <c r="F110" s="19" t="n">
        <v>12899000000</v>
      </c>
      <c r="G110" s="18" t="inlineStr">
        <is>
          <t>pretax_less_nonoperating</t>
        </is>
      </c>
      <c r="H110" s="18" t="inlineStr">
        <is>
          <t>LOW</t>
        </is>
      </c>
      <c r="I110" s="20" t="n">
        <v>0.1648264984227129</v>
      </c>
      <c r="J110" s="19">
        <f>IF(F110="","",F110*(1-I110))</f>
        <v>10772902996.845427</v>
      </c>
      <c r="K110" s="19" t="n">
        <v>14271600000</v>
      </c>
      <c r="L110" s="19" t="n">
        <v>33644000000</v>
      </c>
      <c r="M110" s="19" t="n">
        <v>3422800000</v>
      </c>
      <c r="N110" s="19">
        <f>IF(COUNT(K110:M110)&lt;3,"",K110+L110-M110)</f>
        <v>44492800000.0</v>
      </c>
      <c r="O110" s="19">
        <f>N109</f>
        <v>33161300000.0</v>
      </c>
      <c r="P110" s="19">
        <f>IF(N110="","",IF(OR(O110="",O110&lt;=0,N110&lt;=0),N110,(N110+O110)/2))</f>
        <v>38827050000.0</v>
      </c>
      <c r="Q110" s="18" t="inlineStr">
        <is>
          <t>기초·기말 평균</t>
        </is>
      </c>
      <c r="R110" s="20">
        <f>IF(OR(P110="",P110&lt;=0),"",J110/P110)</f>
        <v>0.2774587046104565</v>
      </c>
      <c r="S110" s="20">
        <f>IF(R110="","",R110-0.1)</f>
        <v>0.1774587046104565</v>
      </c>
      <c r="T110" s="20">
        <f>IF(OR(P110="",E110=0,E110=""),"",P110/E110)</f>
        <v>0.8619996447838731</v>
      </c>
      <c r="U110" s="18" t="inlineStr">
        <is>
          <t>27.7% / 28.6%</t>
        </is>
      </c>
      <c r="V110" s="18" t="inlineStr">
        <is>
          <t>일치</t>
        </is>
      </c>
      <c r="W110" s="18" t="inlineStr">
        <is>
          <t>OK</t>
        </is>
      </c>
      <c r="X110" s="18" t="inlineStr">
        <is>
          <t>ELI LILLY &amp; Co</t>
        </is>
      </c>
    </row>
    <row r="111">
      <c r="A111" s="18" t="inlineStr">
        <is>
          <t>일라이 릴리</t>
        </is>
      </c>
      <c r="B111" s="18" t="inlineStr">
        <is>
          <t>LLY</t>
        </is>
      </c>
      <c r="C111" s="18" t="n">
        <v>2025</v>
      </c>
      <c r="D111" s="18" t="inlineStr">
        <is>
          <t>2025-12-31</t>
        </is>
      </c>
      <c r="E111" s="19" t="n">
        <v>65179000000</v>
      </c>
      <c r="F111" s="19" t="n">
        <v>26302000000</v>
      </c>
      <c r="G111" s="18" t="inlineStr">
        <is>
          <t>pretax_less_nonoperating</t>
        </is>
      </c>
      <c r="H111" s="18" t="inlineStr">
        <is>
          <t>LOW</t>
        </is>
      </c>
      <c r="I111" s="20" t="n">
        <v>0.1978547277602891</v>
      </c>
      <c r="J111" s="19">
        <f>IF(F111="","",F111*(1-I111))</f>
        <v>21098024950.448875</v>
      </c>
      <c r="K111" s="19" t="n">
        <v>26535000000</v>
      </c>
      <c r="L111" s="19" t="n">
        <v>42503000000</v>
      </c>
      <c r="M111" s="19" t="n">
        <v>7268000000</v>
      </c>
      <c r="N111" s="19">
        <f>IF(COUNT(K111:M111)&lt;3,"",K111+L111-M111)</f>
        <v>61770000000.0</v>
      </c>
      <c r="O111" s="19">
        <f>N110</f>
        <v>44492800000.0</v>
      </c>
      <c r="P111" s="19">
        <f>IF(N111="","",IF(OR(O111="",O111&lt;=0,N111&lt;=0),N111,(N111+O111)/2))</f>
        <v>53131400000.0</v>
      </c>
      <c r="Q111" s="18" t="inlineStr">
        <is>
          <t>기초·기말 평균</t>
        </is>
      </c>
      <c r="R111" s="20">
        <f>IF(OR(P111="",P111&lt;=0),"",J111/P111)</f>
        <v>0.39709145534371154</v>
      </c>
      <c r="S111" s="20">
        <f>IF(R111="","",R111-0.1)</f>
        <v>0.2970914553437115</v>
      </c>
      <c r="T111" s="20">
        <f>IF(OR(P111="",E111=0,E111=""),"",P111/E111)</f>
        <v>0.8151613249666304</v>
      </c>
      <c r="U111" s="18" t="inlineStr">
        <is>
          <t>39.7% / 40.2%</t>
        </is>
      </c>
      <c r="V111" s="18" t="inlineStr">
        <is>
          <t>일치</t>
        </is>
      </c>
      <c r="W111" s="18" t="inlineStr">
        <is>
          <t>OK</t>
        </is>
      </c>
      <c r="X111" s="18" t="inlineStr">
        <is>
          <t>ELI LILLY &amp; Co</t>
        </is>
      </c>
    </row>
    <row r="112">
      <c r="A112" s="11" t="inlineStr">
        <is>
          <t>마이크론 테크놀로지</t>
        </is>
      </c>
      <c r="B112" s="11" t="inlineStr">
        <is>
          <t>MU</t>
        </is>
      </c>
      <c r="C112" s="11" t="n">
        <v>2015</v>
      </c>
      <c r="D112" s="11" t="inlineStr">
        <is>
          <t>2015-09-03</t>
        </is>
      </c>
      <c r="E112" s="12" t="n">
        <v>16192000000</v>
      </c>
      <c r="F112" s="12" t="n">
        <v>2998000000</v>
      </c>
      <c r="G112" s="11" t="inlineStr">
        <is>
          <t>reported</t>
        </is>
      </c>
      <c r="H112" s="11" t="inlineStr">
        <is>
          <t>HIGH</t>
        </is>
      </c>
      <c r="I112" s="13" t="n">
        <v>0.06017631276351092</v>
      </c>
      <c r="J112" s="12">
        <f>IF(F112="","",F112*(1-I112))</f>
        <v>2817591414.3349943</v>
      </c>
      <c r="K112" s="12" t="n">
        <v>13239000000</v>
      </c>
      <c r="L112" s="12" t="n">
        <v>7341000000</v>
      </c>
      <c r="M112" s="12" t="n">
        <v>3521000000</v>
      </c>
      <c r="N112" s="12">
        <f>IF(COUNT(K112:M112)&lt;3,"",K112+L112-M112)</f>
        <v>17059000000.0</v>
      </c>
      <c r="O112" s="11" t="inlineStr">
        <is>
          <t>—</t>
        </is>
      </c>
      <c r="P112" s="12" t="inlineStr">
        <is>
          <t>—</t>
        </is>
      </c>
      <c r="Q112" s="11" t="inlineStr">
        <is>
          <t>—</t>
        </is>
      </c>
      <c r="R112" s="13" t="inlineStr">
        <is>
          <t>—</t>
        </is>
      </c>
      <c r="S112" s="13" t="inlineStr">
        <is>
          <t>—</t>
        </is>
      </c>
      <c r="T112" s="13" t="inlineStr">
        <is>
          <t>—</t>
        </is>
      </c>
      <c r="U112" s="11" t="inlineStr">
        <is>
          <t>—</t>
        </is>
      </c>
      <c r="V112" s="11" t="inlineStr">
        <is>
          <t>—</t>
        </is>
      </c>
      <c r="W112" s="11" t="inlineStr">
        <is>
          <t>다음 해 평균 투하자본의 기초값으로만 사용 (보고 기간 밖 — 자체 비율은 계산하지 않음)</t>
        </is>
      </c>
      <c r="X112" s="11" t="inlineStr">
        <is>
          <t>MICRON TECHNOLOGY INC</t>
        </is>
      </c>
    </row>
    <row r="113">
      <c r="A113" s="11" t="inlineStr">
        <is>
          <t>마이크론 테크놀로지</t>
        </is>
      </c>
      <c r="B113" s="11" t="inlineStr">
        <is>
          <t>MU</t>
        </is>
      </c>
      <c r="C113" s="11" t="n">
        <v>2016</v>
      </c>
      <c r="D113" s="11" t="inlineStr">
        <is>
          <t>2016-09-01</t>
        </is>
      </c>
      <c r="E113" s="12" t="n">
        <v>12399000000</v>
      </c>
      <c r="F113" s="12" t="n">
        <v>168000000</v>
      </c>
      <c r="G113" s="11" t="inlineStr">
        <is>
          <t>reported</t>
        </is>
      </c>
      <c r="H113" s="11" t="inlineStr">
        <is>
          <t>HIGH</t>
        </is>
      </c>
      <c r="I113" s="13" t="n">
        <v>0.21</v>
      </c>
      <c r="J113" s="12">
        <f>IF(F113="","",F113*(1-I113))</f>
        <v>132720000.0</v>
      </c>
      <c r="K113" s="12" t="n">
        <v>12928000000</v>
      </c>
      <c r="L113" s="12" t="n">
        <v>9910000000</v>
      </c>
      <c r="M113" s="12" t="n">
        <v>4398000000</v>
      </c>
      <c r="N113" s="12">
        <f>IF(COUNT(K113:M113)&lt;3,"",K113+L113-M113)</f>
        <v>18440000000.0</v>
      </c>
      <c r="O113" s="12" t="inlineStr">
        <is>
          <t>—</t>
        </is>
      </c>
      <c r="P113" s="12" t="inlineStr">
        <is>
          <t>—</t>
        </is>
      </c>
      <c r="Q113" s="11" t="inlineStr">
        <is>
          <t>—</t>
        </is>
      </c>
      <c r="R113" s="13" t="inlineStr">
        <is>
          <t>—</t>
        </is>
      </c>
      <c r="S113" s="13" t="inlineStr">
        <is>
          <t>—</t>
        </is>
      </c>
      <c r="T113" s="13" t="inlineStr">
        <is>
          <t>—</t>
        </is>
      </c>
      <c r="U113" s="11" t="inlineStr">
        <is>
          <t>—</t>
        </is>
      </c>
      <c r="V113" s="11" t="inlineStr">
        <is>
          <t>—</t>
        </is>
      </c>
      <c r="W113" s="11" t="inlineStr">
        <is>
          <t>다음 해 평균 투하자본의 기초값으로만 사용 (보고 기간 밖 — 자체 비율은 계산하지 않음)</t>
        </is>
      </c>
      <c r="X113" s="11" t="inlineStr">
        <is>
          <t>MICRON TECHNOLOGY INC</t>
        </is>
      </c>
    </row>
    <row r="114">
      <c r="A114" t="inlineStr">
        <is>
          <t>마이크론 테크놀로지</t>
        </is>
      </c>
      <c r="B114" t="inlineStr">
        <is>
          <t>MU</t>
        </is>
      </c>
      <c r="C114" t="n">
        <v>2017</v>
      </c>
      <c r="D114" t="inlineStr">
        <is>
          <t>2017-08-31</t>
        </is>
      </c>
      <c r="E114" s="14" t="n">
        <v>20322000000</v>
      </c>
      <c r="F114" s="14" t="n">
        <v>5868000000</v>
      </c>
      <c r="G114" t="inlineStr">
        <is>
          <t>reported</t>
        </is>
      </c>
      <c r="H114" t="inlineStr">
        <is>
          <t>HIGH</t>
        </is>
      </c>
      <c r="I114" s="15" t="n">
        <v>0.05</v>
      </c>
      <c r="J114" s="14">
        <f>IF(F114="","",F114*(1-I114))</f>
        <v>5574600000.0</v>
      </c>
      <c r="K114" s="14" t="n">
        <v>19470000000</v>
      </c>
      <c r="L114" s="14" t="n">
        <v>11134000000</v>
      </c>
      <c r="M114" s="14" t="n">
        <v>5428000000</v>
      </c>
      <c r="N114" s="14">
        <f>IF(COUNT(K114:M114)&lt;3,"",K114+L114-M114)</f>
        <v>25176000000.0</v>
      </c>
      <c r="O114" s="14">
        <f>N113</f>
        <v>18440000000.0</v>
      </c>
      <c r="P114" s="14">
        <f>IF(N114="","",IF(OR(O114="",O114&lt;=0,N114&lt;=0),N114,(N114+O114)/2))</f>
        <v>21808000000.0</v>
      </c>
      <c r="Q114" t="inlineStr">
        <is>
          <t>기초·기말 평균</t>
        </is>
      </c>
      <c r="R114" s="15">
        <f>IF(OR(P114="",P114&lt;=0),"",J114/P114)</f>
        <v>0.2556217901687454</v>
      </c>
      <c r="S114" s="15">
        <f>IF(R114="","",R114-0.1)</f>
        <v>0.15562179016874542</v>
      </c>
      <c r="T114" s="15">
        <f>IF(OR(P114="",E114=0,E114=""),"",P114/E114)</f>
        <v>1.0731227241413246</v>
      </c>
      <c r="U114" t="inlineStr">
        <is>
          <t>—</t>
        </is>
      </c>
      <c r="V114" t="inlineStr">
        <is>
          <t>—</t>
        </is>
      </c>
      <c r="W114" t="inlineStr">
        <is>
          <t>OK</t>
        </is>
      </c>
      <c r="X114" t="inlineStr">
        <is>
          <t>MICRON TECHNOLOGY INC</t>
        </is>
      </c>
    </row>
    <row r="115">
      <c r="A115" t="inlineStr">
        <is>
          <t>마이크론 테크놀로지</t>
        </is>
      </c>
      <c r="B115" t="inlineStr">
        <is>
          <t>MU</t>
        </is>
      </c>
      <c r="C115" t="n">
        <v>2018</v>
      </c>
      <c r="D115" t="inlineStr">
        <is>
          <t>2018-08-30</t>
        </is>
      </c>
      <c r="E115" s="14" t="n">
        <v>30391000000</v>
      </c>
      <c r="F115" s="14" t="n">
        <v>14994000000</v>
      </c>
      <c r="G115" t="inlineStr">
        <is>
          <t>reported</t>
        </is>
      </c>
      <c r="H115" t="inlineStr">
        <is>
          <t>HIGH</t>
        </is>
      </c>
      <c r="I115" s="15" t="n">
        <v>0.05</v>
      </c>
      <c r="J115" s="14">
        <f>IF(F115="","",F115*(1-I115))</f>
        <v>14244300000.0</v>
      </c>
      <c r="K115" s="14" t="n">
        <v>33164000000</v>
      </c>
      <c r="L115" s="14" t="n">
        <v>4636000000</v>
      </c>
      <c r="M115" s="14" t="n">
        <v>6802000000</v>
      </c>
      <c r="N115" s="14">
        <f>IF(COUNT(K115:M115)&lt;3,"",K115+L115-M115)</f>
        <v>30998000000.0</v>
      </c>
      <c r="O115" s="14">
        <f>N114</f>
        <v>25176000000.0</v>
      </c>
      <c r="P115" s="14">
        <f>IF(N115="","",IF(OR(O115="",O115&lt;=0,N115&lt;=0),N115,(N115+O115)/2))</f>
        <v>28087000000.0</v>
      </c>
      <c r="Q115" t="inlineStr">
        <is>
          <t>기초·기말 평균</t>
        </is>
      </c>
      <c r="R115" s="15">
        <f>IF(OR(P115="",P115&lt;=0),"",J115/P115)</f>
        <v>0.5071492149392958</v>
      </c>
      <c r="S115" s="15">
        <f>IF(R115="","",R115-0.1)</f>
        <v>0.4071492149392958</v>
      </c>
      <c r="T115" s="15">
        <f>IF(OR(P115="",E115=0,E115=""),"",P115/E115)</f>
        <v>0.9241880819979599</v>
      </c>
      <c r="U115" t="inlineStr">
        <is>
          <t>—</t>
        </is>
      </c>
      <c r="V115" t="inlineStr">
        <is>
          <t>—</t>
        </is>
      </c>
      <c r="W115" t="inlineStr">
        <is>
          <t>OK</t>
        </is>
      </c>
      <c r="X115" t="inlineStr">
        <is>
          <t>MICRON TECHNOLOGY INC</t>
        </is>
      </c>
    </row>
    <row r="116">
      <c r="A116" t="inlineStr">
        <is>
          <t>마이크론 테크놀로지</t>
        </is>
      </c>
      <c r="B116" t="inlineStr">
        <is>
          <t>MU</t>
        </is>
      </c>
      <c r="C116" t="n">
        <v>2019</v>
      </c>
      <c r="D116" t="inlineStr">
        <is>
          <t>2019-08-29</t>
        </is>
      </c>
      <c r="E116" s="14" t="n">
        <v>23406000000</v>
      </c>
      <c r="F116" s="14" t="n">
        <v>7376000000</v>
      </c>
      <c r="G116" t="inlineStr">
        <is>
          <t>reported</t>
        </is>
      </c>
      <c r="H116" t="inlineStr">
        <is>
          <t>HIGH</t>
        </is>
      </c>
      <c r="I116" s="15" t="n">
        <v>0.09832576617480136</v>
      </c>
      <c r="J116" s="14">
        <f>IF(F116="","",F116*(1-I116))</f>
        <v>6650749148.694665</v>
      </c>
      <c r="K116" s="14" t="n">
        <v>36770000000</v>
      </c>
      <c r="L116" s="14" t="n">
        <v>5851000000</v>
      </c>
      <c r="M116" s="14" t="n">
        <v>7955000000</v>
      </c>
      <c r="N116" s="14">
        <f>IF(COUNT(K116:M116)&lt;3,"",K116+L116-M116)</f>
        <v>34666000000.0</v>
      </c>
      <c r="O116" s="14">
        <f>N115</f>
        <v>30998000000.0</v>
      </c>
      <c r="P116" s="14">
        <f>IF(N116="","",IF(OR(O116="",O116&lt;=0,N116&lt;=0),N116,(N116+O116)/2))</f>
        <v>32832000000.0</v>
      </c>
      <c r="Q116" t="inlineStr">
        <is>
          <t>기초·기말 평균</t>
        </is>
      </c>
      <c r="R116" s="15">
        <f>IF(OR(P116="",P116&lt;=0),"",J116/P116)</f>
        <v>0.20256911393441354</v>
      </c>
      <c r="S116" s="15">
        <f>IF(R116="","",R116-0.1)</f>
        <v>0.10256911393441354</v>
      </c>
      <c r="T116" s="15">
        <f>IF(OR(P116="",E116=0,E116=""),"",P116/E116)</f>
        <v>1.4027172519866702</v>
      </c>
      <c r="U116" t="inlineStr">
        <is>
          <t>—</t>
        </is>
      </c>
      <c r="V116" t="inlineStr">
        <is>
          <t>—</t>
        </is>
      </c>
      <c r="W116" t="inlineStr">
        <is>
          <t>OK</t>
        </is>
      </c>
      <c r="X116" t="inlineStr">
        <is>
          <t>MICRON TECHNOLOGY INC</t>
        </is>
      </c>
    </row>
    <row r="117">
      <c r="A117" t="inlineStr">
        <is>
          <t>마이크론 테크놀로지</t>
        </is>
      </c>
      <c r="B117" t="inlineStr">
        <is>
          <t>MU</t>
        </is>
      </c>
      <c r="C117" t="n">
        <v>2020</v>
      </c>
      <c r="D117" t="inlineStr">
        <is>
          <t>2020-09-03</t>
        </is>
      </c>
      <c r="E117" s="14" t="n">
        <v>21435000000</v>
      </c>
      <c r="F117" s="14" t="n">
        <v>3003000000</v>
      </c>
      <c r="G117" t="inlineStr">
        <is>
          <t>reported</t>
        </is>
      </c>
      <c r="H117" t="inlineStr">
        <is>
          <t>HIGH</t>
        </is>
      </c>
      <c r="I117" s="15" t="n">
        <v>0.09386523633925578</v>
      </c>
      <c r="J117" s="14">
        <f>IF(F117="","",F117*(1-I117))</f>
        <v>2721122695.273215</v>
      </c>
      <c r="K117" s="14" t="n">
        <v>38996000000</v>
      </c>
      <c r="L117" s="14" t="n">
        <v>6643000000</v>
      </c>
      <c r="M117" s="14" t="n">
        <v>8142000000</v>
      </c>
      <c r="N117" s="14">
        <f>IF(COUNT(K117:M117)&lt;3,"",K117+L117-M117)</f>
        <v>37497000000.0</v>
      </c>
      <c r="O117" s="14">
        <f>N116</f>
        <v>34666000000.0</v>
      </c>
      <c r="P117" s="14">
        <f>IF(N117="","",IF(OR(O117="",O117&lt;=0,N117&lt;=0),N117,(N117+O117)/2))</f>
        <v>36081500000.0</v>
      </c>
      <c r="Q117" t="inlineStr">
        <is>
          <t>기초·기말 평균</t>
        </is>
      </c>
      <c r="R117" s="15">
        <f>IF(OR(P117="",P117&lt;=0),"",J117/P117)</f>
        <v>0.07541600807264706</v>
      </c>
      <c r="S117" s="15">
        <f>IF(R117="","",R117-0.1)</f>
        <v>-0.024583991927352944</v>
      </c>
      <c r="T117" s="15">
        <f>IF(OR(P117="",E117=0,E117=""),"",P117/E117)</f>
        <v>1.6832983438301843</v>
      </c>
      <c r="U117" t="inlineStr">
        <is>
          <t>—</t>
        </is>
      </c>
      <c r="V117" t="inlineStr">
        <is>
          <t>—</t>
        </is>
      </c>
      <c r="W117" t="inlineStr">
        <is>
          <t>OK</t>
        </is>
      </c>
      <c r="X117" t="inlineStr">
        <is>
          <t>MICRON TECHNOLOGY INC</t>
        </is>
      </c>
    </row>
    <row r="118">
      <c r="A118" t="inlineStr">
        <is>
          <t>마이크론 테크놀로지</t>
        </is>
      </c>
      <c r="B118" t="inlineStr">
        <is>
          <t>MU</t>
        </is>
      </c>
      <c r="C118" t="n">
        <v>2021</v>
      </c>
      <c r="D118" t="inlineStr">
        <is>
          <t>2021-09-02</t>
        </is>
      </c>
      <c r="E118" s="14" t="n">
        <v>27705000000</v>
      </c>
      <c r="F118" s="14" t="n">
        <v>6283000000</v>
      </c>
      <c r="G118" t="inlineStr">
        <is>
          <t>reported</t>
        </is>
      </c>
      <c r="H118" t="inlineStr">
        <is>
          <t>HIGH</t>
        </is>
      </c>
      <c r="I118" s="15" t="n">
        <v>0.06336442586040528</v>
      </c>
      <c r="J118" s="14">
        <f>IF(F118="","",F118*(1-I118))</f>
        <v>5884881312.319074</v>
      </c>
      <c r="K118" s="14" t="n">
        <v>43933000000</v>
      </c>
      <c r="L118" s="14" t="n">
        <v>6776000000</v>
      </c>
      <c r="M118" s="14" t="n">
        <v>8633000000</v>
      </c>
      <c r="N118" s="14">
        <f>IF(COUNT(K118:M118)&lt;3,"",K118+L118-M118)</f>
        <v>42076000000.0</v>
      </c>
      <c r="O118" s="14">
        <f>N117</f>
        <v>37497000000.0</v>
      </c>
      <c r="P118" s="14">
        <f>IF(N118="","",IF(OR(O118="",O118&lt;=0,N118&lt;=0),N118,(N118+O118)/2))</f>
        <v>39786500000.0</v>
      </c>
      <c r="Q118" t="inlineStr">
        <is>
          <t>기초·기말 평균</t>
        </is>
      </c>
      <c r="R118" s="15">
        <f>IF(OR(P118="",P118&lt;=0),"",J118/P118)</f>
        <v>0.1479115104952452</v>
      </c>
      <c r="S118" s="15">
        <f>IF(R118="","",R118-0.1)</f>
        <v>0.047911510495245196</v>
      </c>
      <c r="T118" s="15">
        <f>IF(OR(P118="",E118=0,E118=""),"",P118/E118)</f>
        <v>1.4360765204836672</v>
      </c>
      <c r="U118" t="inlineStr">
        <is>
          <t>—</t>
        </is>
      </c>
      <c r="V118" t="inlineStr">
        <is>
          <t>—</t>
        </is>
      </c>
      <c r="W118" t="inlineStr">
        <is>
          <t>OK</t>
        </is>
      </c>
      <c r="X118" t="inlineStr">
        <is>
          <t>MICRON TECHNOLOGY INC</t>
        </is>
      </c>
    </row>
    <row r="119">
      <c r="A119" t="inlineStr">
        <is>
          <t>마이크론 테크놀로지</t>
        </is>
      </c>
      <c r="B119" t="inlineStr">
        <is>
          <t>MU</t>
        </is>
      </c>
      <c r="C119" t="n">
        <v>2022</v>
      </c>
      <c r="D119" t="inlineStr">
        <is>
          <t>2022-09-01</t>
        </is>
      </c>
      <c r="E119" s="14" t="n">
        <v>30758000000</v>
      </c>
      <c r="F119" s="14" t="n">
        <v>9702000000</v>
      </c>
      <c r="G119" t="inlineStr">
        <is>
          <t>reported</t>
        </is>
      </c>
      <c r="H119" t="inlineStr">
        <is>
          <t>HIGH</t>
        </is>
      </c>
      <c r="I119" s="15" t="n">
        <v>0.09278027374360046</v>
      </c>
      <c r="J119" s="14">
        <f>IF(F119="","",F119*(1-I119))</f>
        <v>8801845784.13959</v>
      </c>
      <c r="K119" s="14" t="n">
        <v>49907000000</v>
      </c>
      <c r="L119" s="14" t="n">
        <v>6906000000</v>
      </c>
      <c r="M119" s="14" t="n">
        <v>9331000000</v>
      </c>
      <c r="N119" s="14">
        <f>IF(COUNT(K119:M119)&lt;3,"",K119+L119-M119)</f>
        <v>47482000000.0</v>
      </c>
      <c r="O119" s="14">
        <f>N118</f>
        <v>42076000000.0</v>
      </c>
      <c r="P119" s="14">
        <f>IF(N119="","",IF(OR(O119="",O119&lt;=0,N119&lt;=0),N119,(N119+O119)/2))</f>
        <v>44779000000.0</v>
      </c>
      <c r="Q119" t="inlineStr">
        <is>
          <t>기초·기말 평균</t>
        </is>
      </c>
      <c r="R119" s="15">
        <f>IF(OR(P119="",P119&lt;=0),"",J119/P119)</f>
        <v>0.19656191036288415</v>
      </c>
      <c r="S119" s="15">
        <f>IF(R119="","",R119-0.1)</f>
        <v>0.09656191036288414</v>
      </c>
      <c r="T119" s="15">
        <f>IF(OR(P119="",E119=0,E119=""),"",P119/E119)</f>
        <v>1.4558488848429676</v>
      </c>
      <c r="U119" t="inlineStr">
        <is>
          <t>—</t>
        </is>
      </c>
      <c r="V119" t="inlineStr">
        <is>
          <t>—</t>
        </is>
      </c>
      <c r="W119" t="inlineStr">
        <is>
          <t>OK</t>
        </is>
      </c>
      <c r="X119" t="inlineStr">
        <is>
          <t>MICRON TECHNOLOGY INC</t>
        </is>
      </c>
    </row>
    <row r="120">
      <c r="A120" t="inlineStr">
        <is>
          <t>마이크론 테크놀로지</t>
        </is>
      </c>
      <c r="B120" t="inlineStr">
        <is>
          <t>MU</t>
        </is>
      </c>
      <c r="C120" t="n">
        <v>2023</v>
      </c>
      <c r="D120" t="inlineStr">
        <is>
          <t>2023-08-31</t>
        </is>
      </c>
      <c r="E120" s="14" t="n">
        <v>15540000000</v>
      </c>
      <c r="F120" s="14" t="n">
        <v>-5745000000</v>
      </c>
      <c r="G120" t="inlineStr">
        <is>
          <t>reported</t>
        </is>
      </c>
      <c r="H120" t="inlineStr">
        <is>
          <t>HIGH</t>
        </is>
      </c>
      <c r="I120" s="15" t="n">
        <v>0.21</v>
      </c>
      <c r="J120" s="14">
        <f>IF(F120="","",F120*(1-I120))</f>
        <v>-4538550000.0</v>
      </c>
      <c r="K120" s="14" t="n">
        <v>44120000000</v>
      </c>
      <c r="L120" s="14" t="n">
        <v>13330000000</v>
      </c>
      <c r="M120" s="14" t="n">
        <v>9594000000</v>
      </c>
      <c r="N120" s="14">
        <f>IF(COUNT(K120:M120)&lt;3,"",K120+L120-M120)</f>
        <v>47856000000.0</v>
      </c>
      <c r="O120" s="14">
        <f>N119</f>
        <v>47482000000.0</v>
      </c>
      <c r="P120" s="14">
        <f>IF(N120="","",IF(OR(O120="",O120&lt;=0,N120&lt;=0),N120,(N120+O120)/2))</f>
        <v>47669000000.0</v>
      </c>
      <c r="Q120" t="inlineStr">
        <is>
          <t>기초·기말 평균</t>
        </is>
      </c>
      <c r="R120" s="15">
        <f>IF(OR(P120="",P120&lt;=0),"",J120/P120)</f>
        <v>-0.09520967505087163</v>
      </c>
      <c r="S120" s="15">
        <f>IF(R120="","",R120-0.1)</f>
        <v>-0.19520967505087164</v>
      </c>
      <c r="T120" s="15">
        <f>IF(OR(P120="",E120=0,E120=""),"",P120/E120)</f>
        <v>3.0675032175032175</v>
      </c>
      <c r="U120" t="inlineStr">
        <is>
          <t>—</t>
        </is>
      </c>
      <c r="V120" t="inlineStr">
        <is>
          <t>—</t>
        </is>
      </c>
      <c r="W120" t="inlineStr">
        <is>
          <t>OK</t>
        </is>
      </c>
      <c r="X120" t="inlineStr">
        <is>
          <t>MICRON TECHNOLOGY INC</t>
        </is>
      </c>
    </row>
    <row r="121">
      <c r="A121" t="inlineStr">
        <is>
          <t>마이크론 테크놀로지</t>
        </is>
      </c>
      <c r="B121" t="inlineStr">
        <is>
          <t>MU</t>
        </is>
      </c>
      <c r="C121" t="n">
        <v>2024</v>
      </c>
      <c r="D121" t="inlineStr">
        <is>
          <t>2024-08-29</t>
        </is>
      </c>
      <c r="E121" s="14" t="n">
        <v>25111000000</v>
      </c>
      <c r="F121" s="14" t="n">
        <v>1304000000</v>
      </c>
      <c r="G121" t="inlineStr">
        <is>
          <t>reported</t>
        </is>
      </c>
      <c r="H121" t="inlineStr">
        <is>
          <t>HIGH</t>
        </is>
      </c>
      <c r="I121" s="15" t="n">
        <v>0.3637096774193548</v>
      </c>
      <c r="J121" s="14">
        <f>IF(F121="","",F121*(1-I121))</f>
        <v>829722580.6451614</v>
      </c>
      <c r="K121" s="14" t="n">
        <v>45131000000</v>
      </c>
      <c r="L121" s="14" t="n">
        <v>13397000000</v>
      </c>
      <c r="M121" s="14" t="n">
        <v>8106000000</v>
      </c>
      <c r="N121" s="14">
        <f>IF(COUNT(K121:M121)&lt;3,"",K121+L121-M121)</f>
        <v>50422000000.0</v>
      </c>
      <c r="O121" s="14">
        <f>N120</f>
        <v>47856000000.0</v>
      </c>
      <c r="P121" s="14">
        <f>IF(N121="","",IF(OR(O121="",O121&lt;=0,N121&lt;=0),N121,(N121+O121)/2))</f>
        <v>49139000000.0</v>
      </c>
      <c r="Q121" t="inlineStr">
        <is>
          <t>기초·기말 평균</t>
        </is>
      </c>
      <c r="R121" s="15">
        <f>IF(OR(P121="",P121&lt;=0),"",J121/P121)</f>
        <v>0.016885215015469614</v>
      </c>
      <c r="S121" s="15">
        <f>IF(R121="","",R121-0.1)</f>
        <v>-0.0831147849845304</v>
      </c>
      <c r="T121" s="15">
        <f>IF(OR(P121="",E121=0,E121=""),"",P121/E121)</f>
        <v>1.9568714905818168</v>
      </c>
      <c r="U121" t="inlineStr">
        <is>
          <t>—</t>
        </is>
      </c>
      <c r="V121" t="inlineStr">
        <is>
          <t>—</t>
        </is>
      </c>
      <c r="W121" t="inlineStr">
        <is>
          <t>OK</t>
        </is>
      </c>
      <c r="X121" t="inlineStr">
        <is>
          <t>MICRON TECHNOLOGY INC</t>
        </is>
      </c>
    </row>
    <row r="122">
      <c r="A122" t="inlineStr">
        <is>
          <t>마이크론 테크놀로지</t>
        </is>
      </c>
      <c r="B122" t="inlineStr">
        <is>
          <t>MU</t>
        </is>
      </c>
      <c r="C122" t="n">
        <v>2025</v>
      </c>
      <c r="D122" t="inlineStr">
        <is>
          <t>2025-08-28</t>
        </is>
      </c>
      <c r="E122" s="14" t="n">
        <v>37378000000</v>
      </c>
      <c r="F122" s="14" t="n">
        <v>9770000000</v>
      </c>
      <c r="G122" t="inlineStr">
        <is>
          <t>reported</t>
        </is>
      </c>
      <c r="H122" t="inlineStr">
        <is>
          <t>HIGH</t>
        </is>
      </c>
      <c r="I122" s="15" t="n">
        <v>0.1164284234514191</v>
      </c>
      <c r="J122" s="14">
        <f>IF(F122="","",F122*(1-I122))</f>
        <v>8632494302.879635</v>
      </c>
      <c r="K122" s="14" t="n">
        <v>54165000000</v>
      </c>
      <c r="L122" s="14" t="n">
        <v>14577000000</v>
      </c>
      <c r="M122" s="14" t="n">
        <v>10307000000</v>
      </c>
      <c r="N122" s="14">
        <f>IF(COUNT(K122:M122)&lt;3,"",K122+L122-M122)</f>
        <v>58435000000.0</v>
      </c>
      <c r="O122" s="14">
        <f>N121</f>
        <v>50422000000.0</v>
      </c>
      <c r="P122" s="14">
        <f>IF(N122="","",IF(OR(O122="",O122&lt;=0,N122&lt;=0),N122,(N122+O122)/2))</f>
        <v>54428500000.0</v>
      </c>
      <c r="Q122" t="inlineStr">
        <is>
          <t>기초·기말 평균</t>
        </is>
      </c>
      <c r="R122" s="15">
        <f>IF(OR(P122="",P122&lt;=0),"",J122/P122)</f>
        <v>0.15860246567294037</v>
      </c>
      <c r="S122" s="15">
        <f>IF(R122="","",R122-0.1)</f>
        <v>0.05860246567294036</v>
      </c>
      <c r="T122" s="15">
        <f>IF(OR(P122="",E122=0,E122=""),"",P122/E122)</f>
        <v>1.4561640537214404</v>
      </c>
      <c r="U122" t="inlineStr">
        <is>
          <t>—</t>
        </is>
      </c>
      <c r="V122" t="inlineStr">
        <is>
          <t>—</t>
        </is>
      </c>
      <c r="W122" t="inlineStr">
        <is>
          <t>OK</t>
        </is>
      </c>
      <c r="X122" t="inlineStr">
        <is>
          <t>MICRON TECHNOLOGY INC</t>
        </is>
      </c>
    </row>
    <row r="123">
      <c r="A123" t="inlineStr">
        <is>
          <t>마이크론 테크놀로지</t>
        </is>
      </c>
      <c r="B123" t="inlineStr">
        <is>
          <t>MU</t>
        </is>
      </c>
      <c r="C123" t="n">
        <v>2026</v>
      </c>
      <c r="D123" t="inlineStr">
        <is>
          <t>2026-09-03</t>
        </is>
      </c>
      <c r="E123" s="14" t="n">
        <v>133188000000</v>
      </c>
      <c r="F123" s="14" t="n">
        <v>99340000000</v>
      </c>
      <c r="G123" t="inlineStr">
        <is>
          <t>reported</t>
        </is>
      </c>
      <c r="H123" t="inlineStr">
        <is>
          <t>HIGH</t>
        </is>
      </c>
      <c r="I123" s="15" t="n">
        <v>0.1480972399193346</v>
      </c>
      <c r="J123" s="14">
        <f>IF(F123="","",F123*(1-I123))</f>
        <v>84628020186.4133</v>
      </c>
      <c r="K123" s="14" t="n">
        <v>138378000000</v>
      </c>
      <c r="L123" s="14" t="n">
        <v>5179000000</v>
      </c>
      <c r="M123" s="14" t="n">
        <v>43434000000</v>
      </c>
      <c r="N123" s="14">
        <f>IF(COUNT(K123:M123)&lt;3,"",K123+L123-M123)</f>
        <v>100123000000.0</v>
      </c>
      <c r="O123" s="14">
        <f>N122</f>
        <v>58435000000.0</v>
      </c>
      <c r="P123" s="14">
        <f>IF(N123="","",IF(OR(O123="",O123&lt;=0,N123&lt;=0),N123,(N123+O123)/2))</f>
        <v>79279000000.0</v>
      </c>
      <c r="Q123" t="inlineStr">
        <is>
          <t>기초·기말 평균</t>
        </is>
      </c>
      <c r="R123" s="15">
        <f>IF(OR(P123="",P123&lt;=0),"",J123/P123)</f>
        <v>1.067470833214512</v>
      </c>
      <c r="S123" s="15">
        <f>IF(R123="","",R123-0.1)</f>
        <v>0.967470833214512</v>
      </c>
      <c r="T123" s="15">
        <f>IF(OR(P123="",E123=0,E123=""),"",P123/E123)</f>
        <v>0.595241313031204</v>
      </c>
      <c r="U123" t="inlineStr">
        <is>
          <t>—</t>
        </is>
      </c>
      <c r="V123" t="inlineStr">
        <is>
          <t>—</t>
        </is>
      </c>
      <c r="W123" t="inlineStr">
        <is>
          <t>OK</t>
        </is>
      </c>
      <c r="X123" t="inlineStr">
        <is>
          <t>MICRON TECHNOLOGY INC</t>
        </is>
      </c>
    </row>
    <row r="124">
      <c r="A124" s="11" t="inlineStr">
        <is>
          <t>JP모건 체이스</t>
        </is>
      </c>
      <c r="B124" s="11" t="inlineStr">
        <is>
          <t>JPM</t>
        </is>
      </c>
      <c r="C124" s="11" t="n">
        <v>2015</v>
      </c>
      <c r="D124" s="11" t="inlineStr">
        <is>
          <t>2015-12-31</t>
        </is>
      </c>
      <c r="E124" s="12" t="n">
        <v>93543000000</v>
      </c>
      <c r="F124" s="12" t="n">
        <v>29909000000</v>
      </c>
      <c r="G124" s="11" t="inlineStr">
        <is>
          <t>pretax_plus_interest_less_investment_income</t>
        </is>
      </c>
      <c r="H124" s="11" t="inlineStr">
        <is>
          <t>LOW</t>
        </is>
      </c>
      <c r="I124" s="13" t="n">
        <v>0.2038955116930493</v>
      </c>
      <c r="J124" s="12">
        <f>IF(F124="","",F124*(1-I124))</f>
        <v>23810689140.772587</v>
      </c>
      <c r="K124" s="12" t="n">
        <v>247573000000</v>
      </c>
      <c r="L124" s="12" t="n">
        <v>15562000000</v>
      </c>
      <c r="M124" s="12" t="n">
        <v>361683000000</v>
      </c>
      <c r="N124" s="12">
        <f>IF(COUNT(K124:M124)&lt;3,"",K124+L124-M124)</f>
        <v>-98548000000.0</v>
      </c>
      <c r="O124" s="11" t="inlineStr">
        <is>
          <t>—</t>
        </is>
      </c>
      <c r="P124" s="12" t="inlineStr">
        <is>
          <t>—</t>
        </is>
      </c>
      <c r="Q124" s="11" t="inlineStr">
        <is>
          <t>—</t>
        </is>
      </c>
      <c r="R124" s="11" t="inlineStr">
        <is>
          <t>—</t>
        </is>
      </c>
      <c r="S124" s="11" t="inlineStr">
        <is>
          <t>—</t>
        </is>
      </c>
      <c r="T124" s="13" t="inlineStr">
        <is>
          <t>—</t>
        </is>
      </c>
      <c r="U124" s="11" t="inlineStr">
        <is>
          <t>—</t>
        </is>
      </c>
      <c r="V124" s="11" t="inlineStr">
        <is>
          <t>—</t>
        </is>
      </c>
      <c r="W124" s="11" t="inlineStr">
        <is>
          <t>다음 해 평균 투하자본의 기초값으로만 사용 (보고 기간 밖 — 자체 비율은 계산하지 않음)</t>
        </is>
      </c>
      <c r="X124" s="11" t="inlineStr">
        <is>
          <t>JPMORGAN CHASE &amp; CO</t>
        </is>
      </c>
    </row>
    <row r="125">
      <c r="A125" s="18" t="inlineStr">
        <is>
          <t>JP모건 체이스</t>
        </is>
      </c>
      <c r="B125" s="18" t="inlineStr">
        <is>
          <t>JPM</t>
        </is>
      </c>
      <c r="C125" s="18" t="n">
        <v>2016</v>
      </c>
      <c r="D125" s="18" t="inlineStr">
        <is>
          <t>2016-12-31</t>
        </is>
      </c>
      <c r="E125" s="19" t="n">
        <v>96569000000</v>
      </c>
      <c r="F125" s="19" t="n">
        <v>37050000000</v>
      </c>
      <c r="G125" s="18" t="inlineStr">
        <is>
          <t>pretax_plus_interest_less_investment_income</t>
        </is>
      </c>
      <c r="H125" s="18" t="inlineStr">
        <is>
          <t>LOW</t>
        </is>
      </c>
      <c r="I125" s="20" t="n">
        <v>0.283848737549224</v>
      </c>
      <c r="J125" s="19">
        <f>IF(F125="","",F125*(1-I125))</f>
        <v>26533404273.80125</v>
      </c>
      <c r="K125" s="19" t="n">
        <v>254190000000</v>
      </c>
      <c r="L125" s="19" t="n">
        <v>34443000000</v>
      </c>
      <c r="M125" s="19" t="n">
        <v>391154000000</v>
      </c>
      <c r="N125" s="19">
        <f>IF(COUNT(K125:M125)&lt;3,"",K125+L125-M125)</f>
        <v>-102521000000.0</v>
      </c>
      <c r="O125" s="19">
        <f>N124</f>
        <v>-98548000000.0</v>
      </c>
      <c r="P125" s="19">
        <f>IF(N125="","",IF(OR(O125="",O125&lt;=0,N125&lt;=0),N125,(N125+O125)/2))</f>
        <v>-102521000000.0</v>
      </c>
      <c r="Q125" s="18" t="inlineStr">
        <is>
          <t>기말 단독 (기초 또는 기말 자본이 0 이하)</t>
        </is>
      </c>
      <c r="R125" s="18" t="inlineStr">
        <is>
          <t>—</t>
        </is>
      </c>
      <c r="S125" s="18" t="inlineStr">
        <is>
          <t>—</t>
        </is>
      </c>
      <c r="T125" s="20">
        <f>IF(OR(P125="",E125=0,E125=""),"",P125/E125)</f>
        <v>-1.0616346860793837</v>
      </c>
      <c r="U125" s="18" t="inlineStr">
        <is>
          <t>—</t>
        </is>
      </c>
      <c r="V125" s="18" t="inlineStr">
        <is>
          <t>—</t>
        </is>
      </c>
      <c r="W125" s="18" t="inlineStr">
        <is>
          <t>투하자본이 0 이하 — 현금이 자기자본+차입금을 넘어 비율이 성립하지 않음</t>
        </is>
      </c>
      <c r="X125" s="18" t="inlineStr">
        <is>
          <t>JPMORGAN CHASE &amp; CO</t>
        </is>
      </c>
    </row>
    <row r="126">
      <c r="A126" s="18" t="inlineStr">
        <is>
          <t>JP모건 체이스</t>
        </is>
      </c>
      <c r="B126" s="18" t="inlineStr">
        <is>
          <t>JPM</t>
        </is>
      </c>
      <c r="C126" s="18" t="n">
        <v>2017</v>
      </c>
      <c r="D126" s="18" t="inlineStr">
        <is>
          <t>2017-12-31</t>
        </is>
      </c>
      <c r="E126" s="19" t="n">
        <v>100705000000</v>
      </c>
      <c r="F126" s="19" t="n">
        <v>42392000000</v>
      </c>
      <c r="G126" s="18" t="inlineStr">
        <is>
          <t>pretax_plus_interest_less_investment_income</t>
        </is>
      </c>
      <c r="H126" s="18" t="inlineStr">
        <is>
          <t>LOW</t>
        </is>
      </c>
      <c r="I126" s="20" t="n">
        <v>0.3191922005571031</v>
      </c>
      <c r="J126" s="19">
        <f>IF(F126="","",F126*(1-I126))</f>
        <v>28860804233.983288</v>
      </c>
      <c r="K126" s="19" t="n">
        <v>255693000000</v>
      </c>
      <c r="L126" s="19" t="n">
        <v>51802000000</v>
      </c>
      <c r="M126" s="19" t="n">
        <v>431304000000</v>
      </c>
      <c r="N126" s="19">
        <f>IF(COUNT(K126:M126)&lt;3,"",K126+L126-M126)</f>
        <v>-123809000000.0</v>
      </c>
      <c r="O126" s="19">
        <f>N125</f>
        <v>-102521000000.0</v>
      </c>
      <c r="P126" s="19">
        <f>IF(N126="","",IF(OR(O126="",O126&lt;=0,N126&lt;=0),N126,(N126+O126)/2))</f>
        <v>-123809000000.0</v>
      </c>
      <c r="Q126" s="18" t="inlineStr">
        <is>
          <t>기말 단독 (기초 또는 기말 자본이 0 이하)</t>
        </is>
      </c>
      <c r="R126" s="18" t="inlineStr">
        <is>
          <t>—</t>
        </is>
      </c>
      <c r="S126" s="18" t="inlineStr">
        <is>
          <t>—</t>
        </is>
      </c>
      <c r="T126" s="20">
        <f>IF(OR(P126="",E126=0,E126=""),"",P126/E126)</f>
        <v>-1.229422570875329</v>
      </c>
      <c r="U126" s="18" t="inlineStr">
        <is>
          <t>—</t>
        </is>
      </c>
      <c r="V126" s="18" t="inlineStr">
        <is>
          <t>—</t>
        </is>
      </c>
      <c r="W126" s="18" t="inlineStr">
        <is>
          <t>투하자본이 0 이하 — 현금이 자기자본+차입금을 넘어 비율이 성립하지 않음</t>
        </is>
      </c>
      <c r="X126" s="18" t="inlineStr">
        <is>
          <t>JPMORGAN CHASE &amp; CO</t>
        </is>
      </c>
    </row>
    <row r="127">
      <c r="A127" s="18" t="inlineStr">
        <is>
          <t>JP모건 체이스</t>
        </is>
      </c>
      <c r="B127" s="18" t="inlineStr">
        <is>
          <t>JPM</t>
        </is>
      </c>
      <c r="C127" s="18" t="n">
        <v>2018</v>
      </c>
      <c r="D127" s="18" t="inlineStr">
        <is>
          <t>2018-12-31</t>
        </is>
      </c>
      <c r="E127" s="19" t="n">
        <v>108783000000</v>
      </c>
      <c r="F127" s="19" t="n">
        <v>54557000000</v>
      </c>
      <c r="G127" s="18" t="inlineStr">
        <is>
          <t>pretax_plus_interest_less_investment_income</t>
        </is>
      </c>
      <c r="H127" s="18" t="inlineStr">
        <is>
          <t>LOW</t>
        </is>
      </c>
      <c r="I127" s="20" t="n">
        <v>0.2033657148464331</v>
      </c>
      <c r="J127" s="19">
        <f>IF(F127="","",F127*(1-I127))</f>
        <v>43461976695.12315</v>
      </c>
      <c r="K127" s="19" t="n">
        <v>256515000000</v>
      </c>
      <c r="L127" s="19" t="n">
        <v>69276000000</v>
      </c>
      <c r="M127" s="19" t="n">
        <v>278793000000</v>
      </c>
      <c r="N127" s="19">
        <f>IF(COUNT(K127:M127)&lt;3,"",K127+L127-M127)</f>
        <v>46998000000.0</v>
      </c>
      <c r="O127" s="19">
        <f>N126</f>
        <v>-123809000000.0</v>
      </c>
      <c r="P127" s="19">
        <f>IF(N127="","",IF(OR(O127="",O127&lt;=0,N127&lt;=0),N127,(N127+O127)/2))</f>
        <v>46998000000.0</v>
      </c>
      <c r="Q127" s="18" t="inlineStr">
        <is>
          <t>기말 단독 (기초 또는 기말 자본이 0 이하)</t>
        </is>
      </c>
      <c r="R127" s="18" t="inlineStr">
        <is>
          <t>—</t>
        </is>
      </c>
      <c r="S127" s="18" t="inlineStr">
        <is>
          <t>—</t>
        </is>
      </c>
      <c r="T127" s="20">
        <f>IF(OR(P127="",E127=0,E127=""),"",P127/E127)</f>
        <v>0.4320344171423844</v>
      </c>
      <c r="U127" s="18" t="inlineStr">
        <is>
          <t>—</t>
        </is>
      </c>
      <c r="V127" s="18" t="inlineStr">
        <is>
          <t>—</t>
        </is>
      </c>
      <c r="W127" s="18" t="inlineStr">
        <is>
          <t>금융업 — ROIC 정의 부적합</t>
        </is>
      </c>
      <c r="X127" s="18" t="inlineStr">
        <is>
          <t>JPMORGAN CHASE &amp; CO</t>
        </is>
      </c>
    </row>
    <row r="128">
      <c r="A128" s="18" t="inlineStr">
        <is>
          <t>JP모건 체이스</t>
        </is>
      </c>
      <c r="B128" s="18" t="inlineStr">
        <is>
          <t>JPM</t>
        </is>
      </c>
      <c r="C128" s="18" t="n">
        <v>2019</v>
      </c>
      <c r="D128" s="18" t="inlineStr">
        <is>
          <t>2019-12-31</t>
        </is>
      </c>
      <c r="E128" s="19" t="n">
        <v>115720000000</v>
      </c>
      <c r="F128" s="19" t="n">
        <v>62370000000</v>
      </c>
      <c r="G128" s="18" t="inlineStr">
        <is>
          <t>pretax_plus_interest_less_investment_income</t>
        </is>
      </c>
      <c r="H128" s="18" t="inlineStr">
        <is>
          <t>LOW</t>
        </is>
      </c>
      <c r="I128" s="20" t="n">
        <v>0.1880042794097981</v>
      </c>
      <c r="J128" s="19">
        <f>IF(F128="","",F128*(1-I128))</f>
        <v>50644173093.21089</v>
      </c>
      <c r="K128" s="19" t="n">
        <v>261330000000</v>
      </c>
      <c r="L128" s="19" t="n">
        <v>40920000000</v>
      </c>
      <c r="M128" s="19" t="n">
        <v>263631000000</v>
      </c>
      <c r="N128" s="19">
        <f>IF(COUNT(K128:M128)&lt;3,"",K128+L128-M128)</f>
        <v>38619000000.0</v>
      </c>
      <c r="O128" s="19">
        <f>N127</f>
        <v>46998000000.0</v>
      </c>
      <c r="P128" s="19">
        <f>IF(N128="","",IF(OR(O128="",O128&lt;=0,N128&lt;=0),N128,(N128+O128)/2))</f>
        <v>42808500000.0</v>
      </c>
      <c r="Q128" s="18" t="inlineStr">
        <is>
          <t>기초·기말 평균</t>
        </is>
      </c>
      <c r="R128" s="18" t="inlineStr">
        <is>
          <t>—</t>
        </is>
      </c>
      <c r="S128" s="18" t="inlineStr">
        <is>
          <t>—</t>
        </is>
      </c>
      <c r="T128" s="20">
        <f>IF(OR(P128="",E128=0,E128=""),"",P128/E128)</f>
        <v>0.36993173176633254</v>
      </c>
      <c r="U128" s="18" t="inlineStr">
        <is>
          <t>—</t>
        </is>
      </c>
      <c r="V128" s="18" t="inlineStr">
        <is>
          <t>—</t>
        </is>
      </c>
      <c r="W128" s="18" t="inlineStr">
        <is>
          <t>금융업 — ROIC 정의 부적합</t>
        </is>
      </c>
      <c r="X128" s="18" t="inlineStr">
        <is>
          <t>JPMORGAN CHASE &amp; CO</t>
        </is>
      </c>
    </row>
    <row r="129">
      <c r="A129" s="18" t="inlineStr">
        <is>
          <t>JP모건 체이스</t>
        </is>
      </c>
      <c r="B129" s="18" t="inlineStr">
        <is>
          <t>JPM</t>
        </is>
      </c>
      <c r="C129" s="18" t="n">
        <v>2020</v>
      </c>
      <c r="D129" s="18" t="inlineStr">
        <is>
          <t>2020-12-31</t>
        </is>
      </c>
      <c r="E129" s="19" t="n">
        <v>119951000000</v>
      </c>
      <c r="F129" s="19" t="n">
        <v>36748000000</v>
      </c>
      <c r="G129" s="18" t="inlineStr">
        <is>
          <t>pretax_plus_interest_less_investment_income</t>
        </is>
      </c>
      <c r="H129" s="18" t="inlineStr">
        <is>
          <t>LOW</t>
        </is>
      </c>
      <c r="I129" s="20" t="n">
        <v>0.1866257154823398</v>
      </c>
      <c r="J129" s="19">
        <f>IF(F129="","",F129*(1-I129))</f>
        <v>29889878207.454975</v>
      </c>
      <c r="K129" s="19" t="n">
        <v>279354000000</v>
      </c>
      <c r="L129" s="19" t="n">
        <v>45208000000</v>
      </c>
      <c r="M129" s="19" t="n">
        <v>527609000000</v>
      </c>
      <c r="N129" s="19">
        <f>IF(COUNT(K129:M129)&lt;3,"",K129+L129-M129)</f>
        <v>-203047000000.0</v>
      </c>
      <c r="O129" s="19">
        <f>N128</f>
        <v>38619000000.0</v>
      </c>
      <c r="P129" s="19">
        <f>IF(N129="","",IF(OR(O129="",O129&lt;=0,N129&lt;=0),N129,(N129+O129)/2))</f>
        <v>-203047000000.0</v>
      </c>
      <c r="Q129" s="18" t="inlineStr">
        <is>
          <t>기말 단독 (기초 또는 기말 자본이 0 이하)</t>
        </is>
      </c>
      <c r="R129" s="18" t="inlineStr">
        <is>
          <t>—</t>
        </is>
      </c>
      <c r="S129" s="18" t="inlineStr">
        <is>
          <t>—</t>
        </is>
      </c>
      <c r="T129" s="20">
        <f>IF(OR(P129="",E129=0,E129=""),"",P129/E129)</f>
        <v>-1.692749539395253</v>
      </c>
      <c r="U129" s="18" t="inlineStr">
        <is>
          <t>—</t>
        </is>
      </c>
      <c r="V129" s="18" t="inlineStr">
        <is>
          <t>—</t>
        </is>
      </c>
      <c r="W129" s="18" t="inlineStr">
        <is>
          <t>투하자본이 0 이하 — 현금이 자기자본+차입금을 넘어 비율이 성립하지 않음</t>
        </is>
      </c>
      <c r="X129" s="18" t="inlineStr">
        <is>
          <t>JPMORGAN CHASE &amp; CO</t>
        </is>
      </c>
    </row>
    <row r="130">
      <c r="A130" s="18" t="inlineStr">
        <is>
          <t>JP모건 체이스</t>
        </is>
      </c>
      <c r="B130" s="18" t="inlineStr">
        <is>
          <t>JPM</t>
        </is>
      </c>
      <c r="C130" s="18" t="n">
        <v>2021</v>
      </c>
      <c r="D130" s="18" t="inlineStr">
        <is>
          <t>2021-12-31</t>
        </is>
      </c>
      <c r="E130" s="19" t="n">
        <v>121649000000</v>
      </c>
      <c r="F130" s="19" t="n">
        <v>57592000000</v>
      </c>
      <c r="G130" s="18" t="inlineStr">
        <is>
          <t>pretax_plus_interest_less_investment_income</t>
        </is>
      </c>
      <c r="H130" s="18" t="inlineStr">
        <is>
          <t>LOW</t>
        </is>
      </c>
      <c r="I130" s="20" t="n">
        <v>0.1885094523353816</v>
      </c>
      <c r="J130" s="19">
        <f>IF(F130="","",F130*(1-I130))</f>
        <v>46735363621.1007</v>
      </c>
      <c r="K130" s="19" t="n">
        <v>294127000000</v>
      </c>
      <c r="L130" s="19" t="n">
        <v>53594000000</v>
      </c>
      <c r="M130" s="19" t="n">
        <v>740834000000</v>
      </c>
      <c r="N130" s="19">
        <f>IF(COUNT(K130:M130)&lt;3,"",K130+L130-M130)</f>
        <v>-393113000000.0</v>
      </c>
      <c r="O130" s="19">
        <f>N129</f>
        <v>-203047000000.0</v>
      </c>
      <c r="P130" s="19">
        <f>IF(N130="","",IF(OR(O130="",O130&lt;=0,N130&lt;=0),N130,(N130+O130)/2))</f>
        <v>-393113000000.0</v>
      </c>
      <c r="Q130" s="18" t="inlineStr">
        <is>
          <t>기말 단독 (기초 또는 기말 자본이 0 이하)</t>
        </is>
      </c>
      <c r="R130" s="18" t="inlineStr">
        <is>
          <t>—</t>
        </is>
      </c>
      <c r="S130" s="18" t="inlineStr">
        <is>
          <t>—</t>
        </is>
      </c>
      <c r="T130" s="20">
        <f>IF(OR(P130="",E130=0,E130=""),"",P130/E130)</f>
        <v>-3.2315349900122485</v>
      </c>
      <c r="U130" s="18" t="inlineStr">
        <is>
          <t>—</t>
        </is>
      </c>
      <c r="V130" s="18" t="inlineStr">
        <is>
          <t>—</t>
        </is>
      </c>
      <c r="W130" s="18" t="inlineStr">
        <is>
          <t>투하자본이 0 이하 — 현금이 자기자본+차입금을 넘어 비율이 성립하지 않음</t>
        </is>
      </c>
      <c r="X130" s="18" t="inlineStr">
        <is>
          <t>JPMORGAN CHASE &amp; CO</t>
        </is>
      </c>
    </row>
    <row r="131">
      <c r="A131" s="18" t="inlineStr">
        <is>
          <t>JP모건 체이스</t>
        </is>
      </c>
      <c r="B131" s="18" t="inlineStr">
        <is>
          <t>JPM</t>
        </is>
      </c>
      <c r="C131" s="18" t="n">
        <v>2022</v>
      </c>
      <c r="D131" s="18" t="inlineStr">
        <is>
          <t>2022-12-31</t>
        </is>
      </c>
      <c r="E131" s="19" t="n">
        <v>128695000000</v>
      </c>
      <c r="F131" s="19" t="n">
        <v>60916000000</v>
      </c>
      <c r="G131" s="18" t="inlineStr">
        <is>
          <t>pretax_plus_interest_less_investment_income</t>
        </is>
      </c>
      <c r="H131" s="18" t="inlineStr">
        <is>
          <t>LOW</t>
        </is>
      </c>
      <c r="I131" s="20" t="n">
        <v>0.1839015725858857</v>
      </c>
      <c r="J131" s="19">
        <f>IF(F131="","",F131*(1-I131))</f>
        <v>49713451804.358185</v>
      </c>
      <c r="K131" s="19" t="n">
        <v>292332000000</v>
      </c>
      <c r="L131" s="19" t="n">
        <v>44027000000</v>
      </c>
      <c r="M131" s="19" t="n">
        <v>567234000000</v>
      </c>
      <c r="N131" s="19">
        <f>IF(COUNT(K131:M131)&lt;3,"",K131+L131-M131)</f>
        <v>-230875000000.0</v>
      </c>
      <c r="O131" s="19">
        <f>N130</f>
        <v>-393113000000.0</v>
      </c>
      <c r="P131" s="19">
        <f>IF(N131="","",IF(OR(O131="",O131&lt;=0,N131&lt;=0),N131,(N131+O131)/2))</f>
        <v>-230875000000.0</v>
      </c>
      <c r="Q131" s="18" t="inlineStr">
        <is>
          <t>기말 단독 (기초 또는 기말 자본이 0 이하)</t>
        </is>
      </c>
      <c r="R131" s="18" t="inlineStr">
        <is>
          <t>—</t>
        </is>
      </c>
      <c r="S131" s="18" t="inlineStr">
        <is>
          <t>—</t>
        </is>
      </c>
      <c r="T131" s="20">
        <f>IF(OR(P131="",E131=0,E131=""),"",P131/E131)</f>
        <v>-1.7939702397140527</v>
      </c>
      <c r="U131" s="18" t="inlineStr">
        <is>
          <t>—</t>
        </is>
      </c>
      <c r="V131" s="18" t="inlineStr">
        <is>
          <t>—</t>
        </is>
      </c>
      <c r="W131" s="18" t="inlineStr">
        <is>
          <t>투하자본이 0 이하 — 현금이 자기자본+차입금을 넘어 비율이 성립하지 않음</t>
        </is>
      </c>
      <c r="X131" s="18" t="inlineStr">
        <is>
          <t>JPMORGAN CHASE &amp; CO</t>
        </is>
      </c>
    </row>
    <row r="132">
      <c r="A132" s="18" t="inlineStr">
        <is>
          <t>JP모건 체이스</t>
        </is>
      </c>
      <c r="B132" s="18" t="inlineStr">
        <is>
          <t>JPM</t>
        </is>
      </c>
      <c r="C132" s="18" t="n">
        <v>2023</v>
      </c>
      <c r="D132" s="18" t="inlineStr">
        <is>
          <t>2023-12-31</t>
        </is>
      </c>
      <c r="E132" s="19" t="n">
        <v>158104000000</v>
      </c>
      <c r="F132" s="19" t="n">
        <v>124207000000</v>
      </c>
      <c r="G132" s="18" t="inlineStr">
        <is>
          <t>pretax_plus_interest_less_investment_income</t>
        </is>
      </c>
      <c r="H132" s="18" t="inlineStr">
        <is>
          <t>LOW</t>
        </is>
      </c>
      <c r="I132" s="20" t="n">
        <v>0.1957410893981692</v>
      </c>
      <c r="J132" s="19">
        <f>IF(F132="","",F132*(1-I132))</f>
        <v>99894586509.1216</v>
      </c>
      <c r="K132" s="19" t="n">
        <v>327878000000</v>
      </c>
      <c r="L132" s="19" t="n">
        <v>44712000000</v>
      </c>
      <c r="M132" s="19" t="n">
        <v>624151000000</v>
      </c>
      <c r="N132" s="19">
        <f>IF(COUNT(K132:M132)&lt;3,"",K132+L132-M132)</f>
        <v>-251561000000.0</v>
      </c>
      <c r="O132" s="19">
        <f>N131</f>
        <v>-230875000000.0</v>
      </c>
      <c r="P132" s="19">
        <f>IF(N132="","",IF(OR(O132="",O132&lt;=0,N132&lt;=0),N132,(N132+O132)/2))</f>
        <v>-251561000000.0</v>
      </c>
      <c r="Q132" s="18" t="inlineStr">
        <is>
          <t>기말 단독 (기초 또는 기말 자본이 0 이하)</t>
        </is>
      </c>
      <c r="R132" s="18" t="inlineStr">
        <is>
          <t>—</t>
        </is>
      </c>
      <c r="S132" s="18" t="inlineStr">
        <is>
          <t>—</t>
        </is>
      </c>
      <c r="T132" s="20">
        <f>IF(OR(P132="",E132=0,E132=""),"",P132/E132)</f>
        <v>-1.5911109143348683</v>
      </c>
      <c r="U132" s="18" t="inlineStr">
        <is>
          <t>—</t>
        </is>
      </c>
      <c r="V132" s="18" t="inlineStr">
        <is>
          <t>—</t>
        </is>
      </c>
      <c r="W132" s="18" t="inlineStr">
        <is>
          <t>투하자본이 0 이하 — 현금이 자기자본+차입금을 넘어 비율이 성립하지 않음</t>
        </is>
      </c>
      <c r="X132" s="18" t="inlineStr">
        <is>
          <t>JPMORGAN CHASE &amp; CO</t>
        </is>
      </c>
    </row>
    <row r="133">
      <c r="A133" s="18" t="inlineStr">
        <is>
          <t>JP모건 체이스</t>
        </is>
      </c>
      <c r="B133" s="18" t="inlineStr">
        <is>
          <t>JPM</t>
        </is>
      </c>
      <c r="C133" s="18" t="n">
        <v>2024</v>
      </c>
      <c r="D133" s="18" t="inlineStr">
        <is>
          <t>2024-12-31</t>
        </is>
      </c>
      <c r="E133" s="19" t="n">
        <v>177556000000</v>
      </c>
      <c r="F133" s="19" t="n">
        <v>144520000000</v>
      </c>
      <c r="G133" s="18" t="inlineStr">
        <is>
          <t>pretax_plus_interest_less_investment_income</t>
        </is>
      </c>
      <c r="H133" s="18" t="inlineStr">
        <is>
          <t>LOW</t>
        </is>
      </c>
      <c r="I133" s="20" t="n">
        <v>0.2212277407067034</v>
      </c>
      <c r="J133" s="19">
        <f>IF(F133="","",F133*(1-I133))</f>
        <v>112548166913.06723</v>
      </c>
      <c r="K133" s="19" t="n">
        <v>344758000000</v>
      </c>
      <c r="L133" s="19" t="n">
        <v>52893000000</v>
      </c>
      <c r="M133" s="19" t="n">
        <v>469317000000</v>
      </c>
      <c r="N133" s="19">
        <f>IF(COUNT(K133:M133)&lt;3,"",K133+L133-M133)</f>
        <v>-71666000000.0</v>
      </c>
      <c r="O133" s="19">
        <f>N132</f>
        <v>-251561000000.0</v>
      </c>
      <c r="P133" s="19">
        <f>IF(N133="","",IF(OR(O133="",O133&lt;=0,N133&lt;=0),N133,(N133+O133)/2))</f>
        <v>-71666000000.0</v>
      </c>
      <c r="Q133" s="18" t="inlineStr">
        <is>
          <t>기말 단독 (기초 또는 기말 자본이 0 이하)</t>
        </is>
      </c>
      <c r="R133" s="18" t="inlineStr">
        <is>
          <t>—</t>
        </is>
      </c>
      <c r="S133" s="18" t="inlineStr">
        <is>
          <t>—</t>
        </is>
      </c>
      <c r="T133" s="20">
        <f>IF(OR(P133="",E133=0,E133=""),"",P133/E133)</f>
        <v>-0.40362477190294893</v>
      </c>
      <c r="U133" s="18" t="inlineStr">
        <is>
          <t>—</t>
        </is>
      </c>
      <c r="V133" s="18" t="inlineStr">
        <is>
          <t>—</t>
        </is>
      </c>
      <c r="W133" s="18" t="inlineStr">
        <is>
          <t>투하자본이 0 이하 — 현금이 자기자본+차입금을 넘어 비율이 성립하지 않음</t>
        </is>
      </c>
      <c r="X133" s="18" t="inlineStr">
        <is>
          <t>JPMORGAN CHASE &amp; CO</t>
        </is>
      </c>
    </row>
    <row r="134">
      <c r="A134" s="18" t="inlineStr">
        <is>
          <t>JP모건 체이스</t>
        </is>
      </c>
      <c r="B134" s="18" t="inlineStr">
        <is>
          <t>JPM</t>
        </is>
      </c>
      <c r="C134" s="18" t="n">
        <v>2025</v>
      </c>
      <c r="D134" s="18" t="inlineStr">
        <is>
          <t>2025-12-31</t>
        </is>
      </c>
      <c r="E134" s="19" t="n">
        <v>182447000000</v>
      </c>
      <c r="F134" s="19" t="n">
        <v>140006000000</v>
      </c>
      <c r="G134" s="18" t="inlineStr">
        <is>
          <t>pretax_plus_interest_less_investment_income</t>
        </is>
      </c>
      <c r="H134" s="18" t="inlineStr">
        <is>
          <t>LOW</t>
        </is>
      </c>
      <c r="I134" s="20" t="n">
        <v>0.2141607548729251</v>
      </c>
      <c r="J134" s="19">
        <f>IF(F134="","",F134*(1-I134))</f>
        <v>110022209353.26125</v>
      </c>
      <c r="K134" s="19" t="n">
        <v>362438000000</v>
      </c>
      <c r="L134" s="19" t="n">
        <v>64776000000</v>
      </c>
      <c r="M134" s="19" t="n">
        <v>343338000000</v>
      </c>
      <c r="N134" s="19">
        <f>IF(COUNT(K134:M134)&lt;3,"",K134+L134-M134)</f>
        <v>83876000000.0</v>
      </c>
      <c r="O134" s="19">
        <f>N133</f>
        <v>-71666000000.0</v>
      </c>
      <c r="P134" s="19">
        <f>IF(N134="","",IF(OR(O134="",O134&lt;=0,N134&lt;=0),N134,(N134+O134)/2))</f>
        <v>83876000000.0</v>
      </c>
      <c r="Q134" s="18" t="inlineStr">
        <is>
          <t>기말 단독 (기초 또는 기말 자본이 0 이하)</t>
        </is>
      </c>
      <c r="R134" s="18" t="inlineStr">
        <is>
          <t>—</t>
        </is>
      </c>
      <c r="S134" s="18" t="inlineStr">
        <is>
          <t>—</t>
        </is>
      </c>
      <c r="T134" s="20">
        <f>IF(OR(P134="",E134=0,E134=""),"",P134/E134)</f>
        <v>0.45972803060614864</v>
      </c>
      <c r="U134" s="18" t="inlineStr">
        <is>
          <t>—</t>
        </is>
      </c>
      <c r="V134" s="18" t="inlineStr">
        <is>
          <t>—</t>
        </is>
      </c>
      <c r="W134" s="18" t="inlineStr">
        <is>
          <t>금융업 — ROIC 정의 부적합</t>
        </is>
      </c>
      <c r="X134" s="18" t="inlineStr">
        <is>
          <t>JPMORGAN CHASE &amp; CO</t>
        </is>
      </c>
    </row>
    <row r="135">
      <c r="A135" s="11" t="inlineStr">
        <is>
          <t>월마트</t>
        </is>
      </c>
      <c r="B135" s="11" t="inlineStr">
        <is>
          <t>WMT</t>
        </is>
      </c>
      <c r="C135" s="11" t="n">
        <v>2015</v>
      </c>
      <c r="D135" s="11" t="inlineStr">
        <is>
          <t>2016-01-31</t>
        </is>
      </c>
      <c r="E135" s="12" t="n">
        <v>482130000000</v>
      </c>
      <c r="F135" s="12" t="n">
        <v>24105000000</v>
      </c>
      <c r="G135" s="11" t="inlineStr">
        <is>
          <t>reported</t>
        </is>
      </c>
      <c r="H135" s="11" t="inlineStr">
        <is>
          <t>HIGH</t>
        </is>
      </c>
      <c r="I135" s="13" t="n">
        <v>0.3030779184767539</v>
      </c>
      <c r="J135" s="12">
        <f>IF(F135="","",F135*(1-I135))</f>
        <v>16799306775.117847</v>
      </c>
      <c r="K135" s="12" t="n">
        <v>83611000000</v>
      </c>
      <c r="L135" s="12" t="n">
        <v>40959000000</v>
      </c>
      <c r="M135" s="12" t="n">
        <v>8705000000</v>
      </c>
      <c r="N135" s="12">
        <f>IF(COUNT(K135:M135)&lt;3,"",K135+L135-M135)</f>
        <v>115865000000.0</v>
      </c>
      <c r="O135" s="11" t="inlineStr">
        <is>
          <t>—</t>
        </is>
      </c>
      <c r="P135" s="12" t="inlineStr">
        <is>
          <t>—</t>
        </is>
      </c>
      <c r="Q135" s="11" t="inlineStr">
        <is>
          <t>—</t>
        </is>
      </c>
      <c r="R135" s="13" t="inlineStr">
        <is>
          <t>—</t>
        </is>
      </c>
      <c r="S135" s="13" t="inlineStr">
        <is>
          <t>—</t>
        </is>
      </c>
      <c r="T135" s="13" t="inlineStr">
        <is>
          <t>—</t>
        </is>
      </c>
      <c r="U135" s="11" t="inlineStr">
        <is>
          <t>—</t>
        </is>
      </c>
      <c r="V135" s="11" t="inlineStr">
        <is>
          <t>—</t>
        </is>
      </c>
      <c r="W135" s="11" t="inlineStr">
        <is>
          <t>다음 해 평균 투하자본의 기초값으로만 사용 (보고 기간 밖 — 자체 비율은 계산하지 않음)</t>
        </is>
      </c>
      <c r="X135" s="11" t="inlineStr">
        <is>
          <t>Walmart Inc.</t>
        </is>
      </c>
    </row>
    <row r="136">
      <c r="A136" t="inlineStr">
        <is>
          <t>월마트</t>
        </is>
      </c>
      <c r="B136" t="inlineStr">
        <is>
          <t>WMT</t>
        </is>
      </c>
      <c r="C136" t="n">
        <v>2016</v>
      </c>
      <c r="D136" t="inlineStr">
        <is>
          <t>2017-01-31</t>
        </is>
      </c>
      <c r="E136" s="14" t="n">
        <v>481317000000</v>
      </c>
      <c r="F136" s="14" t="n">
        <v>22764000000</v>
      </c>
      <c r="G136" t="inlineStr">
        <is>
          <t>reported</t>
        </is>
      </c>
      <c r="H136" t="inlineStr">
        <is>
          <t>HIGH</t>
        </is>
      </c>
      <c r="I136" s="15" t="n">
        <v>0.3026784407474264</v>
      </c>
      <c r="J136" s="14">
        <f>IF(F136="","",F136*(1-I136))</f>
        <v>15873827974.825586</v>
      </c>
      <c r="K136" s="14" t="n">
        <v>80535000000</v>
      </c>
      <c r="L136" s="14" t="n">
        <v>38271000000</v>
      </c>
      <c r="M136" s="14" t="n">
        <v>6867000000</v>
      </c>
      <c r="N136" s="14">
        <f>IF(COUNT(K136:M136)&lt;3,"",K136+L136-M136)</f>
        <v>111939000000.0</v>
      </c>
      <c r="O136" s="14">
        <f>N135</f>
        <v>115865000000.0</v>
      </c>
      <c r="P136" s="14">
        <f>IF(N136="","",IF(OR(O136="",O136&lt;=0,N136&lt;=0),N136,(N136+O136)/2))</f>
        <v>113902000000.0</v>
      </c>
      <c r="Q136" t="inlineStr">
        <is>
          <t>기초·기말 평균</t>
        </is>
      </c>
      <c r="R136" s="15">
        <f>IF(OR(P136="",P136&lt;=0),"",J136/P136)</f>
        <v>0.13936390910454238</v>
      </c>
      <c r="S136" s="15">
        <f>IF(R136="","",R136-0.1)</f>
        <v>0.03936390910454238</v>
      </c>
      <c r="T136" s="15">
        <f>IF(OR(P136="",E136=0,E136=""),"",P136/E136)</f>
        <v>0.23664653440456082</v>
      </c>
      <c r="U136" t="inlineStr">
        <is>
          <t>—</t>
        </is>
      </c>
      <c r="V136" t="inlineStr">
        <is>
          <t>—</t>
        </is>
      </c>
      <c r="W136" t="inlineStr">
        <is>
          <t>OK</t>
        </is>
      </c>
      <c r="X136" t="inlineStr">
        <is>
          <t>Walmart Inc.</t>
        </is>
      </c>
    </row>
    <row r="137">
      <c r="A137" t="inlineStr">
        <is>
          <t>월마트</t>
        </is>
      </c>
      <c r="B137" t="inlineStr">
        <is>
          <t>WMT</t>
        </is>
      </c>
      <c r="C137" t="n">
        <v>2017</v>
      </c>
      <c r="D137" t="inlineStr">
        <is>
          <t>2018-01-31</t>
        </is>
      </c>
      <c r="E137" s="14" t="n">
        <v>495761000000</v>
      </c>
      <c r="F137" s="14" t="n">
        <v>20437000000</v>
      </c>
      <c r="G137" t="inlineStr">
        <is>
          <t>reported</t>
        </is>
      </c>
      <c r="H137" t="inlineStr">
        <is>
          <t>HIGH</t>
        </is>
      </c>
      <c r="I137" s="15" t="n">
        <v>0.3041724525557098</v>
      </c>
      <c r="J137" s="14">
        <f>IF(F137="","",F137*(1-I137))</f>
        <v>14220627587.11896</v>
      </c>
      <c r="K137" s="14" t="n">
        <v>80822000000</v>
      </c>
      <c r="L137" s="14" t="n">
        <v>33783000000</v>
      </c>
      <c r="M137" s="14" t="n">
        <v>6756000000</v>
      </c>
      <c r="N137" s="14">
        <f>IF(COUNT(K137:M137)&lt;3,"",K137+L137-M137)</f>
        <v>107849000000.0</v>
      </c>
      <c r="O137" s="14">
        <f>N136</f>
        <v>111939000000.0</v>
      </c>
      <c r="P137" s="14">
        <f>IF(N137="","",IF(OR(O137="",O137&lt;=0,N137&lt;=0),N137,(N137+O137)/2))</f>
        <v>109894000000.0</v>
      </c>
      <c r="Q137" t="inlineStr">
        <is>
          <t>기초·기말 평균</t>
        </is>
      </c>
      <c r="R137" s="15">
        <f>IF(OR(P137="",P137&lt;=0),"",J137/P137)</f>
        <v>0.12940313017197444</v>
      </c>
      <c r="S137" s="15">
        <f>IF(R137="","",R137-0.1)</f>
        <v>0.029403130171974434</v>
      </c>
      <c r="T137" s="15">
        <f>IF(OR(P137="",E137=0,E137=""),"",P137/E137)</f>
        <v>0.22166729532980609</v>
      </c>
      <c r="U137" t="inlineStr">
        <is>
          <t>—</t>
        </is>
      </c>
      <c r="V137" t="inlineStr">
        <is>
          <t>—</t>
        </is>
      </c>
      <c r="W137" t="inlineStr">
        <is>
          <t>OK</t>
        </is>
      </c>
      <c r="X137" t="inlineStr">
        <is>
          <t>Walmart Inc.</t>
        </is>
      </c>
    </row>
    <row r="138">
      <c r="A138" t="inlineStr">
        <is>
          <t>월마트</t>
        </is>
      </c>
      <c r="B138" t="inlineStr">
        <is>
          <t>WMT</t>
        </is>
      </c>
      <c r="C138" t="n">
        <v>2018</v>
      </c>
      <c r="D138" t="inlineStr">
        <is>
          <t>2019-01-31</t>
        </is>
      </c>
      <c r="E138" s="14" t="n">
        <v>510329000000</v>
      </c>
      <c r="F138" s="14" t="n">
        <v>21957000000</v>
      </c>
      <c r="G138" t="inlineStr">
        <is>
          <t>reported</t>
        </is>
      </c>
      <c r="H138" t="inlineStr">
        <is>
          <t>HIGH</t>
        </is>
      </c>
      <c r="I138" s="15" t="n">
        <v>0.3735602094240837</v>
      </c>
      <c r="J138" s="14">
        <f>IF(F138="","",F138*(1-I138))</f>
        <v>13754738481.675394</v>
      </c>
      <c r="K138" s="14" t="n">
        <v>79634000000</v>
      </c>
      <c r="L138" s="14" t="n">
        <v>45396000000</v>
      </c>
      <c r="M138" s="14" t="n">
        <v>7722000000</v>
      </c>
      <c r="N138" s="14">
        <f>IF(COUNT(K138:M138)&lt;3,"",K138+L138-M138)</f>
        <v>117308000000.0</v>
      </c>
      <c r="O138" s="14">
        <f>N137</f>
        <v>107849000000.0</v>
      </c>
      <c r="P138" s="14">
        <f>IF(N138="","",IF(OR(O138="",O138&lt;=0,N138&lt;=0),N138,(N138+O138)/2))</f>
        <v>112578500000.0</v>
      </c>
      <c r="Q138" t="inlineStr">
        <is>
          <t>기초·기말 평균</t>
        </is>
      </c>
      <c r="R138" s="15">
        <f>IF(OR(P138="",P138&lt;=0),"",J138/P138)</f>
        <v>0.12217908820667707</v>
      </c>
      <c r="S138" s="15">
        <f>IF(R138="","",R138-0.1)</f>
        <v>0.022179088206677064</v>
      </c>
      <c r="T138" s="15">
        <f>IF(OR(P138="",E138=0,E138=""),"",P138/E138)</f>
        <v>0.22059984833313412</v>
      </c>
      <c r="U138" t="inlineStr">
        <is>
          <t>—</t>
        </is>
      </c>
      <c r="V138" t="inlineStr">
        <is>
          <t>—</t>
        </is>
      </c>
      <c r="W138" t="inlineStr">
        <is>
          <t>OK</t>
        </is>
      </c>
      <c r="X138" t="inlineStr">
        <is>
          <t>Walmart Inc.</t>
        </is>
      </c>
    </row>
    <row r="139">
      <c r="A139" t="inlineStr">
        <is>
          <t>월마트</t>
        </is>
      </c>
      <c r="B139" t="inlineStr">
        <is>
          <t>WMT</t>
        </is>
      </c>
      <c r="C139" t="n">
        <v>2019</v>
      </c>
      <c r="D139" t="inlineStr">
        <is>
          <t>2020-01-31</t>
        </is>
      </c>
      <c r="E139" s="14" t="n">
        <v>519926000000</v>
      </c>
      <c r="F139" s="14" t="n">
        <v>20568000000</v>
      </c>
      <c r="G139" t="inlineStr">
        <is>
          <t>reported</t>
        </is>
      </c>
      <c r="H139" t="inlineStr">
        <is>
          <t>HIGH</t>
        </is>
      </c>
      <c r="I139" s="15" t="n">
        <v>0.2443328693577252</v>
      </c>
      <c r="J139" s="14">
        <f>IF(F139="","",F139*(1-I139))</f>
        <v>15542561543.05031</v>
      </c>
      <c r="K139" s="14" t="n">
        <v>81552000000</v>
      </c>
      <c r="L139" s="14" t="n">
        <v>49076000000</v>
      </c>
      <c r="M139" s="14" t="n">
        <v>9465000000</v>
      </c>
      <c r="N139" s="14">
        <f>IF(COUNT(K139:M139)&lt;3,"",K139+L139-M139)</f>
        <v>121163000000.0</v>
      </c>
      <c r="O139" s="14">
        <f>N138</f>
        <v>117308000000.0</v>
      </c>
      <c r="P139" s="14">
        <f>IF(N139="","",IF(OR(O139="",O139&lt;=0,N139&lt;=0),N139,(N139+O139)/2))</f>
        <v>119235500000.0</v>
      </c>
      <c r="Q139" t="inlineStr">
        <is>
          <t>기초·기말 평균</t>
        </is>
      </c>
      <c r="R139" s="15">
        <f>IF(OR(P139="",P139&lt;=0),"",J139/P139)</f>
        <v>0.13035179575755804</v>
      </c>
      <c r="S139" s="15">
        <f>IF(R139="","",R139-0.1)</f>
        <v>0.03035179575755803</v>
      </c>
      <c r="T139" s="15">
        <f>IF(OR(P139="",E139=0,E139=""),"",P139/E139)</f>
        <v>0.22933167412285593</v>
      </c>
      <c r="U139" t="inlineStr">
        <is>
          <t>—</t>
        </is>
      </c>
      <c r="V139" t="inlineStr">
        <is>
          <t>—</t>
        </is>
      </c>
      <c r="W139" t="inlineStr">
        <is>
          <t>OK</t>
        </is>
      </c>
      <c r="X139" t="inlineStr">
        <is>
          <t>Walmart Inc.</t>
        </is>
      </c>
    </row>
    <row r="140">
      <c r="A140" t="inlineStr">
        <is>
          <t>월마트</t>
        </is>
      </c>
      <c r="B140" t="inlineStr">
        <is>
          <t>WMT</t>
        </is>
      </c>
      <c r="C140" t="n">
        <v>2020</v>
      </c>
      <c r="D140" t="inlineStr">
        <is>
          <t>2021-01-31</t>
        </is>
      </c>
      <c r="E140" s="14" t="n">
        <v>555233000000</v>
      </c>
      <c r="F140" s="14" t="n">
        <v>22548000000</v>
      </c>
      <c r="G140" t="inlineStr">
        <is>
          <t>reported</t>
        </is>
      </c>
      <c r="H140" t="inlineStr">
        <is>
          <t>HIGH</t>
        </is>
      </c>
      <c r="I140" s="15" t="n">
        <v>0.3334954289048823</v>
      </c>
      <c r="J140" s="14">
        <f>IF(F140="","",F140*(1-I140))</f>
        <v>15028345069.052711</v>
      </c>
      <c r="K140" s="14" t="n">
        <v>87531000000</v>
      </c>
      <c r="L140" s="14" t="n">
        <v>44309000000</v>
      </c>
      <c r="M140" s="14" t="n">
        <v>17741000000</v>
      </c>
      <c r="N140" s="14">
        <f>IF(COUNT(K140:M140)&lt;3,"",K140+L140-M140)</f>
        <v>114099000000.0</v>
      </c>
      <c r="O140" s="14">
        <f>N139</f>
        <v>121163000000.0</v>
      </c>
      <c r="P140" s="14">
        <f>IF(N140="","",IF(OR(O140="",O140&lt;=0,N140&lt;=0),N140,(N140+O140)/2))</f>
        <v>117631000000.0</v>
      </c>
      <c r="Q140" t="inlineStr">
        <is>
          <t>기초·기말 평균</t>
        </is>
      </c>
      <c r="R140" s="15">
        <f>IF(OR(P140="",P140&lt;=0),"",J140/P140)</f>
        <v>0.12775837210474034</v>
      </c>
      <c r="S140" s="15">
        <f>IF(R140="","",R140-0.1)</f>
        <v>0.02775837210474033</v>
      </c>
      <c r="T140" s="15">
        <f>IF(OR(P140="",E140=0,E140=""),"",P140/E140)</f>
        <v>0.21185880522231207</v>
      </c>
      <c r="U140" t="inlineStr">
        <is>
          <t>—</t>
        </is>
      </c>
      <c r="V140" t="inlineStr">
        <is>
          <t>—</t>
        </is>
      </c>
      <c r="W140" t="inlineStr">
        <is>
          <t>OK</t>
        </is>
      </c>
      <c r="X140" t="inlineStr">
        <is>
          <t>Walmart Inc.</t>
        </is>
      </c>
    </row>
    <row r="141">
      <c r="A141" t="inlineStr">
        <is>
          <t>월마트</t>
        </is>
      </c>
      <c r="B141" t="inlineStr">
        <is>
          <t>WMT</t>
        </is>
      </c>
      <c r="C141" t="n">
        <v>2021</v>
      </c>
      <c r="D141" t="inlineStr">
        <is>
          <t>2022-01-31</t>
        </is>
      </c>
      <c r="E141" s="14" t="n">
        <v>567762000000</v>
      </c>
      <c r="F141" s="14" t="n">
        <v>25942000000</v>
      </c>
      <c r="G141" t="inlineStr">
        <is>
          <t>reported</t>
        </is>
      </c>
      <c r="H141" t="inlineStr">
        <is>
          <t>HIGH</t>
        </is>
      </c>
      <c r="I141" s="15" t="n">
        <v>0.2543859649122807</v>
      </c>
      <c r="J141" s="14">
        <f>IF(F141="","",F141*(1-I141))</f>
        <v>19342719298.245613</v>
      </c>
      <c r="K141" s="14" t="n">
        <v>91891000000</v>
      </c>
      <c r="L141" s="14" t="n">
        <v>37667000000</v>
      </c>
      <c r="M141" s="14" t="n">
        <v>14760000000</v>
      </c>
      <c r="N141" s="14">
        <f>IF(COUNT(K141:M141)&lt;3,"",K141+L141-M141)</f>
        <v>114798000000.0</v>
      </c>
      <c r="O141" s="14">
        <f>N140</f>
        <v>114099000000.0</v>
      </c>
      <c r="P141" s="14">
        <f>IF(N141="","",IF(OR(O141="",O141&lt;=0,N141&lt;=0),N141,(N141+O141)/2))</f>
        <v>114448500000.0</v>
      </c>
      <c r="Q141" t="inlineStr">
        <is>
          <t>기초·기말 평균</t>
        </is>
      </c>
      <c r="R141" s="15">
        <f>IF(OR(P141="",P141&lt;=0),"",J141/P141)</f>
        <v>0.1690080629999136</v>
      </c>
      <c r="S141" s="15">
        <f>IF(R141="","",R141-0.1)</f>
        <v>0.0690080629999136</v>
      </c>
      <c r="T141" s="15">
        <f>IF(OR(P141="",E141=0,E141=""),"",P141/E141)</f>
        <v>0.20157830217591174</v>
      </c>
      <c r="U141" t="inlineStr">
        <is>
          <t>—</t>
        </is>
      </c>
      <c r="V141" t="inlineStr">
        <is>
          <t>—</t>
        </is>
      </c>
      <c r="W141" t="inlineStr">
        <is>
          <t>OK</t>
        </is>
      </c>
      <c r="X141" t="inlineStr">
        <is>
          <t>Walmart Inc.</t>
        </is>
      </c>
    </row>
    <row r="142">
      <c r="A142" t="inlineStr">
        <is>
          <t>월마트</t>
        </is>
      </c>
      <c r="B142" t="inlineStr">
        <is>
          <t>WMT</t>
        </is>
      </c>
      <c r="C142" t="n">
        <v>2022</v>
      </c>
      <c r="D142" t="inlineStr">
        <is>
          <t>2023-01-31</t>
        </is>
      </c>
      <c r="E142" s="14" t="n">
        <v>605881000000</v>
      </c>
      <c r="F142" s="14" t="n">
        <v>20428000000</v>
      </c>
      <c r="G142" t="inlineStr">
        <is>
          <t>reported</t>
        </is>
      </c>
      <c r="H142" t="inlineStr">
        <is>
          <t>HIGH</t>
        </is>
      </c>
      <c r="I142" s="15" t="n">
        <v>0.3363892806770098</v>
      </c>
      <c r="J142" s="14">
        <f>IF(F142="","",F142*(1-I142))</f>
        <v>13556239774.330044</v>
      </c>
      <c r="K142" s="14" t="n">
        <v>83754000000</v>
      </c>
      <c r="L142" s="14" t="n">
        <v>38840000000</v>
      </c>
      <c r="M142" s="14" t="n">
        <v>8625000000</v>
      </c>
      <c r="N142" s="14">
        <f>IF(COUNT(K142:M142)&lt;3,"",K142+L142-M142)</f>
        <v>113969000000.0</v>
      </c>
      <c r="O142" s="14">
        <f>N141</f>
        <v>114798000000.0</v>
      </c>
      <c r="P142" s="14">
        <f>IF(N142="","",IF(OR(O142="",O142&lt;=0,N142&lt;=0),N142,(N142+O142)/2))</f>
        <v>114383500000.0</v>
      </c>
      <c r="Q142" t="inlineStr">
        <is>
          <t>기초·기말 평균</t>
        </is>
      </c>
      <c r="R142" s="15">
        <f>IF(OR(P142="",P142&lt;=0),"",J142/P142)</f>
        <v>0.11851569303553436</v>
      </c>
      <c r="S142" s="15">
        <f>IF(R142="","",R142-0.1)</f>
        <v>0.018515693035534353</v>
      </c>
      <c r="T142" s="15">
        <f>IF(OR(P142="",E142=0,E142=""),"",P142/E142)</f>
        <v>0.18878872253792411</v>
      </c>
      <c r="U142" t="inlineStr">
        <is>
          <t>—</t>
        </is>
      </c>
      <c r="V142" t="inlineStr">
        <is>
          <t>—</t>
        </is>
      </c>
      <c r="W142" t="inlineStr">
        <is>
          <t>OK</t>
        </is>
      </c>
      <c r="X142" t="inlineStr">
        <is>
          <t>Walmart Inc.</t>
        </is>
      </c>
    </row>
    <row r="143">
      <c r="A143" t="inlineStr">
        <is>
          <t>월마트</t>
        </is>
      </c>
      <c r="B143" t="inlineStr">
        <is>
          <t>WMT</t>
        </is>
      </c>
      <c r="C143" t="n">
        <v>2023</v>
      </c>
      <c r="D143" t="inlineStr">
        <is>
          <t>2024-01-31</t>
        </is>
      </c>
      <c r="E143" s="14" t="n">
        <v>642637000000</v>
      </c>
      <c r="F143" s="14" t="n">
        <v>27012000000</v>
      </c>
      <c r="G143" t="inlineStr">
        <is>
          <t>reported</t>
        </is>
      </c>
      <c r="H143" t="inlineStr">
        <is>
          <t>HIGH</t>
        </is>
      </c>
      <c r="I143" s="15" t="n">
        <v>0.2553094104723544</v>
      </c>
      <c r="J143" s="14">
        <f>IF(F143="","",F143*(1-I143))</f>
        <v>20115582204.320766</v>
      </c>
      <c r="K143" s="14" t="n">
        <v>90349000000</v>
      </c>
      <c r="L143" s="14" t="n">
        <v>39579000000</v>
      </c>
      <c r="M143" s="14" t="n">
        <v>9867000000</v>
      </c>
      <c r="N143" s="14">
        <f>IF(COUNT(K143:M143)&lt;3,"",K143+L143-M143)</f>
        <v>120061000000.0</v>
      </c>
      <c r="O143" s="14">
        <f>N142</f>
        <v>113969000000.0</v>
      </c>
      <c r="P143" s="14">
        <f>IF(N143="","",IF(OR(O143="",O143&lt;=0,N143&lt;=0),N143,(N143+O143)/2))</f>
        <v>117015000000.0</v>
      </c>
      <c r="Q143" t="inlineStr">
        <is>
          <t>기초·기말 평균</t>
        </is>
      </c>
      <c r="R143" s="15">
        <f>IF(OR(P143="",P143&lt;=0),"",J143/P143)</f>
        <v>0.1719060137958447</v>
      </c>
      <c r="S143" s="15">
        <f>IF(R143="","",R143-0.1)</f>
        <v>0.07190601379584469</v>
      </c>
      <c r="T143" s="15">
        <f>IF(OR(P143="",E143=0,E143=""),"",P143/E143)</f>
        <v>0.18208568756545296</v>
      </c>
      <c r="U143" t="inlineStr">
        <is>
          <t>—</t>
        </is>
      </c>
      <c r="V143" t="inlineStr">
        <is>
          <t>—</t>
        </is>
      </c>
      <c r="W143" t="inlineStr">
        <is>
          <t>OK</t>
        </is>
      </c>
      <c r="X143" t="inlineStr">
        <is>
          <t>Walmart Inc.</t>
        </is>
      </c>
    </row>
    <row r="144">
      <c r="A144" t="inlineStr">
        <is>
          <t>월마트</t>
        </is>
      </c>
      <c r="B144" t="inlineStr">
        <is>
          <t>WMT</t>
        </is>
      </c>
      <c r="C144" t="n">
        <v>2024</v>
      </c>
      <c r="D144" t="inlineStr">
        <is>
          <t>2025-01-31</t>
        </is>
      </c>
      <c r="E144" s="14" t="n">
        <v>674538000000</v>
      </c>
      <c r="F144" s="14" t="n">
        <v>29348000000</v>
      </c>
      <c r="G144" t="inlineStr">
        <is>
          <t>reported</t>
        </is>
      </c>
      <c r="H144" t="inlineStr">
        <is>
          <t>HIGH</t>
        </is>
      </c>
      <c r="I144" s="15" t="n">
        <v>0.2338363297730814</v>
      </c>
      <c r="J144" s="14">
        <f>IF(F144="","",F144*(1-I144))</f>
        <v>22485371393.819607</v>
      </c>
      <c r="K144" s="14" t="n">
        <v>97421000000</v>
      </c>
      <c r="L144" s="14" t="n">
        <v>35999000000</v>
      </c>
      <c r="M144" s="14" t="n">
        <v>9037000000</v>
      </c>
      <c r="N144" s="14">
        <f>IF(COUNT(K144:M144)&lt;3,"",K144+L144-M144)</f>
        <v>124383000000.0</v>
      </c>
      <c r="O144" s="14">
        <f>N143</f>
        <v>120061000000.0</v>
      </c>
      <c r="P144" s="14">
        <f>IF(N144="","",IF(OR(O144="",O144&lt;=0,N144&lt;=0),N144,(N144+O144)/2))</f>
        <v>122222000000.0</v>
      </c>
      <c r="Q144" t="inlineStr">
        <is>
          <t>기초·기말 평균</t>
        </is>
      </c>
      <c r="R144" s="15">
        <f>IF(OR(P144="",P144&lt;=0),"",J144/P144)</f>
        <v>0.18397155498862403</v>
      </c>
      <c r="S144" s="15">
        <f>IF(R144="","",R144-0.1)</f>
        <v>0.08397155498862402</v>
      </c>
      <c r="T144" s="15">
        <f>IF(OR(P144="",E144=0,E144=""),"",P144/E144)</f>
        <v>0.1811936466144235</v>
      </c>
      <c r="U144" t="inlineStr">
        <is>
          <t>—</t>
        </is>
      </c>
      <c r="V144" t="inlineStr">
        <is>
          <t>—</t>
        </is>
      </c>
      <c r="W144" t="inlineStr">
        <is>
          <t>OK</t>
        </is>
      </c>
      <c r="X144" t="inlineStr">
        <is>
          <t>Walmart Inc.</t>
        </is>
      </c>
    </row>
    <row r="145">
      <c r="A145" t="inlineStr">
        <is>
          <t>월마트</t>
        </is>
      </c>
      <c r="B145" t="inlineStr">
        <is>
          <t>WMT</t>
        </is>
      </c>
      <c r="C145" t="n">
        <v>2025</v>
      </c>
      <c r="D145" t="inlineStr">
        <is>
          <t>2026-01-31</t>
        </is>
      </c>
      <c r="E145" s="14" t="n">
        <v>706413000000</v>
      </c>
      <c r="F145" s="14" t="n">
        <v>29825000000</v>
      </c>
      <c r="G145" t="inlineStr">
        <is>
          <t>reported</t>
        </is>
      </c>
      <c r="H145" t="inlineStr">
        <is>
          <t>HIGH</t>
        </is>
      </c>
      <c r="I145" s="15" t="n">
        <v>0.2442906104720214</v>
      </c>
      <c r="J145" s="14">
        <f>IF(F145="","",F145*(1-I145))</f>
        <v>22539032542.671963</v>
      </c>
      <c r="K145" s="14" t="n">
        <v>105887000000</v>
      </c>
      <c r="L145" s="14" t="n">
        <v>38166000000</v>
      </c>
      <c r="M145" s="14" t="n">
        <v>10727000000</v>
      </c>
      <c r="N145" s="14">
        <f>IF(COUNT(K145:M145)&lt;3,"",K145+L145-M145)</f>
        <v>133326000000.0</v>
      </c>
      <c r="O145" s="14">
        <f>N144</f>
        <v>124383000000.0</v>
      </c>
      <c r="P145" s="14">
        <f>IF(N145="","",IF(OR(O145="",O145&lt;=0,N145&lt;=0),N145,(N145+O145)/2))</f>
        <v>128854500000.0</v>
      </c>
      <c r="Q145" t="inlineStr">
        <is>
          <t>기초·기말 평균</t>
        </is>
      </c>
      <c r="R145" s="15">
        <f>IF(OR(P145="",P145&lt;=0),"",J145/P145)</f>
        <v>0.1749184742688223</v>
      </c>
      <c r="S145" s="15">
        <f>IF(R145="","",R145-0.1)</f>
        <v>0.07491847426882228</v>
      </c>
      <c r="T145" s="15">
        <f>IF(OR(P145="",E145=0,E145=""),"",P145/E145)</f>
        <v>0.18240675072514237</v>
      </c>
      <c r="U145" t="inlineStr">
        <is>
          <t>—</t>
        </is>
      </c>
      <c r="V145" t="inlineStr">
        <is>
          <t>—</t>
        </is>
      </c>
      <c r="W145" t="inlineStr">
        <is>
          <t>OK</t>
        </is>
      </c>
      <c r="X145" t="inlineStr">
        <is>
          <t>Walmart Inc.</t>
        </is>
      </c>
    </row>
    <row r="146">
      <c r="A146" s="11" t="inlineStr">
        <is>
          <t>AMD</t>
        </is>
      </c>
      <c r="B146" s="11" t="inlineStr">
        <is>
          <t>AMD</t>
        </is>
      </c>
      <c r="C146" s="11" t="n">
        <v>2015</v>
      </c>
      <c r="D146" s="11" t="inlineStr">
        <is>
          <t>2015-12-26</t>
        </is>
      </c>
      <c r="E146" s="12" t="n">
        <v>3991000000</v>
      </c>
      <c r="F146" s="12" t="n">
        <v>-481000000</v>
      </c>
      <c r="G146" s="11" t="inlineStr">
        <is>
          <t>reported</t>
        </is>
      </c>
      <c r="H146" s="11" t="inlineStr">
        <is>
          <t>HIGH</t>
        </is>
      </c>
      <c r="I146" s="13" t="n">
        <v>0.21</v>
      </c>
      <c r="J146" s="12">
        <f>IF(F146="","",F146*(1-I146))</f>
        <v>-379990000.0</v>
      </c>
      <c r="K146" s="12" t="n">
        <v>-350000000</v>
      </c>
      <c r="L146" s="12" t="n">
        <v>2467000000</v>
      </c>
      <c r="M146" s="12" t="n">
        <v>785000000</v>
      </c>
      <c r="N146" s="12">
        <f>IF(COUNT(K146:M146)&lt;3,"",K146+L146-M146)</f>
        <v>1332000000.0</v>
      </c>
      <c r="O146" s="11" t="inlineStr">
        <is>
          <t>—</t>
        </is>
      </c>
      <c r="P146" s="12" t="inlineStr">
        <is>
          <t>—</t>
        </is>
      </c>
      <c r="Q146" s="11" t="inlineStr">
        <is>
          <t>—</t>
        </is>
      </c>
      <c r="R146" s="13" t="inlineStr">
        <is>
          <t>—</t>
        </is>
      </c>
      <c r="S146" s="13" t="inlineStr">
        <is>
          <t>—</t>
        </is>
      </c>
      <c r="T146" s="13" t="inlineStr">
        <is>
          <t>—</t>
        </is>
      </c>
      <c r="U146" s="11" t="inlineStr">
        <is>
          <t>—</t>
        </is>
      </c>
      <c r="V146" s="11" t="inlineStr">
        <is>
          <t>—</t>
        </is>
      </c>
      <c r="W146" s="11" t="inlineStr">
        <is>
          <t>다음 해 평균 투하자본의 기초값으로만 사용 (보고 기간 밖 — 자체 비율은 계산하지 않음)</t>
        </is>
      </c>
      <c r="X146" s="11" t="inlineStr">
        <is>
          <t>ADVANCED MICRO DEVICES INC</t>
        </is>
      </c>
    </row>
    <row r="147">
      <c r="A147" t="inlineStr">
        <is>
          <t>AMD</t>
        </is>
      </c>
      <c r="B147" t="inlineStr">
        <is>
          <t>AMD</t>
        </is>
      </c>
      <c r="C147" t="n">
        <v>2016</v>
      </c>
      <c r="D147" t="inlineStr">
        <is>
          <t>2016-12-31</t>
        </is>
      </c>
      <c r="E147" s="14" t="n">
        <v>4319000000</v>
      </c>
      <c r="F147" s="14" t="n">
        <v>-373000000</v>
      </c>
      <c r="G147" t="inlineStr">
        <is>
          <t>reported</t>
        </is>
      </c>
      <c r="H147" t="inlineStr">
        <is>
          <t>HIGH</t>
        </is>
      </c>
      <c r="I147" s="15" t="n">
        <v>0.21</v>
      </c>
      <c r="J147" s="14">
        <f>IF(F147="","",F147*(1-I147))</f>
        <v>-294670000.0</v>
      </c>
      <c r="K147" s="14" t="n">
        <v>477000000</v>
      </c>
      <c r="L147" s="14" t="n">
        <v>1435000000</v>
      </c>
      <c r="M147" s="14" t="n">
        <v>1264000000</v>
      </c>
      <c r="N147" s="14">
        <f>IF(COUNT(K147:M147)&lt;3,"",K147+L147-M147)</f>
        <v>648000000.0</v>
      </c>
      <c r="O147" s="14">
        <f>N146</f>
        <v>1332000000.0</v>
      </c>
      <c r="P147" s="14">
        <f>IF(N147="","",IF(OR(O147="",O147&lt;=0,N147&lt;=0),N147,(N147+O147)/2))</f>
        <v>990000000.0</v>
      </c>
      <c r="Q147" t="inlineStr">
        <is>
          <t>기초·기말 평균</t>
        </is>
      </c>
      <c r="R147" s="15">
        <f>IF(OR(P147="",P147&lt;=0),"",J147/P147)</f>
        <v>-0.29764646464646466</v>
      </c>
      <c r="S147" s="15">
        <f>IF(R147="","",R147-0.1)</f>
        <v>-0.3976464646464647</v>
      </c>
      <c r="T147" s="15">
        <f>IF(OR(P147="",E147=0,E147=""),"",P147/E147)</f>
        <v>0.22921972678860847</v>
      </c>
      <c r="U147" t="inlineStr">
        <is>
          <t>—</t>
        </is>
      </c>
      <c r="V147" t="inlineStr">
        <is>
          <t>—</t>
        </is>
      </c>
      <c r="W147" t="inlineStr">
        <is>
          <t>OK</t>
        </is>
      </c>
      <c r="X147" t="inlineStr">
        <is>
          <t>ADVANCED MICRO DEVICES INC</t>
        </is>
      </c>
    </row>
    <row r="148">
      <c r="A148" t="inlineStr">
        <is>
          <t>AMD</t>
        </is>
      </c>
      <c r="B148" t="inlineStr">
        <is>
          <t>AMD</t>
        </is>
      </c>
      <c r="C148" t="n">
        <v>2017</v>
      </c>
      <c r="D148" t="inlineStr">
        <is>
          <t>2017-12-30</t>
        </is>
      </c>
      <c r="E148" s="14" t="n">
        <v>5253000000</v>
      </c>
      <c r="F148" s="14" t="n">
        <v>127000000</v>
      </c>
      <c r="G148" t="inlineStr">
        <is>
          <t>reported</t>
        </is>
      </c>
      <c r="H148" t="inlineStr">
        <is>
          <t>HIGH</t>
        </is>
      </c>
      <c r="I148" s="15" t="n">
        <v>0.21</v>
      </c>
      <c r="J148" s="14">
        <f>IF(F148="","",F148*(1-I148))</f>
        <v>100330000.0</v>
      </c>
      <c r="K148" s="14" t="n">
        <v>596000000</v>
      </c>
      <c r="L148" s="14" t="n">
        <v>1395000000</v>
      </c>
      <c r="M148" s="14" t="n">
        <v>1185000000</v>
      </c>
      <c r="N148" s="14">
        <f>IF(COUNT(K148:M148)&lt;3,"",K148+L148-M148)</f>
        <v>806000000.0</v>
      </c>
      <c r="O148" s="14">
        <f>N147</f>
        <v>648000000.0</v>
      </c>
      <c r="P148" s="14">
        <f>IF(N148="","",IF(OR(O148="",O148&lt;=0,N148&lt;=0),N148,(N148+O148)/2))</f>
        <v>727000000.0</v>
      </c>
      <c r="Q148" t="inlineStr">
        <is>
          <t>기초·기말 평균</t>
        </is>
      </c>
      <c r="R148" s="15">
        <f>IF(OR(P148="",P148&lt;=0),"",J148/P148)</f>
        <v>0.13800550206327372</v>
      </c>
      <c r="S148" s="15">
        <f>IF(R148="","",R148-0.1)</f>
        <v>0.038005502063273716</v>
      </c>
      <c r="T148" s="15">
        <f>IF(OR(P148="",E148=0,E148=""),"",P148/E148)</f>
        <v>0.1383971064153817</v>
      </c>
      <c r="U148" t="inlineStr">
        <is>
          <t>—</t>
        </is>
      </c>
      <c r="V148" t="inlineStr">
        <is>
          <t>—</t>
        </is>
      </c>
      <c r="W148" t="inlineStr">
        <is>
          <t>OK</t>
        </is>
      </c>
      <c r="X148" t="inlineStr">
        <is>
          <t>ADVANCED MICRO DEVICES INC</t>
        </is>
      </c>
    </row>
    <row r="149">
      <c r="A149" t="inlineStr">
        <is>
          <t>AMD</t>
        </is>
      </c>
      <c r="B149" t="inlineStr">
        <is>
          <t>AMD</t>
        </is>
      </c>
      <c r="C149" t="n">
        <v>2018</v>
      </c>
      <c r="D149" t="inlineStr">
        <is>
          <t>2018-12-29</t>
        </is>
      </c>
      <c r="E149" s="14" t="n">
        <v>6475000000</v>
      </c>
      <c r="F149" s="14" t="n">
        <v>451000000</v>
      </c>
      <c r="G149" t="inlineStr">
        <is>
          <t>reported</t>
        </is>
      </c>
      <c r="H149" t="inlineStr">
        <is>
          <t>HIGH</t>
        </is>
      </c>
      <c r="I149" s="15" t="n">
        <v>0.05</v>
      </c>
      <c r="J149" s="14">
        <f>IF(F149="","",F149*(1-I149))</f>
        <v>428450000.0</v>
      </c>
      <c r="K149" s="14" t="n">
        <v>1266000000</v>
      </c>
      <c r="L149" s="14" t="n">
        <v>1250000000</v>
      </c>
      <c r="M149" s="14" t="n">
        <v>1156000000</v>
      </c>
      <c r="N149" s="14">
        <f>IF(COUNT(K149:M149)&lt;3,"",K149+L149-M149)</f>
        <v>1360000000.0</v>
      </c>
      <c r="O149" s="14">
        <f>N148</f>
        <v>806000000.0</v>
      </c>
      <c r="P149" s="14">
        <f>IF(N149="","",IF(OR(O149="",O149&lt;=0,N149&lt;=0),N149,(N149+O149)/2))</f>
        <v>1083000000.0</v>
      </c>
      <c r="Q149" t="inlineStr">
        <is>
          <t>기초·기말 평균</t>
        </is>
      </c>
      <c r="R149" s="15">
        <f>IF(OR(P149="",P149&lt;=0),"",J149/P149)</f>
        <v>0.3956140350877193</v>
      </c>
      <c r="S149" s="15">
        <f>IF(R149="","",R149-0.1)</f>
        <v>0.29561403508771933</v>
      </c>
      <c r="T149" s="15">
        <f>IF(OR(P149="",E149=0,E149=""),"",P149/E149)</f>
        <v>0.16725868725868726</v>
      </c>
      <c r="U149" t="inlineStr">
        <is>
          <t>—</t>
        </is>
      </c>
      <c r="V149" t="inlineStr">
        <is>
          <t>—</t>
        </is>
      </c>
      <c r="W149" t="inlineStr">
        <is>
          <t>OK</t>
        </is>
      </c>
      <c r="X149" t="inlineStr">
        <is>
          <t>ADVANCED MICRO DEVICES INC</t>
        </is>
      </c>
    </row>
    <row r="150">
      <c r="A150" t="inlineStr">
        <is>
          <t>AMD</t>
        </is>
      </c>
      <c r="B150" t="inlineStr">
        <is>
          <t>AMD</t>
        </is>
      </c>
      <c r="C150" t="n">
        <v>2019</v>
      </c>
      <c r="D150" t="inlineStr">
        <is>
          <t>2019-12-28</t>
        </is>
      </c>
      <c r="E150" s="14" t="n">
        <v>6731000000</v>
      </c>
      <c r="F150" s="14" t="n">
        <v>631000000</v>
      </c>
      <c r="G150" t="inlineStr">
        <is>
          <t>reported</t>
        </is>
      </c>
      <c r="H150" t="inlineStr">
        <is>
          <t>HIGH</t>
        </is>
      </c>
      <c r="I150" s="15" t="n">
        <v>0.08333333333333333</v>
      </c>
      <c r="J150" s="14">
        <f>IF(F150="","",F150*(1-I150))</f>
        <v>578416666.6666666</v>
      </c>
      <c r="K150" s="14" t="n">
        <v>2827000000</v>
      </c>
      <c r="L150" s="14" t="n">
        <v>486000000</v>
      </c>
      <c r="M150" s="14" t="n">
        <v>1503000000</v>
      </c>
      <c r="N150" s="14">
        <f>IF(COUNT(K150:M150)&lt;3,"",K150+L150-M150)</f>
        <v>1810000000.0</v>
      </c>
      <c r="O150" s="14">
        <f>N149</f>
        <v>1360000000.0</v>
      </c>
      <c r="P150" s="14">
        <f>IF(N150="","",IF(OR(O150="",O150&lt;=0,N150&lt;=0),N150,(N150+O150)/2))</f>
        <v>1585000000.0</v>
      </c>
      <c r="Q150" t="inlineStr">
        <is>
          <t>기초·기말 평균</t>
        </is>
      </c>
      <c r="R150" s="15">
        <f>IF(OR(P150="",P150&lt;=0),"",J150/P150)</f>
        <v>0.364931650893796</v>
      </c>
      <c r="S150" s="15">
        <f>IF(R150="","",R150-0.1)</f>
        <v>0.264931650893796</v>
      </c>
      <c r="T150" s="15">
        <f>IF(OR(P150="",E150=0,E150=""),"",P150/E150)</f>
        <v>0.2354776407666023</v>
      </c>
      <c r="U150" t="inlineStr">
        <is>
          <t>—</t>
        </is>
      </c>
      <c r="V150" t="inlineStr">
        <is>
          <t>—</t>
        </is>
      </c>
      <c r="W150" t="inlineStr">
        <is>
          <t>OK</t>
        </is>
      </c>
      <c r="X150" t="inlineStr">
        <is>
          <t>ADVANCED MICRO DEVICES INC</t>
        </is>
      </c>
    </row>
    <row r="151">
      <c r="A151" t="inlineStr">
        <is>
          <t>AMD</t>
        </is>
      </c>
      <c r="B151" t="inlineStr">
        <is>
          <t>AMD</t>
        </is>
      </c>
      <c r="C151" t="n">
        <v>2020</v>
      </c>
      <c r="D151" t="inlineStr">
        <is>
          <t>2020-12-26</t>
        </is>
      </c>
      <c r="E151" s="14" t="n">
        <v>9763000000</v>
      </c>
      <c r="F151" s="14" t="n">
        <v>1369000000</v>
      </c>
      <c r="G151" t="inlineStr">
        <is>
          <t>reported</t>
        </is>
      </c>
      <c r="H151" t="inlineStr">
        <is>
          <t>HIGH</t>
        </is>
      </c>
      <c r="I151" s="15" t="n">
        <v>0.05</v>
      </c>
      <c r="J151" s="14">
        <f>IF(F151="","",F151*(1-I151))</f>
        <v>1300550000.0</v>
      </c>
      <c r="K151" s="14" t="n">
        <v>5837000000</v>
      </c>
      <c r="L151" s="14" t="n">
        <v>330000000</v>
      </c>
      <c r="M151" s="14" t="n">
        <v>2290000000</v>
      </c>
      <c r="N151" s="14">
        <f>IF(COUNT(K151:M151)&lt;3,"",K151+L151-M151)</f>
        <v>3877000000.0</v>
      </c>
      <c r="O151" s="14">
        <f>N150</f>
        <v>1810000000.0</v>
      </c>
      <c r="P151" s="14">
        <f>IF(N151="","",IF(OR(O151="",O151&lt;=0,N151&lt;=0),N151,(N151+O151)/2))</f>
        <v>2843500000.0</v>
      </c>
      <c r="Q151" t="inlineStr">
        <is>
          <t>기초·기말 평균</t>
        </is>
      </c>
      <c r="R151" s="15">
        <f>IF(OR(P151="",P151&lt;=0),"",J151/P151)</f>
        <v>0.45737647265693687</v>
      </c>
      <c r="S151" s="15">
        <f>IF(R151="","",R151-0.1)</f>
        <v>0.35737647265693684</v>
      </c>
      <c r="T151" s="15">
        <f>IF(OR(P151="",E151=0,E151=""),"",P151/E151)</f>
        <v>0.2912526887227287</v>
      </c>
      <c r="U151" t="inlineStr">
        <is>
          <t>—</t>
        </is>
      </c>
      <c r="V151" t="inlineStr">
        <is>
          <t>—</t>
        </is>
      </c>
      <c r="W151" t="inlineStr">
        <is>
          <t>OK</t>
        </is>
      </c>
      <c r="X151" t="inlineStr">
        <is>
          <t>ADVANCED MICRO DEVICES INC</t>
        </is>
      </c>
    </row>
    <row r="152">
      <c r="A152" t="inlineStr">
        <is>
          <t>AMD</t>
        </is>
      </c>
      <c r="B152" t="inlineStr">
        <is>
          <t>AMD</t>
        </is>
      </c>
      <c r="C152" t="n">
        <v>2021</v>
      </c>
      <c r="D152" t="inlineStr">
        <is>
          <t>2021-12-25</t>
        </is>
      </c>
      <c r="E152" s="14" t="n">
        <v>16434000000</v>
      </c>
      <c r="F152" s="14" t="n">
        <v>3648000000</v>
      </c>
      <c r="G152" t="inlineStr">
        <is>
          <t>reported</t>
        </is>
      </c>
      <c r="H152" t="inlineStr">
        <is>
          <t>HIGH</t>
        </is>
      </c>
      <c r="I152" s="15" t="n">
        <v>0.1395918367346939</v>
      </c>
      <c r="J152" s="14">
        <f>IF(F152="","",F152*(1-I152))</f>
        <v>3138768979.591837</v>
      </c>
      <c r="K152" s="14" t="n">
        <v>7497000000</v>
      </c>
      <c r="L152" s="14" t="n">
        <v>313000000</v>
      </c>
      <c r="M152" s="14" t="n">
        <v>3608000000</v>
      </c>
      <c r="N152" s="14">
        <f>IF(COUNT(K152:M152)&lt;3,"",K152+L152-M152)</f>
        <v>4202000000.0</v>
      </c>
      <c r="O152" s="14">
        <f>N151</f>
        <v>3877000000.0</v>
      </c>
      <c r="P152" s="14">
        <f>IF(N152="","",IF(OR(O152="",O152&lt;=0,N152&lt;=0),N152,(N152+O152)/2))</f>
        <v>4039500000.0</v>
      </c>
      <c r="Q152" t="inlineStr">
        <is>
          <t>기초·기말 평균</t>
        </is>
      </c>
      <c r="R152" s="15">
        <f>IF(OR(P152="",P152&lt;=0),"",J152/P152)</f>
        <v>0.7770191804906145</v>
      </c>
      <c r="S152" s="15">
        <f>IF(R152="","",R152-0.1)</f>
        <v>0.6770191804906145</v>
      </c>
      <c r="T152" s="15">
        <f>IF(OR(P152="",E152=0,E152=""),"",P152/E152)</f>
        <v>0.24580138736765242</v>
      </c>
      <c r="U152" t="inlineStr">
        <is>
          <t>—</t>
        </is>
      </c>
      <c r="V152" t="inlineStr">
        <is>
          <t>—</t>
        </is>
      </c>
      <c r="W152" t="inlineStr">
        <is>
          <t>OK</t>
        </is>
      </c>
      <c r="X152" t="inlineStr">
        <is>
          <t>ADVANCED MICRO DEVICES INC</t>
        </is>
      </c>
    </row>
    <row r="153">
      <c r="A153" t="inlineStr">
        <is>
          <t>AMD</t>
        </is>
      </c>
      <c r="B153" t="inlineStr">
        <is>
          <t>AMD</t>
        </is>
      </c>
      <c r="C153" t="n">
        <v>2022</v>
      </c>
      <c r="D153" t="inlineStr">
        <is>
          <t>2022-12-31</t>
        </is>
      </c>
      <c r="E153" s="14" t="n">
        <v>23601000000</v>
      </c>
      <c r="F153" s="14" t="n">
        <v>1264000000</v>
      </c>
      <c r="G153" t="inlineStr">
        <is>
          <t>reported</t>
        </is>
      </c>
      <c r="H153" t="inlineStr">
        <is>
          <t>HIGH</t>
        </is>
      </c>
      <c r="I153" s="15" t="n">
        <v>0.05</v>
      </c>
      <c r="J153" s="14">
        <f>IF(F153="","",F153*(1-I153))</f>
        <v>1200800000.0</v>
      </c>
      <c r="K153" s="14" t="n">
        <v>54750000000</v>
      </c>
      <c r="L153" s="14" t="n">
        <v>2467000000</v>
      </c>
      <c r="M153" s="14" t="n">
        <v>5855000000</v>
      </c>
      <c r="N153" s="14">
        <f>IF(COUNT(K153:M153)&lt;3,"",K153+L153-M153)</f>
        <v>51362000000.0</v>
      </c>
      <c r="O153" s="14">
        <f>N152</f>
        <v>4202000000.0</v>
      </c>
      <c r="P153" s="14">
        <f>IF(N153="","",IF(OR(O153="",O153&lt;=0,N153&lt;=0),N153,(N153+O153)/2))</f>
        <v>27782000000.0</v>
      </c>
      <c r="Q153" t="inlineStr">
        <is>
          <t>기초·기말 평균</t>
        </is>
      </c>
      <c r="R153" s="15">
        <f>IF(OR(P153="",P153&lt;=0),"",J153/P153)</f>
        <v>0.04322223022100641</v>
      </c>
      <c r="S153" s="15">
        <f>IF(R153="","",R153-0.1)</f>
        <v>-0.0567777697789936</v>
      </c>
      <c r="T153" s="15">
        <f>IF(OR(P153="",E153=0,E153=""),"",P153/E153)</f>
        <v>1.1771535104444726</v>
      </c>
      <c r="U153" t="inlineStr">
        <is>
          <t>—</t>
        </is>
      </c>
      <c r="V153" t="inlineStr">
        <is>
          <t>—</t>
        </is>
      </c>
      <c r="W153" t="inlineStr">
        <is>
          <t>OK</t>
        </is>
      </c>
      <c r="X153" t="inlineStr">
        <is>
          <t>ADVANCED MICRO DEVICES INC</t>
        </is>
      </c>
    </row>
    <row r="154">
      <c r="A154" t="inlineStr">
        <is>
          <t>AMD</t>
        </is>
      </c>
      <c r="B154" t="inlineStr">
        <is>
          <t>AMD</t>
        </is>
      </c>
      <c r="C154" t="n">
        <v>2023</v>
      </c>
      <c r="D154" t="inlineStr">
        <is>
          <t>2023-12-30</t>
        </is>
      </c>
      <c r="E154" s="14" t="n">
        <v>22680000000</v>
      </c>
      <c r="F154" s="14" t="n">
        <v>401000000</v>
      </c>
      <c r="G154" t="inlineStr">
        <is>
          <t>reported</t>
        </is>
      </c>
      <c r="H154" t="inlineStr">
        <is>
          <t>HIGH</t>
        </is>
      </c>
      <c r="I154" s="15" t="n">
        <v>0.05</v>
      </c>
      <c r="J154" s="14">
        <f>IF(F154="","",F154*(1-I154))</f>
        <v>380950000.0</v>
      </c>
      <c r="K154" s="14" t="n">
        <v>55892000000</v>
      </c>
      <c r="L154" s="14" t="n">
        <v>2468000000</v>
      </c>
      <c r="M154" s="14" t="n">
        <v>5773000000</v>
      </c>
      <c r="N154" s="14">
        <f>IF(COUNT(K154:M154)&lt;3,"",K154+L154-M154)</f>
        <v>52587000000.0</v>
      </c>
      <c r="O154" s="14">
        <f>N153</f>
        <v>51362000000.0</v>
      </c>
      <c r="P154" s="14">
        <f>IF(N154="","",IF(OR(O154="",O154&lt;=0,N154&lt;=0),N154,(N154+O154)/2))</f>
        <v>51974500000.0</v>
      </c>
      <c r="Q154" t="inlineStr">
        <is>
          <t>기초·기말 평균</t>
        </is>
      </c>
      <c r="R154" s="15">
        <f>IF(OR(P154="",P154&lt;=0),"",J154/P154)</f>
        <v>0.00732955583988302</v>
      </c>
      <c r="S154" s="15">
        <f>IF(R154="","",R154-0.1)</f>
        <v>-0.09267044416011698</v>
      </c>
      <c r="T154" s="15">
        <f>IF(OR(P154="",E154=0,E154=""),"",P154/E154)</f>
        <v>2.2916446208112875</v>
      </c>
      <c r="U154" t="inlineStr">
        <is>
          <t>—</t>
        </is>
      </c>
      <c r="V154" t="inlineStr">
        <is>
          <t>—</t>
        </is>
      </c>
      <c r="W154" t="inlineStr">
        <is>
          <t>OK</t>
        </is>
      </c>
      <c r="X154" t="inlineStr">
        <is>
          <t>ADVANCED MICRO DEVICES INC</t>
        </is>
      </c>
    </row>
    <row r="155">
      <c r="A155" t="inlineStr">
        <is>
          <t>AMD</t>
        </is>
      </c>
      <c r="B155" t="inlineStr">
        <is>
          <t>AMD</t>
        </is>
      </c>
      <c r="C155" t="n">
        <v>2024</v>
      </c>
      <c r="D155" t="inlineStr">
        <is>
          <t>2024-12-28</t>
        </is>
      </c>
      <c r="E155" s="14" t="n">
        <v>25785000000</v>
      </c>
      <c r="F155" s="14" t="n">
        <v>1900000000</v>
      </c>
      <c r="G155" t="inlineStr">
        <is>
          <t>reported</t>
        </is>
      </c>
      <c r="H155" t="inlineStr">
        <is>
          <t>HIGH</t>
        </is>
      </c>
      <c r="I155" s="15" t="n">
        <v>0.1884272997032641</v>
      </c>
      <c r="J155" s="14">
        <f>IF(F155="","",F155*(1-I155))</f>
        <v>1541988130.5637982</v>
      </c>
      <c r="K155" s="14" t="n">
        <v>57568000000</v>
      </c>
      <c r="L155" s="14" t="n">
        <v>1721000000</v>
      </c>
      <c r="M155" s="14" t="n">
        <v>5132000000</v>
      </c>
      <c r="N155" s="14">
        <f>IF(COUNT(K155:M155)&lt;3,"",K155+L155-M155)</f>
        <v>54157000000.0</v>
      </c>
      <c r="O155" s="14">
        <f>N154</f>
        <v>52587000000.0</v>
      </c>
      <c r="P155" s="14">
        <f>IF(N155="","",IF(OR(O155="",O155&lt;=0,N155&lt;=0),N155,(N155+O155)/2))</f>
        <v>53372000000.0</v>
      </c>
      <c r="Q155" t="inlineStr">
        <is>
          <t>기초·기말 평균</t>
        </is>
      </c>
      <c r="R155" s="15">
        <f>IF(OR(P155="",P155&lt;=0),"",J155/P155)</f>
        <v>0.028891331232927343</v>
      </c>
      <c r="S155" s="15">
        <f>IF(R155="","",R155-0.1)</f>
        <v>-0.07110866876707267</v>
      </c>
      <c r="T155" s="15">
        <f>IF(OR(P155="",E155=0,E155=""),"",P155/E155)</f>
        <v>2.0698855923986814</v>
      </c>
      <c r="U155" t="inlineStr">
        <is>
          <t>—</t>
        </is>
      </c>
      <c r="V155" t="inlineStr">
        <is>
          <t>—</t>
        </is>
      </c>
      <c r="W155" t="inlineStr">
        <is>
          <t>OK</t>
        </is>
      </c>
      <c r="X155" t="inlineStr">
        <is>
          <t>ADVANCED MICRO DEVICES INC</t>
        </is>
      </c>
    </row>
    <row r="156">
      <c r="A156" t="inlineStr">
        <is>
          <t>AMD</t>
        </is>
      </c>
      <c r="B156" t="inlineStr">
        <is>
          <t>AMD</t>
        </is>
      </c>
      <c r="C156" t="n">
        <v>2025</v>
      </c>
      <c r="D156" t="inlineStr">
        <is>
          <t>2025-12-27</t>
        </is>
      </c>
      <c r="E156" s="14" t="n">
        <v>34639000000</v>
      </c>
      <c r="F156" s="14" t="n">
        <v>3694000000</v>
      </c>
      <c r="G156" t="inlineStr">
        <is>
          <t>reported</t>
        </is>
      </c>
      <c r="H156" t="inlineStr">
        <is>
          <t>HIGH</t>
        </is>
      </c>
      <c r="I156" s="15" t="n">
        <v>0.05</v>
      </c>
      <c r="J156" s="14">
        <f>IF(F156="","",F156*(1-I156))</f>
        <v>3509300000.0</v>
      </c>
      <c r="K156" s="14" t="n">
        <v>62999000000</v>
      </c>
      <c r="L156" s="14" t="n">
        <v>3222000000</v>
      </c>
      <c r="M156" s="14" t="n">
        <v>10552000000</v>
      </c>
      <c r="N156" s="14">
        <f>IF(COUNT(K156:M156)&lt;3,"",K156+L156-M156)</f>
        <v>55669000000.0</v>
      </c>
      <c r="O156" s="14">
        <f>N155</f>
        <v>54157000000.0</v>
      </c>
      <c r="P156" s="14">
        <f>IF(N156="","",IF(OR(O156="",O156&lt;=0,N156&lt;=0),N156,(N156+O156)/2))</f>
        <v>54913000000.0</v>
      </c>
      <c r="Q156" t="inlineStr">
        <is>
          <t>기초·기말 평균</t>
        </is>
      </c>
      <c r="R156" s="15">
        <f>IF(OR(P156="",P156&lt;=0),"",J156/P156)</f>
        <v>0.06390654307723126</v>
      </c>
      <c r="S156" s="15">
        <f>IF(R156="","",R156-0.1)</f>
        <v>-0.036093456922768746</v>
      </c>
      <c r="T156" s="15">
        <f>IF(OR(P156="",E156=0,E156=""),"",P156/E156)</f>
        <v>1.5852940327376657</v>
      </c>
      <c r="U156" t="inlineStr">
        <is>
          <t>—</t>
        </is>
      </c>
      <c r="V156" t="inlineStr">
        <is>
          <t>—</t>
        </is>
      </c>
      <c r="W156" t="inlineStr">
        <is>
          <t>OK</t>
        </is>
      </c>
      <c r="X156" t="inlineStr">
        <is>
          <t>ADVANCED MICRO DEVICES INC</t>
        </is>
      </c>
    </row>
    <row r="157">
      <c r="A157" s="11" t="inlineStr">
        <is>
          <t>비자</t>
        </is>
      </c>
      <c r="B157" s="11" t="inlineStr">
        <is>
          <t>V</t>
        </is>
      </c>
      <c r="C157" s="11" t="n">
        <v>2015</v>
      </c>
      <c r="D157" s="11" t="inlineStr">
        <is>
          <t>2015-09-30</t>
        </is>
      </c>
      <c r="E157" s="12" t="n">
        <v>13880000000</v>
      </c>
      <c r="F157" s="12" t="n">
        <v>9064000000</v>
      </c>
      <c r="G157" s="11" t="inlineStr">
        <is>
          <t>reported</t>
        </is>
      </c>
      <c r="H157" s="11" t="inlineStr">
        <is>
          <t>HIGH</t>
        </is>
      </c>
      <c r="I157" s="13" t="n">
        <v>0.2964980544747082</v>
      </c>
      <c r="J157" s="12">
        <f>IF(F157="","",F157*(1-I157))</f>
        <v>6376541634.241244</v>
      </c>
      <c r="K157" s="12" t="n">
        <v>29842000000</v>
      </c>
      <c r="L157" s="12" t="n">
        <v>0</v>
      </c>
      <c r="M157" s="12" t="n">
        <v>5949000000</v>
      </c>
      <c r="N157" s="12">
        <f>IF(COUNT(K157:M157)&lt;3,"",K157+L157-M157)</f>
        <v>23893000000.0</v>
      </c>
      <c r="O157" s="11" t="inlineStr">
        <is>
          <t>—</t>
        </is>
      </c>
      <c r="P157" s="12" t="inlineStr">
        <is>
          <t>—</t>
        </is>
      </c>
      <c r="Q157" s="11" t="inlineStr">
        <is>
          <t>—</t>
        </is>
      </c>
      <c r="R157" s="13" t="inlineStr">
        <is>
          <t>—</t>
        </is>
      </c>
      <c r="S157" s="13" t="inlineStr">
        <is>
          <t>—</t>
        </is>
      </c>
      <c r="T157" s="13" t="inlineStr">
        <is>
          <t>—</t>
        </is>
      </c>
      <c r="U157" s="11" t="inlineStr">
        <is>
          <t>—</t>
        </is>
      </c>
      <c r="V157" s="11" t="inlineStr">
        <is>
          <t>—</t>
        </is>
      </c>
      <c r="W157" s="11" t="inlineStr">
        <is>
          <t>다음 해 평균 투하자본의 기초값으로만 사용 (보고 기간 밖 — 자체 비율은 계산하지 않음)</t>
        </is>
      </c>
      <c r="X157" s="11" t="inlineStr">
        <is>
          <t>VISA INC.</t>
        </is>
      </c>
    </row>
    <row r="158">
      <c r="A158" t="inlineStr">
        <is>
          <t>비자</t>
        </is>
      </c>
      <c r="B158" t="inlineStr">
        <is>
          <t>V</t>
        </is>
      </c>
      <c r="C158" t="n">
        <v>2016</v>
      </c>
      <c r="D158" t="inlineStr">
        <is>
          <t>2016-09-30</t>
        </is>
      </c>
      <c r="E158" s="14" t="n">
        <v>15082000000</v>
      </c>
      <c r="F158" s="14" t="n">
        <v>7883000000</v>
      </c>
      <c r="G158" t="inlineStr">
        <is>
          <t>reported</t>
        </is>
      </c>
      <c r="H158" t="inlineStr">
        <is>
          <t>HIGH</t>
        </is>
      </c>
      <c r="I158" s="15" t="n">
        <v>0.2522466300549176</v>
      </c>
      <c r="J158" s="14">
        <f>IF(F158="","",F158*(1-I158))</f>
        <v>5894539815.277085</v>
      </c>
      <c r="K158" s="14" t="n">
        <v>32912000000</v>
      </c>
      <c r="L158" s="14" t="n">
        <v>15882000000</v>
      </c>
      <c r="M158" s="14" t="n">
        <v>8867000000</v>
      </c>
      <c r="N158" s="14">
        <f>IF(COUNT(K158:M158)&lt;3,"",K158+L158-M158)</f>
        <v>39927000000.0</v>
      </c>
      <c r="O158" s="14">
        <f>N157</f>
        <v>23893000000.0</v>
      </c>
      <c r="P158" s="14">
        <f>IF(N158="","",IF(OR(O158="",O158&lt;=0,N158&lt;=0),N158,(N158+O158)/2))</f>
        <v>31910000000.0</v>
      </c>
      <c r="Q158" t="inlineStr">
        <is>
          <t>기초·기말 평균</t>
        </is>
      </c>
      <c r="R158" s="15">
        <f>IF(OR(P158="",P158&lt;=0),"",J158/P158)</f>
        <v>0.18472390521081433</v>
      </c>
      <c r="S158" s="15">
        <f>IF(R158="","",R158-0.1)</f>
        <v>0.08472390521081433</v>
      </c>
      <c r="T158" s="15">
        <f>IF(OR(P158="",E158=0,E158=""),"",P158/E158)</f>
        <v>2.115767139636653</v>
      </c>
      <c r="U158" t="inlineStr">
        <is>
          <t>—</t>
        </is>
      </c>
      <c r="V158" t="inlineStr">
        <is>
          <t>—</t>
        </is>
      </c>
      <c r="W158" t="inlineStr">
        <is>
          <t>OK</t>
        </is>
      </c>
      <c r="X158" t="inlineStr">
        <is>
          <t>VISA INC.</t>
        </is>
      </c>
    </row>
    <row r="159">
      <c r="A159" t="inlineStr">
        <is>
          <t>비자</t>
        </is>
      </c>
      <c r="B159" t="inlineStr">
        <is>
          <t>V</t>
        </is>
      </c>
      <c r="C159" t="n">
        <v>2017</v>
      </c>
      <c r="D159" t="inlineStr">
        <is>
          <t>2017-09-30</t>
        </is>
      </c>
      <c r="E159" s="14" t="n">
        <v>18358000000</v>
      </c>
      <c r="F159" s="14" t="n">
        <v>12144000000</v>
      </c>
      <c r="G159" t="inlineStr">
        <is>
          <t>reported</t>
        </is>
      </c>
      <c r="H159" t="inlineStr">
        <is>
          <t>HIGH</t>
        </is>
      </c>
      <c r="I159" s="15" t="n">
        <v>0.4</v>
      </c>
      <c r="J159" s="14">
        <f>IF(F159="","",F159*(1-I159))</f>
        <v>7286400000.0</v>
      </c>
      <c r="K159" s="14" t="n">
        <v>32760000000</v>
      </c>
      <c r="L159" s="14" t="n">
        <v>18367000000</v>
      </c>
      <c r="M159" s="14" t="n">
        <v>13356000000</v>
      </c>
      <c r="N159" s="14">
        <f>IF(COUNT(K159:M159)&lt;3,"",K159+L159-M159)</f>
        <v>37771000000.0</v>
      </c>
      <c r="O159" s="14">
        <f>N158</f>
        <v>39927000000.0</v>
      </c>
      <c r="P159" s="14">
        <f>IF(N159="","",IF(OR(O159="",O159&lt;=0,N159&lt;=0),N159,(N159+O159)/2))</f>
        <v>38849000000.0</v>
      </c>
      <c r="Q159" t="inlineStr">
        <is>
          <t>기초·기말 평균</t>
        </is>
      </c>
      <c r="R159" s="15">
        <f>IF(OR(P159="",P159&lt;=0),"",J159/P159)</f>
        <v>0.18755695127287703</v>
      </c>
      <c r="S159" s="15">
        <f>IF(R159="","",R159-0.1)</f>
        <v>0.08755695127287702</v>
      </c>
      <c r="T159" s="15">
        <f>IF(OR(P159="",E159=0,E159=""),"",P159/E159)</f>
        <v>2.1161891273559212</v>
      </c>
      <c r="U159" t="inlineStr">
        <is>
          <t>—</t>
        </is>
      </c>
      <c r="V159" t="inlineStr">
        <is>
          <t>—</t>
        </is>
      </c>
      <c r="W159" t="inlineStr">
        <is>
          <t>OK</t>
        </is>
      </c>
      <c r="X159" t="inlineStr">
        <is>
          <t>VISA INC.</t>
        </is>
      </c>
    </row>
    <row r="160">
      <c r="A160" t="inlineStr">
        <is>
          <t>비자</t>
        </is>
      </c>
      <c r="B160" t="inlineStr">
        <is>
          <t>V</t>
        </is>
      </c>
      <c r="C160" t="n">
        <v>2018</v>
      </c>
      <c r="D160" t="inlineStr">
        <is>
          <t>2018-09-30</t>
        </is>
      </c>
      <c r="E160" s="14" t="n">
        <v>20609000000</v>
      </c>
      <c r="F160" s="14" t="n">
        <v>12954000000</v>
      </c>
      <c r="G160" t="inlineStr">
        <is>
          <t>reported</t>
        </is>
      </c>
      <c r="H160" t="inlineStr">
        <is>
          <t>HIGH</t>
        </is>
      </c>
      <c r="I160" s="15" t="n">
        <v>0.1956114321411838</v>
      </c>
      <c r="J160" s="14">
        <f>IF(F160="","",F160*(1-I160))</f>
        <v>10420049508.043104</v>
      </c>
      <c r="K160" s="14" t="n">
        <v>34006000000</v>
      </c>
      <c r="L160" s="14" t="n">
        <v>16630000000</v>
      </c>
      <c r="M160" s="14" t="n">
        <v>11596000000</v>
      </c>
      <c r="N160" s="14">
        <f>IF(COUNT(K160:M160)&lt;3,"",K160+L160-M160)</f>
        <v>39040000000.0</v>
      </c>
      <c r="O160" s="14">
        <f>N159</f>
        <v>37771000000.0</v>
      </c>
      <c r="P160" s="14">
        <f>IF(N160="","",IF(OR(O160="",O160&lt;=0,N160&lt;=0),N160,(N160+O160)/2))</f>
        <v>38405500000.0</v>
      </c>
      <c r="Q160" t="inlineStr">
        <is>
          <t>기초·기말 평균</t>
        </is>
      </c>
      <c r="R160" s="15">
        <f>IF(OR(P160="",P160&lt;=0),"",J160/P160)</f>
        <v>0.2713165954887478</v>
      </c>
      <c r="S160" s="15">
        <f>IF(R160="","",R160-0.1)</f>
        <v>0.1713165954887478</v>
      </c>
      <c r="T160" s="15">
        <f>IF(OR(P160="",E160=0,E160=""),"",P160/E160)</f>
        <v>1.8635304963850745</v>
      </c>
      <c r="U160" t="inlineStr">
        <is>
          <t>—</t>
        </is>
      </c>
      <c r="V160" t="inlineStr">
        <is>
          <t>—</t>
        </is>
      </c>
      <c r="W160" t="inlineStr">
        <is>
          <t>OK</t>
        </is>
      </c>
      <c r="X160" t="inlineStr">
        <is>
          <t>VISA INC.</t>
        </is>
      </c>
    </row>
    <row r="161">
      <c r="A161" t="inlineStr">
        <is>
          <t>비자</t>
        </is>
      </c>
      <c r="B161" t="inlineStr">
        <is>
          <t>V</t>
        </is>
      </c>
      <c r="C161" t="n">
        <v>2019</v>
      </c>
      <c r="D161" t="inlineStr">
        <is>
          <t>2019-09-30</t>
        </is>
      </c>
      <c r="E161" s="14" t="n">
        <v>22977000000</v>
      </c>
      <c r="F161" s="14" t="n">
        <v>15001000000</v>
      </c>
      <c r="G161" t="inlineStr">
        <is>
          <t>reported</t>
        </is>
      </c>
      <c r="H161" t="inlineStr">
        <is>
          <t>HIGH</t>
        </is>
      </c>
      <c r="I161" s="15" t="n">
        <v>0.1883902176834184</v>
      </c>
      <c r="J161" s="14">
        <f>IF(F161="","",F161*(1-I161))</f>
        <v>12174958344.53104</v>
      </c>
      <c r="K161" s="14" t="n">
        <v>34684000000</v>
      </c>
      <c r="L161" s="14" t="n">
        <v>16729000000</v>
      </c>
      <c r="M161" s="14" t="n">
        <v>11948000000</v>
      </c>
      <c r="N161" s="14">
        <f>IF(COUNT(K161:M161)&lt;3,"",K161+L161-M161)</f>
        <v>39465000000.0</v>
      </c>
      <c r="O161" s="14">
        <f>N160</f>
        <v>39040000000.0</v>
      </c>
      <c r="P161" s="14">
        <f>IF(N161="","",IF(OR(O161="",O161&lt;=0,N161&lt;=0),N161,(N161+O161)/2))</f>
        <v>39252500000.0</v>
      </c>
      <c r="Q161" t="inlineStr">
        <is>
          <t>기초·기말 평균</t>
        </is>
      </c>
      <c r="R161" s="15">
        <f>IF(OR(P161="",P161&lt;=0),"",J161/P161)</f>
        <v>0.3101702654488514</v>
      </c>
      <c r="S161" s="15">
        <f>IF(R161="","",R161-0.1)</f>
        <v>0.2101702654488514</v>
      </c>
      <c r="T161" s="15">
        <f>IF(OR(P161="",E161=0,E161=""),"",P161/E161)</f>
        <v>1.7083387735561648</v>
      </c>
      <c r="U161" t="inlineStr">
        <is>
          <t>—</t>
        </is>
      </c>
      <c r="V161" t="inlineStr">
        <is>
          <t>—</t>
        </is>
      </c>
      <c r="W161" t="inlineStr">
        <is>
          <t>OK</t>
        </is>
      </c>
      <c r="X161" t="inlineStr">
        <is>
          <t>VISA INC.</t>
        </is>
      </c>
    </row>
    <row r="162">
      <c r="A162" t="inlineStr">
        <is>
          <t>비자</t>
        </is>
      </c>
      <c r="B162" t="inlineStr">
        <is>
          <t>V</t>
        </is>
      </c>
      <c r="C162" t="n">
        <v>2020</v>
      </c>
      <c r="D162" t="inlineStr">
        <is>
          <t>2020-09-30</t>
        </is>
      </c>
      <c r="E162" s="14" t="n">
        <v>21846000000</v>
      </c>
      <c r="F162" s="14" t="n">
        <v>14081000000</v>
      </c>
      <c r="G162" t="inlineStr">
        <is>
          <t>reported</t>
        </is>
      </c>
      <c r="H162" t="inlineStr">
        <is>
          <t>HIGH</t>
        </is>
      </c>
      <c r="I162" s="15" t="n">
        <v>0.212037708484409</v>
      </c>
      <c r="J162" s="14">
        <f>IF(F162="","",F162*(1-I162))</f>
        <v>11095297026.831038</v>
      </c>
      <c r="K162" s="14" t="n">
        <v>36210000000</v>
      </c>
      <c r="L162" s="14" t="n">
        <v>24070000000</v>
      </c>
      <c r="M162" s="14" t="n">
        <v>19893000000</v>
      </c>
      <c r="N162" s="14">
        <f>IF(COUNT(K162:M162)&lt;3,"",K162+L162-M162)</f>
        <v>40387000000.0</v>
      </c>
      <c r="O162" s="14">
        <f>N161</f>
        <v>39465000000.0</v>
      </c>
      <c r="P162" s="14">
        <f>IF(N162="","",IF(OR(O162="",O162&lt;=0,N162&lt;=0),N162,(N162+O162)/2))</f>
        <v>39926000000.0</v>
      </c>
      <c r="Q162" t="inlineStr">
        <is>
          <t>기초·기말 평균</t>
        </is>
      </c>
      <c r="R162" s="15">
        <f>IF(OR(P162="",P162&lt;=0),"",J162/P162)</f>
        <v>0.2778965342591554</v>
      </c>
      <c r="S162" s="15">
        <f>IF(R162="","",R162-0.1)</f>
        <v>0.1778965342591554</v>
      </c>
      <c r="T162" s="15">
        <f>IF(OR(P162="",E162=0,E162=""),"",P162/E162)</f>
        <v>1.8276114620525497</v>
      </c>
      <c r="U162" t="inlineStr">
        <is>
          <t>—</t>
        </is>
      </c>
      <c r="V162" t="inlineStr">
        <is>
          <t>—</t>
        </is>
      </c>
      <c r="W162" t="inlineStr">
        <is>
          <t>OK</t>
        </is>
      </c>
      <c r="X162" t="inlineStr">
        <is>
          <t>VISA INC.</t>
        </is>
      </c>
    </row>
    <row r="163">
      <c r="A163" t="inlineStr">
        <is>
          <t>비자</t>
        </is>
      </c>
      <c r="B163" t="inlineStr">
        <is>
          <t>V</t>
        </is>
      </c>
      <c r="C163" t="n">
        <v>2021</v>
      </c>
      <c r="D163" t="inlineStr">
        <is>
          <t>2021-09-30</t>
        </is>
      </c>
      <c r="E163" s="14" t="n">
        <v>24105000000</v>
      </c>
      <c r="F163" s="14" t="n">
        <v>15804000000</v>
      </c>
      <c r="G163" t="inlineStr">
        <is>
          <t>reported</t>
        </is>
      </c>
      <c r="H163" t="inlineStr">
        <is>
          <t>HIGH</t>
        </is>
      </c>
      <c r="I163" s="15" t="n">
        <v>0.2335802776567266</v>
      </c>
      <c r="J163" s="14">
        <f>IF(F163="","",F163*(1-I163))</f>
        <v>12112497291.913092</v>
      </c>
      <c r="K163" s="14" t="n">
        <v>37589000000</v>
      </c>
      <c r="L163" s="14" t="n">
        <v>20977000000</v>
      </c>
      <c r="M163" s="14" t="n">
        <v>18512000000</v>
      </c>
      <c r="N163" s="14">
        <f>IF(COUNT(K163:M163)&lt;3,"",K163+L163-M163)</f>
        <v>40054000000.0</v>
      </c>
      <c r="O163" s="14">
        <f>N162</f>
        <v>40387000000.0</v>
      </c>
      <c r="P163" s="14">
        <f>IF(N163="","",IF(OR(O163="",O163&lt;=0,N163&lt;=0),N163,(N163+O163)/2))</f>
        <v>40220500000.0</v>
      </c>
      <c r="Q163" t="inlineStr">
        <is>
          <t>기초·기말 평균</t>
        </is>
      </c>
      <c r="R163" s="15">
        <f>IF(OR(P163="",P163&lt;=0),"",J163/P163)</f>
        <v>0.3011523300782708</v>
      </c>
      <c r="S163" s="15">
        <f>IF(R163="","",R163-0.1)</f>
        <v>0.2011523300782708</v>
      </c>
      <c r="T163" s="15">
        <f>IF(OR(P163="",E163=0,E163=""),"",P163/E163)</f>
        <v>1.6685542418585355</v>
      </c>
      <c r="U163" t="inlineStr">
        <is>
          <t>—</t>
        </is>
      </c>
      <c r="V163" t="inlineStr">
        <is>
          <t>—</t>
        </is>
      </c>
      <c r="W163" t="inlineStr">
        <is>
          <t>OK</t>
        </is>
      </c>
      <c r="X163" t="inlineStr">
        <is>
          <t>VISA INC.</t>
        </is>
      </c>
    </row>
    <row r="164">
      <c r="A164" t="inlineStr">
        <is>
          <t>비자</t>
        </is>
      </c>
      <c r="B164" t="inlineStr">
        <is>
          <t>V</t>
        </is>
      </c>
      <c r="C164" t="n">
        <v>2022</v>
      </c>
      <c r="D164" t="inlineStr">
        <is>
          <t>2022-09-30</t>
        </is>
      </c>
      <c r="E164" s="14" t="n">
        <v>29310000000</v>
      </c>
      <c r="F164" s="14" t="n">
        <v>18813000000</v>
      </c>
      <c r="G164" t="inlineStr">
        <is>
          <t>reported</t>
        </is>
      </c>
      <c r="H164" t="inlineStr">
        <is>
          <t>HIGH</t>
        </is>
      </c>
      <c r="I164" s="15" t="n">
        <v>0.1752867225408028</v>
      </c>
      <c r="J164" s="14">
        <f>IF(F164="","",F164*(1-I164))</f>
        <v>15515330888.839876</v>
      </c>
      <c r="K164" s="14" t="n">
        <v>35581000000</v>
      </c>
      <c r="L164" s="14" t="n">
        <v>22450000000</v>
      </c>
      <c r="M164" s="14" t="n">
        <v>18522000000</v>
      </c>
      <c r="N164" s="14">
        <f>IF(COUNT(K164:M164)&lt;3,"",K164+L164-M164)</f>
        <v>39509000000.0</v>
      </c>
      <c r="O164" s="14">
        <f>N163</f>
        <v>40054000000.0</v>
      </c>
      <c r="P164" s="14">
        <f>IF(N164="","",IF(OR(O164="",O164&lt;=0,N164&lt;=0),N164,(N164+O164)/2))</f>
        <v>39781500000.0</v>
      </c>
      <c r="Q164" t="inlineStr">
        <is>
          <t>기초·기말 평균</t>
        </is>
      </c>
      <c r="R164" s="15">
        <f>IF(OR(P164="",P164&lt;=0),"",J164/P164)</f>
        <v>0.3900137221783964</v>
      </c>
      <c r="S164" s="15">
        <f>IF(R164="","",R164-0.1)</f>
        <v>0.2900137221783964</v>
      </c>
      <c r="T164" s="15">
        <f>IF(OR(P164="",E164=0,E164=""),"",P164/E164)</f>
        <v>1.357267144319345</v>
      </c>
      <c r="U164" t="inlineStr">
        <is>
          <t>—</t>
        </is>
      </c>
      <c r="V164" t="inlineStr">
        <is>
          <t>—</t>
        </is>
      </c>
      <c r="W164" t="inlineStr">
        <is>
          <t>OK</t>
        </is>
      </c>
      <c r="X164" t="inlineStr">
        <is>
          <t>VISA INC.</t>
        </is>
      </c>
    </row>
    <row r="165">
      <c r="A165" t="inlineStr">
        <is>
          <t>비자</t>
        </is>
      </c>
      <c r="B165" t="inlineStr">
        <is>
          <t>V</t>
        </is>
      </c>
      <c r="C165" t="n">
        <v>2023</v>
      </c>
      <c r="D165" t="inlineStr">
        <is>
          <t>2023-09-30</t>
        </is>
      </c>
      <c r="E165" s="14" t="n">
        <v>32653000000</v>
      </c>
      <c r="F165" s="14" t="n">
        <v>21000000000</v>
      </c>
      <c r="G165" t="inlineStr">
        <is>
          <t>reported</t>
        </is>
      </c>
      <c r="H165" t="inlineStr">
        <is>
          <t>HIGH</t>
        </is>
      </c>
      <c r="I165" s="15" t="n">
        <v>0.1789228502162856</v>
      </c>
      <c r="J165" s="14">
        <f>IF(F165="","",F165*(1-I165))</f>
        <v>17242620145.458</v>
      </c>
      <c r="K165" s="14" t="n">
        <v>38733000000</v>
      </c>
      <c r="L165" s="14" t="n">
        <v>20463000000</v>
      </c>
      <c r="M165" s="14" t="n">
        <v>20128000000</v>
      </c>
      <c r="N165" s="14">
        <f>IF(COUNT(K165:M165)&lt;3,"",K165+L165-M165)</f>
        <v>39068000000.0</v>
      </c>
      <c r="O165" s="14">
        <f>N164</f>
        <v>39509000000.0</v>
      </c>
      <c r="P165" s="14">
        <f>IF(N165="","",IF(OR(O165="",O165&lt;=0,N165&lt;=0),N165,(N165+O165)/2))</f>
        <v>39288500000.0</v>
      </c>
      <c r="Q165" t="inlineStr">
        <is>
          <t>기초·기말 평균</t>
        </is>
      </c>
      <c r="R165" s="15">
        <f>IF(OR(P165="",P165&lt;=0),"",J165/P165)</f>
        <v>0.43887193823785586</v>
      </c>
      <c r="S165" s="15">
        <f>IF(R165="","",R165-0.1)</f>
        <v>0.3388719382378559</v>
      </c>
      <c r="T165" s="15">
        <f>IF(OR(P165="",E165=0,E165=""),"",P165/E165)</f>
        <v>1.203212568523566</v>
      </c>
      <c r="U165" t="inlineStr">
        <is>
          <t>—</t>
        </is>
      </c>
      <c r="V165" t="inlineStr">
        <is>
          <t>—</t>
        </is>
      </c>
      <c r="W165" t="inlineStr">
        <is>
          <t>OK</t>
        </is>
      </c>
      <c r="X165" t="inlineStr">
        <is>
          <t>VISA INC.</t>
        </is>
      </c>
    </row>
    <row r="166">
      <c r="A166" t="inlineStr">
        <is>
          <t>비자</t>
        </is>
      </c>
      <c r="B166" t="inlineStr">
        <is>
          <t>V</t>
        </is>
      </c>
      <c r="C166" t="n">
        <v>2024</v>
      </c>
      <c r="D166" t="inlineStr">
        <is>
          <t>2024-09-30</t>
        </is>
      </c>
      <c r="E166" s="14" t="n">
        <v>35926000000</v>
      </c>
      <c r="F166" s="14" t="n">
        <v>23595000000</v>
      </c>
      <c r="G166" t="inlineStr">
        <is>
          <t>reported</t>
        </is>
      </c>
      <c r="H166" t="inlineStr">
        <is>
          <t>HIGH</t>
        </is>
      </c>
      <c r="I166" s="15" t="n">
        <v>0.1744856999498244</v>
      </c>
      <c r="J166" s="14">
        <f>IF(F166="","",F166*(1-I166))</f>
        <v>19478009909.68389</v>
      </c>
      <c r="K166" s="14" t="n">
        <v>39137000000</v>
      </c>
      <c r="L166" s="14" t="n">
        <v>20836000000</v>
      </c>
      <c r="M166" s="14" t="n">
        <v>15175000000</v>
      </c>
      <c r="N166" s="14">
        <f>IF(COUNT(K166:M166)&lt;3,"",K166+L166-M166)</f>
        <v>44798000000.0</v>
      </c>
      <c r="O166" s="14">
        <f>N165</f>
        <v>39068000000.0</v>
      </c>
      <c r="P166" s="14">
        <f>IF(N166="","",IF(OR(O166="",O166&lt;=0,N166&lt;=0),N166,(N166+O166)/2))</f>
        <v>41933000000.0</v>
      </c>
      <c r="Q166" t="inlineStr">
        <is>
          <t>기초·기말 평균</t>
        </is>
      </c>
      <c r="R166" s="15">
        <f>IF(OR(P166="",P166&lt;=0),"",J166/P166)</f>
        <v>0.4645031338011564</v>
      </c>
      <c r="S166" s="15">
        <f>IF(R166="","",R166-0.1)</f>
        <v>0.3645031338011564</v>
      </c>
      <c r="T166" s="15">
        <f>IF(OR(P166="",E166=0,E166=""),"",P166/E166)</f>
        <v>1.1672048098869898</v>
      </c>
      <c r="U166" t="inlineStr">
        <is>
          <t>—</t>
        </is>
      </c>
      <c r="V166" t="inlineStr">
        <is>
          <t>—</t>
        </is>
      </c>
      <c r="W166" t="inlineStr">
        <is>
          <t>OK</t>
        </is>
      </c>
      <c r="X166" t="inlineStr">
        <is>
          <t>VISA INC.</t>
        </is>
      </c>
    </row>
    <row r="167">
      <c r="A167" t="inlineStr">
        <is>
          <t>비자</t>
        </is>
      </c>
      <c r="B167" t="inlineStr">
        <is>
          <t>V</t>
        </is>
      </c>
      <c r="C167" t="n">
        <v>2025</v>
      </c>
      <c r="D167" t="inlineStr">
        <is>
          <t>2025-09-30</t>
        </is>
      </c>
      <c r="E167" s="14" t="n">
        <v>40000000000</v>
      </c>
      <c r="F167" s="14" t="n">
        <v>23994000000</v>
      </c>
      <c r="G167" t="inlineStr">
        <is>
          <t>reported</t>
        </is>
      </c>
      <c r="H167" t="inlineStr">
        <is>
          <t>HIGH</t>
        </is>
      </c>
      <c r="I167" s="15" t="n">
        <v>0.170951475572456</v>
      </c>
      <c r="J167" s="14">
        <f>IF(F167="","",F167*(1-I167))</f>
        <v>19892190295.11449</v>
      </c>
      <c r="K167" s="14" t="n">
        <v>37909000000</v>
      </c>
      <c r="L167" s="14" t="n">
        <v>25171000000</v>
      </c>
      <c r="M167" s="14" t="n">
        <v>18997000000</v>
      </c>
      <c r="N167" s="14">
        <f>IF(COUNT(K167:M167)&lt;3,"",K167+L167-M167)</f>
        <v>44083000000.0</v>
      </c>
      <c r="O167" s="14">
        <f>N166</f>
        <v>44798000000.0</v>
      </c>
      <c r="P167" s="14">
        <f>IF(N167="","",IF(OR(O167="",O167&lt;=0,N167&lt;=0),N167,(N167+O167)/2))</f>
        <v>44440500000.0</v>
      </c>
      <c r="Q167" t="inlineStr">
        <is>
          <t>기초·기말 평균</t>
        </is>
      </c>
      <c r="R167" s="15">
        <f>IF(OR(P167="",P167&lt;=0),"",J167/P167)</f>
        <v>0.4476140073832313</v>
      </c>
      <c r="S167" s="15">
        <f>IF(R167="","",R167-0.1)</f>
        <v>0.34761400738323134</v>
      </c>
      <c r="T167" s="15">
        <f>IF(OR(P167="",E167=0,E167=""),"",P167/E167)</f>
        <v>1.1110125</v>
      </c>
      <c r="U167" t="inlineStr">
        <is>
          <t>—</t>
        </is>
      </c>
      <c r="V167" t="inlineStr">
        <is>
          <t>—</t>
        </is>
      </c>
      <c r="W167" t="inlineStr">
        <is>
          <t>OK</t>
        </is>
      </c>
      <c r="X167" t="inlineStr">
        <is>
          <t>VISA INC.</t>
        </is>
      </c>
    </row>
    <row r="168">
      <c r="A168" s="11" t="inlineStr">
        <is>
          <t>엑슨모빌</t>
        </is>
      </c>
      <c r="B168" s="11" t="inlineStr">
        <is>
          <t>XOM</t>
        </is>
      </c>
      <c r="C168" s="11" t="n">
        <v>2015</v>
      </c>
      <c r="D168" s="11" t="inlineStr">
        <is>
          <t>2015-12-31</t>
        </is>
      </c>
      <c r="E168" s="12" t="n">
        <v>239854000000</v>
      </c>
      <c r="F168" s="12" t="n">
        <v>22231000000</v>
      </c>
      <c r="G168" s="11" t="inlineStr">
        <is>
          <t>pretax_plus_interest_less_investment_income</t>
        </is>
      </c>
      <c r="H168" s="11" t="inlineStr">
        <is>
          <t>LOW</t>
        </is>
      </c>
      <c r="I168" s="13" t="n">
        <v>0.2465173449877083</v>
      </c>
      <c r="J168" s="12">
        <f>IF(F168="","",F168*(1-I168))</f>
        <v>16750672903.578257</v>
      </c>
      <c r="K168" s="12" t="n">
        <v>176810000000</v>
      </c>
      <c r="L168" s="12" t="n">
        <v>37462000000</v>
      </c>
      <c r="M168" s="12" t="n">
        <v>3705000000</v>
      </c>
      <c r="N168" s="12">
        <f>IF(COUNT(K168:M168)&lt;3,"",K168+L168-M168)</f>
        <v>210567000000.0</v>
      </c>
      <c r="O168" s="11" t="inlineStr">
        <is>
          <t>—</t>
        </is>
      </c>
      <c r="P168" s="12" t="inlineStr">
        <is>
          <t>—</t>
        </is>
      </c>
      <c r="Q168" s="11" t="inlineStr">
        <is>
          <t>—</t>
        </is>
      </c>
      <c r="R168" s="13" t="inlineStr">
        <is>
          <t>—</t>
        </is>
      </c>
      <c r="S168" s="13" t="inlineStr">
        <is>
          <t>—</t>
        </is>
      </c>
      <c r="T168" s="13" t="inlineStr">
        <is>
          <t>—</t>
        </is>
      </c>
      <c r="U168" s="11" t="inlineStr">
        <is>
          <t>—</t>
        </is>
      </c>
      <c r="V168" s="11" t="inlineStr">
        <is>
          <t>—</t>
        </is>
      </c>
      <c r="W168" s="11" t="inlineStr">
        <is>
          <t>다음 해 평균 투하자본의 기초값으로만 사용 (보고 기간 밖 — 자체 비율은 계산하지 않음)</t>
        </is>
      </c>
      <c r="X168" s="11" t="inlineStr">
        <is>
          <t>EXXON MOBIL CORP</t>
        </is>
      </c>
    </row>
    <row r="169">
      <c r="A169" s="18" t="inlineStr">
        <is>
          <t>엑슨모빌</t>
        </is>
      </c>
      <c r="B169" s="18" t="inlineStr">
        <is>
          <t>XOM</t>
        </is>
      </c>
      <c r="C169" s="18" t="n">
        <v>2016</v>
      </c>
      <c r="D169" s="18" t="inlineStr">
        <is>
          <t>2016-12-31</t>
        </is>
      </c>
      <c r="E169" s="19" t="n">
        <v>200628000000</v>
      </c>
      <c r="F169" s="19" t="n">
        <v>8392000000</v>
      </c>
      <c r="G169" s="18" t="inlineStr">
        <is>
          <t>pretax_plus_interest_less_investment_income</t>
        </is>
      </c>
      <c r="H169" s="18" t="inlineStr">
        <is>
          <t>LOW</t>
        </is>
      </c>
      <c r="I169" s="20" t="n">
        <v>0.05</v>
      </c>
      <c r="J169" s="19">
        <f>IF(F169="","",F169*(1-I169))</f>
        <v>7972400000.0</v>
      </c>
      <c r="K169" s="19" t="n">
        <v>173830000000</v>
      </c>
      <c r="L169" s="19" t="n">
        <v>41530000000</v>
      </c>
      <c r="M169" s="19" t="n">
        <v>3657000000</v>
      </c>
      <c r="N169" s="19">
        <f>IF(COUNT(K169:M169)&lt;3,"",K169+L169-M169)</f>
        <v>211703000000.0</v>
      </c>
      <c r="O169" s="19">
        <f>N168</f>
        <v>210567000000.0</v>
      </c>
      <c r="P169" s="19">
        <f>IF(N169="","",IF(OR(O169="",O169&lt;=0,N169&lt;=0),N169,(N169+O169)/2))</f>
        <v>211135000000.0</v>
      </c>
      <c r="Q169" s="18" t="inlineStr">
        <is>
          <t>기초·기말 평균</t>
        </is>
      </c>
      <c r="R169" s="20">
        <f>IF(OR(P169="",P169&lt;=0),"",J169/P169)</f>
        <v>0.03775972718876548</v>
      </c>
      <c r="S169" s="20">
        <f>IF(R169="","",R169-0.1)</f>
        <v>-0.06224027281123452</v>
      </c>
      <c r="T169" s="20">
        <f>IF(OR(P169="",E169=0,E169=""),"",P169/E169)</f>
        <v>1.0523705564527384</v>
      </c>
      <c r="U169" s="18" t="inlineStr">
        <is>
          <t>—</t>
        </is>
      </c>
      <c r="V169" s="18" t="inlineStr">
        <is>
          <t>—</t>
        </is>
      </c>
      <c r="W169" s="18" t="inlineStr">
        <is>
          <t>OK</t>
        </is>
      </c>
      <c r="X169" s="18" t="inlineStr">
        <is>
          <t>EXXON MOBIL CORP</t>
        </is>
      </c>
    </row>
    <row r="170">
      <c r="A170" s="18" t="inlineStr">
        <is>
          <t>엑슨모빌</t>
        </is>
      </c>
      <c r="B170" s="18" t="inlineStr">
        <is>
          <t>XOM</t>
        </is>
      </c>
      <c r="C170" s="18" t="n">
        <v>2017</v>
      </c>
      <c r="D170" s="18" t="inlineStr">
        <is>
          <t>2017-12-31</t>
        </is>
      </c>
      <c r="E170" s="19" t="n">
        <v>237162000000</v>
      </c>
      <c r="F170" s="19" t="n">
        <v>19239000000</v>
      </c>
      <c r="G170" s="18" t="inlineStr">
        <is>
          <t>pretax_plus_interest_less_investment_income</t>
        </is>
      </c>
      <c r="H170" s="18" t="inlineStr">
        <is>
          <t>LOW</t>
        </is>
      </c>
      <c r="I170" s="20" t="n">
        <v>0.05</v>
      </c>
      <c r="J170" s="19">
        <f>IF(F170="","",F170*(1-I170))</f>
        <v>18277050000.0</v>
      </c>
      <c r="K170" s="19" t="n">
        <v>194500000000</v>
      </c>
      <c r="L170" s="19" t="n">
        <v>41030000000</v>
      </c>
      <c r="M170" s="19" t="n">
        <v>3177000000</v>
      </c>
      <c r="N170" s="19">
        <f>IF(COUNT(K170:M170)&lt;3,"",K170+L170-M170)</f>
        <v>232353000000.0</v>
      </c>
      <c r="O170" s="19">
        <f>N169</f>
        <v>211703000000.0</v>
      </c>
      <c r="P170" s="19">
        <f>IF(N170="","",IF(OR(O170="",O170&lt;=0,N170&lt;=0),N170,(N170+O170)/2))</f>
        <v>222028000000.0</v>
      </c>
      <c r="Q170" s="18" t="inlineStr">
        <is>
          <t>기초·기말 평균</t>
        </is>
      </c>
      <c r="R170" s="20">
        <f>IF(OR(P170="",P170&lt;=0),"",J170/P170)</f>
        <v>0.08231867151890752</v>
      </c>
      <c r="S170" s="20">
        <f>IF(R170="","",R170-0.1)</f>
        <v>-0.01768132848109248</v>
      </c>
      <c r="T170" s="20">
        <f>IF(OR(P170="",E170=0,E170=""),"",P170/E170)</f>
        <v>0.9361870788743559</v>
      </c>
      <c r="U170" s="18" t="inlineStr">
        <is>
          <t>7.2% / 8.2%</t>
        </is>
      </c>
      <c r="V170" s="18" t="inlineStr">
        <is>
          <t>일치</t>
        </is>
      </c>
      <c r="W170" s="18" t="inlineStr">
        <is>
          <t>OK</t>
        </is>
      </c>
      <c r="X170" s="18" t="inlineStr">
        <is>
          <t>EXXON MOBIL CORP</t>
        </is>
      </c>
    </row>
    <row r="171">
      <c r="A171" s="18" t="inlineStr">
        <is>
          <t>엑슨모빌</t>
        </is>
      </c>
      <c r="B171" s="18" t="inlineStr">
        <is>
          <t>XOM</t>
        </is>
      </c>
      <c r="C171" s="18" t="n">
        <v>2018</v>
      </c>
      <c r="D171" s="18" t="inlineStr">
        <is>
          <t>2018-12-31</t>
        </is>
      </c>
      <c r="E171" s="19" t="n">
        <v>279332000000</v>
      </c>
      <c r="F171" s="19" t="n">
        <v>31655000000</v>
      </c>
      <c r="G171" s="18" t="inlineStr">
        <is>
          <t>pretax_plus_interest_less_investment_income</t>
        </is>
      </c>
      <c r="H171" s="18" t="inlineStr">
        <is>
          <t>LOW</t>
        </is>
      </c>
      <c r="I171" s="20" t="n">
        <v>0.3079507640616418</v>
      </c>
      <c r="J171" s="19">
        <f>IF(F171="","",F171*(1-I171))</f>
        <v>21906818563.62873</v>
      </c>
      <c r="K171" s="19" t="n">
        <v>198528000000</v>
      </c>
      <c r="L171" s="19" t="n">
        <v>37796000000</v>
      </c>
      <c r="M171" s="19" t="n">
        <v>3042000000</v>
      </c>
      <c r="N171" s="19">
        <f>IF(COUNT(K171:M171)&lt;3,"",K171+L171-M171)</f>
        <v>233282000000.0</v>
      </c>
      <c r="O171" s="19">
        <f>N170</f>
        <v>232353000000.0</v>
      </c>
      <c r="P171" s="19">
        <f>IF(N171="","",IF(OR(O171="",O171&lt;=0,N171&lt;=0),N171,(N171+O171)/2))</f>
        <v>232817500000.0</v>
      </c>
      <c r="Q171" s="18" t="inlineStr">
        <is>
          <t>기초·기말 평균</t>
        </is>
      </c>
      <c r="R171" s="20">
        <f>IF(OR(P171="",P171&lt;=0),"",J171/P171)</f>
        <v>0.09409438106512066</v>
      </c>
      <c r="S171" s="20">
        <f>IF(R171="","",R171-0.1)</f>
        <v>-0.005905618934879342</v>
      </c>
      <c r="T171" s="20">
        <f>IF(OR(P171="",E171=0,E171=""),"",P171/E171)</f>
        <v>0.833479515415348</v>
      </c>
      <c r="U171" s="18" t="inlineStr">
        <is>
          <t>8.2% / 9.4%</t>
        </is>
      </c>
      <c r="V171" s="18" t="inlineStr">
        <is>
          <t>일치</t>
        </is>
      </c>
      <c r="W171" s="18" t="inlineStr">
        <is>
          <t>OK</t>
        </is>
      </c>
      <c r="X171" s="18" t="inlineStr">
        <is>
          <t>EXXON MOBIL CORP</t>
        </is>
      </c>
    </row>
    <row r="172">
      <c r="A172" s="18" t="inlineStr">
        <is>
          <t>엑슨모빌</t>
        </is>
      </c>
      <c r="B172" s="18" t="inlineStr">
        <is>
          <t>XOM</t>
        </is>
      </c>
      <c r="C172" s="18" t="n">
        <v>2019</v>
      </c>
      <c r="D172" s="18" t="inlineStr">
        <is>
          <t>2019-12-31</t>
        </is>
      </c>
      <c r="E172" s="19" t="n">
        <v>255583000000</v>
      </c>
      <c r="F172" s="19" t="n">
        <v>20802000000</v>
      </c>
      <c r="G172" s="18" t="inlineStr">
        <is>
          <t>pretax_plus_interest_less_investment_income</t>
        </is>
      </c>
      <c r="H172" s="18" t="inlineStr">
        <is>
          <t>LOW</t>
        </is>
      </c>
      <c r="I172" s="20" t="n">
        <v>0.2633625847626646</v>
      </c>
      <c r="J172" s="19">
        <f>IF(F172="","",F172*(1-I172))</f>
        <v>15323531511.767052</v>
      </c>
      <c r="K172" s="19" t="n">
        <v>198938000000</v>
      </c>
      <c r="L172" s="19" t="n">
        <v>46920000000</v>
      </c>
      <c r="M172" s="19" t="n">
        <v>3089000000</v>
      </c>
      <c r="N172" s="19">
        <f>IF(COUNT(K172:M172)&lt;3,"",K172+L172-M172)</f>
        <v>242769000000.0</v>
      </c>
      <c r="O172" s="19">
        <f>N171</f>
        <v>233282000000.0</v>
      </c>
      <c r="P172" s="19">
        <f>IF(N172="","",IF(OR(O172="",O172&lt;=0,N172&lt;=0),N172,(N172+O172)/2))</f>
        <v>238025500000.0</v>
      </c>
      <c r="Q172" s="18" t="inlineStr">
        <is>
          <t>기초·기말 평균</t>
        </is>
      </c>
      <c r="R172" s="20">
        <f>IF(OR(P172="",P172&lt;=0),"",J172/P172)</f>
        <v>0.06437768857440505</v>
      </c>
      <c r="S172" s="20">
        <f>IF(R172="","",R172-0.1)</f>
        <v>-0.03562231142559495</v>
      </c>
      <c r="T172" s="20">
        <f>IF(OR(P172="",E172=0,E172=""),"",P172/E172)</f>
        <v>0.9313041164709703</v>
      </c>
      <c r="U172" s="18" t="inlineStr">
        <is>
          <t>5.0% / 6.4%</t>
        </is>
      </c>
      <c r="V172" s="18" t="inlineStr">
        <is>
          <t>일치</t>
        </is>
      </c>
      <c r="W172" s="18" t="inlineStr">
        <is>
          <t>OK</t>
        </is>
      </c>
      <c r="X172" s="18" t="inlineStr">
        <is>
          <t>EXXON MOBIL CORP</t>
        </is>
      </c>
    </row>
    <row r="173">
      <c r="A173" s="18" t="inlineStr">
        <is>
          <t>엑슨모빌</t>
        </is>
      </c>
      <c r="B173" s="18" t="inlineStr">
        <is>
          <t>XOM</t>
        </is>
      </c>
      <c r="C173" s="18" t="n">
        <v>2020</v>
      </c>
      <c r="D173" s="18" t="inlineStr">
        <is>
          <t>2020-12-31</t>
        </is>
      </c>
      <c r="E173" s="19" t="n">
        <v>178574000000</v>
      </c>
      <c r="F173" s="19" t="n">
        <v>-27774000000</v>
      </c>
      <c r="G173" s="18" t="inlineStr">
        <is>
          <t>pretax_plus_interest_less_investment_income</t>
        </is>
      </c>
      <c r="H173" s="18" t="inlineStr">
        <is>
          <t>LOW</t>
        </is>
      </c>
      <c r="I173" s="20" t="n">
        <v>0.21</v>
      </c>
      <c r="J173" s="19">
        <f>IF(F173="","",F173*(1-I173))</f>
        <v>-21941460000.0</v>
      </c>
      <c r="K173" s="19" t="n">
        <v>164130000000</v>
      </c>
      <c r="L173" s="19" t="n">
        <v>67640000000</v>
      </c>
      <c r="M173" s="19" t="n">
        <v>4364000000</v>
      </c>
      <c r="N173" s="19">
        <f>IF(COUNT(K173:M173)&lt;3,"",K173+L173-M173)</f>
        <v>227406000000.0</v>
      </c>
      <c r="O173" s="19">
        <f>N172</f>
        <v>242769000000.0</v>
      </c>
      <c r="P173" s="19">
        <f>IF(N173="","",IF(OR(O173="",O173&lt;=0,N173&lt;=0),N173,(N173+O173)/2))</f>
        <v>235087500000.0</v>
      </c>
      <c r="Q173" s="18" t="inlineStr">
        <is>
          <t>기초·기말 평균</t>
        </is>
      </c>
      <c r="R173" s="20">
        <f>IF(OR(P173="",P173&lt;=0),"",J173/P173)</f>
        <v>-0.09333316318392088</v>
      </c>
      <c r="S173" s="20">
        <f>IF(R173="","",R173-0.1)</f>
        <v>-0.19333316318392088</v>
      </c>
      <c r="T173" s="20">
        <f>IF(OR(P173="",E173=0,E173=""),"",P173/E173)</f>
        <v>1.3164710428169835</v>
      </c>
      <c r="U173" s="18" t="inlineStr">
        <is>
          <t>-10.1% / -9.3%</t>
        </is>
      </c>
      <c r="V173" s="18" t="inlineStr">
        <is>
          <t>일치</t>
        </is>
      </c>
      <c r="W173" s="18" t="inlineStr">
        <is>
          <t>OK</t>
        </is>
      </c>
      <c r="X173" s="18" t="inlineStr">
        <is>
          <t>EXXON MOBIL CORP</t>
        </is>
      </c>
    </row>
    <row r="174">
      <c r="A174" s="18" t="inlineStr">
        <is>
          <t>엑슨모빌</t>
        </is>
      </c>
      <c r="B174" s="18" t="inlineStr">
        <is>
          <t>XOM</t>
        </is>
      </c>
      <c r="C174" s="18" t="n">
        <v>2021</v>
      </c>
      <c r="D174" s="18" t="inlineStr">
        <is>
          <t>2021-12-31</t>
        </is>
      </c>
      <c r="E174" s="19" t="n">
        <v>276692000000</v>
      </c>
      <c r="F174" s="19" t="n">
        <v>32148000000</v>
      </c>
      <c r="G174" s="18" t="inlineStr">
        <is>
          <t>pretax_plus_interest_less_investment_income</t>
        </is>
      </c>
      <c r="H174" s="18" t="inlineStr">
        <is>
          <t>LOW</t>
        </is>
      </c>
      <c r="I174" s="20" t="n">
        <v>0.2444771723122239</v>
      </c>
      <c r="J174" s="19">
        <f>IF(F174="","",F174*(1-I174))</f>
        <v>24288547864.506626</v>
      </c>
      <c r="K174" s="19" t="n">
        <v>175683000000</v>
      </c>
      <c r="L174" s="19" t="n">
        <v>47704000000</v>
      </c>
      <c r="M174" s="19" t="n">
        <v>6802000000</v>
      </c>
      <c r="N174" s="19">
        <f>IF(COUNT(K174:M174)&lt;3,"",K174+L174-M174)</f>
        <v>216585000000.0</v>
      </c>
      <c r="O174" s="19">
        <f>N173</f>
        <v>227406000000.0</v>
      </c>
      <c r="P174" s="19">
        <f>IF(N174="","",IF(OR(O174="",O174&lt;=0,N174&lt;=0),N174,(N174+O174)/2))</f>
        <v>221995500000.0</v>
      </c>
      <c r="Q174" s="18" t="inlineStr">
        <is>
          <t>기초·기말 평균</t>
        </is>
      </c>
      <c r="R174" s="20">
        <f>IF(OR(P174="",P174&lt;=0),"",J174/P174)</f>
        <v>0.10941009103565895</v>
      </c>
      <c r="S174" s="20">
        <f>IF(R174="","",R174-0.1)</f>
        <v>0.009410091035658943</v>
      </c>
      <c r="T174" s="20">
        <f>IF(OR(P174="",E174=0,E174=""),"",P174/E174)</f>
        <v>0.8023199080566117</v>
      </c>
      <c r="U174" s="18" t="inlineStr">
        <is>
          <t>9.9% / 10.9%</t>
        </is>
      </c>
      <c r="V174" s="18" t="inlineStr">
        <is>
          <t>불일치</t>
        </is>
      </c>
      <c r="W174" s="18" t="inlineStr">
        <is>
          <t>OK</t>
        </is>
      </c>
      <c r="X174" s="18" t="inlineStr">
        <is>
          <t>EXXON MOBIL CORP</t>
        </is>
      </c>
    </row>
    <row r="175">
      <c r="A175" s="18" t="inlineStr">
        <is>
          <t>엑슨모빌</t>
        </is>
      </c>
      <c r="B175" s="18" t="inlineStr">
        <is>
          <t>XOM</t>
        </is>
      </c>
      <c r="C175" s="18" t="n">
        <v>2022</v>
      </c>
      <c r="D175" s="18" t="inlineStr">
        <is>
          <t>2022-12-31</t>
        </is>
      </c>
      <c r="E175" s="19" t="n">
        <v>413680000000</v>
      </c>
      <c r="F175" s="19" t="n">
        <v>78105000000</v>
      </c>
      <c r="G175" s="18" t="inlineStr">
        <is>
          <t>pretax_plus_interest_less_investment_income</t>
        </is>
      </c>
      <c r="H175" s="18" t="inlineStr">
        <is>
          <t>LOW</t>
        </is>
      </c>
      <c r="I175" s="20" t="n">
        <v>0.259488379869587</v>
      </c>
      <c r="J175" s="19">
        <f>IF(F175="","",F175*(1-I175))</f>
        <v>57837660090.285904</v>
      </c>
      <c r="K175" s="19" t="n">
        <v>202473000000</v>
      </c>
      <c r="L175" s="19" t="n">
        <v>41193000000</v>
      </c>
      <c r="M175" s="19" t="n">
        <v>29640000000</v>
      </c>
      <c r="N175" s="19">
        <f>IF(COUNT(K175:M175)&lt;3,"",K175+L175-M175)</f>
        <v>214026000000.0</v>
      </c>
      <c r="O175" s="19">
        <f>N174</f>
        <v>216585000000.0</v>
      </c>
      <c r="P175" s="19">
        <f>IF(N175="","",IF(OR(O175="",O175&lt;=0,N175&lt;=0),N175,(N175+O175)/2))</f>
        <v>215305500000.0</v>
      </c>
      <c r="Q175" s="18" t="inlineStr">
        <is>
          <t>기초·기말 평균</t>
        </is>
      </c>
      <c r="R175" s="20">
        <f>IF(OR(P175="",P175&lt;=0),"",J175/P175)</f>
        <v>0.2686306670767161</v>
      </c>
      <c r="S175" s="20">
        <f>IF(R175="","",R175-0.1)</f>
        <v>0.16863066707671612</v>
      </c>
      <c r="T175" s="20">
        <f>IF(OR(P175="",E175=0,E175=""),"",P175/E175)</f>
        <v>0.5204638851286019</v>
      </c>
      <c r="U175" s="18" t="inlineStr">
        <is>
          <t>—</t>
        </is>
      </c>
      <c r="V175" s="18" t="inlineStr">
        <is>
          <t>—</t>
        </is>
      </c>
      <c r="W175" s="18" t="inlineStr">
        <is>
          <t>OK</t>
        </is>
      </c>
      <c r="X175" s="18" t="inlineStr">
        <is>
          <t>EXXON MOBIL CORP</t>
        </is>
      </c>
    </row>
    <row r="176">
      <c r="A176" s="18" t="inlineStr">
        <is>
          <t>엑슨모빌</t>
        </is>
      </c>
      <c r="B176" s="18" t="inlineStr">
        <is>
          <t>XOM</t>
        </is>
      </c>
      <c r="C176" s="18" t="n">
        <v>2023</v>
      </c>
      <c r="D176" s="18" t="inlineStr">
        <is>
          <t>2023-12-31</t>
        </is>
      </c>
      <c r="E176" s="19" t="n">
        <v>344582000000</v>
      </c>
      <c r="F176" s="19" t="n">
        <v>52004000000</v>
      </c>
      <c r="G176" s="18" t="inlineStr">
        <is>
          <t>pretax_plus_interest_less_investment_income</t>
        </is>
      </c>
      <c r="H176" s="18" t="inlineStr">
        <is>
          <t>LOW</t>
        </is>
      </c>
      <c r="I176" s="20" t="n">
        <v>0.2923100240607772</v>
      </c>
      <c r="J176" s="19">
        <f>IF(F176="","",F176*(1-I176))</f>
        <v>36802709508.74334</v>
      </c>
      <c r="K176" s="19" t="n">
        <v>212538000000</v>
      </c>
      <c r="L176" s="19" t="n">
        <v>41573000000</v>
      </c>
      <c r="M176" s="19" t="n">
        <v>31539000000</v>
      </c>
      <c r="N176" s="19">
        <f>IF(COUNT(K176:M176)&lt;3,"",K176+L176-M176)</f>
        <v>222572000000.0</v>
      </c>
      <c r="O176" s="19">
        <f>N175</f>
        <v>214026000000.0</v>
      </c>
      <c r="P176" s="19">
        <f>IF(N176="","",IF(OR(O176="",O176&lt;=0,N176&lt;=0),N176,(N176+O176)/2))</f>
        <v>218299000000.0</v>
      </c>
      <c r="Q176" s="18" t="inlineStr">
        <is>
          <t>기초·기말 평균</t>
        </is>
      </c>
      <c r="R176" s="20">
        <f>IF(OR(P176="",P176&lt;=0),"",J176/P176)</f>
        <v>0.16858853915383643</v>
      </c>
      <c r="S176" s="20">
        <f>IF(R176="","",R176-0.1)</f>
        <v>0.06858853915383642</v>
      </c>
      <c r="T176" s="20">
        <f>IF(OR(P176="",E176=0,E176=""),"",P176/E176)</f>
        <v>0.6335182917273682</v>
      </c>
      <c r="U176" s="18" t="inlineStr">
        <is>
          <t>—</t>
        </is>
      </c>
      <c r="V176" s="18" t="inlineStr">
        <is>
          <t>—</t>
        </is>
      </c>
      <c r="W176" s="18" t="inlineStr">
        <is>
          <t>OK</t>
        </is>
      </c>
      <c r="X176" s="18" t="inlineStr">
        <is>
          <t>EXXON MOBIL CORP</t>
        </is>
      </c>
    </row>
    <row r="177">
      <c r="A177" s="18" t="inlineStr">
        <is>
          <t>엑슨모빌</t>
        </is>
      </c>
      <c r="B177" s="18" t="inlineStr">
        <is>
          <t>XOM</t>
        </is>
      </c>
      <c r="C177" s="18" t="n">
        <v>2024</v>
      </c>
      <c r="D177" s="18" t="inlineStr">
        <is>
          <t>2024-12-31</t>
        </is>
      </c>
      <c r="E177" s="19" t="n">
        <v>349585000000</v>
      </c>
      <c r="F177" s="19" t="n">
        <v>49869000000</v>
      </c>
      <c r="G177" s="18" t="inlineStr">
        <is>
          <t>pretax_plus_interest_less_investment_income</t>
        </is>
      </c>
      <c r="H177" s="18" t="inlineStr">
        <is>
          <t>LOW</t>
        </is>
      </c>
      <c r="I177" s="20" t="n">
        <v>0.2825691076872711</v>
      </c>
      <c r="J177" s="19">
        <f>IF(F177="","",F177*(1-I177))</f>
        <v>35777561168.74348</v>
      </c>
      <c r="K177" s="19" t="n">
        <v>270606000000</v>
      </c>
      <c r="L177" s="19" t="n">
        <v>41710000000</v>
      </c>
      <c r="M177" s="19" t="n">
        <v>23029000000</v>
      </c>
      <c r="N177" s="19">
        <f>IF(COUNT(K177:M177)&lt;3,"",K177+L177-M177)</f>
        <v>289287000000.0</v>
      </c>
      <c r="O177" s="19">
        <f>N176</f>
        <v>222572000000.0</v>
      </c>
      <c r="P177" s="19">
        <f>IF(N177="","",IF(OR(O177="",O177&lt;=0,N177&lt;=0),N177,(N177+O177)/2))</f>
        <v>255929500000.0</v>
      </c>
      <c r="Q177" s="18" t="inlineStr">
        <is>
          <t>기초·기말 평균</t>
        </is>
      </c>
      <c r="R177" s="20">
        <f>IF(OR(P177="",P177&lt;=0),"",J177/P177)</f>
        <v>0.13979459643668854</v>
      </c>
      <c r="S177" s="20">
        <f>IF(R177="","",R177-0.1)</f>
        <v>0.039794596436688534</v>
      </c>
      <c r="T177" s="20">
        <f>IF(OR(P177="",E177=0,E177=""),"",P177/E177)</f>
        <v>0.732095198592617</v>
      </c>
      <c r="U177" s="18" t="inlineStr">
        <is>
          <t>—</t>
        </is>
      </c>
      <c r="V177" s="18" t="inlineStr">
        <is>
          <t>—</t>
        </is>
      </c>
      <c r="W177" s="18" t="inlineStr">
        <is>
          <t>OK</t>
        </is>
      </c>
      <c r="X177" s="18" t="inlineStr">
        <is>
          <t>EXXON MOBIL CORP</t>
        </is>
      </c>
    </row>
    <row r="178">
      <c r="A178" s="18" t="inlineStr">
        <is>
          <t>엑슨모빌</t>
        </is>
      </c>
      <c r="B178" s="18" t="inlineStr">
        <is>
          <t>XOM</t>
        </is>
      </c>
      <c r="C178" s="18" t="n">
        <v>2025</v>
      </c>
      <c r="D178" s="18" t="inlineStr">
        <is>
          <t>2025-12-31</t>
        </is>
      </c>
      <c r="E178" s="19" t="n">
        <v>332238000000</v>
      </c>
      <c r="F178" s="19" t="n">
        <v>41871000000</v>
      </c>
      <c r="G178" s="18" t="inlineStr">
        <is>
          <t>pretax_plus_interest_less_investment_income</t>
        </is>
      </c>
      <c r="H178" s="18" t="inlineStr">
        <is>
          <t>LOW</t>
        </is>
      </c>
      <c r="I178" s="20" t="n">
        <v>0.2787632063584375</v>
      </c>
      <c r="J178" s="19">
        <f>IF(F178="","",F178*(1-I178))</f>
        <v>30198905786.56586</v>
      </c>
      <c r="K178" s="19" t="n">
        <v>266626000000</v>
      </c>
      <c r="L178" s="19" t="n">
        <v>43537000000</v>
      </c>
      <c r="M178" s="19" t="n">
        <v>10681000000</v>
      </c>
      <c r="N178" s="19">
        <f>IF(COUNT(K178:M178)&lt;3,"",K178+L178-M178)</f>
        <v>299482000000.0</v>
      </c>
      <c r="O178" s="19">
        <f>N177</f>
        <v>289287000000.0</v>
      </c>
      <c r="P178" s="19">
        <f>IF(N178="","",IF(OR(O178="",O178&lt;=0,N178&lt;=0),N178,(N178+O178)/2))</f>
        <v>294384500000.0</v>
      </c>
      <c r="Q178" s="18" t="inlineStr">
        <is>
          <t>기초·기말 평균</t>
        </is>
      </c>
      <c r="R178" s="20">
        <f>IF(OR(P178="",P178&lt;=0),"",J178/P178)</f>
        <v>0.1025832059315822</v>
      </c>
      <c r="S178" s="20">
        <f>IF(R178="","",R178-0.1)</f>
        <v>0.0025832059315821915</v>
      </c>
      <c r="T178" s="20">
        <f>IF(OR(P178="",E178=0,E178=""),"",P178/E178)</f>
        <v>0.8860651099513</v>
      </c>
      <c r="U178" s="18" t="inlineStr">
        <is>
          <t>—</t>
        </is>
      </c>
      <c r="V178" s="18" t="inlineStr">
        <is>
          <t>—</t>
        </is>
      </c>
      <c r="W178" s="18" t="inlineStr">
        <is>
          <t>OK</t>
        </is>
      </c>
      <c r="X178" s="18" t="inlineStr">
        <is>
          <t>EXXON MOBIL CORP</t>
        </is>
      </c>
    </row>
    <row r="179">
      <c r="A179" s="11" t="inlineStr">
        <is>
          <t>존슨앤드존슨</t>
        </is>
      </c>
      <c r="B179" s="11" t="inlineStr">
        <is>
          <t>JNJ</t>
        </is>
      </c>
      <c r="C179" s="11" t="n">
        <v>2015</v>
      </c>
      <c r="D179" s="11" t="inlineStr">
        <is>
          <t>2016-01-03</t>
        </is>
      </c>
      <c r="E179" s="12" t="n">
        <v>70074000000</v>
      </c>
      <c r="F179" s="12" t="n">
        <v>17132000000</v>
      </c>
      <c r="G179" s="11" t="inlineStr">
        <is>
          <t>pretax_less_nonoperating</t>
        </is>
      </c>
      <c r="H179" s="11" t="inlineStr">
        <is>
          <t>LOW</t>
        </is>
      </c>
      <c r="I179" s="13" t="n">
        <v>0.1972806834757241</v>
      </c>
      <c r="J179" s="12">
        <f>IF(F179="","",F179*(1-I179))</f>
        <v>13752187330.693893</v>
      </c>
      <c r="K179" s="12" t="n">
        <v>71150000000</v>
      </c>
      <c r="L179" s="12" t="n">
        <v>19857000000</v>
      </c>
      <c r="M179" s="12" t="n">
        <v>38376000000</v>
      </c>
      <c r="N179" s="12">
        <f>IF(COUNT(K179:M179)&lt;3,"",K179+L179-M179)</f>
        <v>52631000000.0</v>
      </c>
      <c r="O179" s="11" t="inlineStr">
        <is>
          <t>—</t>
        </is>
      </c>
      <c r="P179" s="12" t="inlineStr">
        <is>
          <t>—</t>
        </is>
      </c>
      <c r="Q179" s="11" t="inlineStr">
        <is>
          <t>—</t>
        </is>
      </c>
      <c r="R179" s="13" t="inlineStr">
        <is>
          <t>—</t>
        </is>
      </c>
      <c r="S179" s="13" t="inlineStr">
        <is>
          <t>—</t>
        </is>
      </c>
      <c r="T179" s="13" t="inlineStr">
        <is>
          <t>—</t>
        </is>
      </c>
      <c r="U179" s="11" t="inlineStr">
        <is>
          <t>—</t>
        </is>
      </c>
      <c r="V179" s="11" t="inlineStr">
        <is>
          <t>—</t>
        </is>
      </c>
      <c r="W179" s="11" t="inlineStr">
        <is>
          <t>다음 해 평균 투하자본의 기초값으로만 사용 (보고 기간 밖 — 자체 비율은 계산하지 않음)</t>
        </is>
      </c>
      <c r="X179" s="11" t="inlineStr">
        <is>
          <t>JOHNSON &amp; JOHNSON</t>
        </is>
      </c>
    </row>
    <row r="180">
      <c r="A180" s="18" t="inlineStr">
        <is>
          <t>존슨앤드존슨</t>
        </is>
      </c>
      <c r="B180" s="18" t="inlineStr">
        <is>
          <t>JNJ</t>
        </is>
      </c>
      <c r="C180" s="18" t="n">
        <v>2016</v>
      </c>
      <c r="D180" s="18" t="inlineStr">
        <is>
          <t>2017-01-01</t>
        </is>
      </c>
      <c r="E180" s="19" t="n">
        <v>71890000000</v>
      </c>
      <c r="F180" s="19" t="n">
        <v>20013000000</v>
      </c>
      <c r="G180" s="18" t="inlineStr">
        <is>
          <t>pretax_less_nonoperating</t>
        </is>
      </c>
      <c r="H180" s="18" t="inlineStr">
        <is>
          <t>LOW</t>
        </is>
      </c>
      <c r="I180" s="20" t="n">
        <v>0.1647730141897692</v>
      </c>
      <c r="J180" s="19">
        <f>IF(F180="","",F180*(1-I180))</f>
        <v>16715397667.02015</v>
      </c>
      <c r="K180" s="19" t="n">
        <v>70418000000</v>
      </c>
      <c r="L180" s="19" t="n">
        <v>27142000000</v>
      </c>
      <c r="M180" s="19" t="n">
        <v>41907000000</v>
      </c>
      <c r="N180" s="19">
        <f>IF(COUNT(K180:M180)&lt;3,"",K180+L180-M180)</f>
        <v>55653000000.0</v>
      </c>
      <c r="O180" s="19">
        <f>N179</f>
        <v>52631000000.0</v>
      </c>
      <c r="P180" s="19">
        <f>IF(N180="","",IF(OR(O180="",O180&lt;=0,N180&lt;=0),N180,(N180+O180)/2))</f>
        <v>54142000000.0</v>
      </c>
      <c r="Q180" s="18" t="inlineStr">
        <is>
          <t>기초·기말 평균</t>
        </is>
      </c>
      <c r="R180" s="20">
        <f>IF(OR(P180="",P180&lt;=0),"",J180/P180)</f>
        <v>0.30873254898267793</v>
      </c>
      <c r="S180" s="20">
        <f>IF(R180="","",R180-0.1)</f>
        <v>0.20873254898267793</v>
      </c>
      <c r="T180" s="20">
        <f>IF(OR(P180="",E180=0,E180=""),"",P180/E180)</f>
        <v>0.7531228265405481</v>
      </c>
      <c r="U180" s="18" t="inlineStr">
        <is>
          <t>30.9% / 31.1%</t>
        </is>
      </c>
      <c r="V180" s="18" t="inlineStr">
        <is>
          <t>일치</t>
        </is>
      </c>
      <c r="W180" s="18" t="inlineStr">
        <is>
          <t>OK</t>
        </is>
      </c>
      <c r="X180" s="18" t="inlineStr">
        <is>
          <t>JOHNSON &amp; JOHNSON</t>
        </is>
      </c>
    </row>
    <row r="181">
      <c r="A181" s="18" t="inlineStr">
        <is>
          <t>존슨앤드존슨</t>
        </is>
      </c>
      <c r="B181" s="18" t="inlineStr">
        <is>
          <t>JNJ</t>
        </is>
      </c>
      <c r="C181" s="18" t="n">
        <v>2017</v>
      </c>
      <c r="D181" s="18" t="inlineStr">
        <is>
          <t>2017-12-31</t>
        </is>
      </c>
      <c r="E181" s="19" t="n">
        <v>76450000000</v>
      </c>
      <c r="F181" s="19" t="n">
        <v>17631000000</v>
      </c>
      <c r="G181" s="18" t="inlineStr">
        <is>
          <t>pretax_less_nonoperating</t>
        </is>
      </c>
      <c r="H181" s="18" t="inlineStr">
        <is>
          <t>LOW</t>
        </is>
      </c>
      <c r="I181" s="20" t="n">
        <v>0.4</v>
      </c>
      <c r="J181" s="19">
        <f>IF(F181="","",F181*(1-I181))</f>
        <v>10578600000.0</v>
      </c>
      <c r="K181" s="19" t="n">
        <v>60160000000</v>
      </c>
      <c r="L181" s="19" t="n">
        <v>34575000000</v>
      </c>
      <c r="M181" s="19" t="n">
        <v>18296000000</v>
      </c>
      <c r="N181" s="19">
        <f>IF(COUNT(K181:M181)&lt;3,"",K181+L181-M181)</f>
        <v>76439000000.0</v>
      </c>
      <c r="O181" s="19">
        <f>N180</f>
        <v>55653000000.0</v>
      </c>
      <c r="P181" s="19">
        <f>IF(N181="","",IF(OR(O181="",O181&lt;=0,N181&lt;=0),N181,(N181+O181)/2))</f>
        <v>66046000000.0</v>
      </c>
      <c r="Q181" s="18" t="inlineStr">
        <is>
          <t>기초·기말 평균</t>
        </is>
      </c>
      <c r="R181" s="20">
        <f>IF(OR(P181="",P181&lt;=0),"",J181/P181)</f>
        <v>0.16017018441692155</v>
      </c>
      <c r="S181" s="20">
        <f>IF(R181="","",R181-0.1)</f>
        <v>0.06017018441692154</v>
      </c>
      <c r="T181" s="20">
        <f>IF(OR(P181="",E181=0,E181=""),"",P181/E181)</f>
        <v>0.8639110529758012</v>
      </c>
      <c r="U181" s="18" t="inlineStr">
        <is>
          <t>16.0% / 16.6%</t>
        </is>
      </c>
      <c r="V181" s="18" t="inlineStr">
        <is>
          <t>일치</t>
        </is>
      </c>
      <c r="W181" s="18" t="inlineStr">
        <is>
          <t>OK</t>
        </is>
      </c>
      <c r="X181" s="18" t="inlineStr">
        <is>
          <t>JOHNSON &amp; JOHNSON</t>
        </is>
      </c>
    </row>
    <row r="182">
      <c r="A182" s="18" t="inlineStr">
        <is>
          <t>존슨앤드존슨</t>
        </is>
      </c>
      <c r="B182" s="18" t="inlineStr">
        <is>
          <t>JNJ</t>
        </is>
      </c>
      <c r="C182" s="18" t="n">
        <v>2018</v>
      </c>
      <c r="D182" s="18" t="inlineStr">
        <is>
          <t>2018-12-30</t>
        </is>
      </c>
      <c r="E182" s="19" t="n">
        <v>81581000000</v>
      </c>
      <c r="F182" s="19" t="n">
        <v>19404000000</v>
      </c>
      <c r="G182" s="18" t="inlineStr">
        <is>
          <t>pretax_less_nonoperating</t>
        </is>
      </c>
      <c r="H182" s="18" t="inlineStr">
        <is>
          <t>LOW</t>
        </is>
      </c>
      <c r="I182" s="20" t="n">
        <v>0.1501194510806156</v>
      </c>
      <c r="J182" s="19">
        <f>IF(F182="","",F182*(1-I182))</f>
        <v>16491082171.231733</v>
      </c>
      <c r="K182" s="19" t="n">
        <v>59752000000</v>
      </c>
      <c r="L182" s="19" t="n">
        <v>30484000000</v>
      </c>
      <c r="M182" s="19" t="n">
        <v>19687000000</v>
      </c>
      <c r="N182" s="19">
        <f>IF(COUNT(K182:M182)&lt;3,"",K182+L182-M182)</f>
        <v>70549000000.0</v>
      </c>
      <c r="O182" s="19">
        <f>N181</f>
        <v>76439000000.0</v>
      </c>
      <c r="P182" s="19">
        <f>IF(N182="","",IF(OR(O182="",O182&lt;=0,N182&lt;=0),N182,(N182+O182)/2))</f>
        <v>73494000000.0</v>
      </c>
      <c r="Q182" s="18" t="inlineStr">
        <is>
          <t>기초·기말 평균</t>
        </is>
      </c>
      <c r="R182" s="20">
        <f>IF(OR(P182="",P182&lt;=0),"",J182/P182)</f>
        <v>0.22438678220306058</v>
      </c>
      <c r="S182" s="20">
        <f>IF(R182="","",R182-0.1)</f>
        <v>0.12438678220306057</v>
      </c>
      <c r="T182" s="20">
        <f>IF(OR(P182="",E182=0,E182=""),"",P182/E182)</f>
        <v>0.9008715264583665</v>
      </c>
      <c r="U182" s="18" t="inlineStr">
        <is>
          <t>22.4% / 21.3%</t>
        </is>
      </c>
      <c r="V182" s="18" t="inlineStr">
        <is>
          <t>일치</t>
        </is>
      </c>
      <c r="W182" s="18" t="inlineStr">
        <is>
          <t>OK</t>
        </is>
      </c>
      <c r="X182" s="18" t="inlineStr">
        <is>
          <t>JOHNSON &amp; JOHNSON</t>
        </is>
      </c>
    </row>
    <row r="183">
      <c r="A183" s="18" t="inlineStr">
        <is>
          <t>존슨앤드존슨</t>
        </is>
      </c>
      <c r="B183" s="18" t="inlineStr">
        <is>
          <t>JNJ</t>
        </is>
      </c>
      <c r="C183" s="18" t="n">
        <v>2019</v>
      </c>
      <c r="D183" s="18" t="inlineStr">
        <is>
          <t>2019-12-29</t>
        </is>
      </c>
      <c r="E183" s="19" t="n">
        <v>82059000000</v>
      </c>
      <c r="F183" s="19" t="n">
        <v>19853000000</v>
      </c>
      <c r="G183" s="18" t="inlineStr">
        <is>
          <t>pretax_less_nonoperating</t>
        </is>
      </c>
      <c r="H183" s="18" t="inlineStr">
        <is>
          <t>LOW</t>
        </is>
      </c>
      <c r="I183" s="20" t="n">
        <v>0.1274815327793167</v>
      </c>
      <c r="J183" s="19">
        <f>IF(F183="","",F183*(1-I183))</f>
        <v>17322109129.732224</v>
      </c>
      <c r="K183" s="19" t="n">
        <v>59471000000</v>
      </c>
      <c r="L183" s="19" t="n">
        <v>27694000000</v>
      </c>
      <c r="M183" s="19" t="n">
        <v>19287000000</v>
      </c>
      <c r="N183" s="19">
        <f>IF(COUNT(K183:M183)&lt;3,"",K183+L183-M183)</f>
        <v>67878000000.0</v>
      </c>
      <c r="O183" s="19">
        <f>N182</f>
        <v>70549000000.0</v>
      </c>
      <c r="P183" s="19">
        <f>IF(N183="","",IF(OR(O183="",O183&lt;=0,N183&lt;=0),N183,(N183+O183)/2))</f>
        <v>69213500000.0</v>
      </c>
      <c r="Q183" s="18" t="inlineStr">
        <is>
          <t>기초·기말 평균</t>
        </is>
      </c>
      <c r="R183" s="20">
        <f>IF(OR(P183="",P183&lt;=0),"",J183/P183)</f>
        <v>0.2502706716136624</v>
      </c>
      <c r="S183" s="20">
        <f>IF(R183="","",R183-0.1)</f>
        <v>0.1502706716136624</v>
      </c>
      <c r="T183" s="20">
        <f>IF(OR(P183="",E183=0,E183=""),"",P183/E183)</f>
        <v>0.84346019327557</v>
      </c>
      <c r="U183" s="18" t="inlineStr">
        <is>
          <t>25.0% / 21.8%</t>
        </is>
      </c>
      <c r="V183" s="18" t="inlineStr">
        <is>
          <t>일치</t>
        </is>
      </c>
      <c r="W183" s="18" t="inlineStr">
        <is>
          <t>OK</t>
        </is>
      </c>
      <c r="X183" s="18" t="inlineStr">
        <is>
          <t>JOHNSON &amp; JOHNSON</t>
        </is>
      </c>
    </row>
    <row r="184">
      <c r="A184" s="18" t="inlineStr">
        <is>
          <t>존슨앤드존슨</t>
        </is>
      </c>
      <c r="B184" s="18" t="inlineStr">
        <is>
          <t>JNJ</t>
        </is>
      </c>
      <c r="C184" s="18" t="n">
        <v>2020</v>
      </c>
      <c r="D184" s="18" t="inlineStr">
        <is>
          <t>2021-01-03</t>
        </is>
      </c>
      <c r="E184" s="19" t="n">
        <v>82584000000</v>
      </c>
      <c r="F184" s="19" t="n">
        <v>19396000000</v>
      </c>
      <c r="G184" s="18" t="inlineStr">
        <is>
          <t>pretax_less_nonoperating</t>
        </is>
      </c>
      <c r="H184" s="18" t="inlineStr">
        <is>
          <t>LOW</t>
        </is>
      </c>
      <c r="I184" s="20" t="n">
        <v>0.1080802570164272</v>
      </c>
      <c r="J184" s="19">
        <f>IF(F184="","",F184*(1-I184))</f>
        <v>17299675334.909378</v>
      </c>
      <c r="K184" s="19" t="n">
        <v>63278000000</v>
      </c>
      <c r="L184" s="19" t="n">
        <v>35235000000</v>
      </c>
      <c r="M184" s="19" t="n">
        <v>25185000000</v>
      </c>
      <c r="N184" s="19">
        <f>IF(COUNT(K184:M184)&lt;3,"",K184+L184-M184)</f>
        <v>73328000000.0</v>
      </c>
      <c r="O184" s="19">
        <f>N183</f>
        <v>67878000000.0</v>
      </c>
      <c r="P184" s="19">
        <f>IF(N184="","",IF(OR(O184="",O184&lt;=0,N184&lt;=0),N184,(N184+O184)/2))</f>
        <v>70603000000.0</v>
      </c>
      <c r="Q184" s="18" t="inlineStr">
        <is>
          <t>기초·기말 평균</t>
        </is>
      </c>
      <c r="R184" s="20">
        <f>IF(OR(P184="",P184&lt;=0),"",J184/P184)</f>
        <v>0.24502748232949562</v>
      </c>
      <c r="S184" s="20">
        <f>IF(R184="","",R184-0.1)</f>
        <v>0.1450274823294956</v>
      </c>
      <c r="T184" s="20">
        <f>IF(OR(P184="",E184=0,E184=""),"",P184/E184)</f>
        <v>0.8549234718589557</v>
      </c>
      <c r="U184" s="18" t="inlineStr">
        <is>
          <t>24.5% / 21.0%</t>
        </is>
      </c>
      <c r="V184" s="18" t="inlineStr">
        <is>
          <t>일치</t>
        </is>
      </c>
      <c r="W184" s="18" t="inlineStr">
        <is>
          <t>OK</t>
        </is>
      </c>
      <c r="X184" s="18" t="inlineStr">
        <is>
          <t>JOHNSON &amp; JOHNSON</t>
        </is>
      </c>
    </row>
    <row r="185">
      <c r="A185" s="18" t="inlineStr">
        <is>
          <t>존슨앤드존슨</t>
        </is>
      </c>
      <c r="B185" s="18" t="inlineStr">
        <is>
          <t>JNJ</t>
        </is>
      </c>
      <c r="C185" s="18" t="n">
        <v>2021</v>
      </c>
      <c r="D185" s="18" t="inlineStr">
        <is>
          <t>2022-01-02</t>
        </is>
      </c>
      <c r="E185" s="19" t="n">
        <v>78740000000</v>
      </c>
      <c r="F185" s="19" t="n">
        <v>19704000000</v>
      </c>
      <c r="G185" s="18" t="inlineStr">
        <is>
          <t>pretax_less_nonoperating</t>
        </is>
      </c>
      <c r="H185" s="18" t="inlineStr">
        <is>
          <t>LOW</t>
        </is>
      </c>
      <c r="I185" s="20" t="n">
        <v>0.07180102200438002</v>
      </c>
      <c r="J185" s="19">
        <f>IF(F185="","",F185*(1-I185))</f>
        <v>18289232662.425697</v>
      </c>
      <c r="K185" s="19" t="n">
        <v>74023000000</v>
      </c>
      <c r="L185" s="19" t="n">
        <v>33785000000</v>
      </c>
      <c r="M185" s="19" t="n">
        <v>31608000000</v>
      </c>
      <c r="N185" s="19">
        <f>IF(COUNT(K185:M185)&lt;3,"",K185+L185-M185)</f>
        <v>76200000000.0</v>
      </c>
      <c r="O185" s="19">
        <f>N184</f>
        <v>73328000000.0</v>
      </c>
      <c r="P185" s="19">
        <f>IF(N185="","",IF(OR(O185="",O185&lt;=0,N185&lt;=0),N185,(N185+O185)/2))</f>
        <v>74764000000.0</v>
      </c>
      <c r="Q185" s="18" t="inlineStr">
        <is>
          <t>기초·기말 평균</t>
        </is>
      </c>
      <c r="R185" s="20">
        <f>IF(OR(P185="",P185&lt;=0),"",J185/P185)</f>
        <v>0.24462619258501012</v>
      </c>
      <c r="S185" s="20">
        <f>IF(R185="","",R185-0.1)</f>
        <v>0.1446261925850101</v>
      </c>
      <c r="T185" s="20">
        <f>IF(OR(P185="",E185=0,E185=""),"",P185/E185)</f>
        <v>0.949504699009398</v>
      </c>
      <c r="U185" s="18" t="inlineStr">
        <is>
          <t>24.5% / 24.0%</t>
        </is>
      </c>
      <c r="V185" s="18" t="inlineStr">
        <is>
          <t>일치</t>
        </is>
      </c>
      <c r="W185" s="18" t="inlineStr">
        <is>
          <t>OK</t>
        </is>
      </c>
      <c r="X185" s="18" t="inlineStr">
        <is>
          <t>JOHNSON &amp; JOHNSON</t>
        </is>
      </c>
    </row>
    <row r="186">
      <c r="A186" s="18" t="inlineStr">
        <is>
          <t>존슨앤드존슨</t>
        </is>
      </c>
      <c r="B186" s="18" t="inlineStr">
        <is>
          <t>JNJ</t>
        </is>
      </c>
      <c r="C186" s="18" t="n">
        <v>2022</v>
      </c>
      <c r="D186" s="18" t="inlineStr">
        <is>
          <t>2023-01-01</t>
        </is>
      </c>
      <c r="E186" s="19" t="n">
        <v>79990000000</v>
      </c>
      <c r="F186" s="19" t="n">
        <v>20169000000</v>
      </c>
      <c r="G186" s="18" t="inlineStr">
        <is>
          <t>pretax_less_nonoperating</t>
        </is>
      </c>
      <c r="H186" s="18" t="inlineStr">
        <is>
          <t>LOW</t>
        </is>
      </c>
      <c r="I186" s="20" t="n">
        <v>0.1543984709954027</v>
      </c>
      <c r="J186" s="19">
        <f>IF(F186="","",F186*(1-I186))</f>
        <v>17054937238.493723</v>
      </c>
      <c r="K186" s="19" t="n">
        <v>76804000000</v>
      </c>
      <c r="L186" s="19" t="n">
        <v>39686000000</v>
      </c>
      <c r="M186" s="19" t="n">
        <v>22281000000</v>
      </c>
      <c r="N186" s="19">
        <f>IF(COUNT(K186:M186)&lt;3,"",K186+L186-M186)</f>
        <v>94209000000.0</v>
      </c>
      <c r="O186" s="19">
        <f>N185</f>
        <v>76200000000.0</v>
      </c>
      <c r="P186" s="19">
        <f>IF(N186="","",IF(OR(O186="",O186&lt;=0,N186&lt;=0),N186,(N186+O186)/2))</f>
        <v>85204500000.0</v>
      </c>
      <c r="Q186" s="18" t="inlineStr">
        <is>
          <t>기초·기말 평균</t>
        </is>
      </c>
      <c r="R186" s="20">
        <f>IF(OR(P186="",P186&lt;=0),"",J186/P186)</f>
        <v>0.2001647476188901</v>
      </c>
      <c r="S186" s="20">
        <f>IF(R186="","",R186-0.1)</f>
        <v>0.1001647476188901</v>
      </c>
      <c r="T186" s="20">
        <f>IF(OR(P186="",E186=0,E186=""),"",P186/E186)</f>
        <v>1.0651893986748344</v>
      </c>
      <c r="U186" s="18" t="inlineStr">
        <is>
          <t>20.0% / 19.0%</t>
        </is>
      </c>
      <c r="V186" s="18" t="inlineStr">
        <is>
          <t>일치</t>
        </is>
      </c>
      <c r="W186" s="18" t="inlineStr">
        <is>
          <t>OK</t>
        </is>
      </c>
      <c r="X186" s="18" t="inlineStr">
        <is>
          <t>JOHNSON &amp; JOHNSON</t>
        </is>
      </c>
    </row>
    <row r="187">
      <c r="A187" s="18" t="inlineStr">
        <is>
          <t>존슨앤드존슨</t>
        </is>
      </c>
      <c r="B187" s="18" t="inlineStr">
        <is>
          <t>JNJ</t>
        </is>
      </c>
      <c r="C187" s="18" t="n">
        <v>2023</v>
      </c>
      <c r="D187" s="18" t="inlineStr">
        <is>
          <t>2023-12-31</t>
        </is>
      </c>
      <c r="E187" s="19" t="n">
        <v>85159000000</v>
      </c>
      <c r="F187" s="19" t="n">
        <v>21696000000</v>
      </c>
      <c r="G187" s="18" t="inlineStr">
        <is>
          <t>pretax_less_nonoperating</t>
        </is>
      </c>
      <c r="H187" s="18" t="inlineStr">
        <is>
          <t>LOW</t>
        </is>
      </c>
      <c r="I187" s="20" t="n">
        <v>0.1152569379896428</v>
      </c>
      <c r="J187" s="19">
        <f>IF(F187="","",F187*(1-I187))</f>
        <v>19195385473.37671</v>
      </c>
      <c r="K187" s="19" t="n">
        <v>68774000000</v>
      </c>
      <c r="L187" s="19" t="n">
        <v>29381000000</v>
      </c>
      <c r="M187" s="19" t="n">
        <v>22927000000</v>
      </c>
      <c r="N187" s="19">
        <f>IF(COUNT(K187:M187)&lt;3,"",K187+L187-M187)</f>
        <v>75228000000.0</v>
      </c>
      <c r="O187" s="19">
        <f>N186</f>
        <v>94209000000.0</v>
      </c>
      <c r="P187" s="19">
        <f>IF(N187="","",IF(OR(O187="",O187&lt;=0,N187&lt;=0),N187,(N187+O187)/2))</f>
        <v>84718500000.0</v>
      </c>
      <c r="Q187" s="18" t="inlineStr">
        <is>
          <t>기초·기말 평균</t>
        </is>
      </c>
      <c r="R187" s="20">
        <f>IF(OR(P187="",P187&lt;=0),"",J187/P187)</f>
        <v>0.22657843886962953</v>
      </c>
      <c r="S187" s="20">
        <f>IF(R187="","",R187-0.1)</f>
        <v>0.12657843886962952</v>
      </c>
      <c r="T187" s="20">
        <f>IF(OR(P187="",E187=0,E187=""),"",P187/E187)</f>
        <v>0.9948273230075506</v>
      </c>
      <c r="U187" s="18" t="inlineStr">
        <is>
          <t>22.7% / 15.2%</t>
        </is>
      </c>
      <c r="V187" s="18" t="inlineStr">
        <is>
          <t>일치</t>
        </is>
      </c>
      <c r="W187" s="18" t="inlineStr">
        <is>
          <t>OK</t>
        </is>
      </c>
      <c r="X187" s="18" t="inlineStr">
        <is>
          <t>JOHNSON &amp; JOHNSON</t>
        </is>
      </c>
    </row>
    <row r="188">
      <c r="A188" s="18" t="inlineStr">
        <is>
          <t>존슨앤드존슨</t>
        </is>
      </c>
      <c r="B188" s="18" t="inlineStr">
        <is>
          <t>JNJ</t>
        </is>
      </c>
      <c r="C188" s="18" t="n">
        <v>2024</v>
      </c>
      <c r="D188" s="18" t="inlineStr">
        <is>
          <t>2024-12-29</t>
        </is>
      </c>
      <c r="E188" s="19" t="n">
        <v>88821000000</v>
      </c>
      <c r="F188" s="19" t="n">
        <v>21381000000</v>
      </c>
      <c r="G188" s="18" t="inlineStr">
        <is>
          <t>pretax_less_nonoperating</t>
        </is>
      </c>
      <c r="H188" s="18" t="inlineStr">
        <is>
          <t>LOW</t>
        </is>
      </c>
      <c r="I188" s="20" t="n">
        <v>0.1570683765805717</v>
      </c>
      <c r="J188" s="19">
        <f>IF(F188="","",F188*(1-I188))</f>
        <v>18022721040.330795</v>
      </c>
      <c r="K188" s="19" t="n">
        <v>71490000000</v>
      </c>
      <c r="L188" s="19" t="n">
        <v>36651000000</v>
      </c>
      <c r="M188" s="19" t="n">
        <v>24522000000</v>
      </c>
      <c r="N188" s="19">
        <f>IF(COUNT(K188:M188)&lt;3,"",K188+L188-M188)</f>
        <v>83619000000.0</v>
      </c>
      <c r="O188" s="19">
        <f>N187</f>
        <v>75228000000.0</v>
      </c>
      <c r="P188" s="19">
        <f>IF(N188="","",IF(OR(O188="",O188&lt;=0,N188&lt;=0),N188,(N188+O188)/2))</f>
        <v>79423500000.0</v>
      </c>
      <c r="Q188" s="18" t="inlineStr">
        <is>
          <t>기초·기말 평균</t>
        </is>
      </c>
      <c r="R188" s="20">
        <f>IF(OR(P188="",P188&lt;=0),"",J188/P188)</f>
        <v>0.22691924984835465</v>
      </c>
      <c r="S188" s="20">
        <f>IF(R188="","",R188-0.1)</f>
        <v>0.12691924984835465</v>
      </c>
      <c r="T188" s="20">
        <f>IF(OR(P188="",E188=0,E188=""),"",P188/E188)</f>
        <v>0.8941973182017766</v>
      </c>
      <c r="U188" s="18" t="inlineStr">
        <is>
          <t>22.7% / 17.1%</t>
        </is>
      </c>
      <c r="V188" s="18" t="inlineStr">
        <is>
          <t>일치</t>
        </is>
      </c>
      <c r="W188" s="18" t="inlineStr">
        <is>
          <t>OK</t>
        </is>
      </c>
      <c r="X188" s="18" t="inlineStr">
        <is>
          <t>JOHNSON &amp; JOHNSON</t>
        </is>
      </c>
    </row>
    <row r="189">
      <c r="A189" s="18" t="inlineStr">
        <is>
          <t>존슨앤드존슨</t>
        </is>
      </c>
      <c r="B189" s="18" t="inlineStr">
        <is>
          <t>JNJ</t>
        </is>
      </c>
      <c r="C189" s="18" t="n">
        <v>2025</v>
      </c>
      <c r="D189" s="18" t="inlineStr">
        <is>
          <t>2025-12-28</t>
        </is>
      </c>
      <c r="E189" s="19" t="n">
        <v>94193000000</v>
      </c>
      <c r="F189" s="19" t="n">
        <v>25372000000</v>
      </c>
      <c r="G189" s="18" t="inlineStr">
        <is>
          <t>pretax_less_nonoperating</t>
        </is>
      </c>
      <c r="H189" s="18" t="inlineStr">
        <is>
          <t>LOW</t>
        </is>
      </c>
      <c r="I189" s="20" t="n">
        <v>0.177311930266106</v>
      </c>
      <c r="J189" s="19">
        <f>IF(F189="","",F189*(1-I189))</f>
        <v>20873241705.288357</v>
      </c>
      <c r="K189" s="19" t="n">
        <v>81544000000</v>
      </c>
      <c r="L189" s="19" t="n">
        <v>47938000000</v>
      </c>
      <c r="M189" s="19" t="n">
        <v>20102000000</v>
      </c>
      <c r="N189" s="19">
        <f>IF(COUNT(K189:M189)&lt;3,"",K189+L189-M189)</f>
        <v>109380000000.0</v>
      </c>
      <c r="O189" s="19">
        <f>N188</f>
        <v>83619000000.0</v>
      </c>
      <c r="P189" s="19">
        <f>IF(N189="","",IF(OR(O189="",O189&lt;=0,N189&lt;=0),N189,(N189+O189)/2))</f>
        <v>96499500000.0</v>
      </c>
      <c r="Q189" s="18" t="inlineStr">
        <is>
          <t>기초·기말 평균</t>
        </is>
      </c>
      <c r="R189" s="20">
        <f>IF(OR(P189="",P189&lt;=0),"",J189/P189)</f>
        <v>0.2163041435995871</v>
      </c>
      <c r="S189" s="20">
        <f>IF(R189="","",R189-0.1)</f>
        <v>0.1163041435995871</v>
      </c>
      <c r="T189" s="20">
        <f>IF(OR(P189="",E189=0,E189=""),"",P189/E189)</f>
        <v>1.024486957629548</v>
      </c>
      <c r="U189" s="18" t="inlineStr">
        <is>
          <t>21.6% / 27.7%</t>
        </is>
      </c>
      <c r="V189" s="18" t="inlineStr">
        <is>
          <t>일치</t>
        </is>
      </c>
      <c r="W189" s="18" t="inlineStr">
        <is>
          <t>OK</t>
        </is>
      </c>
      <c r="X189" s="18" t="inlineStr">
        <is>
          <t>JOHNSON &amp; JOHNSON</t>
        </is>
      </c>
    </row>
    <row r="190">
      <c r="A190" s="11" t="inlineStr">
        <is>
          <t>인텔</t>
        </is>
      </c>
      <c r="B190" s="11" t="inlineStr">
        <is>
          <t>INTC</t>
        </is>
      </c>
      <c r="C190" s="11" t="n">
        <v>2015</v>
      </c>
      <c r="D190" s="11" t="inlineStr">
        <is>
          <t>2015-12-26</t>
        </is>
      </c>
      <c r="E190" s="12" t="n">
        <v>55355000000</v>
      </c>
      <c r="F190" s="12" t="n">
        <v>14002000000</v>
      </c>
      <c r="G190" s="11" t="inlineStr">
        <is>
          <t>reported</t>
        </is>
      </c>
      <c r="H190" s="11" t="inlineStr">
        <is>
          <t>HIGH</t>
        </is>
      </c>
      <c r="I190" s="13" t="n">
        <v>0.1964537010976639</v>
      </c>
      <c r="J190" s="12">
        <f>IF(F190="","",F190*(1-I190))</f>
        <v>11251255277.23051</v>
      </c>
      <c r="K190" s="12" t="n">
        <v>61085000000</v>
      </c>
      <c r="L190" s="12" t="n">
        <v>22670000000</v>
      </c>
      <c r="M190" s="12" t="n">
        <v>17990000000</v>
      </c>
      <c r="N190" s="12">
        <f>IF(COUNT(K190:M190)&lt;3,"",K190+L190-M190)</f>
        <v>65765000000.0</v>
      </c>
      <c r="O190" s="11" t="inlineStr">
        <is>
          <t>—</t>
        </is>
      </c>
      <c r="P190" s="12" t="inlineStr">
        <is>
          <t>—</t>
        </is>
      </c>
      <c r="Q190" s="11" t="inlineStr">
        <is>
          <t>—</t>
        </is>
      </c>
      <c r="R190" s="13" t="inlineStr">
        <is>
          <t>—</t>
        </is>
      </c>
      <c r="S190" s="13" t="inlineStr">
        <is>
          <t>—</t>
        </is>
      </c>
      <c r="T190" s="13" t="inlineStr">
        <is>
          <t>—</t>
        </is>
      </c>
      <c r="U190" s="11" t="inlineStr">
        <is>
          <t>—</t>
        </is>
      </c>
      <c r="V190" s="11" t="inlineStr">
        <is>
          <t>—</t>
        </is>
      </c>
      <c r="W190" s="11" t="inlineStr">
        <is>
          <t>다음 해 평균 투하자본의 기초값으로만 사용 (보고 기간 밖 — 자체 비율은 계산하지 않음)</t>
        </is>
      </c>
      <c r="X190" s="11" t="inlineStr">
        <is>
          <t>INTEL CORP</t>
        </is>
      </c>
    </row>
    <row r="191">
      <c r="A191" t="inlineStr">
        <is>
          <t>인텔</t>
        </is>
      </c>
      <c r="B191" t="inlineStr">
        <is>
          <t>INTC</t>
        </is>
      </c>
      <c r="C191" t="n">
        <v>2016</v>
      </c>
      <c r="D191" t="inlineStr">
        <is>
          <t>2016-12-31</t>
        </is>
      </c>
      <c r="E191" s="14" t="n">
        <v>59387000000</v>
      </c>
      <c r="F191" s="14" t="n">
        <v>13133000000</v>
      </c>
      <c r="G191" t="inlineStr">
        <is>
          <t>reported</t>
        </is>
      </c>
      <c r="H191" t="inlineStr">
        <is>
          <t>HIGH</t>
        </is>
      </c>
      <c r="I191" s="15" t="n">
        <v>0.2025355596784168</v>
      </c>
      <c r="J191" s="14">
        <f>IF(F191="","",F191*(1-I191))</f>
        <v>10473100494.743351</v>
      </c>
      <c r="K191" s="14" t="n">
        <v>66226000000</v>
      </c>
      <c r="L191" s="14" t="n">
        <v>25283000000</v>
      </c>
      <c r="M191" s="14" t="n">
        <v>8785000000</v>
      </c>
      <c r="N191" s="14">
        <f>IF(COUNT(K191:M191)&lt;3,"",K191+L191-M191)</f>
        <v>82724000000.0</v>
      </c>
      <c r="O191" s="14">
        <f>N190</f>
        <v>65765000000.0</v>
      </c>
      <c r="P191" s="14">
        <f>IF(N191="","",IF(OR(O191="",O191&lt;=0,N191&lt;=0),N191,(N191+O191)/2))</f>
        <v>74244500000.0</v>
      </c>
      <c r="Q191" t="inlineStr">
        <is>
          <t>기초·기말 평균</t>
        </is>
      </c>
      <c r="R191" s="15">
        <f>IF(OR(P191="",P191&lt;=0),"",J191/P191)</f>
        <v>0.14106230757488233</v>
      </c>
      <c r="S191" s="15">
        <f>IF(R191="","",R191-0.1)</f>
        <v>0.04106230757488233</v>
      </c>
      <c r="T191" s="15">
        <f>IF(OR(P191="",E191=0,E191=""),"",P191/E191)</f>
        <v>1.250181016047283</v>
      </c>
      <c r="U191" t="inlineStr">
        <is>
          <t>—</t>
        </is>
      </c>
      <c r="V191" t="inlineStr">
        <is>
          <t>—</t>
        </is>
      </c>
      <c r="W191" t="inlineStr">
        <is>
          <t>OK</t>
        </is>
      </c>
      <c r="X191" t="inlineStr">
        <is>
          <t>INTEL CORP</t>
        </is>
      </c>
    </row>
    <row r="192">
      <c r="A192" t="inlineStr">
        <is>
          <t>인텔</t>
        </is>
      </c>
      <c r="B192" t="inlineStr">
        <is>
          <t>INTC</t>
        </is>
      </c>
      <c r="C192" t="n">
        <v>2017</v>
      </c>
      <c r="D192" t="inlineStr">
        <is>
          <t>2017-12-30</t>
        </is>
      </c>
      <c r="E192" s="14" t="n">
        <v>62761000000</v>
      </c>
      <c r="F192" s="14" t="n">
        <v>18050000000</v>
      </c>
      <c r="G192" t="inlineStr">
        <is>
          <t>reported</t>
        </is>
      </c>
      <c r="H192" t="inlineStr">
        <is>
          <t>HIGH</t>
        </is>
      </c>
      <c r="I192" s="15" t="n">
        <v>0.4</v>
      </c>
      <c r="J192" s="14">
        <f>IF(F192="","",F192*(1-I192))</f>
        <v>10830000000.0</v>
      </c>
      <c r="K192" s="14" t="n">
        <v>69653000000</v>
      </c>
      <c r="L192" s="14" t="n">
        <v>26813000000</v>
      </c>
      <c r="M192" s="14" t="n">
        <v>5247000000</v>
      </c>
      <c r="N192" s="14">
        <f>IF(COUNT(K192:M192)&lt;3,"",K192+L192-M192)</f>
        <v>91219000000.0</v>
      </c>
      <c r="O192" s="14">
        <f>N191</f>
        <v>82724000000.0</v>
      </c>
      <c r="P192" s="14">
        <f>IF(N192="","",IF(OR(O192="",O192&lt;=0,N192&lt;=0),N192,(N192+O192)/2))</f>
        <v>86971500000.0</v>
      </c>
      <c r="Q192" t="inlineStr">
        <is>
          <t>기초·기말 평균</t>
        </is>
      </c>
      <c r="R192" s="15">
        <f>IF(OR(P192="",P192&lt;=0),"",J192/P192)</f>
        <v>0.12452355081837153</v>
      </c>
      <c r="S192" s="15">
        <f>IF(R192="","",R192-0.1)</f>
        <v>0.02452355081837153</v>
      </c>
      <c r="T192" s="15">
        <f>IF(OR(P192="",E192=0,E192=""),"",P192/E192)</f>
        <v>1.3857570784404327</v>
      </c>
      <c r="U192" t="inlineStr">
        <is>
          <t>—</t>
        </is>
      </c>
      <c r="V192" t="inlineStr">
        <is>
          <t>—</t>
        </is>
      </c>
      <c r="W192" t="inlineStr">
        <is>
          <t>OK</t>
        </is>
      </c>
      <c r="X192" t="inlineStr">
        <is>
          <t>INTEL CORP</t>
        </is>
      </c>
    </row>
    <row r="193">
      <c r="A193" t="inlineStr">
        <is>
          <t>인텔</t>
        </is>
      </c>
      <c r="B193" t="inlineStr">
        <is>
          <t>INTC</t>
        </is>
      </c>
      <c r="C193" t="n">
        <v>2018</v>
      </c>
      <c r="D193" t="inlineStr">
        <is>
          <t>2018-12-29</t>
        </is>
      </c>
      <c r="E193" s="14" t="n">
        <v>70848000000</v>
      </c>
      <c r="F193" s="14" t="n">
        <v>23316000000</v>
      </c>
      <c r="G193" t="inlineStr">
        <is>
          <t>reported</t>
        </is>
      </c>
      <c r="H193" t="inlineStr">
        <is>
          <t>HIGH</t>
        </is>
      </c>
      <c r="I193" s="15" t="n">
        <v>0.09709653900587555</v>
      </c>
      <c r="J193" s="14">
        <f>IF(F193="","",F193*(1-I193))</f>
        <v>21052097096.539005</v>
      </c>
      <c r="K193" s="14" t="n">
        <v>74563000000</v>
      </c>
      <c r="L193" s="14" t="n">
        <v>26359000000</v>
      </c>
      <c r="M193" s="14" t="n">
        <v>5807000000</v>
      </c>
      <c r="N193" s="14">
        <f>IF(COUNT(K193:M193)&lt;3,"",K193+L193-M193)</f>
        <v>95115000000.0</v>
      </c>
      <c r="O193" s="14">
        <f>N192</f>
        <v>91219000000.0</v>
      </c>
      <c r="P193" s="14">
        <f>IF(N193="","",IF(OR(O193="",O193&lt;=0,N193&lt;=0),N193,(N193+O193)/2))</f>
        <v>93167000000.0</v>
      </c>
      <c r="Q193" t="inlineStr">
        <is>
          <t>기초·기말 평균</t>
        </is>
      </c>
      <c r="R193" s="15">
        <f>IF(OR(P193="",P193&lt;=0),"",J193/P193)</f>
        <v>0.2259608777414643</v>
      </c>
      <c r="S193" s="15">
        <f>IF(R193="","",R193-0.1)</f>
        <v>0.1259608777414643</v>
      </c>
      <c r="T193" s="15">
        <f>IF(OR(P193="",E193=0,E193=""),"",P193/E193)</f>
        <v>1.3150265356820234</v>
      </c>
      <c r="U193" t="inlineStr">
        <is>
          <t>—</t>
        </is>
      </c>
      <c r="V193" t="inlineStr">
        <is>
          <t>—</t>
        </is>
      </c>
      <c r="W193" t="inlineStr">
        <is>
          <t>OK</t>
        </is>
      </c>
      <c r="X193" t="inlineStr">
        <is>
          <t>INTEL CORP</t>
        </is>
      </c>
    </row>
    <row r="194">
      <c r="A194" t="inlineStr">
        <is>
          <t>인텔</t>
        </is>
      </c>
      <c r="B194" t="inlineStr">
        <is>
          <t>INTC</t>
        </is>
      </c>
      <c r="C194" t="n">
        <v>2019</v>
      </c>
      <c r="D194" t="inlineStr">
        <is>
          <t>2019-12-28</t>
        </is>
      </c>
      <c r="E194" s="14" t="n">
        <v>71965000000</v>
      </c>
      <c r="F194" s="14" t="n">
        <v>22035000000</v>
      </c>
      <c r="G194" t="inlineStr">
        <is>
          <t>reported</t>
        </is>
      </c>
      <c r="H194" t="inlineStr">
        <is>
          <t>HIGH</t>
        </is>
      </c>
      <c r="I194" s="15" t="n">
        <v>0.1251143070911963</v>
      </c>
      <c r="J194" s="14">
        <f>IF(F194="","",F194*(1-I194))</f>
        <v>19278106243.24549</v>
      </c>
      <c r="K194" s="14" t="n">
        <v>77504000000</v>
      </c>
      <c r="L194" s="14" t="n">
        <v>29001000000</v>
      </c>
      <c r="M194" s="14" t="n">
        <v>5276000000</v>
      </c>
      <c r="N194" s="14">
        <f>IF(COUNT(K194:M194)&lt;3,"",K194+L194-M194)</f>
        <v>101229000000.0</v>
      </c>
      <c r="O194" s="14">
        <f>N193</f>
        <v>95115000000.0</v>
      </c>
      <c r="P194" s="14">
        <f>IF(N194="","",IF(OR(O194="",O194&lt;=0,N194&lt;=0),N194,(N194+O194)/2))</f>
        <v>98172000000.0</v>
      </c>
      <c r="Q194" t="inlineStr">
        <is>
          <t>기초·기말 평균</t>
        </is>
      </c>
      <c r="R194" s="15">
        <f>IF(OR(P194="",P194&lt;=0),"",J194/P194)</f>
        <v>0.19637071917904791</v>
      </c>
      <c r="S194" s="15">
        <f>IF(R194="","",R194-0.1)</f>
        <v>0.09637071917904791</v>
      </c>
      <c r="T194" s="15">
        <f>IF(OR(P194="",E194=0,E194=""),"",P194/E194)</f>
        <v>1.3641631348572223</v>
      </c>
      <c r="U194" t="inlineStr">
        <is>
          <t>—</t>
        </is>
      </c>
      <c r="V194" t="inlineStr">
        <is>
          <t>—</t>
        </is>
      </c>
      <c r="W194" t="inlineStr">
        <is>
          <t>OK</t>
        </is>
      </c>
      <c r="X194" t="inlineStr">
        <is>
          <t>INTEL CORP</t>
        </is>
      </c>
    </row>
    <row r="195">
      <c r="A195" t="inlineStr">
        <is>
          <t>인텔</t>
        </is>
      </c>
      <c r="B195" t="inlineStr">
        <is>
          <t>INTC</t>
        </is>
      </c>
      <c r="C195" t="n">
        <v>2020</v>
      </c>
      <c r="D195" t="inlineStr">
        <is>
          <t>2020-12-26</t>
        </is>
      </c>
      <c r="E195" s="14" t="n">
        <v>77867000000</v>
      </c>
      <c r="F195" s="14" t="n">
        <v>23678000000</v>
      </c>
      <c r="G195" t="inlineStr">
        <is>
          <t>reported</t>
        </is>
      </c>
      <c r="H195" t="inlineStr">
        <is>
          <t>HIGH</t>
        </is>
      </c>
      <c r="I195" s="15" t="n">
        <v>0.1666400829412234</v>
      </c>
      <c r="J195" s="14">
        <f>IF(F195="","",F195*(1-I195))</f>
        <v>19732296116.117714</v>
      </c>
      <c r="K195" s="14" t="n">
        <v>81038000000</v>
      </c>
      <c r="L195" s="14" t="n">
        <v>36401000000</v>
      </c>
      <c r="M195" s="14" t="n">
        <v>8157000000</v>
      </c>
      <c r="N195" s="14">
        <f>IF(COUNT(K195:M195)&lt;3,"",K195+L195-M195)</f>
        <v>109282000000.0</v>
      </c>
      <c r="O195" s="14">
        <f>N194</f>
        <v>101229000000.0</v>
      </c>
      <c r="P195" s="14">
        <f>IF(N195="","",IF(OR(O195="",O195&lt;=0,N195&lt;=0),N195,(N195+O195)/2))</f>
        <v>105255500000.0</v>
      </c>
      <c r="Q195" t="inlineStr">
        <is>
          <t>기초·기말 평균</t>
        </is>
      </c>
      <c r="R195" s="15">
        <f>IF(OR(P195="",P195&lt;=0),"",J195/P195)</f>
        <v>0.18747045157847061</v>
      </c>
      <c r="S195" s="15">
        <f>IF(R195="","",R195-0.1)</f>
        <v>0.08747045157847061</v>
      </c>
      <c r="T195" s="15">
        <f>IF(OR(P195="",E195=0,E195=""),"",P195/E195)</f>
        <v>1.3517343675754814</v>
      </c>
      <c r="U195" t="inlineStr">
        <is>
          <t>—</t>
        </is>
      </c>
      <c r="V195" t="inlineStr">
        <is>
          <t>—</t>
        </is>
      </c>
      <c r="W195" t="inlineStr">
        <is>
          <t>OK</t>
        </is>
      </c>
      <c r="X195" t="inlineStr">
        <is>
          <t>INTEL CORP</t>
        </is>
      </c>
    </row>
    <row r="196">
      <c r="A196" t="inlineStr">
        <is>
          <t>인텔</t>
        </is>
      </c>
      <c r="B196" t="inlineStr">
        <is>
          <t>INTC</t>
        </is>
      </c>
      <c r="C196" t="n">
        <v>2021</v>
      </c>
      <c r="D196" t="inlineStr">
        <is>
          <t>2021-12-25</t>
        </is>
      </c>
      <c r="E196" s="14" t="n">
        <v>79024000000</v>
      </c>
      <c r="F196" s="14" t="n">
        <v>19456000000</v>
      </c>
      <c r="G196" t="inlineStr">
        <is>
          <t>reported</t>
        </is>
      </c>
      <c r="H196" t="inlineStr">
        <is>
          <t>HIGH</t>
        </is>
      </c>
      <c r="I196" s="15" t="n">
        <v>0.08455052296917477</v>
      </c>
      <c r="J196" s="14">
        <f>IF(F196="","",F196*(1-I196))</f>
        <v>17810985025.111736</v>
      </c>
      <c r="K196" s="14" t="n">
        <v>95391000000</v>
      </c>
      <c r="L196" s="14" t="n">
        <v>38101000000</v>
      </c>
      <c r="M196" s="14" t="n">
        <v>29253000000</v>
      </c>
      <c r="N196" s="14">
        <f>IF(COUNT(K196:M196)&lt;3,"",K196+L196-M196)</f>
        <v>104239000000.0</v>
      </c>
      <c r="O196" s="14">
        <f>N195</f>
        <v>109282000000.0</v>
      </c>
      <c r="P196" s="14">
        <f>IF(N196="","",IF(OR(O196="",O196&lt;=0,N196&lt;=0),N196,(N196+O196)/2))</f>
        <v>106760500000.0</v>
      </c>
      <c r="Q196" t="inlineStr">
        <is>
          <t>기초·기말 평균</t>
        </is>
      </c>
      <c r="R196" s="15">
        <f>IF(OR(P196="",P196&lt;=0),"",J196/P196)</f>
        <v>0.16683122526694552</v>
      </c>
      <c r="S196" s="15">
        <f>IF(R196="","",R196-0.1)</f>
        <v>0.06683122526694552</v>
      </c>
      <c r="T196" s="15">
        <f>IF(OR(P196="",E196=0,E196=""),"",P196/E196)</f>
        <v>1.350988307349666</v>
      </c>
      <c r="U196" t="inlineStr">
        <is>
          <t>—</t>
        </is>
      </c>
      <c r="V196" t="inlineStr">
        <is>
          <t>—</t>
        </is>
      </c>
      <c r="W196" t="inlineStr">
        <is>
          <t>OK</t>
        </is>
      </c>
      <c r="X196" t="inlineStr">
        <is>
          <t>INTEL CORP</t>
        </is>
      </c>
    </row>
    <row r="197">
      <c r="A197" t="inlineStr">
        <is>
          <t>인텔</t>
        </is>
      </c>
      <c r="B197" t="inlineStr">
        <is>
          <t>INTC</t>
        </is>
      </c>
      <c r="C197" t="n">
        <v>2022</v>
      </c>
      <c r="D197" t="inlineStr">
        <is>
          <t>2022-12-31</t>
        </is>
      </c>
      <c r="E197" s="14" t="n">
        <v>63054000000</v>
      </c>
      <c r="F197" s="14" t="n">
        <v>2334000000</v>
      </c>
      <c r="G197" t="inlineStr">
        <is>
          <t>reported</t>
        </is>
      </c>
      <c r="H197" t="inlineStr">
        <is>
          <t>HIGH</t>
        </is>
      </c>
      <c r="I197" s="15" t="n">
        <v>0.05</v>
      </c>
      <c r="J197" s="14">
        <f>IF(F197="","",F197*(1-I197))</f>
        <v>2217300000.0</v>
      </c>
      <c r="K197" s="14" t="n">
        <v>103286000000</v>
      </c>
      <c r="L197" s="14" t="n">
        <v>42051000000</v>
      </c>
      <c r="M197" s="14" t="n">
        <v>28338000000</v>
      </c>
      <c r="N197" s="14">
        <f>IF(COUNT(K197:M197)&lt;3,"",K197+L197-M197)</f>
        <v>116999000000.0</v>
      </c>
      <c r="O197" s="14">
        <f>N196</f>
        <v>104239000000.0</v>
      </c>
      <c r="P197" s="14">
        <f>IF(N197="","",IF(OR(O197="",O197&lt;=0,N197&lt;=0),N197,(N197+O197)/2))</f>
        <v>110619000000.0</v>
      </c>
      <c r="Q197" t="inlineStr">
        <is>
          <t>기초·기말 평균</t>
        </is>
      </c>
      <c r="R197" s="15">
        <f>IF(OR(P197="",P197&lt;=0),"",J197/P197)</f>
        <v>0.020044476988582433</v>
      </c>
      <c r="S197" s="15">
        <f>IF(R197="","",R197-0.1)</f>
        <v>-0.07995552301141758</v>
      </c>
      <c r="T197" s="15">
        <f>IF(OR(P197="",E197=0,E197=""),"",P197/E197)</f>
        <v>1.7543534113616899</v>
      </c>
      <c r="U197" t="inlineStr">
        <is>
          <t>—</t>
        </is>
      </c>
      <c r="V197" t="inlineStr">
        <is>
          <t>—</t>
        </is>
      </c>
      <c r="W197" t="inlineStr">
        <is>
          <t>OK</t>
        </is>
      </c>
      <c r="X197" t="inlineStr">
        <is>
          <t>INTEL CORP</t>
        </is>
      </c>
    </row>
    <row r="198">
      <c r="A198" t="inlineStr">
        <is>
          <t>인텔</t>
        </is>
      </c>
      <c r="B198" t="inlineStr">
        <is>
          <t>INTC</t>
        </is>
      </c>
      <c r="C198" t="n">
        <v>2023</v>
      </c>
      <c r="D198" t="inlineStr">
        <is>
          <t>2023-12-30</t>
        </is>
      </c>
      <c r="E198" s="14" t="n">
        <v>54228000000</v>
      </c>
      <c r="F198" s="14" t="n">
        <v>93000000</v>
      </c>
      <c r="G198" t="inlineStr">
        <is>
          <t>reported</t>
        </is>
      </c>
      <c r="H198" t="inlineStr">
        <is>
          <t>HIGH</t>
        </is>
      </c>
      <c r="I198" s="15" t="n">
        <v>0.05</v>
      </c>
      <c r="J198" s="14">
        <f>IF(F198="","",F198*(1-I198))</f>
        <v>88350000.0</v>
      </c>
      <c r="K198" s="14" t="n">
        <v>109965000000</v>
      </c>
      <c r="L198" s="14" t="n">
        <v>49266000000</v>
      </c>
      <c r="M198" s="14" t="n">
        <v>25034000000</v>
      </c>
      <c r="N198" s="14">
        <f>IF(COUNT(K198:M198)&lt;3,"",K198+L198-M198)</f>
        <v>134197000000.0</v>
      </c>
      <c r="O198" s="14">
        <f>N197</f>
        <v>116999000000.0</v>
      </c>
      <c r="P198" s="14">
        <f>IF(N198="","",IF(OR(O198="",O198&lt;=0,N198&lt;=0),N198,(N198+O198)/2))</f>
        <v>125598000000.0</v>
      </c>
      <c r="Q198" t="inlineStr">
        <is>
          <t>기초·기말 평균</t>
        </is>
      </c>
      <c r="R198" s="15">
        <f>IF(OR(P198="",P198&lt;=0),"",J198/P198)</f>
        <v>0.0007034347680695553</v>
      </c>
      <c r="S198" s="15">
        <f>IF(R198="","",R198-0.1)</f>
        <v>-0.09929656523193045</v>
      </c>
      <c r="T198" s="15">
        <f>IF(OR(P198="",E198=0,E198=""),"",P198/E198)</f>
        <v>2.316109758796194</v>
      </c>
      <c r="U198" t="inlineStr">
        <is>
          <t>—</t>
        </is>
      </c>
      <c r="V198" t="inlineStr">
        <is>
          <t>—</t>
        </is>
      </c>
      <c r="W198" t="inlineStr">
        <is>
          <t>OK</t>
        </is>
      </c>
      <c r="X198" t="inlineStr">
        <is>
          <t>INTEL CORP</t>
        </is>
      </c>
    </row>
    <row r="199">
      <c r="A199" t="inlineStr">
        <is>
          <t>인텔</t>
        </is>
      </c>
      <c r="B199" t="inlineStr">
        <is>
          <t>INTC</t>
        </is>
      </c>
      <c r="C199" t="n">
        <v>2024</v>
      </c>
      <c r="D199" t="inlineStr">
        <is>
          <t>2024-12-28</t>
        </is>
      </c>
      <c r="E199" s="14" t="n">
        <v>53101000000</v>
      </c>
      <c r="F199" s="14" t="n">
        <v>-11678000000</v>
      </c>
      <c r="G199" t="inlineStr">
        <is>
          <t>reported</t>
        </is>
      </c>
      <c r="H199" t="inlineStr">
        <is>
          <t>HIGH</t>
        </is>
      </c>
      <c r="I199" s="15" t="n">
        <v>0.21</v>
      </c>
      <c r="J199" s="14">
        <f>IF(F199="","",F199*(1-I199))</f>
        <v>-9225620000.0</v>
      </c>
      <c r="K199" s="14" t="n">
        <v>105032000000</v>
      </c>
      <c r="L199" s="14" t="n">
        <v>50011000000</v>
      </c>
      <c r="M199" s="14" t="n">
        <v>22062000000</v>
      </c>
      <c r="N199" s="14">
        <f>IF(COUNT(K199:M199)&lt;3,"",K199+L199-M199)</f>
        <v>132981000000.0</v>
      </c>
      <c r="O199" s="14">
        <f>N198</f>
        <v>134197000000.0</v>
      </c>
      <c r="P199" s="14">
        <f>IF(N199="","",IF(OR(O199="",O199&lt;=0,N199&lt;=0),N199,(N199+O199)/2))</f>
        <v>133589000000.0</v>
      </c>
      <c r="Q199" t="inlineStr">
        <is>
          <t>기초·기말 평균</t>
        </is>
      </c>
      <c r="R199" s="15">
        <f>IF(OR(P199="",P199&lt;=0),"",J199/P199)</f>
        <v>-0.06905972797161443</v>
      </c>
      <c r="S199" s="15">
        <f>IF(R199="","",R199-0.1)</f>
        <v>-0.16905972797161445</v>
      </c>
      <c r="T199" s="15">
        <f>IF(OR(P199="",E199=0,E199=""),"",P199/E199)</f>
        <v>2.515752999001902</v>
      </c>
      <c r="U199" t="inlineStr">
        <is>
          <t>—</t>
        </is>
      </c>
      <c r="V199" t="inlineStr">
        <is>
          <t>—</t>
        </is>
      </c>
      <c r="W199" t="inlineStr">
        <is>
          <t>OK</t>
        </is>
      </c>
      <c r="X199" t="inlineStr">
        <is>
          <t>INTEL CORP</t>
        </is>
      </c>
    </row>
    <row r="200">
      <c r="A200" t="inlineStr">
        <is>
          <t>인텔</t>
        </is>
      </c>
      <c r="B200" t="inlineStr">
        <is>
          <t>INTC</t>
        </is>
      </c>
      <c r="C200" t="n">
        <v>2025</v>
      </c>
      <c r="D200" t="inlineStr">
        <is>
          <t>2025-12-27</t>
        </is>
      </c>
      <c r="E200" s="14" t="n">
        <v>52853000000</v>
      </c>
      <c r="F200" s="14" t="n">
        <v>-2214000000</v>
      </c>
      <c r="G200" t="inlineStr">
        <is>
          <t>reported</t>
        </is>
      </c>
      <c r="H200" t="inlineStr">
        <is>
          <t>HIGH</t>
        </is>
      </c>
      <c r="I200" s="15" t="n">
        <v>0.4</v>
      </c>
      <c r="J200" s="14">
        <f>IF(F200="","",F200*(1-I200))</f>
        <v>-1328400000.0</v>
      </c>
      <c r="K200" s="14" t="n">
        <v>126360000000</v>
      </c>
      <c r="L200" s="14" t="n">
        <v>46585000000</v>
      </c>
      <c r="M200" s="14" t="n">
        <v>37416000000</v>
      </c>
      <c r="N200" s="14">
        <f>IF(COUNT(K200:M200)&lt;3,"",K200+L200-M200)</f>
        <v>135529000000.0</v>
      </c>
      <c r="O200" s="14">
        <f>N199</f>
        <v>132981000000.0</v>
      </c>
      <c r="P200" s="14">
        <f>IF(N200="","",IF(OR(O200="",O200&lt;=0,N200&lt;=0),N200,(N200+O200)/2))</f>
        <v>134255000000.0</v>
      </c>
      <c r="Q200" t="inlineStr">
        <is>
          <t>기초·기말 평균</t>
        </is>
      </c>
      <c r="R200" s="15">
        <f>IF(OR(P200="",P200&lt;=0),"",J200/P200)</f>
        <v>-0.0098946035529403</v>
      </c>
      <c r="S200" s="15">
        <f>IF(R200="","",R200-0.1)</f>
        <v>-0.10989460355294031</v>
      </c>
      <c r="T200" s="15">
        <f>IF(OR(P200="",E200=0,E200=""),"",P200/E200)</f>
        <v>2.540158552967665</v>
      </c>
      <c r="U200" t="inlineStr">
        <is>
          <t>—</t>
        </is>
      </c>
      <c r="V200" t="inlineStr">
        <is>
          <t>—</t>
        </is>
      </c>
      <c r="W200" t="inlineStr">
        <is>
          <t>OK</t>
        </is>
      </c>
      <c r="X200" t="inlineStr">
        <is>
          <t>INTEL CORP</t>
        </is>
      </c>
    </row>
    <row r="201">
      <c r="A201" s="11" t="inlineStr">
        <is>
          <t>마스터카드</t>
        </is>
      </c>
      <c r="B201" s="11" t="inlineStr">
        <is>
          <t>MA</t>
        </is>
      </c>
      <c r="C201" s="11" t="n">
        <v>2015</v>
      </c>
      <c r="D201" s="11" t="inlineStr">
        <is>
          <t>2015-12-31</t>
        </is>
      </c>
      <c r="E201" s="12" t="n">
        <v>9667000000</v>
      </c>
      <c r="F201" s="12" t="n">
        <v>5078000000</v>
      </c>
      <c r="G201" s="11" t="inlineStr">
        <is>
          <t>reported</t>
        </is>
      </c>
      <c r="H201" s="11" t="inlineStr">
        <is>
          <t>HIGH</t>
        </is>
      </c>
      <c r="I201" s="13" t="n">
        <v>0.2319483662767245</v>
      </c>
      <c r="J201" s="12">
        <f>IF(F201="","",F201*(1-I201))</f>
        <v>3900166196.0467925</v>
      </c>
      <c r="K201" s="12" t="n">
        <v>6062000000</v>
      </c>
      <c r="L201" s="12" t="n">
        <v>3268000000</v>
      </c>
      <c r="M201" s="12" t="n">
        <v>6738000000</v>
      </c>
      <c r="N201" s="12">
        <f>IF(COUNT(K201:M201)&lt;3,"",K201+L201-M201)</f>
        <v>2592000000.0</v>
      </c>
      <c r="O201" s="11" t="inlineStr">
        <is>
          <t>—</t>
        </is>
      </c>
      <c r="P201" s="12" t="inlineStr">
        <is>
          <t>—</t>
        </is>
      </c>
      <c r="Q201" s="11" t="inlineStr">
        <is>
          <t>—</t>
        </is>
      </c>
      <c r="R201" s="13" t="inlineStr">
        <is>
          <t>—</t>
        </is>
      </c>
      <c r="S201" s="13" t="inlineStr">
        <is>
          <t>—</t>
        </is>
      </c>
      <c r="T201" s="13" t="inlineStr">
        <is>
          <t>—</t>
        </is>
      </c>
      <c r="U201" s="11" t="inlineStr">
        <is>
          <t>—</t>
        </is>
      </c>
      <c r="V201" s="11" t="inlineStr">
        <is>
          <t>—</t>
        </is>
      </c>
      <c r="W201" s="11" t="inlineStr">
        <is>
          <t>다음 해 평균 투하자본의 기초값으로만 사용 (보고 기간 밖 — 자체 비율은 계산하지 않음)</t>
        </is>
      </c>
      <c r="X201" s="11" t="inlineStr">
        <is>
          <t>Mastercard Inc</t>
        </is>
      </c>
    </row>
    <row r="202">
      <c r="A202" t="inlineStr">
        <is>
          <t>마스터카드</t>
        </is>
      </c>
      <c r="B202" t="inlineStr">
        <is>
          <t>MA</t>
        </is>
      </c>
      <c r="C202" t="n">
        <v>2016</v>
      </c>
      <c r="D202" t="inlineStr">
        <is>
          <t>2016-12-31</t>
        </is>
      </c>
      <c r="E202" s="14" t="n">
        <v>10776000000</v>
      </c>
      <c r="F202" s="14" t="n">
        <v>5761000000</v>
      </c>
      <c r="G202" t="inlineStr">
        <is>
          <t>reported</t>
        </is>
      </c>
      <c r="H202" t="inlineStr">
        <is>
          <t>HIGH</t>
        </is>
      </c>
      <c r="I202" s="15" t="n">
        <v>0.2810839532412328</v>
      </c>
      <c r="J202" s="14">
        <f>IF(F202="","",F202*(1-I202))</f>
        <v>4141675345.377258</v>
      </c>
      <c r="K202" s="14" t="n">
        <v>5684000000</v>
      </c>
      <c r="L202" s="14" t="n">
        <v>5180000000</v>
      </c>
      <c r="M202" s="14" t="n">
        <v>8335000000</v>
      </c>
      <c r="N202" s="14">
        <f>IF(COUNT(K202:M202)&lt;3,"",K202+L202-M202)</f>
        <v>2529000000.0</v>
      </c>
      <c r="O202" s="14">
        <f>N201</f>
        <v>2592000000.0</v>
      </c>
      <c r="P202" s="14">
        <f>IF(N202="","",IF(OR(O202="",O202&lt;=0,N202&lt;=0),N202,(N202+O202)/2))</f>
        <v>2560500000.0</v>
      </c>
      <c r="Q202" t="inlineStr">
        <is>
          <t>기초·기말 평균</t>
        </is>
      </c>
      <c r="R202" s="15">
        <f>IF(OR(P202="",P202&lt;=0),"",J202/P202)</f>
        <v>1.6175260087394094</v>
      </c>
      <c r="S202" s="15">
        <f>IF(R202="","",R202-0.1)</f>
        <v>1.5175260087394093</v>
      </c>
      <c r="T202" s="15">
        <f>IF(OR(P202="",E202=0,E202=""),"",P202/E202)</f>
        <v>0.23761135857461024</v>
      </c>
      <c r="U202" t="inlineStr">
        <is>
          <t>—</t>
        </is>
      </c>
      <c r="V202" t="inlineStr">
        <is>
          <t>—</t>
        </is>
      </c>
      <c r="W202" t="inlineStr">
        <is>
          <t>OK</t>
        </is>
      </c>
      <c r="X202" t="inlineStr">
        <is>
          <t>Mastercard Inc</t>
        </is>
      </c>
    </row>
    <row r="203">
      <c r="A203" t="inlineStr">
        <is>
          <t>마스터카드</t>
        </is>
      </c>
      <c r="B203" t="inlineStr">
        <is>
          <t>MA</t>
        </is>
      </c>
      <c r="C203" t="n">
        <v>2017</v>
      </c>
      <c r="D203" t="inlineStr">
        <is>
          <t>2017-12-31</t>
        </is>
      </c>
      <c r="E203" s="14" t="n">
        <v>12497000000</v>
      </c>
      <c r="F203" s="14" t="n">
        <v>6622000000</v>
      </c>
      <c r="G203" t="inlineStr">
        <is>
          <t>reported</t>
        </is>
      </c>
      <c r="H203" t="inlineStr">
        <is>
          <t>HIGH</t>
        </is>
      </c>
      <c r="I203" s="15" t="n">
        <v>0.3997240110395584</v>
      </c>
      <c r="J203" s="14">
        <f>IF(F203="","",F203*(1-I203))</f>
        <v>3975027598.8960447</v>
      </c>
      <c r="K203" s="14" t="n">
        <v>5497000000</v>
      </c>
      <c r="L203" s="14" t="n">
        <v>5424000000</v>
      </c>
      <c r="M203" s="14" t="n">
        <v>7782000000</v>
      </c>
      <c r="N203" s="14">
        <f>IF(COUNT(K203:M203)&lt;3,"",K203+L203-M203)</f>
        <v>3139000000.0</v>
      </c>
      <c r="O203" s="14">
        <f>N202</f>
        <v>2529000000.0</v>
      </c>
      <c r="P203" s="14">
        <f>IF(N203="","",IF(OR(O203="",O203&lt;=0,N203&lt;=0),N203,(N203+O203)/2))</f>
        <v>2834000000.0</v>
      </c>
      <c r="Q203" t="inlineStr">
        <is>
          <t>기초·기말 평균</t>
        </is>
      </c>
      <c r="R203" s="15">
        <f>IF(OR(P203="",P203&lt;=0),"",J203/P203)</f>
        <v>1.402620888813001</v>
      </c>
      <c r="S203" s="15">
        <f>IF(R203="","",R203-0.1)</f>
        <v>1.3026208888130009</v>
      </c>
      <c r="T203" s="15">
        <f>IF(OR(P203="",E203=0,E203=""),"",P203/E203)</f>
        <v>0.22677442586220692</v>
      </c>
      <c r="U203" t="inlineStr">
        <is>
          <t>—</t>
        </is>
      </c>
      <c r="V203" t="inlineStr">
        <is>
          <t>—</t>
        </is>
      </c>
      <c r="W203" t="inlineStr">
        <is>
          <t>OK</t>
        </is>
      </c>
      <c r="X203" t="inlineStr">
        <is>
          <t>Mastercard Inc</t>
        </is>
      </c>
    </row>
    <row r="204">
      <c r="A204" t="inlineStr">
        <is>
          <t>마스터카드</t>
        </is>
      </c>
      <c r="B204" t="inlineStr">
        <is>
          <t>MA</t>
        </is>
      </c>
      <c r="C204" t="n">
        <v>2018</v>
      </c>
      <c r="D204" t="inlineStr">
        <is>
          <t>2018-12-31</t>
        </is>
      </c>
      <c r="E204" s="14" t="n">
        <v>21831000000</v>
      </c>
      <c r="F204" s="14" t="n">
        <v>7282000000</v>
      </c>
      <c r="G204" t="inlineStr">
        <is>
          <t>reported</t>
        </is>
      </c>
      <c r="H204" t="inlineStr">
        <is>
          <t>HIGH</t>
        </is>
      </c>
      <c r="I204" s="15" t="n">
        <v>0.1867018323153803</v>
      </c>
      <c r="J204" s="14">
        <f>IF(F204="","",F204*(1-I204))</f>
        <v>5922437257.079401</v>
      </c>
      <c r="K204" s="14" t="n">
        <v>5418000000</v>
      </c>
      <c r="L204" s="14" t="n">
        <v>6334000000</v>
      </c>
      <c r="M204" s="14" t="n">
        <v>8378000000</v>
      </c>
      <c r="N204" s="14">
        <f>IF(COUNT(K204:M204)&lt;3,"",K204+L204-M204)</f>
        <v>3374000000.0</v>
      </c>
      <c r="O204" s="14">
        <f>N203</f>
        <v>3139000000.0</v>
      </c>
      <c r="P204" s="14">
        <f>IF(N204="","",IF(OR(O204="",O204&lt;=0,N204&lt;=0),N204,(N204+O204)/2))</f>
        <v>3256500000.0</v>
      </c>
      <c r="Q204" t="inlineStr">
        <is>
          <t>기초·기말 평균</t>
        </is>
      </c>
      <c r="R204" s="15">
        <f>IF(OR(P204="",P204&lt;=0),"",J204/P204)</f>
        <v>1.818651084624413</v>
      </c>
      <c r="S204" s="15">
        <f>IF(R204="","",R204-0.1)</f>
        <v>1.718651084624413</v>
      </c>
      <c r="T204" s="15">
        <f>IF(OR(P204="",E204=0,E204=""),"",P204/E204)</f>
        <v>0.14916861343960422</v>
      </c>
      <c r="U204" t="inlineStr">
        <is>
          <t>—</t>
        </is>
      </c>
      <c r="V204" t="inlineStr">
        <is>
          <t>—</t>
        </is>
      </c>
      <c r="W204" t="inlineStr">
        <is>
          <t>OK</t>
        </is>
      </c>
      <c r="X204" t="inlineStr">
        <is>
          <t>Mastercard Inc</t>
        </is>
      </c>
    </row>
    <row r="205">
      <c r="A205" t="inlineStr">
        <is>
          <t>마스터카드</t>
        </is>
      </c>
      <c r="B205" t="inlineStr">
        <is>
          <t>MA</t>
        </is>
      </c>
      <c r="C205" t="n">
        <v>2019</v>
      </c>
      <c r="D205" t="inlineStr">
        <is>
          <t>2019-12-31</t>
        </is>
      </c>
      <c r="E205" s="14" t="n">
        <v>24980000000</v>
      </c>
      <c r="F205" s="14" t="n">
        <v>9664000000</v>
      </c>
      <c r="G205" t="inlineStr">
        <is>
          <t>reported</t>
        </is>
      </c>
      <c r="H205" t="inlineStr">
        <is>
          <t>HIGH</t>
        </is>
      </c>
      <c r="I205" s="15" t="n">
        <v>0.1657589148083445</v>
      </c>
      <c r="J205" s="14">
        <f>IF(F205="","",F205*(1-I205))</f>
        <v>8062105847.292159</v>
      </c>
      <c r="K205" s="14" t="n">
        <v>5917000000</v>
      </c>
      <c r="L205" s="14" t="n">
        <v>8527000000</v>
      </c>
      <c r="M205" s="14" t="n">
        <v>7676000000</v>
      </c>
      <c r="N205" s="14">
        <f>IF(COUNT(K205:M205)&lt;3,"",K205+L205-M205)</f>
        <v>6768000000.0</v>
      </c>
      <c r="O205" s="14">
        <f>N204</f>
        <v>3374000000.0</v>
      </c>
      <c r="P205" s="14">
        <f>IF(N205="","",IF(OR(O205="",O205&lt;=0,N205&lt;=0),N205,(N205+O205)/2))</f>
        <v>5071000000.0</v>
      </c>
      <c r="Q205" t="inlineStr">
        <is>
          <t>기초·기말 평균</t>
        </is>
      </c>
      <c r="R205" s="15">
        <f>IF(OR(P205="",P205&lt;=0),"",J205/P205)</f>
        <v>1.5898453652715754</v>
      </c>
      <c r="S205" s="15">
        <f>IF(R205="","",R205-0.1)</f>
        <v>1.4898453652715753</v>
      </c>
      <c r="T205" s="15">
        <f>IF(OR(P205="",E205=0,E205=""),"",P205/E205)</f>
        <v>0.20300240192153723</v>
      </c>
      <c r="U205" t="inlineStr">
        <is>
          <t>—</t>
        </is>
      </c>
      <c r="V205" t="inlineStr">
        <is>
          <t>—</t>
        </is>
      </c>
      <c r="W205" t="inlineStr">
        <is>
          <t>OK</t>
        </is>
      </c>
      <c r="X205" t="inlineStr">
        <is>
          <t>Mastercard Inc</t>
        </is>
      </c>
    </row>
    <row r="206">
      <c r="A206" t="inlineStr">
        <is>
          <t>마스터카드</t>
        </is>
      </c>
      <c r="B206" t="inlineStr">
        <is>
          <t>MA</t>
        </is>
      </c>
      <c r="C206" t="n">
        <v>2020</v>
      </c>
      <c r="D206" t="inlineStr">
        <is>
          <t>2020-12-31</t>
        </is>
      </c>
      <c r="E206" s="14" t="n">
        <v>23616000000</v>
      </c>
      <c r="F206" s="14" t="n">
        <v>8081000000</v>
      </c>
      <c r="G206" t="inlineStr">
        <is>
          <t>reported</t>
        </is>
      </c>
      <c r="H206" t="inlineStr">
        <is>
          <t>HIGH</t>
        </is>
      </c>
      <c r="I206" s="15" t="n">
        <v>0.173840206185567</v>
      </c>
      <c r="J206" s="14">
        <f>IF(F206="","",F206*(1-I206))</f>
        <v>6676197293.814432</v>
      </c>
      <c r="K206" s="14" t="n">
        <v>6488000000</v>
      </c>
      <c r="L206" s="14" t="n">
        <v>12672000000</v>
      </c>
      <c r="M206" s="14" t="n">
        <v>10596000000</v>
      </c>
      <c r="N206" s="14">
        <f>IF(COUNT(K206:M206)&lt;3,"",K206+L206-M206)</f>
        <v>8564000000.0</v>
      </c>
      <c r="O206" s="14">
        <f>N205</f>
        <v>6768000000.0</v>
      </c>
      <c r="P206" s="14">
        <f>IF(N206="","",IF(OR(O206="",O206&lt;=0,N206&lt;=0),N206,(N206+O206)/2))</f>
        <v>7666000000.0</v>
      </c>
      <c r="Q206" t="inlineStr">
        <is>
          <t>기초·기말 평균</t>
        </is>
      </c>
      <c r="R206" s="15">
        <f>IF(OR(P206="",P206&lt;=0),"",J206/P206)</f>
        <v>0.8708840717211626</v>
      </c>
      <c r="S206" s="15">
        <f>IF(R206="","",R206-0.1)</f>
        <v>0.7708840717211626</v>
      </c>
      <c r="T206" s="15">
        <f>IF(OR(P206="",E206=0,E206=""),"",P206/E206)</f>
        <v>0.32461043360433606</v>
      </c>
      <c r="U206" t="inlineStr">
        <is>
          <t>—</t>
        </is>
      </c>
      <c r="V206" t="inlineStr">
        <is>
          <t>—</t>
        </is>
      </c>
      <c r="W206" t="inlineStr">
        <is>
          <t>OK</t>
        </is>
      </c>
      <c r="X206" t="inlineStr">
        <is>
          <t>Mastercard Inc</t>
        </is>
      </c>
    </row>
    <row r="207">
      <c r="A207" t="inlineStr">
        <is>
          <t>마스터카드</t>
        </is>
      </c>
      <c r="B207" t="inlineStr">
        <is>
          <t>MA</t>
        </is>
      </c>
      <c r="C207" t="n">
        <v>2021</v>
      </c>
      <c r="D207" t="inlineStr">
        <is>
          <t>2021-12-31</t>
        </is>
      </c>
      <c r="E207" s="14" t="n">
        <v>29845000000</v>
      </c>
      <c r="F207" s="14" t="n">
        <v>10082000000</v>
      </c>
      <c r="G207" t="inlineStr">
        <is>
          <t>reported</t>
        </is>
      </c>
      <c r="H207" t="inlineStr">
        <is>
          <t>HIGH</t>
        </is>
      </c>
      <c r="I207" s="15" t="n">
        <v>0.1571747356165713</v>
      </c>
      <c r="J207" s="14">
        <f>IF(F207="","",F207*(1-I207))</f>
        <v>8497364315.513727</v>
      </c>
      <c r="K207" s="14" t="n">
        <v>7383000000</v>
      </c>
      <c r="L207" s="14" t="n">
        <v>13901000000</v>
      </c>
      <c r="M207" s="14" t="n">
        <v>7894000000</v>
      </c>
      <c r="N207" s="14">
        <f>IF(COUNT(K207:M207)&lt;3,"",K207+L207-M207)</f>
        <v>13390000000.0</v>
      </c>
      <c r="O207" s="14">
        <f>N206</f>
        <v>8564000000.0</v>
      </c>
      <c r="P207" s="14">
        <f>IF(N207="","",IF(OR(O207="",O207&lt;=0,N207&lt;=0),N207,(N207+O207)/2))</f>
        <v>10977000000.0</v>
      </c>
      <c r="Q207" t="inlineStr">
        <is>
          <t>기초·기말 평균</t>
        </is>
      </c>
      <c r="R207" s="15">
        <f>IF(OR(P207="",P207&lt;=0),"",J207/P207)</f>
        <v>0.7741062508439216</v>
      </c>
      <c r="S207" s="15">
        <f>IF(R207="","",R207-0.1)</f>
        <v>0.6741062508439216</v>
      </c>
      <c r="T207" s="15">
        <f>IF(OR(P207="",E207=0,E207=""),"",P207/E207)</f>
        <v>0.36780030155804994</v>
      </c>
      <c r="U207" t="inlineStr">
        <is>
          <t>—</t>
        </is>
      </c>
      <c r="V207" t="inlineStr">
        <is>
          <t>—</t>
        </is>
      </c>
      <c r="W207" t="inlineStr">
        <is>
          <t>OK</t>
        </is>
      </c>
      <c r="X207" t="inlineStr">
        <is>
          <t>Mastercard Inc</t>
        </is>
      </c>
    </row>
    <row r="208">
      <c r="A208" t="inlineStr">
        <is>
          <t>마스터카드</t>
        </is>
      </c>
      <c r="B208" t="inlineStr">
        <is>
          <t>MA</t>
        </is>
      </c>
      <c r="C208" t="n">
        <v>2022</v>
      </c>
      <c r="D208" t="inlineStr">
        <is>
          <t>2022-12-31</t>
        </is>
      </c>
      <c r="E208" s="14" t="n">
        <v>22237000000</v>
      </c>
      <c r="F208" s="14" t="n">
        <v>12264000000</v>
      </c>
      <c r="G208" t="inlineStr">
        <is>
          <t>reported</t>
        </is>
      </c>
      <c r="H208" t="inlineStr">
        <is>
          <t>HIGH</t>
        </is>
      </c>
      <c r="I208" s="15" t="n">
        <v>0.1535969996590522</v>
      </c>
      <c r="J208" s="14">
        <f>IF(F208="","",F208*(1-I208))</f>
        <v>10380286396.181383</v>
      </c>
      <c r="K208" s="14" t="n">
        <v>6356000000</v>
      </c>
      <c r="L208" s="14" t="n">
        <v>14023000000</v>
      </c>
      <c r="M208" s="14" t="n">
        <v>7408000000</v>
      </c>
      <c r="N208" s="14">
        <f>IF(COUNT(K208:M208)&lt;3,"",K208+L208-M208)</f>
        <v>12971000000.0</v>
      </c>
      <c r="O208" s="14">
        <f>N207</f>
        <v>13390000000.0</v>
      </c>
      <c r="P208" s="14">
        <f>IF(N208="","",IF(OR(O208="",O208&lt;=0,N208&lt;=0),N208,(N208+O208)/2))</f>
        <v>13180500000.0</v>
      </c>
      <c r="Q208" t="inlineStr">
        <is>
          <t>기초·기말 평균</t>
        </is>
      </c>
      <c r="R208" s="15">
        <f>IF(OR(P208="",P208&lt;=0),"",J208/P208)</f>
        <v>0.787548757344667</v>
      </c>
      <c r="S208" s="15">
        <f>IF(R208="","",R208-0.1)</f>
        <v>0.687548757344667</v>
      </c>
      <c r="T208" s="15">
        <f>IF(OR(P208="",E208=0,E208=""),"",P208/E208)</f>
        <v>0.5927283356567883</v>
      </c>
      <c r="U208" t="inlineStr">
        <is>
          <t>—</t>
        </is>
      </c>
      <c r="V208" t="inlineStr">
        <is>
          <t>—</t>
        </is>
      </c>
      <c r="W208" t="inlineStr">
        <is>
          <t>OK</t>
        </is>
      </c>
      <c r="X208" t="inlineStr">
        <is>
          <t>Mastercard Inc</t>
        </is>
      </c>
    </row>
    <row r="209">
      <c r="A209" t="inlineStr">
        <is>
          <t>마스터카드</t>
        </is>
      </c>
      <c r="B209" t="inlineStr">
        <is>
          <t>MA</t>
        </is>
      </c>
      <c r="C209" t="n">
        <v>2023</v>
      </c>
      <c r="D209" t="inlineStr">
        <is>
          <t>2023-12-31</t>
        </is>
      </c>
      <c r="E209" s="14" t="n">
        <v>25098000000</v>
      </c>
      <c r="F209" s="14" t="n">
        <v>14008000000</v>
      </c>
      <c r="G209" t="inlineStr">
        <is>
          <t>reported</t>
        </is>
      </c>
      <c r="H209" t="inlineStr">
        <is>
          <t>HIGH</t>
        </is>
      </c>
      <c r="I209" s="15" t="n">
        <v>0.1791920228755774</v>
      </c>
      <c r="J209" s="14">
        <f>IF(F209="","",F209*(1-I209))</f>
        <v>11497878143.55891</v>
      </c>
      <c r="K209" s="14" t="n">
        <v>6975000000</v>
      </c>
      <c r="L209" s="14" t="n">
        <v>15681000000</v>
      </c>
      <c r="M209" s="14" t="n">
        <v>9180000000</v>
      </c>
      <c r="N209" s="14">
        <f>IF(COUNT(K209:M209)&lt;3,"",K209+L209-M209)</f>
        <v>13476000000.0</v>
      </c>
      <c r="O209" s="14">
        <f>N208</f>
        <v>12971000000.0</v>
      </c>
      <c r="P209" s="14">
        <f>IF(N209="","",IF(OR(O209="",O209&lt;=0,N209&lt;=0),N209,(N209+O209)/2))</f>
        <v>13223500000.0</v>
      </c>
      <c r="Q209" t="inlineStr">
        <is>
          <t>기초·기말 평균</t>
        </is>
      </c>
      <c r="R209" s="15">
        <f>IF(OR(P209="",P209&lt;=0),"",J209/P209)</f>
        <v>0.8695033949830915</v>
      </c>
      <c r="S209" s="15">
        <f>IF(R209="","",R209-0.1)</f>
        <v>0.7695033949830915</v>
      </c>
      <c r="T209" s="15">
        <f>IF(OR(P209="",E209=0,E209=""),"",P209/E209)</f>
        <v>0.5268746513666428</v>
      </c>
      <c r="U209" t="inlineStr">
        <is>
          <t>—</t>
        </is>
      </c>
      <c r="V209" t="inlineStr">
        <is>
          <t>—</t>
        </is>
      </c>
      <c r="W209" t="inlineStr">
        <is>
          <t>OK</t>
        </is>
      </c>
      <c r="X209" t="inlineStr">
        <is>
          <t>Mastercard Inc</t>
        </is>
      </c>
    </row>
    <row r="210">
      <c r="A210" t="inlineStr">
        <is>
          <t>마스터카드</t>
        </is>
      </c>
      <c r="B210" t="inlineStr">
        <is>
          <t>MA</t>
        </is>
      </c>
      <c r="C210" t="n">
        <v>2024</v>
      </c>
      <c r="D210" t="inlineStr">
        <is>
          <t>2024-12-31</t>
        </is>
      </c>
      <c r="E210" s="14" t="n">
        <v>28167000000</v>
      </c>
      <c r="F210" s="14" t="n">
        <v>15582000000</v>
      </c>
      <c r="G210" t="inlineStr">
        <is>
          <t>reported</t>
        </is>
      </c>
      <c r="H210" t="inlineStr">
        <is>
          <t>HIGH</t>
        </is>
      </c>
      <c r="I210" s="15" t="n">
        <v>0.156024649272322</v>
      </c>
      <c r="J210" s="14">
        <f>IF(F210="","",F210*(1-I210))</f>
        <v>13150823915.038677</v>
      </c>
      <c r="K210" s="14" t="n">
        <v>6515000000</v>
      </c>
      <c r="L210" s="14" t="n">
        <v>18226000000</v>
      </c>
      <c r="M210" s="14" t="n">
        <v>8772000000</v>
      </c>
      <c r="N210" s="14">
        <f>IF(COUNT(K210:M210)&lt;3,"",K210+L210-M210)</f>
        <v>15969000000.0</v>
      </c>
      <c r="O210" s="14">
        <f>N209</f>
        <v>13476000000.0</v>
      </c>
      <c r="P210" s="14">
        <f>IF(N210="","",IF(OR(O210="",O210&lt;=0,N210&lt;=0),N210,(N210+O210)/2))</f>
        <v>14722500000.0</v>
      </c>
      <c r="Q210" t="inlineStr">
        <is>
          <t>기초·기말 평균</t>
        </is>
      </c>
      <c r="R210" s="15">
        <f>IF(OR(P210="",P210&lt;=0),"",J210/P210)</f>
        <v>0.8932466574996555</v>
      </c>
      <c r="S210" s="15">
        <f>IF(R210="","",R210-0.1)</f>
        <v>0.7932466574996555</v>
      </c>
      <c r="T210" s="15">
        <f>IF(OR(P210="",E210=0,E210=""),"",P210/E210)</f>
        <v>0.5226861220577271</v>
      </c>
      <c r="U210" t="inlineStr">
        <is>
          <t>—</t>
        </is>
      </c>
      <c r="V210" t="inlineStr">
        <is>
          <t>—</t>
        </is>
      </c>
      <c r="W210" t="inlineStr">
        <is>
          <t>OK</t>
        </is>
      </c>
      <c r="X210" t="inlineStr">
        <is>
          <t>Mastercard Inc</t>
        </is>
      </c>
    </row>
    <row r="211">
      <c r="A211" t="inlineStr">
        <is>
          <t>마스터카드</t>
        </is>
      </c>
      <c r="B211" t="inlineStr">
        <is>
          <t>MA</t>
        </is>
      </c>
      <c r="C211" t="n">
        <v>2025</v>
      </c>
      <c r="D211" t="inlineStr">
        <is>
          <t>2025-12-31</t>
        </is>
      </c>
      <c r="E211" s="14" t="n">
        <v>32791000000</v>
      </c>
      <c r="F211" s="14" t="n">
        <v>18897000000</v>
      </c>
      <c r="G211" t="inlineStr">
        <is>
          <t>reported</t>
        </is>
      </c>
      <c r="H211" t="inlineStr">
        <is>
          <t>HIGH</t>
        </is>
      </c>
      <c r="I211" s="15" t="n">
        <v>0.1943158574658198</v>
      </c>
      <c r="J211" s="14">
        <f>IF(F211="","",F211*(1-I211))</f>
        <v>15225013241.468403</v>
      </c>
      <c r="K211" s="14" t="n">
        <v>7746000000</v>
      </c>
      <c r="L211" s="14" t="n">
        <v>19000000000</v>
      </c>
      <c r="M211" s="14" t="n">
        <v>10898000000</v>
      </c>
      <c r="N211" s="14">
        <f>IF(COUNT(K211:M211)&lt;3,"",K211+L211-M211)</f>
        <v>15848000000.0</v>
      </c>
      <c r="O211" s="14">
        <f>N210</f>
        <v>15969000000.0</v>
      </c>
      <c r="P211" s="14">
        <f>IF(N211="","",IF(OR(O211="",O211&lt;=0,N211&lt;=0),N211,(N211+O211)/2))</f>
        <v>15908500000.0</v>
      </c>
      <c r="Q211" t="inlineStr">
        <is>
          <t>기초·기말 평균</t>
        </is>
      </c>
      <c r="R211" s="15">
        <f>IF(OR(P211="",P211&lt;=0),"",J211/P211)</f>
        <v>0.9570363793863911</v>
      </c>
      <c r="S211" s="15">
        <f>IF(R211="","",R211-0.1)</f>
        <v>0.8570363793863911</v>
      </c>
      <c r="T211" s="15">
        <f>IF(OR(P211="",E211=0,E211=""),"",P211/E211)</f>
        <v>0.485148363880333</v>
      </c>
      <c r="U211" t="inlineStr">
        <is>
          <t>—</t>
        </is>
      </c>
      <c r="V211" t="inlineStr">
        <is>
          <t>—</t>
        </is>
      </c>
      <c r="W211" t="inlineStr">
        <is>
          <t>OK</t>
        </is>
      </c>
      <c r="X211" t="inlineStr">
        <is>
          <t>Mastercard Inc</t>
        </is>
      </c>
    </row>
    <row r="212">
      <c r="A212" s="11" t="inlineStr">
        <is>
          <t>시스코 시스템즈</t>
        </is>
      </c>
      <c r="B212" s="11" t="inlineStr">
        <is>
          <t>CSCO</t>
        </is>
      </c>
      <c r="C212" s="11" t="n">
        <v>2015</v>
      </c>
      <c r="D212" s="11" t="inlineStr">
        <is>
          <t>2015-07-25</t>
        </is>
      </c>
      <c r="E212" s="12" t="n">
        <v>49161000000</v>
      </c>
      <c r="F212" s="12" t="n">
        <v>10770000000</v>
      </c>
      <c r="G212" s="11" t="inlineStr">
        <is>
          <t>reported</t>
        </is>
      </c>
      <c r="H212" s="11" t="inlineStr">
        <is>
          <t>HIGH</t>
        </is>
      </c>
      <c r="I212" s="13" t="n">
        <v>0.1981965895902152</v>
      </c>
      <c r="J212" s="12">
        <f>IF(F212="","",F212*(1-I212))</f>
        <v>8635422730.113382</v>
      </c>
      <c r="K212" s="12" t="n">
        <v>59707000000</v>
      </c>
      <c r="L212" s="12" t="n">
        <v>25354000000</v>
      </c>
      <c r="M212" s="12" t="n">
        <v>60416000000</v>
      </c>
      <c r="N212" s="12">
        <f>IF(COUNT(K212:M212)&lt;3,"",K212+L212-M212)</f>
        <v>24645000000.0</v>
      </c>
      <c r="O212" s="11" t="inlineStr">
        <is>
          <t>—</t>
        </is>
      </c>
      <c r="P212" s="12" t="inlineStr">
        <is>
          <t>—</t>
        </is>
      </c>
      <c r="Q212" s="11" t="inlineStr">
        <is>
          <t>—</t>
        </is>
      </c>
      <c r="R212" s="13" t="inlineStr">
        <is>
          <t>—</t>
        </is>
      </c>
      <c r="S212" s="13" t="inlineStr">
        <is>
          <t>—</t>
        </is>
      </c>
      <c r="T212" s="13" t="inlineStr">
        <is>
          <t>—</t>
        </is>
      </c>
      <c r="U212" s="11" t="inlineStr">
        <is>
          <t>—</t>
        </is>
      </c>
      <c r="V212" s="11" t="inlineStr">
        <is>
          <t>—</t>
        </is>
      </c>
      <c r="W212" s="11" t="inlineStr">
        <is>
          <t>다음 해 평균 투하자본의 기초값으로만 사용 (보고 기간 밖 — 자체 비율은 계산하지 않음)</t>
        </is>
      </c>
      <c r="X212" s="11" t="inlineStr">
        <is>
          <t>CISCO SYSTEMS, INC.</t>
        </is>
      </c>
    </row>
    <row r="213">
      <c r="A213" s="11" t="inlineStr">
        <is>
          <t>시스코 시스템즈</t>
        </is>
      </c>
      <c r="B213" s="11" t="inlineStr">
        <is>
          <t>CSCO</t>
        </is>
      </c>
      <c r="C213" s="11" t="n">
        <v>2016</v>
      </c>
      <c r="D213" s="11" t="inlineStr">
        <is>
          <t>2016-07-30</t>
        </is>
      </c>
      <c r="E213" s="12" t="n">
        <v>49247000000</v>
      </c>
      <c r="F213" s="12" t="n">
        <v>12660000000</v>
      </c>
      <c r="G213" s="11" t="inlineStr">
        <is>
          <t>reported</t>
        </is>
      </c>
      <c r="H213" s="11" t="inlineStr">
        <is>
          <t>HIGH</t>
        </is>
      </c>
      <c r="I213" s="13" t="n">
        <v>0.1688080495356037</v>
      </c>
      <c r="J213" s="12">
        <f>IF(F213="","",F213*(1-I213))</f>
        <v>10522890092.879257</v>
      </c>
      <c r="K213" s="12" t="n">
        <v>63585000000</v>
      </c>
      <c r="L213" s="12" t="n">
        <v>28643000000</v>
      </c>
      <c r="M213" s="12" t="n">
        <v>65756000000</v>
      </c>
      <c r="N213" s="12">
        <f>IF(COUNT(K213:M213)&lt;3,"",K213+L213-M213)</f>
        <v>26472000000.0</v>
      </c>
      <c r="O213" s="12" t="inlineStr">
        <is>
          <t>—</t>
        </is>
      </c>
      <c r="P213" s="12" t="inlineStr">
        <is>
          <t>—</t>
        </is>
      </c>
      <c r="Q213" s="11" t="inlineStr">
        <is>
          <t>—</t>
        </is>
      </c>
      <c r="R213" s="13" t="inlineStr">
        <is>
          <t>—</t>
        </is>
      </c>
      <c r="S213" s="13" t="inlineStr">
        <is>
          <t>—</t>
        </is>
      </c>
      <c r="T213" s="13" t="inlineStr">
        <is>
          <t>—</t>
        </is>
      </c>
      <c r="U213" s="11" t="inlineStr">
        <is>
          <t>—</t>
        </is>
      </c>
      <c r="V213" s="11" t="inlineStr">
        <is>
          <t>—</t>
        </is>
      </c>
      <c r="W213" s="11" t="inlineStr">
        <is>
          <t>다음 해 평균 투하자본의 기초값으로만 사용 (보고 기간 밖 — 자체 비율은 계산하지 않음)</t>
        </is>
      </c>
      <c r="X213" s="11" t="inlineStr">
        <is>
          <t>CISCO SYSTEMS, INC.</t>
        </is>
      </c>
    </row>
    <row r="214">
      <c r="A214" t="inlineStr">
        <is>
          <t>시스코 시스템즈</t>
        </is>
      </c>
      <c r="B214" t="inlineStr">
        <is>
          <t>CSCO</t>
        </is>
      </c>
      <c r="C214" t="n">
        <v>2017</v>
      </c>
      <c r="D214" t="inlineStr">
        <is>
          <t>2017-07-29</t>
        </is>
      </c>
      <c r="E214" s="14" t="n">
        <v>48005000000</v>
      </c>
      <c r="F214" s="14" t="n">
        <v>11973000000</v>
      </c>
      <c r="G214" t="inlineStr">
        <is>
          <t>reported</t>
        </is>
      </c>
      <c r="H214" t="inlineStr">
        <is>
          <t>HIGH</t>
        </is>
      </c>
      <c r="I214" s="15" t="n">
        <v>0.2179539350533084</v>
      </c>
      <c r="J214" s="14">
        <f>IF(F214="","",F214*(1-I214))</f>
        <v>9363437535.606739</v>
      </c>
      <c r="K214" s="14" t="n">
        <v>66137000000</v>
      </c>
      <c r="L214" s="14" t="n">
        <v>33717000000</v>
      </c>
      <c r="M214" s="14" t="n">
        <v>70492000000</v>
      </c>
      <c r="N214" s="14">
        <f>IF(COUNT(K214:M214)&lt;3,"",K214+L214-M214)</f>
        <v>29362000000.0</v>
      </c>
      <c r="O214" s="14">
        <f>N213</f>
        <v>26472000000.0</v>
      </c>
      <c r="P214" s="14">
        <f>IF(N214="","",IF(OR(O214="",O214&lt;=0,N214&lt;=0),N214,(N214+O214)/2))</f>
        <v>27917000000.0</v>
      </c>
      <c r="Q214" t="inlineStr">
        <is>
          <t>기초·기말 평균</t>
        </is>
      </c>
      <c r="R214" s="15">
        <f>IF(OR(P214="",P214&lt;=0),"",J214/P214)</f>
        <v>0.3354027128848637</v>
      </c>
      <c r="S214" s="15">
        <f>IF(R214="","",R214-0.1)</f>
        <v>0.23540271288486367</v>
      </c>
      <c r="T214" s="15">
        <f>IF(OR(P214="",E214=0,E214=""),"",P214/E214)</f>
        <v>0.5815435892094574</v>
      </c>
      <c r="U214" t="inlineStr">
        <is>
          <t>—</t>
        </is>
      </c>
      <c r="V214" t="inlineStr">
        <is>
          <t>—</t>
        </is>
      </c>
      <c r="W214" t="inlineStr">
        <is>
          <t>OK</t>
        </is>
      </c>
      <c r="X214" t="inlineStr">
        <is>
          <t>CISCO SYSTEMS, INC.</t>
        </is>
      </c>
    </row>
    <row r="215">
      <c r="A215" t="inlineStr">
        <is>
          <t>시스코 시스템즈</t>
        </is>
      </c>
      <c r="B215" t="inlineStr">
        <is>
          <t>CSCO</t>
        </is>
      </c>
      <c r="C215" t="n">
        <v>2018</v>
      </c>
      <c r="D215" t="inlineStr">
        <is>
          <t>2018-07-28</t>
        </is>
      </c>
      <c r="E215" s="14" t="n">
        <v>49330000000</v>
      </c>
      <c r="F215" s="14" t="n">
        <v>12309000000</v>
      </c>
      <c r="G215" t="inlineStr">
        <is>
          <t>reported</t>
        </is>
      </c>
      <c r="H215" t="inlineStr">
        <is>
          <t>HIGH</t>
        </is>
      </c>
      <c r="I215" s="15" t="n">
        <v>0.4</v>
      </c>
      <c r="J215" s="14">
        <f>IF(F215="","",F215*(1-I215))</f>
        <v>7385400000.0</v>
      </c>
      <c r="K215" s="14" t="n">
        <v>43204000000</v>
      </c>
      <c r="L215" s="14" t="n">
        <v>25569000000</v>
      </c>
      <c r="M215" s="14" t="n">
        <v>46548000000</v>
      </c>
      <c r="N215" s="14">
        <f>IF(COUNT(K215:M215)&lt;3,"",K215+L215-M215)</f>
        <v>22225000000.0</v>
      </c>
      <c r="O215" s="14">
        <f>N214</f>
        <v>29362000000.0</v>
      </c>
      <c r="P215" s="14">
        <f>IF(N215="","",IF(OR(O215="",O215&lt;=0,N215&lt;=0),N215,(N215+O215)/2))</f>
        <v>25793500000.0</v>
      </c>
      <c r="Q215" t="inlineStr">
        <is>
          <t>기초·기말 평균</t>
        </is>
      </c>
      <c r="R215" s="15">
        <f>IF(OR(P215="",P215&lt;=0),"",J215/P215)</f>
        <v>0.28632795084032797</v>
      </c>
      <c r="S215" s="15">
        <f>IF(R215="","",R215-0.1)</f>
        <v>0.18632795084032797</v>
      </c>
      <c r="T215" s="15">
        <f>IF(OR(P215="",E215=0,E215=""),"",P215/E215)</f>
        <v>0.5228765457125482</v>
      </c>
      <c r="U215" t="inlineStr">
        <is>
          <t>—</t>
        </is>
      </c>
      <c r="V215" t="inlineStr">
        <is>
          <t>—</t>
        </is>
      </c>
      <c r="W215" t="inlineStr">
        <is>
          <t>OK</t>
        </is>
      </c>
      <c r="X215" t="inlineStr">
        <is>
          <t>CISCO SYSTEMS, INC.</t>
        </is>
      </c>
    </row>
    <row r="216">
      <c r="A216" t="inlineStr">
        <is>
          <t>시스코 시스템즈</t>
        </is>
      </c>
      <c r="B216" t="inlineStr">
        <is>
          <t>CSCO</t>
        </is>
      </c>
      <c r="C216" t="n">
        <v>2019</v>
      </c>
      <c r="D216" t="inlineStr">
        <is>
          <t>2019-07-27</t>
        </is>
      </c>
      <c r="E216" s="14" t="n">
        <v>51904000000</v>
      </c>
      <c r="F216" s="14" t="n">
        <v>14219000000</v>
      </c>
      <c r="G216" t="inlineStr">
        <is>
          <t>reported</t>
        </is>
      </c>
      <c r="H216" t="inlineStr">
        <is>
          <t>HIGH</t>
        </is>
      </c>
      <c r="I216" s="15" t="n">
        <v>0.2024569350078924</v>
      </c>
      <c r="J216" s="14">
        <f>IF(F216="","",F216*(1-I216))</f>
        <v>11340264841.122778</v>
      </c>
      <c r="K216" s="14" t="n">
        <v>33571000000</v>
      </c>
      <c r="L216" s="14" t="n">
        <v>24666000000</v>
      </c>
      <c r="M216" s="14" t="n">
        <v>33413000000</v>
      </c>
      <c r="N216" s="14">
        <f>IF(COUNT(K216:M216)&lt;3,"",K216+L216-M216)</f>
        <v>24824000000.0</v>
      </c>
      <c r="O216" s="14">
        <f>N215</f>
        <v>22225000000.0</v>
      </c>
      <c r="P216" s="14">
        <f>IF(N216="","",IF(OR(O216="",O216&lt;=0,N216&lt;=0),N216,(N216+O216)/2))</f>
        <v>23524500000.0</v>
      </c>
      <c r="Q216" t="inlineStr">
        <is>
          <t>기초·기말 평균</t>
        </is>
      </c>
      <c r="R216" s="15">
        <f>IF(OR(P216="",P216&lt;=0),"",J216/P216)</f>
        <v>0.4820618861664553</v>
      </c>
      <c r="S216" s="15">
        <f>IF(R216="","",R216-0.1)</f>
        <v>0.3820618861664553</v>
      </c>
      <c r="T216" s="15">
        <f>IF(OR(P216="",E216=0,E216=""),"",P216/E216)</f>
        <v>0.45323096485819975</v>
      </c>
      <c r="U216" t="inlineStr">
        <is>
          <t>—</t>
        </is>
      </c>
      <c r="V216" t="inlineStr">
        <is>
          <t>—</t>
        </is>
      </c>
      <c r="W216" t="inlineStr">
        <is>
          <t>OK</t>
        </is>
      </c>
      <c r="X216" t="inlineStr">
        <is>
          <t>CISCO SYSTEMS, INC.</t>
        </is>
      </c>
    </row>
    <row r="217">
      <c r="A217" t="inlineStr">
        <is>
          <t>시스코 시스템즈</t>
        </is>
      </c>
      <c r="B217" t="inlineStr">
        <is>
          <t>CSCO</t>
        </is>
      </c>
      <c r="C217" t="n">
        <v>2020</v>
      </c>
      <c r="D217" t="inlineStr">
        <is>
          <t>2020-07-25</t>
        </is>
      </c>
      <c r="E217" s="14" t="n">
        <v>49301000000</v>
      </c>
      <c r="F217" s="14" t="n">
        <v>13620000000</v>
      </c>
      <c r="G217" t="inlineStr">
        <is>
          <t>reported</t>
        </is>
      </c>
      <c r="H217" t="inlineStr">
        <is>
          <t>HIGH</t>
        </is>
      </c>
      <c r="I217" s="15" t="n">
        <v>0.1972798854688619</v>
      </c>
      <c r="J217" s="14">
        <f>IF(F217="","",F217*(1-I217))</f>
        <v>10933047959.9141</v>
      </c>
      <c r="K217" s="14" t="n">
        <v>37920000000</v>
      </c>
      <c r="L217" s="14" t="n">
        <v>14583000000</v>
      </c>
      <c r="M217" s="14" t="n">
        <v>29419000000</v>
      </c>
      <c r="N217" s="14">
        <f>IF(COUNT(K217:M217)&lt;3,"",K217+L217-M217)</f>
        <v>23084000000.0</v>
      </c>
      <c r="O217" s="14">
        <f>N216</f>
        <v>24824000000.0</v>
      </c>
      <c r="P217" s="14">
        <f>IF(N217="","",IF(OR(O217="",O217&lt;=0,N217&lt;=0),N217,(N217+O217)/2))</f>
        <v>23954000000.0</v>
      </c>
      <c r="Q217" t="inlineStr">
        <is>
          <t>기초·기말 평균</t>
        </is>
      </c>
      <c r="R217" s="15">
        <f>IF(OR(P217="",P217&lt;=0),"",J217/P217)</f>
        <v>0.4564184670582826</v>
      </c>
      <c r="S217" s="15">
        <f>IF(R217="","",R217-0.1)</f>
        <v>0.3564184670582826</v>
      </c>
      <c r="T217" s="15">
        <f>IF(OR(P217="",E217=0,E217=""),"",P217/E217)</f>
        <v>0.4858724975152634</v>
      </c>
      <c r="U217" t="inlineStr">
        <is>
          <t>—</t>
        </is>
      </c>
      <c r="V217" t="inlineStr">
        <is>
          <t>—</t>
        </is>
      </c>
      <c r="W217" t="inlineStr">
        <is>
          <t>OK</t>
        </is>
      </c>
      <c r="X217" t="inlineStr">
        <is>
          <t>CISCO SYSTEMS, INC.</t>
        </is>
      </c>
    </row>
    <row r="218">
      <c r="A218" t="inlineStr">
        <is>
          <t>시스코 시스템즈</t>
        </is>
      </c>
      <c r="B218" t="inlineStr">
        <is>
          <t>CSCO</t>
        </is>
      </c>
      <c r="C218" t="n">
        <v>2021</v>
      </c>
      <c r="D218" t="inlineStr">
        <is>
          <t>2021-07-31</t>
        </is>
      </c>
      <c r="E218" s="14" t="n">
        <v>49818000000</v>
      </c>
      <c r="F218" s="14" t="n">
        <v>12833000000</v>
      </c>
      <c r="G218" t="inlineStr">
        <is>
          <t>reported</t>
        </is>
      </c>
      <c r="H218" t="inlineStr">
        <is>
          <t>HIGH</t>
        </is>
      </c>
      <c r="I218" s="15" t="n">
        <v>0.2014025033931534</v>
      </c>
      <c r="J218" s="14">
        <f>IF(F218="","",F218*(1-I218))</f>
        <v>10248401673.955662</v>
      </c>
      <c r="K218" s="14" t="n">
        <v>41275000000</v>
      </c>
      <c r="L218" s="14" t="n">
        <v>11526000000</v>
      </c>
      <c r="M218" s="14" t="n">
        <v>24518000000</v>
      </c>
      <c r="N218" s="14">
        <f>IF(COUNT(K218:M218)&lt;3,"",K218+L218-M218)</f>
        <v>28283000000.0</v>
      </c>
      <c r="O218" s="14">
        <f>N217</f>
        <v>23084000000.0</v>
      </c>
      <c r="P218" s="14">
        <f>IF(N218="","",IF(OR(O218="",O218&lt;=0,N218&lt;=0),N218,(N218+O218)/2))</f>
        <v>25683500000.0</v>
      </c>
      <c r="Q218" t="inlineStr">
        <is>
          <t>기초·기말 평균</t>
        </is>
      </c>
      <c r="R218" s="15">
        <f>IF(OR(P218="",P218&lt;=0),"",J218/P218)</f>
        <v>0.3990266775928383</v>
      </c>
      <c r="S218" s="15">
        <f>IF(R218="","",R218-0.1)</f>
        <v>0.2990266775928383</v>
      </c>
      <c r="T218" s="15">
        <f>IF(OR(P218="",E218=0,E218=""),"",P218/E218)</f>
        <v>0.5155465895860933</v>
      </c>
      <c r="U218" t="inlineStr">
        <is>
          <t>—</t>
        </is>
      </c>
      <c r="V218" t="inlineStr">
        <is>
          <t>—</t>
        </is>
      </c>
      <c r="W218" t="inlineStr">
        <is>
          <t>OK</t>
        </is>
      </c>
      <c r="X218" t="inlineStr">
        <is>
          <t>CISCO SYSTEMS, INC.</t>
        </is>
      </c>
    </row>
    <row r="219">
      <c r="A219" t="inlineStr">
        <is>
          <t>시스코 시스템즈</t>
        </is>
      </c>
      <c r="B219" t="inlineStr">
        <is>
          <t>CSCO</t>
        </is>
      </c>
      <c r="C219" t="n">
        <v>2022</v>
      </c>
      <c r="D219" t="inlineStr">
        <is>
          <t>2022-07-30</t>
        </is>
      </c>
      <c r="E219" s="14" t="n">
        <v>51557000000</v>
      </c>
      <c r="F219" s="14" t="n">
        <v>13969000000</v>
      </c>
      <c r="G219" t="inlineStr">
        <is>
          <t>reported</t>
        </is>
      </c>
      <c r="H219" t="inlineStr">
        <is>
          <t>HIGH</t>
        </is>
      </c>
      <c r="I219" s="15" t="n">
        <v>0.1840851005042481</v>
      </c>
      <c r="J219" s="14">
        <f>IF(F219="","",F219*(1-I219))</f>
        <v>11397515231.056158</v>
      </c>
      <c r="K219" s="14" t="n">
        <v>39773000000</v>
      </c>
      <c r="L219" s="14" t="n">
        <v>9515000000</v>
      </c>
      <c r="M219" s="14" t="n">
        <v>19267000000</v>
      </c>
      <c r="N219" s="14">
        <f>IF(COUNT(K219:M219)&lt;3,"",K219+L219-M219)</f>
        <v>30021000000.0</v>
      </c>
      <c r="O219" s="14">
        <f>N218</f>
        <v>28283000000.0</v>
      </c>
      <c r="P219" s="14">
        <f>IF(N219="","",IF(OR(O219="",O219&lt;=0,N219&lt;=0),N219,(N219+O219)/2))</f>
        <v>29152000000.0</v>
      </c>
      <c r="Q219" t="inlineStr">
        <is>
          <t>기초·기말 평균</t>
        </is>
      </c>
      <c r="R219" s="15">
        <f>IF(OR(P219="",P219&lt;=0),"",J219/P219)</f>
        <v>0.39096855210812836</v>
      </c>
      <c r="S219" s="15">
        <f>IF(R219="","",R219-0.1)</f>
        <v>0.29096855210812833</v>
      </c>
      <c r="T219" s="15">
        <f>IF(OR(P219="",E219=0,E219=""),"",P219/E219)</f>
        <v>0.5654324340050818</v>
      </c>
      <c r="U219" t="inlineStr">
        <is>
          <t>—</t>
        </is>
      </c>
      <c r="V219" t="inlineStr">
        <is>
          <t>—</t>
        </is>
      </c>
      <c r="W219" t="inlineStr">
        <is>
          <t>OK</t>
        </is>
      </c>
      <c r="X219" t="inlineStr">
        <is>
          <t>CISCO SYSTEMS, INC.</t>
        </is>
      </c>
    </row>
    <row r="220">
      <c r="A220" t="inlineStr">
        <is>
          <t>시스코 시스템즈</t>
        </is>
      </c>
      <c r="B220" t="inlineStr">
        <is>
          <t>CSCO</t>
        </is>
      </c>
      <c r="C220" t="n">
        <v>2023</v>
      </c>
      <c r="D220" t="inlineStr">
        <is>
          <t>2023-07-29</t>
        </is>
      </c>
      <c r="E220" s="14" t="n">
        <v>56998000000</v>
      </c>
      <c r="F220" s="14" t="n">
        <v>15031000000</v>
      </c>
      <c r="G220" t="inlineStr">
        <is>
          <t>reported</t>
        </is>
      </c>
      <c r="H220" t="inlineStr">
        <is>
          <t>HIGH</t>
        </is>
      </c>
      <c r="I220" s="15" t="n">
        <v>0.1765896331113722</v>
      </c>
      <c r="J220" s="14">
        <f>IF(F220="","",F220*(1-I220))</f>
        <v>12376681224.702965</v>
      </c>
      <c r="K220" s="14" t="n">
        <v>44353000000</v>
      </c>
      <c r="L220" s="14" t="n">
        <v>8391000000</v>
      </c>
      <c r="M220" s="14" t="n">
        <v>26146000000</v>
      </c>
      <c r="N220" s="14">
        <f>IF(COUNT(K220:M220)&lt;3,"",K220+L220-M220)</f>
        <v>26598000000.0</v>
      </c>
      <c r="O220" s="14">
        <f>N219</f>
        <v>30021000000.0</v>
      </c>
      <c r="P220" s="14">
        <f>IF(N220="","",IF(OR(O220="",O220&lt;=0,N220&lt;=0),N220,(N220+O220)/2))</f>
        <v>28309500000.0</v>
      </c>
      <c r="Q220" t="inlineStr">
        <is>
          <t>기초·기말 평균</t>
        </is>
      </c>
      <c r="R220" s="15">
        <f>IF(OR(P220="",P220&lt;=0),"",J220/P220)</f>
        <v>0.43719179867899344</v>
      </c>
      <c r="S220" s="15">
        <f>IF(R220="","",R220-0.1)</f>
        <v>0.3371917986789934</v>
      </c>
      <c r="T220" s="15">
        <f>IF(OR(P220="",E220=0,E220=""),"",P220/E220)</f>
        <v>0.49667532194112074</v>
      </c>
      <c r="U220" t="inlineStr">
        <is>
          <t>—</t>
        </is>
      </c>
      <c r="V220" t="inlineStr">
        <is>
          <t>—</t>
        </is>
      </c>
      <c r="W220" t="inlineStr">
        <is>
          <t>OK</t>
        </is>
      </c>
      <c r="X220" t="inlineStr">
        <is>
          <t>CISCO SYSTEMS, INC.</t>
        </is>
      </c>
    </row>
    <row r="221">
      <c r="A221" t="inlineStr">
        <is>
          <t>시스코 시스템즈</t>
        </is>
      </c>
      <c r="B221" t="inlineStr">
        <is>
          <t>CSCO</t>
        </is>
      </c>
      <c r="C221" t="n">
        <v>2024</v>
      </c>
      <c r="D221" t="inlineStr">
        <is>
          <t>2024-07-27</t>
        </is>
      </c>
      <c r="E221" s="14" t="n">
        <v>53803000000</v>
      </c>
      <c r="F221" s="14" t="n">
        <v>12181000000</v>
      </c>
      <c r="G221" t="inlineStr">
        <is>
          <t>reported</t>
        </is>
      </c>
      <c r="H221" t="inlineStr">
        <is>
          <t>HIGH</t>
        </is>
      </c>
      <c r="I221" s="15" t="n">
        <v>0.1564492398234429</v>
      </c>
      <c r="J221" s="14">
        <f>IF(F221="","",F221*(1-I221))</f>
        <v>10275291809.710642</v>
      </c>
      <c r="K221" s="14" t="n">
        <v>45457000000</v>
      </c>
      <c r="L221" s="14" t="n">
        <v>30962000000</v>
      </c>
      <c r="M221" s="14" t="n">
        <v>17854000000</v>
      </c>
      <c r="N221" s="14">
        <f>IF(COUNT(K221:M221)&lt;3,"",K221+L221-M221)</f>
        <v>58565000000.0</v>
      </c>
      <c r="O221" s="14">
        <f>N220</f>
        <v>26598000000.0</v>
      </c>
      <c r="P221" s="14">
        <f>IF(N221="","",IF(OR(O221="",O221&lt;=0,N221&lt;=0),N221,(N221+O221)/2))</f>
        <v>42581500000.0</v>
      </c>
      <c r="Q221" t="inlineStr">
        <is>
          <t>기초·기말 평균</t>
        </is>
      </c>
      <c r="R221" s="15">
        <f>IF(OR(P221="",P221&lt;=0),"",J221/P221)</f>
        <v>0.24130882683115065</v>
      </c>
      <c r="S221" s="15">
        <f>IF(R221="","",R221-0.1)</f>
        <v>0.14130882683115065</v>
      </c>
      <c r="T221" s="15">
        <f>IF(OR(P221="",E221=0,E221=""),"",P221/E221)</f>
        <v>0.7914335631842091</v>
      </c>
      <c r="U221" t="inlineStr">
        <is>
          <t>—</t>
        </is>
      </c>
      <c r="V221" t="inlineStr">
        <is>
          <t>—</t>
        </is>
      </c>
      <c r="W221" t="inlineStr">
        <is>
          <t>OK</t>
        </is>
      </c>
      <c r="X221" t="inlineStr">
        <is>
          <t>CISCO SYSTEMS, INC.</t>
        </is>
      </c>
    </row>
    <row r="222">
      <c r="A222" t="inlineStr">
        <is>
          <t>시스코 시스템즈</t>
        </is>
      </c>
      <c r="B222" t="inlineStr">
        <is>
          <t>CSCO</t>
        </is>
      </c>
      <c r="C222" t="n">
        <v>2025</v>
      </c>
      <c r="D222" t="inlineStr">
        <is>
          <t>2025-07-26</t>
        </is>
      </c>
      <c r="E222" s="14" t="n">
        <v>56654000000</v>
      </c>
      <c r="F222" s="14" t="n">
        <v>11760000000</v>
      </c>
      <c r="G222" t="inlineStr">
        <is>
          <t>reported</t>
        </is>
      </c>
      <c r="H222" t="inlineStr">
        <is>
          <t>HIGH</t>
        </is>
      </c>
      <c r="I222" s="15" t="n">
        <v>0.08288288288288288</v>
      </c>
      <c r="J222" s="14">
        <f>IF(F222="","",F222*(1-I222))</f>
        <v>10785297297.297297</v>
      </c>
      <c r="K222" s="14" t="n">
        <v>46843000000</v>
      </c>
      <c r="L222" s="14" t="n">
        <v>28093000000</v>
      </c>
      <c r="M222" s="14" t="n">
        <v>14549000000</v>
      </c>
      <c r="N222" s="14">
        <f>IF(COUNT(K222:M222)&lt;3,"",K222+L222-M222)</f>
        <v>60387000000.0</v>
      </c>
      <c r="O222" s="14">
        <f>N221</f>
        <v>58565000000.0</v>
      </c>
      <c r="P222" s="14">
        <f>IF(N222="","",IF(OR(O222="",O222&lt;=0,N222&lt;=0),N222,(N222+O222)/2))</f>
        <v>59476000000.0</v>
      </c>
      <c r="Q222" t="inlineStr">
        <is>
          <t>기초·기말 평균</t>
        </is>
      </c>
      <c r="R222" s="15">
        <f>IF(OR(P222="",P222&lt;=0),"",J222/P222)</f>
        <v>0.18133864579489703</v>
      </c>
      <c r="S222" s="15">
        <f>IF(R222="","",R222-0.1)</f>
        <v>0.08133864579489702</v>
      </c>
      <c r="T222" s="15">
        <f>IF(OR(P222="",E222=0,E222=""),"",P222/E222)</f>
        <v>1.049811134253539</v>
      </c>
      <c r="U222" t="inlineStr">
        <is>
          <t>—</t>
        </is>
      </c>
      <c r="V222" t="inlineStr">
        <is>
          <t>—</t>
        </is>
      </c>
      <c r="W222" t="inlineStr">
        <is>
          <t>OK</t>
        </is>
      </c>
      <c r="X222" t="inlineStr">
        <is>
          <t>CISCO SYSTEMS, INC.</t>
        </is>
      </c>
    </row>
    <row r="223">
      <c r="A223" t="inlineStr">
        <is>
          <t>시스코 시스템즈</t>
        </is>
      </c>
      <c r="B223" t="inlineStr">
        <is>
          <t>CSCO</t>
        </is>
      </c>
      <c r="C223" t="n">
        <v>2026</v>
      </c>
      <c r="D223" t="inlineStr">
        <is>
          <t>2026-07-25</t>
        </is>
      </c>
      <c r="E223" s="14" t="n">
        <v>63325000000</v>
      </c>
      <c r="F223" s="14" t="n">
        <v>15368000000</v>
      </c>
      <c r="G223" t="inlineStr">
        <is>
          <t>reported</t>
        </is>
      </c>
      <c r="H223" t="inlineStr">
        <is>
          <t>HIGH</t>
        </is>
      </c>
      <c r="I223" s="15" t="n">
        <v>0.1712786557561372</v>
      </c>
      <c r="J223" s="14">
        <f>IF(F223="","",F223*(1-I223))</f>
        <v>12735789618.339684</v>
      </c>
      <c r="K223" s="14" t="n">
        <v>50285000000</v>
      </c>
      <c r="L223" s="14" t="n">
        <v>29533000000</v>
      </c>
      <c r="M223" s="14" t="n">
        <v>14297000000</v>
      </c>
      <c r="N223" s="14">
        <f>IF(COUNT(K223:M223)&lt;3,"",K223+L223-M223)</f>
        <v>65521000000.0</v>
      </c>
      <c r="O223" s="14">
        <f>N222</f>
        <v>60387000000.0</v>
      </c>
      <c r="P223" s="14">
        <f>IF(N223="","",IF(OR(O223="",O223&lt;=0,N223&lt;=0),N223,(N223+O223)/2))</f>
        <v>62954000000.0</v>
      </c>
      <c r="Q223" t="inlineStr">
        <is>
          <t>기초·기말 평균</t>
        </is>
      </c>
      <c r="R223" s="15">
        <f>IF(OR(P223="",P223&lt;=0),"",J223/P223)</f>
        <v>0.2023031041449262</v>
      </c>
      <c r="S223" s="15">
        <f>IF(R223="","",R223-0.1)</f>
        <v>0.10230310414492619</v>
      </c>
      <c r="T223" s="15">
        <f>IF(OR(P223="",E223=0,E223=""),"",P223/E223)</f>
        <v>0.9941413343861034</v>
      </c>
      <c r="U223" t="inlineStr">
        <is>
          <t>—</t>
        </is>
      </c>
      <c r="V223" t="inlineStr">
        <is>
          <t>—</t>
        </is>
      </c>
      <c r="W223" t="inlineStr">
        <is>
          <t>OK</t>
        </is>
      </c>
      <c r="X223" t="inlineStr">
        <is>
          <t>CISCO SYSTEMS, INC.</t>
        </is>
      </c>
    </row>
    <row r="224">
      <c r="A224" s="11" t="inlineStr">
        <is>
          <t>뱅크오브아메리카</t>
        </is>
      </c>
      <c r="B224" s="11" t="inlineStr">
        <is>
          <t>BAC</t>
        </is>
      </c>
      <c r="C224" s="11" t="n">
        <v>2015</v>
      </c>
      <c r="D224" s="11" t="inlineStr">
        <is>
          <t>2015-12-31</t>
        </is>
      </c>
      <c r="E224" s="12" t="n">
        <v>82965000000</v>
      </c>
      <c r="F224" s="12" t="n">
        <v>32736000000</v>
      </c>
      <c r="G224" s="11" t="inlineStr">
        <is>
          <t>pretax_plus_interest_less_investment_income</t>
        </is>
      </c>
      <c r="H224" s="11" t="inlineStr">
        <is>
          <t>LOW</t>
        </is>
      </c>
      <c r="I224" s="13" t="n">
        <v>0.2829134177671609</v>
      </c>
      <c r="J224" s="12">
        <f>IF(F224="","",F224*(1-I224))</f>
        <v>23474546355.974224</v>
      </c>
      <c r="K224" s="12" t="n">
        <v>255615000000</v>
      </c>
      <c r="L224" s="12" t="n">
        <v>439153000000</v>
      </c>
      <c r="M224" s="12" t="n">
        <v>159353000000</v>
      </c>
      <c r="N224" s="12">
        <f>IF(COUNT(K224:M224)&lt;3,"",K224+L224-M224)</f>
        <v>535415000000.0</v>
      </c>
      <c r="O224" s="11" t="inlineStr">
        <is>
          <t>—</t>
        </is>
      </c>
      <c r="P224" s="12" t="inlineStr">
        <is>
          <t>—</t>
        </is>
      </c>
      <c r="Q224" s="11" t="inlineStr">
        <is>
          <t>—</t>
        </is>
      </c>
      <c r="R224" s="11" t="inlineStr">
        <is>
          <t>—</t>
        </is>
      </c>
      <c r="S224" s="11" t="inlineStr">
        <is>
          <t>—</t>
        </is>
      </c>
      <c r="T224" s="13" t="inlineStr">
        <is>
          <t>—</t>
        </is>
      </c>
      <c r="U224" s="11" t="inlineStr">
        <is>
          <t>—</t>
        </is>
      </c>
      <c r="V224" s="11" t="inlineStr">
        <is>
          <t>—</t>
        </is>
      </c>
      <c r="W224" s="11" t="inlineStr">
        <is>
          <t>다음 해 평균 투하자본의 기초값으로만 사용 (보고 기간 밖 — 자체 비율은 계산하지 않음)</t>
        </is>
      </c>
      <c r="X224" s="11" t="inlineStr">
        <is>
          <t>BANK OF AMERICA CORP /DE/</t>
        </is>
      </c>
    </row>
    <row r="225">
      <c r="A225" s="18" t="inlineStr">
        <is>
          <t>뱅크오브아메리카</t>
        </is>
      </c>
      <c r="B225" s="18" t="inlineStr">
        <is>
          <t>BAC</t>
        </is>
      </c>
      <c r="C225" s="18" t="n">
        <v>2016</v>
      </c>
      <c r="D225" s="18" t="inlineStr">
        <is>
          <t>2016-12-31</t>
        </is>
      </c>
      <c r="E225" s="19" t="n">
        <v>83701000000</v>
      </c>
      <c r="F225" s="19" t="n">
        <v>34982000000</v>
      </c>
      <c r="G225" s="18" t="inlineStr">
        <is>
          <t>pretax_plus_interest_less_investment_income</t>
        </is>
      </c>
      <c r="H225" s="18" t="inlineStr">
        <is>
          <t>LOW</t>
        </is>
      </c>
      <c r="I225" s="20" t="n">
        <v>0.2877183166140442</v>
      </c>
      <c r="J225" s="19">
        <f>IF(F225="","",F225*(1-I225))</f>
        <v>24917037848.207504</v>
      </c>
      <c r="K225" s="19" t="n">
        <v>266195000000</v>
      </c>
      <c r="L225" s="19" t="n">
        <v>240767000000</v>
      </c>
      <c r="M225" s="19" t="n">
        <v>147738000000</v>
      </c>
      <c r="N225" s="19">
        <f>IF(COUNT(K225:M225)&lt;3,"",K225+L225-M225)</f>
        <v>359224000000.0</v>
      </c>
      <c r="O225" s="19">
        <f>N224</f>
        <v>535415000000.0</v>
      </c>
      <c r="P225" s="19">
        <f>IF(N225="","",IF(OR(O225="",O225&lt;=0,N225&lt;=0),N225,(N225+O225)/2))</f>
        <v>447319500000.0</v>
      </c>
      <c r="Q225" s="18" t="inlineStr">
        <is>
          <t>기초·기말 평균</t>
        </is>
      </c>
      <c r="R225" s="18" t="inlineStr">
        <is>
          <t>—</t>
        </is>
      </c>
      <c r="S225" s="18" t="inlineStr">
        <is>
          <t>—</t>
        </is>
      </c>
      <c r="T225" s="20">
        <f>IF(OR(P225="",E225=0,E225=""),"",P225/E225)</f>
        <v>5.3442551462945485</v>
      </c>
      <c r="U225" s="18" t="inlineStr">
        <is>
          <t>—</t>
        </is>
      </c>
      <c r="V225" s="18" t="inlineStr">
        <is>
          <t>—</t>
        </is>
      </c>
      <c r="W225" s="18" t="inlineStr">
        <is>
          <t>금융업 — ROIC 정의 부적합</t>
        </is>
      </c>
      <c r="X225" s="18" t="inlineStr">
        <is>
          <t>BANK OF AMERICA CORP /DE/</t>
        </is>
      </c>
    </row>
    <row r="226">
      <c r="A226" s="18" t="inlineStr">
        <is>
          <t>뱅크오브아메리카</t>
        </is>
      </c>
      <c r="B226" s="18" t="inlineStr">
        <is>
          <t>BAC</t>
        </is>
      </c>
      <c r="C226" s="18" t="n">
        <v>2017</v>
      </c>
      <c r="D226" s="18" t="inlineStr">
        <is>
          <t>2017-12-31</t>
        </is>
      </c>
      <c r="E226" s="19" t="n">
        <v>87126000000</v>
      </c>
      <c r="F226" s="19" t="n">
        <v>41553000000</v>
      </c>
      <c r="G226" s="18" t="inlineStr">
        <is>
          <t>pretax_plus_interest_less_investment_income</t>
        </is>
      </c>
      <c r="H226" s="18" t="inlineStr">
        <is>
          <t>LOW</t>
        </is>
      </c>
      <c r="I226" s="20" t="n">
        <v>0.3758942936363948</v>
      </c>
      <c r="J226" s="19">
        <f>IF(F226="","",F226*(1-I226))</f>
        <v>25933464416.526886</v>
      </c>
      <c r="K226" s="19" t="n">
        <v>267146000000</v>
      </c>
      <c r="L226" s="19" t="n">
        <v>260068000000</v>
      </c>
      <c r="M226" s="19" t="n">
        <v>157434000000</v>
      </c>
      <c r="N226" s="19">
        <f>IF(COUNT(K226:M226)&lt;3,"",K226+L226-M226)</f>
        <v>369780000000.0</v>
      </c>
      <c r="O226" s="19">
        <f>N225</f>
        <v>359224000000.0</v>
      </c>
      <c r="P226" s="19">
        <f>IF(N226="","",IF(OR(O226="",O226&lt;=0,N226&lt;=0),N226,(N226+O226)/2))</f>
        <v>364502000000.0</v>
      </c>
      <c r="Q226" s="18" t="inlineStr">
        <is>
          <t>기초·기말 평균</t>
        </is>
      </c>
      <c r="R226" s="18" t="inlineStr">
        <is>
          <t>—</t>
        </is>
      </c>
      <c r="S226" s="18" t="inlineStr">
        <is>
          <t>—</t>
        </is>
      </c>
      <c r="T226" s="20">
        <f>IF(OR(P226="",E226=0,E226=""),"",P226/E226)</f>
        <v>4.183619126322797</v>
      </c>
      <c r="U226" s="18" t="inlineStr">
        <is>
          <t>—</t>
        </is>
      </c>
      <c r="V226" s="18" t="inlineStr">
        <is>
          <t>—</t>
        </is>
      </c>
      <c r="W226" s="18" t="inlineStr">
        <is>
          <t>금융업 — ROIC 정의 부적합</t>
        </is>
      </c>
      <c r="X226" s="18" t="inlineStr">
        <is>
          <t>BANK OF AMERICA CORP /DE/</t>
        </is>
      </c>
    </row>
    <row r="227">
      <c r="A227" s="18" t="inlineStr">
        <is>
          <t>뱅크오브아메리카</t>
        </is>
      </c>
      <c r="B227" s="18" t="inlineStr">
        <is>
          <t>BAC</t>
        </is>
      </c>
      <c r="C227" s="18" t="n">
        <v>2018</v>
      </c>
      <c r="D227" s="18" t="inlineStr">
        <is>
          <t>2018-12-31</t>
        </is>
      </c>
      <c r="E227" s="19" t="n">
        <v>91020000000</v>
      </c>
      <c r="F227" s="19" t="n">
        <v>53191000000</v>
      </c>
      <c r="G227" s="18" t="inlineStr">
        <is>
          <t>pretax_plus_interest_less_investment_income</t>
        </is>
      </c>
      <c r="H227" s="18" t="inlineStr">
        <is>
          <t>LOW</t>
        </is>
      </c>
      <c r="I227" s="20" t="n">
        <v>0.1861265325005783</v>
      </c>
      <c r="J227" s="19">
        <f>IF(F227="","",F227*(1-I227))</f>
        <v>43290743609.76174</v>
      </c>
      <c r="K227" s="19" t="n">
        <v>265325000000</v>
      </c>
      <c r="L227" s="19" t="n">
        <v>249581000000</v>
      </c>
      <c r="M227" s="19" t="n">
        <v>177404000000</v>
      </c>
      <c r="N227" s="19">
        <f>IF(COUNT(K227:M227)&lt;3,"",K227+L227-M227)</f>
        <v>337502000000.0</v>
      </c>
      <c r="O227" s="19">
        <f>N226</f>
        <v>369780000000.0</v>
      </c>
      <c r="P227" s="19">
        <f>IF(N227="","",IF(OR(O227="",O227&lt;=0,N227&lt;=0),N227,(N227+O227)/2))</f>
        <v>353641000000.0</v>
      </c>
      <c r="Q227" s="18" t="inlineStr">
        <is>
          <t>기초·기말 평균</t>
        </is>
      </c>
      <c r="R227" s="18" t="inlineStr">
        <is>
          <t>—</t>
        </is>
      </c>
      <c r="S227" s="18" t="inlineStr">
        <is>
          <t>—</t>
        </is>
      </c>
      <c r="T227" s="20">
        <f>IF(OR(P227="",E227=0,E227=""),"",P227/E227)</f>
        <v>3.8853109206767744</v>
      </c>
      <c r="U227" s="18" t="inlineStr">
        <is>
          <t>—</t>
        </is>
      </c>
      <c r="V227" s="18" t="inlineStr">
        <is>
          <t>—</t>
        </is>
      </c>
      <c r="W227" s="18" t="inlineStr">
        <is>
          <t>금융업 — ROIC 정의 부적합</t>
        </is>
      </c>
      <c r="X227" s="18" t="inlineStr">
        <is>
          <t>BANK OF AMERICA CORP /DE/</t>
        </is>
      </c>
    </row>
    <row r="228">
      <c r="A228" s="18" t="inlineStr">
        <is>
          <t>뱅크오브아메리카</t>
        </is>
      </c>
      <c r="B228" s="18" t="inlineStr">
        <is>
          <t>BAC</t>
        </is>
      </c>
      <c r="C228" s="18" t="n">
        <v>2019</v>
      </c>
      <c r="D228" s="18" t="inlineStr">
        <is>
          <t>2019-12-31</t>
        </is>
      </c>
      <c r="E228" s="19" t="n">
        <v>91244000000</v>
      </c>
      <c r="F228" s="19" t="n">
        <v>55099000000</v>
      </c>
      <c r="G228" s="18" t="inlineStr">
        <is>
          <t>pretax_plus_interest_less_investment_income</t>
        </is>
      </c>
      <c r="H228" s="18" t="inlineStr">
        <is>
          <t>LOW</t>
        </is>
      </c>
      <c r="I228" s="20" t="n">
        <v>0.1625450326677658</v>
      </c>
      <c r="J228" s="19">
        <f>IF(F228="","",F228*(1-I228))</f>
        <v>46142931245.03877</v>
      </c>
      <c r="K228" s="19" t="n">
        <v>264810000000</v>
      </c>
      <c r="L228" s="19" t="n">
        <v>265060000000</v>
      </c>
      <c r="M228" s="19" t="n">
        <v>161560000000</v>
      </c>
      <c r="N228" s="19">
        <f>IF(COUNT(K228:M228)&lt;3,"",K228+L228-M228)</f>
        <v>368310000000.0</v>
      </c>
      <c r="O228" s="19">
        <f>N227</f>
        <v>337502000000.0</v>
      </c>
      <c r="P228" s="19">
        <f>IF(N228="","",IF(OR(O228="",O228&lt;=0,N228&lt;=0),N228,(N228+O228)/2))</f>
        <v>352906000000.0</v>
      </c>
      <c r="Q228" s="18" t="inlineStr">
        <is>
          <t>기초·기말 평균</t>
        </is>
      </c>
      <c r="R228" s="18" t="inlineStr">
        <is>
          <t>—</t>
        </is>
      </c>
      <c r="S228" s="18" t="inlineStr">
        <is>
          <t>—</t>
        </is>
      </c>
      <c r="T228" s="20">
        <f>IF(OR(P228="",E228=0,E228=""),"",P228/E228)</f>
        <v>3.867717329358643</v>
      </c>
      <c r="U228" s="18" t="inlineStr">
        <is>
          <t>—</t>
        </is>
      </c>
      <c r="V228" s="18" t="inlineStr">
        <is>
          <t>—</t>
        </is>
      </c>
      <c r="W228" s="18" t="inlineStr">
        <is>
          <t>금융업 — ROIC 정의 부적합</t>
        </is>
      </c>
      <c r="X228" s="18" t="inlineStr">
        <is>
          <t>BANK OF AMERICA CORP /DE/</t>
        </is>
      </c>
    </row>
    <row r="229">
      <c r="A229" s="18" t="inlineStr">
        <is>
          <t>뱅크오브아메리카</t>
        </is>
      </c>
      <c r="B229" s="18" t="inlineStr">
        <is>
          <t>BAC</t>
        </is>
      </c>
      <c r="C229" s="18" t="n">
        <v>2020</v>
      </c>
      <c r="D229" s="18" t="inlineStr">
        <is>
          <t>2020-12-31</t>
        </is>
      </c>
      <c r="E229" s="19" t="n">
        <v>85528000000</v>
      </c>
      <c r="F229" s="19" t="n">
        <v>27220000000</v>
      </c>
      <c r="G229" s="18" t="inlineStr">
        <is>
          <t>pretax_plus_interest_less_investment_income</t>
        </is>
      </c>
      <c r="H229" s="18" t="inlineStr">
        <is>
          <t>LOW</t>
        </is>
      </c>
      <c r="I229" s="20" t="n">
        <v>0.05796262174256384</v>
      </c>
      <c r="J229" s="19">
        <f>IF(F229="","",F229*(1-I229))</f>
        <v>25642257436.16741</v>
      </c>
      <c r="K229" s="19" t="n">
        <v>272924000000</v>
      </c>
      <c r="L229" s="19" t="n">
        <v>282255000000</v>
      </c>
      <c r="M229" s="19" t="n">
        <v>380463000000</v>
      </c>
      <c r="N229" s="19">
        <f>IF(COUNT(K229:M229)&lt;3,"",K229+L229-M229)</f>
        <v>174716000000.0</v>
      </c>
      <c r="O229" s="19">
        <f>N228</f>
        <v>368310000000.0</v>
      </c>
      <c r="P229" s="19">
        <f>IF(N229="","",IF(OR(O229="",O229&lt;=0,N229&lt;=0),N229,(N229+O229)/2))</f>
        <v>271513000000.0</v>
      </c>
      <c r="Q229" s="18" t="inlineStr">
        <is>
          <t>기초·기말 평균</t>
        </is>
      </c>
      <c r="R229" s="18" t="inlineStr">
        <is>
          <t>—</t>
        </is>
      </c>
      <c r="S229" s="18" t="inlineStr">
        <is>
          <t>—</t>
        </is>
      </c>
      <c r="T229" s="20">
        <f>IF(OR(P229="",E229=0,E229=""),"",P229/E229)</f>
        <v>3.1745510242259845</v>
      </c>
      <c r="U229" s="18" t="inlineStr">
        <is>
          <t>—</t>
        </is>
      </c>
      <c r="V229" s="18" t="inlineStr">
        <is>
          <t>—</t>
        </is>
      </c>
      <c r="W229" s="18" t="inlineStr">
        <is>
          <t>금융업 — ROIC 정의 부적합</t>
        </is>
      </c>
      <c r="X229" s="18" t="inlineStr">
        <is>
          <t>BANK OF AMERICA CORP /DE/</t>
        </is>
      </c>
    </row>
    <row r="230">
      <c r="A230" s="18" t="inlineStr">
        <is>
          <t>뱅크오브아메리카</t>
        </is>
      </c>
      <c r="B230" s="18" t="inlineStr">
        <is>
          <t>BAC</t>
        </is>
      </c>
      <c r="C230" s="18" t="n">
        <v>2021</v>
      </c>
      <c r="D230" s="18" t="inlineStr">
        <is>
          <t>2021-12-31</t>
        </is>
      </c>
      <c r="E230" s="19" t="n">
        <v>89113000000</v>
      </c>
      <c r="F230" s="19" t="n">
        <v>38714000000</v>
      </c>
      <c r="G230" s="18" t="inlineStr">
        <is>
          <t>pretax_plus_interest_less_investment_income</t>
        </is>
      </c>
      <c r="H230" s="18" t="inlineStr">
        <is>
          <t>LOW</t>
        </is>
      </c>
      <c r="I230" s="20" t="n">
        <v>0.05880621615257829</v>
      </c>
      <c r="J230" s="19">
        <f>IF(F230="","",F230*(1-I230))</f>
        <v>36437376147.86909</v>
      </c>
      <c r="K230" s="19" t="n">
        <v>270066000000</v>
      </c>
      <c r="L230" s="19" t="n">
        <v>303870000000</v>
      </c>
      <c r="M230" s="19" t="n">
        <v>348221000000</v>
      </c>
      <c r="N230" s="19">
        <f>IF(COUNT(K230:M230)&lt;3,"",K230+L230-M230)</f>
        <v>225715000000.0</v>
      </c>
      <c r="O230" s="19">
        <f>N229</f>
        <v>174716000000.0</v>
      </c>
      <c r="P230" s="19">
        <f>IF(N230="","",IF(OR(O230="",O230&lt;=0,N230&lt;=0),N230,(N230+O230)/2))</f>
        <v>200215500000.0</v>
      </c>
      <c r="Q230" s="18" t="inlineStr">
        <is>
          <t>기초·기말 평균</t>
        </is>
      </c>
      <c r="R230" s="18" t="inlineStr">
        <is>
          <t>—</t>
        </is>
      </c>
      <c r="S230" s="18" t="inlineStr">
        <is>
          <t>—</t>
        </is>
      </c>
      <c r="T230" s="20">
        <f>IF(OR(P230="",E230=0,E230=""),"",P230/E230)</f>
        <v>2.2467597320256303</v>
      </c>
      <c r="U230" s="18" t="inlineStr">
        <is>
          <t>—</t>
        </is>
      </c>
      <c r="V230" s="18" t="inlineStr">
        <is>
          <t>—</t>
        </is>
      </c>
      <c r="W230" s="18" t="inlineStr">
        <is>
          <t>금융업 — ROIC 정의 부적합</t>
        </is>
      </c>
      <c r="X230" s="18" t="inlineStr">
        <is>
          <t>BANK OF AMERICA CORP /DE/</t>
        </is>
      </c>
    </row>
    <row r="231">
      <c r="A231" s="18" t="inlineStr">
        <is>
          <t>뱅크오브아메리카</t>
        </is>
      </c>
      <c r="B231" s="18" t="inlineStr">
        <is>
          <t>BAC</t>
        </is>
      </c>
      <c r="C231" s="18" t="n">
        <v>2022</v>
      </c>
      <c r="D231" s="18" t="inlineStr">
        <is>
          <t>2022-12-31</t>
        </is>
      </c>
      <c r="E231" s="19" t="n">
        <v>94950000000</v>
      </c>
      <c r="F231" s="19" t="n">
        <v>51072000000</v>
      </c>
      <c r="G231" s="18" t="inlineStr">
        <is>
          <t>pretax_plus_interest_less_investment_income</t>
        </is>
      </c>
      <c r="H231" s="18" t="inlineStr">
        <is>
          <t>LOW</t>
        </is>
      </c>
      <c r="I231" s="20" t="n">
        <v>0.1111111111111111</v>
      </c>
      <c r="J231" s="19">
        <f>IF(F231="","",F231*(1-I231))</f>
        <v>45397333333.33333</v>
      </c>
      <c r="K231" s="19" t="n">
        <v>273197000000</v>
      </c>
      <c r="L231" s="19" t="n">
        <v>285882000000</v>
      </c>
      <c r="M231" s="19" t="n">
        <v>230203000000</v>
      </c>
      <c r="N231" s="19">
        <f>IF(COUNT(K231:M231)&lt;3,"",K231+L231-M231)</f>
        <v>328876000000.0</v>
      </c>
      <c r="O231" s="19">
        <f>N230</f>
        <v>225715000000.0</v>
      </c>
      <c r="P231" s="19">
        <f>IF(N231="","",IF(OR(O231="",O231&lt;=0,N231&lt;=0),N231,(N231+O231)/2))</f>
        <v>277295500000.0</v>
      </c>
      <c r="Q231" s="18" t="inlineStr">
        <is>
          <t>기초·기말 평균</t>
        </is>
      </c>
      <c r="R231" s="18" t="inlineStr">
        <is>
          <t>—</t>
        </is>
      </c>
      <c r="S231" s="18" t="inlineStr">
        <is>
          <t>—</t>
        </is>
      </c>
      <c r="T231" s="20">
        <f>IF(OR(P231="",E231=0,E231=""),"",P231/E231)</f>
        <v>2.9204370721432333</v>
      </c>
      <c r="U231" s="18" t="inlineStr">
        <is>
          <t>—</t>
        </is>
      </c>
      <c r="V231" s="18" t="inlineStr">
        <is>
          <t>—</t>
        </is>
      </c>
      <c r="W231" s="18" t="inlineStr">
        <is>
          <t>금융업 — ROIC 정의 부적합</t>
        </is>
      </c>
      <c r="X231" s="18" t="inlineStr">
        <is>
          <t>BANK OF AMERICA CORP /DE/</t>
        </is>
      </c>
    </row>
    <row r="232">
      <c r="A232" s="18" t="inlineStr">
        <is>
          <t>뱅크오브아메리카</t>
        </is>
      </c>
      <c r="B232" s="18" t="inlineStr">
        <is>
          <t>BAC</t>
        </is>
      </c>
      <c r="C232" s="18" t="n">
        <v>2023</v>
      </c>
      <c r="D232" s="18" t="inlineStr">
        <is>
          <t>2023-12-31</t>
        </is>
      </c>
      <c r="E232" s="19" t="n">
        <v>102769000000</v>
      </c>
      <c r="F232" s="19" t="n">
        <v>105861000000</v>
      </c>
      <c r="G232" s="18" t="inlineStr">
        <is>
          <t>pretax_plus_interest_less_investment_income</t>
        </is>
      </c>
      <c r="H232" s="18" t="inlineStr">
        <is>
          <t>LOW</t>
        </is>
      </c>
      <c r="I232" s="20" t="n">
        <v>0.1913618198585921</v>
      </c>
      <c r="J232" s="19">
        <f>IF(F232="","",F232*(1-I232))</f>
        <v>85603246387.94958</v>
      </c>
      <c r="K232" s="19" t="n">
        <v>290209000000</v>
      </c>
      <c r="L232" s="19" t="n">
        <v>315304000000</v>
      </c>
      <c r="M232" s="19" t="n">
        <v>333073000000</v>
      </c>
      <c r="N232" s="19">
        <f>IF(COUNT(K232:M232)&lt;3,"",K232+L232-M232)</f>
        <v>272440000000.0</v>
      </c>
      <c r="O232" s="19">
        <f>N231</f>
        <v>328876000000.0</v>
      </c>
      <c r="P232" s="19">
        <f>IF(N232="","",IF(OR(O232="",O232&lt;=0,N232&lt;=0),N232,(N232+O232)/2))</f>
        <v>300658000000.0</v>
      </c>
      <c r="Q232" s="18" t="inlineStr">
        <is>
          <t>기초·기말 평균</t>
        </is>
      </c>
      <c r="R232" s="18" t="inlineStr">
        <is>
          <t>—</t>
        </is>
      </c>
      <c r="S232" s="18" t="inlineStr">
        <is>
          <t>—</t>
        </is>
      </c>
      <c r="T232" s="20">
        <f>IF(OR(P232="",E232=0,E232=""),"",P232/E232)</f>
        <v>2.92557094065331</v>
      </c>
      <c r="U232" s="18" t="inlineStr">
        <is>
          <t>—</t>
        </is>
      </c>
      <c r="V232" s="18" t="inlineStr">
        <is>
          <t>—</t>
        </is>
      </c>
      <c r="W232" s="18" t="inlineStr">
        <is>
          <t>금융업 — ROIC 정의 부적합</t>
        </is>
      </c>
      <c r="X232" s="18" t="inlineStr">
        <is>
          <t>BANK OF AMERICA CORP /DE/</t>
        </is>
      </c>
    </row>
    <row r="233">
      <c r="A233" s="18" t="inlineStr">
        <is>
          <t>뱅크오브아메리카</t>
        </is>
      </c>
      <c r="B233" s="18" t="inlineStr">
        <is>
          <t>BAC</t>
        </is>
      </c>
      <c r="C233" s="18" t="n">
        <v>2024</v>
      </c>
      <c r="D233" s="18" t="inlineStr">
        <is>
          <t>2024-12-31</t>
        </is>
      </c>
      <c r="E233" s="19" t="n">
        <v>105856000000</v>
      </c>
      <c r="F233" s="19" t="n">
        <v>89283000000</v>
      </c>
      <c r="G233" s="18" t="inlineStr">
        <is>
          <t>pretax_plus_interest_less_investment_income</t>
        </is>
      </c>
      <c r="H233" s="18" t="inlineStr">
        <is>
          <t>LOW</t>
        </is>
      </c>
      <c r="I233" s="20" t="n">
        <v>0.1881226860909611</v>
      </c>
      <c r="J233" s="19">
        <f>IF(F233="","",F233*(1-I233))</f>
        <v>72486842217.74072</v>
      </c>
      <c r="K233" s="19" t="n">
        <v>293963000000</v>
      </c>
      <c r="L233" s="19" t="n">
        <v>307479000000</v>
      </c>
      <c r="M233" s="19" t="n">
        <v>290114000000</v>
      </c>
      <c r="N233" s="19">
        <f>IF(COUNT(K233:M233)&lt;3,"",K233+L233-M233)</f>
        <v>311328000000.0</v>
      </c>
      <c r="O233" s="19">
        <f>N232</f>
        <v>272440000000.0</v>
      </c>
      <c r="P233" s="19">
        <f>IF(N233="","",IF(OR(O233="",O233&lt;=0,N233&lt;=0),N233,(N233+O233)/2))</f>
        <v>291884000000.0</v>
      </c>
      <c r="Q233" s="18" t="inlineStr">
        <is>
          <t>기초·기말 평균</t>
        </is>
      </c>
      <c r="R233" s="18" t="inlineStr">
        <is>
          <t>—</t>
        </is>
      </c>
      <c r="S233" s="18" t="inlineStr">
        <is>
          <t>—</t>
        </is>
      </c>
      <c r="T233" s="20">
        <f>IF(OR(P233="",E233=0,E233=""),"",P233/E233)</f>
        <v>2.7573685006045947</v>
      </c>
      <c r="U233" s="18" t="inlineStr">
        <is>
          <t>—</t>
        </is>
      </c>
      <c r="V233" s="18" t="inlineStr">
        <is>
          <t>—</t>
        </is>
      </c>
      <c r="W233" s="18" t="inlineStr">
        <is>
          <t>금융업 — ROIC 정의 부적합</t>
        </is>
      </c>
      <c r="X233" s="18" t="inlineStr">
        <is>
          <t>BANK OF AMERICA CORP /DE/</t>
        </is>
      </c>
    </row>
    <row r="234">
      <c r="A234" s="18" t="inlineStr">
        <is>
          <t>뱅크오브아메리카</t>
        </is>
      </c>
      <c r="B234" s="18" t="inlineStr">
        <is>
          <t>BAC</t>
        </is>
      </c>
      <c r="C234" s="18" t="n">
        <v>2025</v>
      </c>
      <c r="D234" s="18" t="inlineStr">
        <is>
          <t>2025-12-31</t>
        </is>
      </c>
      <c r="E234" s="19" t="n">
        <v>113097000000</v>
      </c>
      <c r="F234" s="19" t="n">
        <v>97791000000</v>
      </c>
      <c r="G234" s="18" t="inlineStr">
        <is>
          <t>pretax_plus_interest_less_investment_income</t>
        </is>
      </c>
      <c r="H234" s="18" t="inlineStr">
        <is>
          <t>LOW</t>
        </is>
      </c>
      <c r="I234" s="20" t="n">
        <v>0.1906353627802096</v>
      </c>
      <c r="J234" s="19">
        <f>IF(F234="","",F234*(1-I234))</f>
        <v>79148577238.36053</v>
      </c>
      <c r="K234" s="19" t="n">
        <v>303243000000</v>
      </c>
      <c r="L234" s="19" t="n">
        <v>338216000000</v>
      </c>
      <c r="M234" s="19" t="n">
        <v>231845000000</v>
      </c>
      <c r="N234" s="19">
        <f>IF(COUNT(K234:M234)&lt;3,"",K234+L234-M234)</f>
        <v>409614000000.0</v>
      </c>
      <c r="O234" s="19">
        <f>N233</f>
        <v>311328000000.0</v>
      </c>
      <c r="P234" s="19">
        <f>IF(N234="","",IF(OR(O234="",O234&lt;=0,N234&lt;=0),N234,(N234+O234)/2))</f>
        <v>360471000000.0</v>
      </c>
      <c r="Q234" s="18" t="inlineStr">
        <is>
          <t>기초·기말 평균</t>
        </is>
      </c>
      <c r="R234" s="18" t="inlineStr">
        <is>
          <t>—</t>
        </is>
      </c>
      <c r="S234" s="18" t="inlineStr">
        <is>
          <t>—</t>
        </is>
      </c>
      <c r="T234" s="20">
        <f>IF(OR(P234="",E234=0,E234=""),"",P234/E234)</f>
        <v>3.1872728719594683</v>
      </c>
      <c r="U234" s="18" t="inlineStr">
        <is>
          <t>—</t>
        </is>
      </c>
      <c r="V234" s="18" t="inlineStr">
        <is>
          <t>—</t>
        </is>
      </c>
      <c r="W234" s="18" t="inlineStr">
        <is>
          <t>금융업 — ROIC 정의 부적합</t>
        </is>
      </c>
      <c r="X234" s="18" t="inlineStr">
        <is>
          <t>BANK OF AMERICA CORP /DE/</t>
        </is>
      </c>
    </row>
    <row r="235">
      <c r="A235" s="11" t="inlineStr">
        <is>
          <t>애브비</t>
        </is>
      </c>
      <c r="B235" s="11" t="inlineStr">
        <is>
          <t>ABBV</t>
        </is>
      </c>
      <c r="C235" s="11" t="n">
        <v>2015</v>
      </c>
      <c r="D235" s="11" t="inlineStr">
        <is>
          <t>2015-12-31</t>
        </is>
      </c>
      <c r="E235" s="12" t="n">
        <v>22859000000</v>
      </c>
      <c r="F235" s="12" t="n">
        <v>7537000000</v>
      </c>
      <c r="G235" s="11" t="inlineStr">
        <is>
          <t>reported</t>
        </is>
      </c>
      <c r="H235" s="11" t="inlineStr">
        <is>
          <t>HIGH</t>
        </is>
      </c>
      <c r="I235" s="13" t="n">
        <v>0.2258841234010534</v>
      </c>
      <c r="J235" s="12">
        <f>IF(F235="","",F235*(1-I235))</f>
        <v>5834511361.926261</v>
      </c>
      <c r="K235" s="12" t="n">
        <v>3945000000</v>
      </c>
      <c r="L235" s="12" t="n">
        <v>31671000000</v>
      </c>
      <c r="M235" s="12" t="n">
        <v>8407000000</v>
      </c>
      <c r="N235" s="12">
        <f>IF(COUNT(K235:M235)&lt;3,"",K235+L235-M235)</f>
        <v>27209000000.0</v>
      </c>
      <c r="O235" s="11" t="inlineStr">
        <is>
          <t>—</t>
        </is>
      </c>
      <c r="P235" s="12" t="inlineStr">
        <is>
          <t>—</t>
        </is>
      </c>
      <c r="Q235" s="11" t="inlineStr">
        <is>
          <t>—</t>
        </is>
      </c>
      <c r="R235" s="13" t="inlineStr">
        <is>
          <t>—</t>
        </is>
      </c>
      <c r="S235" s="13" t="inlineStr">
        <is>
          <t>—</t>
        </is>
      </c>
      <c r="T235" s="13" t="inlineStr">
        <is>
          <t>—</t>
        </is>
      </c>
      <c r="U235" s="11" t="inlineStr">
        <is>
          <t>—</t>
        </is>
      </c>
      <c r="V235" s="11" t="inlineStr">
        <is>
          <t>—</t>
        </is>
      </c>
      <c r="W235" s="11" t="inlineStr">
        <is>
          <t>다음 해 평균 투하자본의 기초값으로만 사용 (보고 기간 밖 — 자체 비율은 계산하지 않음)</t>
        </is>
      </c>
      <c r="X235" s="11" t="inlineStr">
        <is>
          <t>AbbVie Inc.</t>
        </is>
      </c>
    </row>
    <row r="236">
      <c r="A236" t="inlineStr">
        <is>
          <t>애브비</t>
        </is>
      </c>
      <c r="B236" t="inlineStr">
        <is>
          <t>ABBV</t>
        </is>
      </c>
      <c r="C236" t="n">
        <v>2016</v>
      </c>
      <c r="D236" t="inlineStr">
        <is>
          <t>2016-12-31</t>
        </is>
      </c>
      <c r="E236" s="14" t="n">
        <v>25638000000</v>
      </c>
      <c r="F236" s="14" t="n">
        <v>9340000000</v>
      </c>
      <c r="G236" t="inlineStr">
        <is>
          <t>reported</t>
        </is>
      </c>
      <c r="H236" t="inlineStr">
        <is>
          <t>HIGH</t>
        </is>
      </c>
      <c r="I236" s="15" t="n">
        <v>0.2449264332825977</v>
      </c>
      <c r="J236" s="14">
        <f>IF(F236="","",F236*(1-I236))</f>
        <v>7052387113.140538</v>
      </c>
      <c r="K236" s="14" t="n">
        <v>4636000000</v>
      </c>
      <c r="L236" s="14" t="n">
        <v>36842000000</v>
      </c>
      <c r="M236" s="14" t="n">
        <v>6423000000</v>
      </c>
      <c r="N236" s="14">
        <f>IF(COUNT(K236:M236)&lt;3,"",K236+L236-M236)</f>
        <v>35055000000.0</v>
      </c>
      <c r="O236" s="14">
        <f>N235</f>
        <v>27209000000.0</v>
      </c>
      <c r="P236" s="14">
        <f>IF(N236="","",IF(OR(O236="",O236&lt;=0,N236&lt;=0),N236,(N236+O236)/2))</f>
        <v>31132000000.0</v>
      </c>
      <c r="Q236" t="inlineStr">
        <is>
          <t>기초·기말 평균</t>
        </is>
      </c>
      <c r="R236" s="15">
        <f>IF(OR(P236="",P236&lt;=0),"",J236/P236)</f>
        <v>0.22653177159002114</v>
      </c>
      <c r="S236" s="15">
        <f>IF(R236="","",R236-0.1)</f>
        <v>0.12653177159002113</v>
      </c>
      <c r="T236" s="15">
        <f>IF(OR(P236="",E236=0,E236=""),"",P236/E236)</f>
        <v>1.2142912863717918</v>
      </c>
      <c r="U236" t="inlineStr">
        <is>
          <t>—</t>
        </is>
      </c>
      <c r="V236" t="inlineStr">
        <is>
          <t>—</t>
        </is>
      </c>
      <c r="W236" t="inlineStr">
        <is>
          <t>OK</t>
        </is>
      </c>
      <c r="X236" t="inlineStr">
        <is>
          <t>AbbVie Inc.</t>
        </is>
      </c>
    </row>
    <row r="237">
      <c r="A237" t="inlineStr">
        <is>
          <t>애브비</t>
        </is>
      </c>
      <c r="B237" t="inlineStr">
        <is>
          <t>ABBV</t>
        </is>
      </c>
      <c r="C237" t="n">
        <v>2017</v>
      </c>
      <c r="D237" t="inlineStr">
        <is>
          <t>2017-12-31</t>
        </is>
      </c>
      <c r="E237" s="14" t="n">
        <v>28216000000</v>
      </c>
      <c r="F237" s="14" t="n">
        <v>9545000000</v>
      </c>
      <c r="G237" t="inlineStr">
        <is>
          <t>reported</t>
        </is>
      </c>
      <c r="H237" t="inlineStr">
        <is>
          <t>HIGH</t>
        </is>
      </c>
      <c r="I237" s="15" t="n">
        <v>0.31292869160088</v>
      </c>
      <c r="J237" s="14">
        <f>IF(F237="","",F237*(1-I237))</f>
        <v>6558095638.6696005</v>
      </c>
      <c r="K237" s="14" t="n">
        <v>5097000000</v>
      </c>
      <c r="L237" s="14" t="n">
        <v>37368000000</v>
      </c>
      <c r="M237" s="14" t="n">
        <v>9789000000</v>
      </c>
      <c r="N237" s="14">
        <f>IF(COUNT(K237:M237)&lt;3,"",K237+L237-M237)</f>
        <v>32676000000.0</v>
      </c>
      <c r="O237" s="14">
        <f>N236</f>
        <v>35055000000.0</v>
      </c>
      <c r="P237" s="14">
        <f>IF(N237="","",IF(OR(O237="",O237&lt;=0,N237&lt;=0),N237,(N237+O237)/2))</f>
        <v>33865500000.0</v>
      </c>
      <c r="Q237" t="inlineStr">
        <is>
          <t>기초·기말 평균</t>
        </is>
      </c>
      <c r="R237" s="15">
        <f>IF(OR(P237="",P237&lt;=0),"",J237/P237)</f>
        <v>0.19365122731598827</v>
      </c>
      <c r="S237" s="15">
        <f>IF(R237="","",R237-0.1)</f>
        <v>0.09365122731598827</v>
      </c>
      <c r="T237" s="15">
        <f>IF(OR(P237="",E237=0,E237=""),"",P237/E237)</f>
        <v>1.2002232775730082</v>
      </c>
      <c r="U237" t="inlineStr">
        <is>
          <t>—</t>
        </is>
      </c>
      <c r="V237" t="inlineStr">
        <is>
          <t>—</t>
        </is>
      </c>
      <c r="W237" t="inlineStr">
        <is>
          <t>OK</t>
        </is>
      </c>
      <c r="X237" t="inlineStr">
        <is>
          <t>AbbVie Inc.</t>
        </is>
      </c>
    </row>
    <row r="238">
      <c r="A238" t="inlineStr">
        <is>
          <t>애브비</t>
        </is>
      </c>
      <c r="B238" t="inlineStr">
        <is>
          <t>ABBV</t>
        </is>
      </c>
      <c r="C238" t="n">
        <v>2018</v>
      </c>
      <c r="D238" t="inlineStr">
        <is>
          <t>2018-12-31</t>
        </is>
      </c>
      <c r="E238" s="14" t="n">
        <v>32753000000</v>
      </c>
      <c r="F238" s="14" t="n">
        <v>6383000000</v>
      </c>
      <c r="G238" t="inlineStr">
        <is>
          <t>reported</t>
        </is>
      </c>
      <c r="H238" t="inlineStr">
        <is>
          <t>HIGH</t>
        </is>
      </c>
      <c r="I238" s="15" t="n">
        <v>0.05</v>
      </c>
      <c r="J238" s="14">
        <f>IF(F238="","",F238*(1-I238))</f>
        <v>6063850000.0</v>
      </c>
      <c r="K238" s="14" t="n">
        <v>-8446000000</v>
      </c>
      <c r="L238" s="14" t="n">
        <v>40310000000</v>
      </c>
      <c r="M238" s="14" t="n">
        <v>8061000000</v>
      </c>
      <c r="N238" s="14">
        <f>IF(COUNT(K238:M238)&lt;3,"",K238+L238-M238)</f>
        <v>23803000000.0</v>
      </c>
      <c r="O238" s="14">
        <f>N237</f>
        <v>32676000000.0</v>
      </c>
      <c r="P238" s="14">
        <f>IF(N238="","",IF(OR(O238="",O238&lt;=0,N238&lt;=0),N238,(N238+O238)/2))</f>
        <v>28239500000.0</v>
      </c>
      <c r="Q238" t="inlineStr">
        <is>
          <t>기초·기말 평균</t>
        </is>
      </c>
      <c r="R238" s="15">
        <f>IF(OR(P238="",P238&lt;=0),"",J238/P238)</f>
        <v>0.21472936843782645</v>
      </c>
      <c r="S238" s="15">
        <f>IF(R238="","",R238-0.1)</f>
        <v>0.11472936843782644</v>
      </c>
      <c r="T238" s="15">
        <f>IF(OR(P238="",E238=0,E238=""),"",P238/E238)</f>
        <v>0.8621958293896742</v>
      </c>
      <c r="U238" t="inlineStr">
        <is>
          <t>—</t>
        </is>
      </c>
      <c r="V238" t="inlineStr">
        <is>
          <t>—</t>
        </is>
      </c>
      <c r="W238" t="inlineStr">
        <is>
          <t>OK</t>
        </is>
      </c>
      <c r="X238" t="inlineStr">
        <is>
          <t>AbbVie Inc.</t>
        </is>
      </c>
    </row>
    <row r="239">
      <c r="A239" t="inlineStr">
        <is>
          <t>애브비</t>
        </is>
      </c>
      <c r="B239" t="inlineStr">
        <is>
          <t>ABBV</t>
        </is>
      </c>
      <c r="C239" t="n">
        <v>2019</v>
      </c>
      <c r="D239" t="inlineStr">
        <is>
          <t>2019-12-31</t>
        </is>
      </c>
      <c r="E239" s="14" t="n">
        <v>33266000000</v>
      </c>
      <c r="F239" s="14" t="n">
        <v>12983000000</v>
      </c>
      <c r="G239" t="inlineStr">
        <is>
          <t>reported</t>
        </is>
      </c>
      <c r="H239" t="inlineStr">
        <is>
          <t>HIGH</t>
        </is>
      </c>
      <c r="I239" s="15" t="n">
        <v>0.0645620697840019</v>
      </c>
      <c r="J239" s="14">
        <f>IF(F239="","",F239*(1-I239))</f>
        <v>12144790647.994303</v>
      </c>
      <c r="K239" s="14" t="n">
        <v>-8172000000</v>
      </c>
      <c r="L239" s="14" t="n">
        <v>66728000000</v>
      </c>
      <c r="M239" s="14" t="n">
        <v>39924000000</v>
      </c>
      <c r="N239" s="14">
        <f>IF(COUNT(K239:M239)&lt;3,"",K239+L239-M239)</f>
        <v>18632000000.0</v>
      </c>
      <c r="O239" s="14">
        <f>N238</f>
        <v>23803000000.0</v>
      </c>
      <c r="P239" s="14">
        <f>IF(N239="","",IF(OR(O239="",O239&lt;=0,N239&lt;=0),N239,(N239+O239)/2))</f>
        <v>21217500000.0</v>
      </c>
      <c r="Q239" t="inlineStr">
        <is>
          <t>기초·기말 평균</t>
        </is>
      </c>
      <c r="R239" s="15">
        <f>IF(OR(P239="",P239&lt;=0),"",J239/P239)</f>
        <v>0.5723949875336068</v>
      </c>
      <c r="S239" s="15">
        <f>IF(R239="","",R239-0.1)</f>
        <v>0.47239498753360687</v>
      </c>
      <c r="T239" s="15">
        <f>IF(OR(P239="",E239=0,E239=""),"",P239/E239)</f>
        <v>0.6378133830337281</v>
      </c>
      <c r="U239" t="inlineStr">
        <is>
          <t>—</t>
        </is>
      </c>
      <c r="V239" t="inlineStr">
        <is>
          <t>—</t>
        </is>
      </c>
      <c r="W239" t="inlineStr">
        <is>
          <t>OK</t>
        </is>
      </c>
      <c r="X239" t="inlineStr">
        <is>
          <t>AbbVie Inc.</t>
        </is>
      </c>
    </row>
    <row r="240">
      <c r="A240" t="inlineStr">
        <is>
          <t>애브비</t>
        </is>
      </c>
      <c r="B240" t="inlineStr">
        <is>
          <t>ABBV</t>
        </is>
      </c>
      <c r="C240" t="n">
        <v>2020</v>
      </c>
      <c r="D240" t="inlineStr">
        <is>
          <t>2020-12-31</t>
        </is>
      </c>
      <c r="E240" s="14" t="n">
        <v>45804000000</v>
      </c>
      <c r="F240" s="14" t="n">
        <v>11363000000</v>
      </c>
      <c r="G240" t="inlineStr">
        <is>
          <t>reported</t>
        </is>
      </c>
      <c r="H240" t="inlineStr">
        <is>
          <t>HIGH</t>
        </is>
      </c>
      <c r="I240" s="15" t="n">
        <v>0.05</v>
      </c>
      <c r="J240" s="14">
        <f>IF(F240="","",F240*(1-I240))</f>
        <v>10794850000.0</v>
      </c>
      <c r="K240" s="14" t="n">
        <v>13097000000</v>
      </c>
      <c r="L240" s="14" t="n">
        <v>86056000000</v>
      </c>
      <c r="M240" s="14" t="n">
        <v>8479000000</v>
      </c>
      <c r="N240" s="14">
        <f>IF(COUNT(K240:M240)&lt;3,"",K240+L240-M240)</f>
        <v>90674000000.0</v>
      </c>
      <c r="O240" s="14">
        <f>N239</f>
        <v>18632000000.0</v>
      </c>
      <c r="P240" s="14">
        <f>IF(N240="","",IF(OR(O240="",O240&lt;=0,N240&lt;=0),N240,(N240+O240)/2))</f>
        <v>54653000000.0</v>
      </c>
      <c r="Q240" t="inlineStr">
        <is>
          <t>기초·기말 평균</t>
        </is>
      </c>
      <c r="R240" s="15">
        <f>IF(OR(P240="",P240&lt;=0),"",J240/P240)</f>
        <v>0.1975161473295153</v>
      </c>
      <c r="S240" s="15">
        <f>IF(R240="","",R240-0.1)</f>
        <v>0.0975161473295153</v>
      </c>
      <c r="T240" s="15">
        <f>IF(OR(P240="",E240=0,E240=""),"",P240/E240)</f>
        <v>1.1931927342590167</v>
      </c>
      <c r="U240" t="inlineStr">
        <is>
          <t>—</t>
        </is>
      </c>
      <c r="V240" t="inlineStr">
        <is>
          <t>—</t>
        </is>
      </c>
      <c r="W240" t="inlineStr">
        <is>
          <t>OK</t>
        </is>
      </c>
      <c r="X240" t="inlineStr">
        <is>
          <t>AbbVie Inc.</t>
        </is>
      </c>
    </row>
    <row r="241">
      <c r="A241" t="inlineStr">
        <is>
          <t>애브비</t>
        </is>
      </c>
      <c r="B241" t="inlineStr">
        <is>
          <t>ABBV</t>
        </is>
      </c>
      <c r="C241" t="n">
        <v>2021</v>
      </c>
      <c r="D241" t="inlineStr">
        <is>
          <t>2021-12-31</t>
        </is>
      </c>
      <c r="E241" s="14" t="n">
        <v>56197000000</v>
      </c>
      <c r="F241" s="14" t="n">
        <v>17924000000</v>
      </c>
      <c r="G241" t="inlineStr">
        <is>
          <t>reported</t>
        </is>
      </c>
      <c r="H241" t="inlineStr">
        <is>
          <t>HIGH</t>
        </is>
      </c>
      <c r="I241" s="15" t="n">
        <v>0.1108630379551929</v>
      </c>
      <c r="J241" s="14">
        <f>IF(F241="","",F241*(1-I241))</f>
        <v>15936890907.691122</v>
      </c>
      <c r="K241" s="14" t="n">
        <v>15436000000</v>
      </c>
      <c r="L241" s="14" t="n">
        <v>76684000000</v>
      </c>
      <c r="M241" s="14" t="n">
        <v>9830000000</v>
      </c>
      <c r="N241" s="14">
        <f>IF(COUNT(K241:M241)&lt;3,"",K241+L241-M241)</f>
        <v>82290000000.0</v>
      </c>
      <c r="O241" s="14">
        <f>N240</f>
        <v>90674000000.0</v>
      </c>
      <c r="P241" s="14">
        <f>IF(N241="","",IF(OR(O241="",O241&lt;=0,N241&lt;=0),N241,(N241+O241)/2))</f>
        <v>86482000000.0</v>
      </c>
      <c r="Q241" t="inlineStr">
        <is>
          <t>기초·기말 평균</t>
        </is>
      </c>
      <c r="R241" s="15">
        <f>IF(OR(P241="",P241&lt;=0),"",J241/P241)</f>
        <v>0.18427986063794918</v>
      </c>
      <c r="S241" s="15">
        <f>IF(R241="","",R241-0.1)</f>
        <v>0.08427986063794918</v>
      </c>
      <c r="T241" s="15">
        <f>IF(OR(P241="",E241=0,E241=""),"",P241/E241)</f>
        <v>1.538907770877449</v>
      </c>
      <c r="U241" t="inlineStr">
        <is>
          <t>—</t>
        </is>
      </c>
      <c r="V241" t="inlineStr">
        <is>
          <t>—</t>
        </is>
      </c>
      <c r="W241" t="inlineStr">
        <is>
          <t>OK</t>
        </is>
      </c>
      <c r="X241" t="inlineStr">
        <is>
          <t>AbbVie Inc.</t>
        </is>
      </c>
    </row>
    <row r="242">
      <c r="A242" t="inlineStr">
        <is>
          <t>애브비</t>
        </is>
      </c>
      <c r="B242" t="inlineStr">
        <is>
          <t>ABBV</t>
        </is>
      </c>
      <c r="C242" t="n">
        <v>2022</v>
      </c>
      <c r="D242" t="inlineStr">
        <is>
          <t>2022-12-31</t>
        </is>
      </c>
      <c r="E242" s="14" t="n">
        <v>58054000000</v>
      </c>
      <c r="F242" s="14" t="n">
        <v>18117000000</v>
      </c>
      <c r="G242" t="inlineStr">
        <is>
          <t>reported</t>
        </is>
      </c>
      <c r="H242" t="inlineStr">
        <is>
          <t>HIGH</t>
        </is>
      </c>
      <c r="I242" s="15" t="n">
        <v>0.1210951992283149</v>
      </c>
      <c r="J242" s="14">
        <f>IF(F242="","",F242*(1-I242))</f>
        <v>15923118275.580618</v>
      </c>
      <c r="K242" s="14" t="n">
        <v>17287000000</v>
      </c>
      <c r="L242" s="14" t="n">
        <v>63271000000</v>
      </c>
      <c r="M242" s="14" t="n">
        <v>9229000000</v>
      </c>
      <c r="N242" s="14">
        <f>IF(COUNT(K242:M242)&lt;3,"",K242+L242-M242)</f>
        <v>71329000000.0</v>
      </c>
      <c r="O242" s="14">
        <f>N241</f>
        <v>82290000000.0</v>
      </c>
      <c r="P242" s="14">
        <f>IF(N242="","",IF(OR(O242="",O242&lt;=0,N242&lt;=0),N242,(N242+O242)/2))</f>
        <v>76809500000.0</v>
      </c>
      <c r="Q242" t="inlineStr">
        <is>
          <t>기초·기말 평균</t>
        </is>
      </c>
      <c r="R242" s="15">
        <f>IF(OR(P242="",P242&lt;=0),"",J242/P242)</f>
        <v>0.20730662581556472</v>
      </c>
      <c r="S242" s="15">
        <f>IF(R242="","",R242-0.1)</f>
        <v>0.10730662581556472</v>
      </c>
      <c r="T242" s="15">
        <f>IF(OR(P242="",E242=0,E242=""),"",P242/E242)</f>
        <v>1.3230699004375237</v>
      </c>
      <c r="U242" t="inlineStr">
        <is>
          <t>—</t>
        </is>
      </c>
      <c r="V242" t="inlineStr">
        <is>
          <t>—</t>
        </is>
      </c>
      <c r="W242" t="inlineStr">
        <is>
          <t>OK</t>
        </is>
      </c>
      <c r="X242" t="inlineStr">
        <is>
          <t>AbbVie Inc.</t>
        </is>
      </c>
    </row>
    <row r="243">
      <c r="A243" t="inlineStr">
        <is>
          <t>애브비</t>
        </is>
      </c>
      <c r="B243" t="inlineStr">
        <is>
          <t>ABBV</t>
        </is>
      </c>
      <c r="C243" t="n">
        <v>2023</v>
      </c>
      <c r="D243" t="inlineStr">
        <is>
          <t>2023-12-31</t>
        </is>
      </c>
      <c r="E243" s="14" t="n">
        <v>54318000000</v>
      </c>
      <c r="F243" s="14" t="n">
        <v>12757000000</v>
      </c>
      <c r="G243" t="inlineStr">
        <is>
          <t>reported</t>
        </is>
      </c>
      <c r="H243" t="inlineStr">
        <is>
          <t>HIGH</t>
        </is>
      </c>
      <c r="I243" s="15" t="n">
        <v>0.22032</v>
      </c>
      <c r="J243" s="14">
        <f>IF(F243="","",F243*(1-I243))</f>
        <v>9946377760.0</v>
      </c>
      <c r="K243" s="14" t="n">
        <v>10397000000</v>
      </c>
      <c r="L243" s="14" t="n">
        <v>59385000000</v>
      </c>
      <c r="M243" s="14" t="n">
        <v>12816000000</v>
      </c>
      <c r="N243" s="14">
        <f>IF(COUNT(K243:M243)&lt;3,"",K243+L243-M243)</f>
        <v>56966000000.0</v>
      </c>
      <c r="O243" s="14">
        <f>N242</f>
        <v>71329000000.0</v>
      </c>
      <c r="P243" s="14">
        <f>IF(N243="","",IF(OR(O243="",O243&lt;=0,N243&lt;=0),N243,(N243+O243)/2))</f>
        <v>64147500000.0</v>
      </c>
      <c r="Q243" t="inlineStr">
        <is>
          <t>기초·기말 평균</t>
        </is>
      </c>
      <c r="R243" s="15">
        <f>IF(OR(P243="",P243&lt;=0),"",J243/P243)</f>
        <v>0.15505479964145133</v>
      </c>
      <c r="S243" s="15">
        <f>IF(R243="","",R243-0.1)</f>
        <v>0.055054799641451324</v>
      </c>
      <c r="T243" s="15">
        <f>IF(OR(P243="",E243=0,E243=""),"",P243/E243)</f>
        <v>1.1809621120070695</v>
      </c>
      <c r="U243" t="inlineStr">
        <is>
          <t>—</t>
        </is>
      </c>
      <c r="V243" t="inlineStr">
        <is>
          <t>—</t>
        </is>
      </c>
      <c r="W243" t="inlineStr">
        <is>
          <t>OK</t>
        </is>
      </c>
      <c r="X243" t="inlineStr">
        <is>
          <t>AbbVie Inc.</t>
        </is>
      </c>
    </row>
    <row r="244">
      <c r="A244" t="inlineStr">
        <is>
          <t>애브비</t>
        </is>
      </c>
      <c r="B244" t="inlineStr">
        <is>
          <t>ABBV</t>
        </is>
      </c>
      <c r="C244" t="n">
        <v>2024</v>
      </c>
      <c r="D244" t="inlineStr">
        <is>
          <t>2024-12-31</t>
        </is>
      </c>
      <c r="E244" s="14" t="n">
        <v>56334000000</v>
      </c>
      <c r="F244" s="14" t="n">
        <v>9137000000</v>
      </c>
      <c r="G244" t="inlineStr">
        <is>
          <t>reported</t>
        </is>
      </c>
      <c r="H244" t="inlineStr">
        <is>
          <t>HIGH</t>
        </is>
      </c>
      <c r="I244" s="15" t="n">
        <v>0.05</v>
      </c>
      <c r="J244" s="14">
        <f>IF(F244="","",F244*(1-I244))</f>
        <v>8680150000.0</v>
      </c>
      <c r="K244" s="14" t="n">
        <v>3364000000</v>
      </c>
      <c r="L244" s="14" t="n">
        <v>67144000000</v>
      </c>
      <c r="M244" s="14" t="n">
        <v>5555000000</v>
      </c>
      <c r="N244" s="14">
        <f>IF(COUNT(K244:M244)&lt;3,"",K244+L244-M244)</f>
        <v>64953000000.0</v>
      </c>
      <c r="O244" s="14">
        <f>N243</f>
        <v>56966000000.0</v>
      </c>
      <c r="P244" s="14">
        <f>IF(N244="","",IF(OR(O244="",O244&lt;=0,N244&lt;=0),N244,(N244+O244)/2))</f>
        <v>60959500000.0</v>
      </c>
      <c r="Q244" t="inlineStr">
        <is>
          <t>기초·기말 평균</t>
        </is>
      </c>
      <c r="R244" s="15">
        <f>IF(OR(P244="",P244&lt;=0),"",J244/P244)</f>
        <v>0.1423920799875327</v>
      </c>
      <c r="S244" s="15">
        <f>IF(R244="","",R244-0.1)</f>
        <v>0.042392079987532694</v>
      </c>
      <c r="T244" s="15">
        <f>IF(OR(P244="",E244=0,E244=""),"",P244/E244)</f>
        <v>1.0821084957574467</v>
      </c>
      <c r="U244" t="inlineStr">
        <is>
          <t>—</t>
        </is>
      </c>
      <c r="V244" t="inlineStr">
        <is>
          <t>—</t>
        </is>
      </c>
      <c r="W244" t="inlineStr">
        <is>
          <t>OK</t>
        </is>
      </c>
      <c r="X244" t="inlineStr">
        <is>
          <t>AbbVie Inc.</t>
        </is>
      </c>
    </row>
    <row r="245">
      <c r="A245" t="inlineStr">
        <is>
          <t>애브비</t>
        </is>
      </c>
      <c r="B245" t="inlineStr">
        <is>
          <t>ABBV</t>
        </is>
      </c>
      <c r="C245" t="n">
        <v>2025</v>
      </c>
      <c r="D245" t="inlineStr">
        <is>
          <t>2025-12-31</t>
        </is>
      </c>
      <c r="E245" s="14" t="n">
        <v>61160000000</v>
      </c>
      <c r="F245" s="14" t="n">
        <v>15075000000</v>
      </c>
      <c r="G245" t="inlineStr">
        <is>
          <t>reported</t>
        </is>
      </c>
      <c r="H245" t="inlineStr">
        <is>
          <t>HIGH</t>
        </is>
      </c>
      <c r="I245" s="15" t="n">
        <v>0.3583447021373352</v>
      </c>
      <c r="J245" s="14">
        <f>IF(F245="","",F245*(1-I245))</f>
        <v>9672953615.279673</v>
      </c>
      <c r="K245" s="14" t="n">
        <v>-3228000000</v>
      </c>
      <c r="L245" s="14" t="n">
        <v>67496000000</v>
      </c>
      <c r="M245" s="14" t="n">
        <v>5257000000</v>
      </c>
      <c r="N245" s="14">
        <f>IF(COUNT(K245:M245)&lt;3,"",K245+L245-M245)</f>
        <v>59011000000.0</v>
      </c>
      <c r="O245" s="14">
        <f>N244</f>
        <v>64953000000.0</v>
      </c>
      <c r="P245" s="14">
        <f>IF(N245="","",IF(OR(O245="",O245&lt;=0,N245&lt;=0),N245,(N245+O245)/2))</f>
        <v>61982000000.0</v>
      </c>
      <c r="Q245" t="inlineStr">
        <is>
          <t>기초·기말 평균</t>
        </is>
      </c>
      <c r="R245" s="15">
        <f>IF(OR(P245="",P245&lt;=0),"",J245/P245)</f>
        <v>0.15606068883352703</v>
      </c>
      <c r="S245" s="15">
        <f>IF(R245="","",R245-0.1)</f>
        <v>0.05606068883352702</v>
      </c>
      <c r="T245" s="15">
        <f>IF(OR(P245="",E245=0,E245=""),"",P245/E245)</f>
        <v>1.0134401569653368</v>
      </c>
      <c r="U245" t="inlineStr">
        <is>
          <t>—</t>
        </is>
      </c>
      <c r="V245" t="inlineStr">
        <is>
          <t>—</t>
        </is>
      </c>
      <c r="W245" t="inlineStr">
        <is>
          <t>OK</t>
        </is>
      </c>
      <c r="X245" t="inlineStr">
        <is>
          <t>AbbVie Inc.</t>
        </is>
      </c>
    </row>
    <row r="246">
      <c r="A246" s="11" t="inlineStr">
        <is>
          <t>어플라이드 머티리얼즈</t>
        </is>
      </c>
      <c r="B246" s="11" t="inlineStr">
        <is>
          <t>AMAT</t>
        </is>
      </c>
      <c r="C246" s="11" t="n">
        <v>2015</v>
      </c>
      <c r="D246" s="11" t="inlineStr">
        <is>
          <t>2015-10-25</t>
        </is>
      </c>
      <c r="E246" s="12" t="n">
        <v>9659000000</v>
      </c>
      <c r="F246" s="12" t="n">
        <v>1693000000</v>
      </c>
      <c r="G246" s="11" t="inlineStr">
        <is>
          <t>reported</t>
        </is>
      </c>
      <c r="H246" s="11" t="inlineStr">
        <is>
          <t>HIGH</t>
        </is>
      </c>
      <c r="I246" s="13" t="n">
        <v>0.1382978723404255</v>
      </c>
      <c r="J246" s="12">
        <f>IF(F246="","",F246*(1-I246))</f>
        <v>1458861702.1276596</v>
      </c>
      <c r="K246" s="12" t="n">
        <v>7613000000</v>
      </c>
      <c r="L246" s="12" t="n">
        <v>4542000000</v>
      </c>
      <c r="M246" s="12" t="n">
        <v>4965000000</v>
      </c>
      <c r="N246" s="12">
        <f>IF(COUNT(K246:M246)&lt;3,"",K246+L246-M246)</f>
        <v>7190000000.0</v>
      </c>
      <c r="O246" s="11" t="inlineStr">
        <is>
          <t>—</t>
        </is>
      </c>
      <c r="P246" s="12" t="inlineStr">
        <is>
          <t>—</t>
        </is>
      </c>
      <c r="Q246" s="11" t="inlineStr">
        <is>
          <t>—</t>
        </is>
      </c>
      <c r="R246" s="13" t="inlineStr">
        <is>
          <t>—</t>
        </is>
      </c>
      <c r="S246" s="13" t="inlineStr">
        <is>
          <t>—</t>
        </is>
      </c>
      <c r="T246" s="13" t="inlineStr">
        <is>
          <t>—</t>
        </is>
      </c>
      <c r="U246" s="11" t="inlineStr">
        <is>
          <t>—</t>
        </is>
      </c>
      <c r="V246" s="11" t="inlineStr">
        <is>
          <t>—</t>
        </is>
      </c>
      <c r="W246" s="11" t="inlineStr">
        <is>
          <t>다음 해 평균 투하자본의 기초값으로만 사용 (보고 기간 밖 — 자체 비율은 계산하지 않음)</t>
        </is>
      </c>
      <c r="X246" s="11" t="inlineStr">
        <is>
          <t>APPLIED MATERIALS INC /DE</t>
        </is>
      </c>
    </row>
    <row r="247">
      <c r="A247" t="inlineStr">
        <is>
          <t>어플라이드 머티리얼즈</t>
        </is>
      </c>
      <c r="B247" t="inlineStr">
        <is>
          <t>AMAT</t>
        </is>
      </c>
      <c r="C247" t="n">
        <v>2016</v>
      </c>
      <c r="D247" t="inlineStr">
        <is>
          <t>2016-10-30</t>
        </is>
      </c>
      <c r="E247" s="14" t="n">
        <v>10825000000</v>
      </c>
      <c r="F247" s="14" t="n">
        <v>2152000000</v>
      </c>
      <c r="G247" t="inlineStr">
        <is>
          <t>reported</t>
        </is>
      </c>
      <c r="H247" t="inlineStr">
        <is>
          <t>HIGH</t>
        </is>
      </c>
      <c r="I247" s="15" t="n">
        <v>0.145057128663686</v>
      </c>
      <c r="J247" s="14">
        <f>IF(F247="","",F247*(1-I247))</f>
        <v>1839837059.1157477</v>
      </c>
      <c r="K247" s="14" t="n">
        <v>7413000000</v>
      </c>
      <c r="L247" s="14" t="n">
        <v>3325000000</v>
      </c>
      <c r="M247" s="14" t="n">
        <v>3749000000</v>
      </c>
      <c r="N247" s="14">
        <f>IF(COUNT(K247:M247)&lt;3,"",K247+L247-M247)</f>
        <v>6989000000.0</v>
      </c>
      <c r="O247" s="14">
        <f>N246</f>
        <v>7190000000.0</v>
      </c>
      <c r="P247" s="14">
        <f>IF(N247="","",IF(OR(O247="",O247&lt;=0,N247&lt;=0),N247,(N247+O247)/2))</f>
        <v>7089500000.0</v>
      </c>
      <c r="Q247" t="inlineStr">
        <is>
          <t>기초·기말 평균</t>
        </is>
      </c>
      <c r="R247" s="15">
        <f>IF(OR(P247="",P247&lt;=0),"",J247/P247)</f>
        <v>0.2595157710862187</v>
      </c>
      <c r="S247" s="15">
        <f>IF(R247="","",R247-0.1)</f>
        <v>0.1595157710862187</v>
      </c>
      <c r="T247" s="15">
        <f>IF(OR(P247="",E247=0,E247=""),"",P247/E247)</f>
        <v>0.654919168591224</v>
      </c>
      <c r="U247" t="inlineStr">
        <is>
          <t>—</t>
        </is>
      </c>
      <c r="V247" t="inlineStr">
        <is>
          <t>—</t>
        </is>
      </c>
      <c r="W247" t="inlineStr">
        <is>
          <t>OK</t>
        </is>
      </c>
      <c r="X247" t="inlineStr">
        <is>
          <t>APPLIED MATERIALS INC /DE</t>
        </is>
      </c>
    </row>
    <row r="248">
      <c r="A248" t="inlineStr">
        <is>
          <t>어플라이드 머티리얼즈</t>
        </is>
      </c>
      <c r="B248" t="inlineStr">
        <is>
          <t>AMAT</t>
        </is>
      </c>
      <c r="C248" t="n">
        <v>2017</v>
      </c>
      <c r="D248" t="inlineStr">
        <is>
          <t>2017-10-29</t>
        </is>
      </c>
      <c r="E248" s="14" t="n">
        <v>14698000000</v>
      </c>
      <c r="F248" s="14" t="n">
        <v>3936000000</v>
      </c>
      <c r="G248" t="inlineStr">
        <is>
          <t>reported</t>
        </is>
      </c>
      <c r="H248" t="inlineStr">
        <is>
          <t>HIGH</t>
        </is>
      </c>
      <c r="I248" s="15" t="n">
        <v>0.07783018867924528</v>
      </c>
      <c r="J248" s="14">
        <f>IF(F248="","",F248*(1-I248))</f>
        <v>3629660377.3584905</v>
      </c>
      <c r="K248" s="14" t="n">
        <v>9630000000</v>
      </c>
      <c r="L248" s="14" t="n">
        <v>5304000000</v>
      </c>
      <c r="M248" s="14" t="n">
        <v>7276000000</v>
      </c>
      <c r="N248" s="14">
        <f>IF(COUNT(K248:M248)&lt;3,"",K248+L248-M248)</f>
        <v>7658000000.0</v>
      </c>
      <c r="O248" s="14">
        <f>N247</f>
        <v>6989000000.0</v>
      </c>
      <c r="P248" s="14">
        <f>IF(N248="","",IF(OR(O248="",O248&lt;=0,N248&lt;=0),N248,(N248+O248)/2))</f>
        <v>7323500000.0</v>
      </c>
      <c r="Q248" t="inlineStr">
        <is>
          <t>기초·기말 평균</t>
        </is>
      </c>
      <c r="R248" s="15">
        <f>IF(OR(P248="",P248&lt;=0),"",J248/P248)</f>
        <v>0.4956182668612672</v>
      </c>
      <c r="S248" s="15">
        <f>IF(R248="","",R248-0.1)</f>
        <v>0.3956182668612672</v>
      </c>
      <c r="T248" s="15">
        <f>IF(OR(P248="",E248=0,E248=""),"",P248/E248)</f>
        <v>0.4982650700775616</v>
      </c>
      <c r="U248" t="inlineStr">
        <is>
          <t>—</t>
        </is>
      </c>
      <c r="V248" t="inlineStr">
        <is>
          <t>—</t>
        </is>
      </c>
      <c r="W248" t="inlineStr">
        <is>
          <t>OK</t>
        </is>
      </c>
      <c r="X248" t="inlineStr">
        <is>
          <t>APPLIED MATERIALS INC /DE</t>
        </is>
      </c>
    </row>
    <row r="249">
      <c r="A249" t="inlineStr">
        <is>
          <t>어플라이드 머티리얼즈</t>
        </is>
      </c>
      <c r="B249" t="inlineStr">
        <is>
          <t>AMAT</t>
        </is>
      </c>
      <c r="C249" t="n">
        <v>2018</v>
      </c>
      <c r="D249" t="inlineStr">
        <is>
          <t>2018-10-28</t>
        </is>
      </c>
      <c r="E249" s="14" t="n">
        <v>16705000000</v>
      </c>
      <c r="F249" s="14" t="n">
        <v>4491000000</v>
      </c>
      <c r="G249" t="inlineStr">
        <is>
          <t>reported</t>
        </is>
      </c>
      <c r="H249" t="inlineStr">
        <is>
          <t>HIGH</t>
        </is>
      </c>
      <c r="I249" s="15" t="n">
        <v>0.3089171974522293</v>
      </c>
      <c r="J249" s="14">
        <f>IF(F249="","",F249*(1-I249))</f>
        <v>3103652866.2420382</v>
      </c>
      <c r="K249" s="14" t="n">
        <v>6845000000</v>
      </c>
      <c r="L249" s="14" t="n">
        <v>5309000000</v>
      </c>
      <c r="M249" s="14" t="n">
        <v>4030000000</v>
      </c>
      <c r="N249" s="14">
        <f>IF(COUNT(K249:M249)&lt;3,"",K249+L249-M249)</f>
        <v>8124000000.0</v>
      </c>
      <c r="O249" s="14">
        <f>N248</f>
        <v>7658000000.0</v>
      </c>
      <c r="P249" s="14">
        <f>IF(N249="","",IF(OR(O249="",O249&lt;=0,N249&lt;=0),N249,(N249+O249)/2))</f>
        <v>7891000000.0</v>
      </c>
      <c r="Q249" t="inlineStr">
        <is>
          <t>기초·기말 평균</t>
        </is>
      </c>
      <c r="R249" s="15">
        <f>IF(OR(P249="",P249&lt;=0),"",J249/P249)</f>
        <v>0.3933155324093319</v>
      </c>
      <c r="S249" s="15">
        <f>IF(R249="","",R249-0.1)</f>
        <v>0.29331553240933195</v>
      </c>
      <c r="T249" s="15">
        <f>IF(OR(P249="",E249=0,E249=""),"",P249/E249)</f>
        <v>0.4723735408560311</v>
      </c>
      <c r="U249" t="inlineStr">
        <is>
          <t>—</t>
        </is>
      </c>
      <c r="V249" t="inlineStr">
        <is>
          <t>—</t>
        </is>
      </c>
      <c r="W249" t="inlineStr">
        <is>
          <t>OK</t>
        </is>
      </c>
      <c r="X249" t="inlineStr">
        <is>
          <t>APPLIED MATERIALS INC /DE</t>
        </is>
      </c>
    </row>
    <row r="250">
      <c r="A250" t="inlineStr">
        <is>
          <t>어플라이드 머티리얼즈</t>
        </is>
      </c>
      <c r="B250" t="inlineStr">
        <is>
          <t>AMAT</t>
        </is>
      </c>
      <c r="C250" t="n">
        <v>2019</v>
      </c>
      <c r="D250" t="inlineStr">
        <is>
          <t>2019-10-27</t>
        </is>
      </c>
      <c r="E250" s="14" t="n">
        <v>14608000000</v>
      </c>
      <c r="F250" s="14" t="n">
        <v>3350000000</v>
      </c>
      <c r="G250" t="inlineStr">
        <is>
          <t>reported</t>
        </is>
      </c>
      <c r="H250" t="inlineStr">
        <is>
          <t>HIGH</t>
        </is>
      </c>
      <c r="I250" s="15" t="n">
        <v>0.1722239216885898</v>
      </c>
      <c r="J250" s="14">
        <f>IF(F250="","",F250*(1-I250))</f>
        <v>2773049862.343224</v>
      </c>
      <c r="K250" s="14" t="n">
        <v>8214000000</v>
      </c>
      <c r="L250" s="14" t="n">
        <v>5313000000</v>
      </c>
      <c r="M250" s="14" t="n">
        <v>3618000000</v>
      </c>
      <c r="N250" s="14">
        <f>IF(COUNT(K250:M250)&lt;3,"",K250+L250-M250)</f>
        <v>9909000000.0</v>
      </c>
      <c r="O250" s="14">
        <f>N249</f>
        <v>8124000000.0</v>
      </c>
      <c r="P250" s="14">
        <f>IF(N250="","",IF(OR(O250="",O250&lt;=0,N250&lt;=0),N250,(N250+O250)/2))</f>
        <v>9016500000.0</v>
      </c>
      <c r="Q250" t="inlineStr">
        <is>
          <t>기초·기말 평균</t>
        </is>
      </c>
      <c r="R250" s="15">
        <f>IF(OR(P250="",P250&lt;=0),"",J250/P250)</f>
        <v>0.30755280456310363</v>
      </c>
      <c r="S250" s="15">
        <f>IF(R250="","",R250-0.1)</f>
        <v>0.20755280456310363</v>
      </c>
      <c r="T250" s="15">
        <f>IF(OR(P250="",E250=0,E250=""),"",P250/E250)</f>
        <v>0.6172302847754655</v>
      </c>
      <c r="U250" t="inlineStr">
        <is>
          <t>—</t>
        </is>
      </c>
      <c r="V250" t="inlineStr">
        <is>
          <t>—</t>
        </is>
      </c>
      <c r="W250" t="inlineStr">
        <is>
          <t>OK</t>
        </is>
      </c>
      <c r="X250" t="inlineStr">
        <is>
          <t>APPLIED MATERIALS INC /DE</t>
        </is>
      </c>
    </row>
    <row r="251">
      <c r="A251" t="inlineStr">
        <is>
          <t>어플라이드 머티리얼즈</t>
        </is>
      </c>
      <c r="B251" t="inlineStr">
        <is>
          <t>AMAT</t>
        </is>
      </c>
      <c r="C251" t="n">
        <v>2020</v>
      </c>
      <c r="D251" t="inlineStr">
        <is>
          <t>2020-10-25</t>
        </is>
      </c>
      <c r="E251" s="14" t="n">
        <v>17202000000</v>
      </c>
      <c r="F251" s="14" t="n">
        <v>4365000000</v>
      </c>
      <c r="G251" t="inlineStr">
        <is>
          <t>reported</t>
        </is>
      </c>
      <c r="H251" t="inlineStr">
        <is>
          <t>HIGH</t>
        </is>
      </c>
      <c r="I251" s="15" t="n">
        <v>0.1313010081613058</v>
      </c>
      <c r="J251" s="14">
        <f>IF(F251="","",F251*(1-I251))</f>
        <v>3791871099.3759003</v>
      </c>
      <c r="K251" s="14" t="n">
        <v>10578000000</v>
      </c>
      <c r="L251" s="14" t="n">
        <v>5448000000</v>
      </c>
      <c r="M251" s="14" t="n">
        <v>5738000000</v>
      </c>
      <c r="N251" s="14">
        <f>IF(COUNT(K251:M251)&lt;3,"",K251+L251-M251)</f>
        <v>10288000000.0</v>
      </c>
      <c r="O251" s="14">
        <f>N250</f>
        <v>9909000000.0</v>
      </c>
      <c r="P251" s="14">
        <f>IF(N251="","",IF(OR(O251="",O251&lt;=0,N251&lt;=0),N251,(N251+O251)/2))</f>
        <v>10098500000.0</v>
      </c>
      <c r="Q251" t="inlineStr">
        <is>
          <t>기초·기말 평균</t>
        </is>
      </c>
      <c r="R251" s="15">
        <f>IF(OR(P251="",P251&lt;=0),"",J251/P251)</f>
        <v>0.3754885477423281</v>
      </c>
      <c r="S251" s="15">
        <f>IF(R251="","",R251-0.1)</f>
        <v>0.2754885477423281</v>
      </c>
      <c r="T251" s="15">
        <f>IF(OR(P251="",E251=0,E251=""),"",P251/E251)</f>
        <v>0.5870538309498895</v>
      </c>
      <c r="U251" t="inlineStr">
        <is>
          <t>—</t>
        </is>
      </c>
      <c r="V251" t="inlineStr">
        <is>
          <t>—</t>
        </is>
      </c>
      <c r="W251" t="inlineStr">
        <is>
          <t>OK</t>
        </is>
      </c>
      <c r="X251" t="inlineStr">
        <is>
          <t>APPLIED MATERIALS INC /DE</t>
        </is>
      </c>
    </row>
    <row r="252">
      <c r="A252" t="inlineStr">
        <is>
          <t>어플라이드 머티리얼즈</t>
        </is>
      </c>
      <c r="B252" t="inlineStr">
        <is>
          <t>AMAT</t>
        </is>
      </c>
      <c r="C252" t="n">
        <v>2021</v>
      </c>
      <c r="D252" t="inlineStr">
        <is>
          <t>2021-10-31</t>
        </is>
      </c>
      <c r="E252" s="14" t="n">
        <v>23063000000</v>
      </c>
      <c r="F252" s="14" t="n">
        <v>6889000000</v>
      </c>
      <c r="G252" t="inlineStr">
        <is>
          <t>reported</t>
        </is>
      </c>
      <c r="H252" t="inlineStr">
        <is>
          <t>HIGH</t>
        </is>
      </c>
      <c r="I252" s="15" t="n">
        <v>0.1304090976222124</v>
      </c>
      <c r="J252" s="14">
        <f>IF(F252="","",F252*(1-I252))</f>
        <v>5990611726.480578</v>
      </c>
      <c r="K252" s="14" t="n">
        <v>12247000000</v>
      </c>
      <c r="L252" s="14" t="n">
        <v>5452000000</v>
      </c>
      <c r="M252" s="14" t="n">
        <v>5459000000</v>
      </c>
      <c r="N252" s="14">
        <f>IF(COUNT(K252:M252)&lt;3,"",K252+L252-M252)</f>
        <v>12240000000.0</v>
      </c>
      <c r="O252" s="14">
        <f>N251</f>
        <v>10288000000.0</v>
      </c>
      <c r="P252" s="14">
        <f>IF(N252="","",IF(OR(O252="",O252&lt;=0,N252&lt;=0),N252,(N252+O252)/2))</f>
        <v>11264000000.0</v>
      </c>
      <c r="Q252" t="inlineStr">
        <is>
          <t>기초·기말 평균</t>
        </is>
      </c>
      <c r="R252" s="15">
        <f>IF(OR(P252="",P252&lt;=0),"",J252/P252)</f>
        <v>0.53183697855829</v>
      </c>
      <c r="S252" s="15">
        <f>IF(R252="","",R252-0.1)</f>
        <v>0.43183697855829006</v>
      </c>
      <c r="T252" s="15">
        <f>IF(OR(P252="",E252=0,E252=""),"",P252/E252)</f>
        <v>0.48840133547240167</v>
      </c>
      <c r="U252" t="inlineStr">
        <is>
          <t>—</t>
        </is>
      </c>
      <c r="V252" t="inlineStr">
        <is>
          <t>—</t>
        </is>
      </c>
      <c r="W252" t="inlineStr">
        <is>
          <t>OK</t>
        </is>
      </c>
      <c r="X252" t="inlineStr">
        <is>
          <t>APPLIED MATERIALS INC /DE</t>
        </is>
      </c>
    </row>
    <row r="253">
      <c r="A253" t="inlineStr">
        <is>
          <t>어플라이드 머티리얼즈</t>
        </is>
      </c>
      <c r="B253" t="inlineStr">
        <is>
          <t>AMAT</t>
        </is>
      </c>
      <c r="C253" t="n">
        <v>2022</v>
      </c>
      <c r="D253" t="inlineStr">
        <is>
          <t>2022-10-30</t>
        </is>
      </c>
      <c r="E253" s="14" t="n">
        <v>25785000000</v>
      </c>
      <c r="F253" s="14" t="n">
        <v>7788000000</v>
      </c>
      <c r="G253" t="inlineStr">
        <is>
          <t>reported</t>
        </is>
      </c>
      <c r="H253" t="inlineStr">
        <is>
          <t>HIGH</t>
        </is>
      </c>
      <c r="I253" s="15" t="n">
        <v>0.1413343861034347</v>
      </c>
      <c r="J253" s="14">
        <f>IF(F253="","",F253*(1-I253))</f>
        <v>6687287801.02645</v>
      </c>
      <c r="K253" s="14" t="n">
        <v>12194000000</v>
      </c>
      <c r="L253" s="14" t="n">
        <v>5457000000</v>
      </c>
      <c r="M253" s="14" t="n">
        <v>2581000000</v>
      </c>
      <c r="N253" s="14">
        <f>IF(COUNT(K253:M253)&lt;3,"",K253+L253-M253)</f>
        <v>15070000000.0</v>
      </c>
      <c r="O253" s="14">
        <f>N252</f>
        <v>12240000000.0</v>
      </c>
      <c r="P253" s="14">
        <f>IF(N253="","",IF(OR(O253="",O253&lt;=0,N253&lt;=0),N253,(N253+O253)/2))</f>
        <v>13655000000.0</v>
      </c>
      <c r="Q253" t="inlineStr">
        <is>
          <t>기초·기말 평균</t>
        </is>
      </c>
      <c r="R253" s="15">
        <f>IF(OR(P253="",P253&lt;=0),"",J253/P253)</f>
        <v>0.48973180527473087</v>
      </c>
      <c r="S253" s="15">
        <f>IF(R253="","",R253-0.1)</f>
        <v>0.38973180527473084</v>
      </c>
      <c r="T253" s="15">
        <f>IF(OR(P253="",E253=0,E253=""),"",P253/E253)</f>
        <v>0.5295714562730269</v>
      </c>
      <c r="U253" t="inlineStr">
        <is>
          <t>—</t>
        </is>
      </c>
      <c r="V253" t="inlineStr">
        <is>
          <t>—</t>
        </is>
      </c>
      <c r="W253" t="inlineStr">
        <is>
          <t>OK</t>
        </is>
      </c>
      <c r="X253" t="inlineStr">
        <is>
          <t>APPLIED MATERIALS INC /DE</t>
        </is>
      </c>
    </row>
    <row r="254">
      <c r="A254" t="inlineStr">
        <is>
          <t>어플라이드 머티리얼즈</t>
        </is>
      </c>
      <c r="B254" t="inlineStr">
        <is>
          <t>AMAT</t>
        </is>
      </c>
      <c r="C254" t="n">
        <v>2023</v>
      </c>
      <c r="D254" t="inlineStr">
        <is>
          <t>2023-10-29</t>
        </is>
      </c>
      <c r="E254" s="14" t="n">
        <v>26517000000</v>
      </c>
      <c r="F254" s="14" t="n">
        <v>7654000000</v>
      </c>
      <c r="G254" t="inlineStr">
        <is>
          <t>reported</t>
        </is>
      </c>
      <c r="H254" t="inlineStr">
        <is>
          <t>HIGH</t>
        </is>
      </c>
      <c r="I254" s="15" t="n">
        <v>0.1114567133229653</v>
      </c>
      <c r="J254" s="14">
        <f>IF(F254="","",F254*(1-I254))</f>
        <v>6800910316.226023</v>
      </c>
      <c r="K254" s="14" t="n">
        <v>16349000000</v>
      </c>
      <c r="L254" s="14" t="n">
        <v>5561000000</v>
      </c>
      <c r="M254" s="14" t="n">
        <v>6869000000</v>
      </c>
      <c r="N254" s="14">
        <f>IF(COUNT(K254:M254)&lt;3,"",K254+L254-M254)</f>
        <v>15041000000.0</v>
      </c>
      <c r="O254" s="14">
        <f>N253</f>
        <v>15070000000.0</v>
      </c>
      <c r="P254" s="14">
        <f>IF(N254="","",IF(OR(O254="",O254&lt;=0,N254&lt;=0),N254,(N254+O254)/2))</f>
        <v>15055500000.0</v>
      </c>
      <c r="Q254" t="inlineStr">
        <is>
          <t>기초·기말 평균</t>
        </is>
      </c>
      <c r="R254" s="15">
        <f>IF(OR(P254="",P254&lt;=0),"",J254/P254)</f>
        <v>0.4517226472867738</v>
      </c>
      <c r="S254" s="15">
        <f>IF(R254="","",R254-0.1)</f>
        <v>0.3517226472867738</v>
      </c>
      <c r="T254" s="15">
        <f>IF(OR(P254="",E254=0,E254=""),"",P254/E254)</f>
        <v>0.5677678470415205</v>
      </c>
      <c r="U254" t="inlineStr">
        <is>
          <t>—</t>
        </is>
      </c>
      <c r="V254" t="inlineStr">
        <is>
          <t>—</t>
        </is>
      </c>
      <c r="W254" t="inlineStr">
        <is>
          <t>OK</t>
        </is>
      </c>
      <c r="X254" t="inlineStr">
        <is>
          <t>APPLIED MATERIALS INC /DE</t>
        </is>
      </c>
    </row>
    <row r="255">
      <c r="A255" t="inlineStr">
        <is>
          <t>어플라이드 머티리얼즈</t>
        </is>
      </c>
      <c r="B255" t="inlineStr">
        <is>
          <t>AMAT</t>
        </is>
      </c>
      <c r="C255" t="n">
        <v>2024</v>
      </c>
      <c r="D255" t="inlineStr">
        <is>
          <t>2024-10-27</t>
        </is>
      </c>
      <c r="E255" s="14" t="n">
        <v>27176000000</v>
      </c>
      <c r="F255" s="14" t="n">
        <v>7867000000</v>
      </c>
      <c r="G255" t="inlineStr">
        <is>
          <t>reported</t>
        </is>
      </c>
      <c r="H255" t="inlineStr">
        <is>
          <t>HIGH</t>
        </is>
      </c>
      <c r="I255" s="15" t="n">
        <v>0.1196025515210991</v>
      </c>
      <c r="J255" s="14">
        <f>IF(F255="","",F255*(1-I255))</f>
        <v>6926086727.183514</v>
      </c>
      <c r="K255" s="14" t="n">
        <v>19001000000</v>
      </c>
      <c r="L255" s="14" t="n">
        <v>6959000000</v>
      </c>
      <c r="M255" s="14" t="n">
        <v>9471000000</v>
      </c>
      <c r="N255" s="14">
        <f>IF(COUNT(K255:M255)&lt;3,"",K255+L255-M255)</f>
        <v>16489000000.0</v>
      </c>
      <c r="O255" s="14">
        <f>N254</f>
        <v>15041000000.0</v>
      </c>
      <c r="P255" s="14">
        <f>IF(N255="","",IF(OR(O255="",O255&lt;=0,N255&lt;=0),N255,(N255+O255)/2))</f>
        <v>15765000000.0</v>
      </c>
      <c r="Q255" t="inlineStr">
        <is>
          <t>기초·기말 평균</t>
        </is>
      </c>
      <c r="R255" s="15">
        <f>IF(OR(P255="",P255&lt;=0),"",J255/P255)</f>
        <v>0.4393331257331756</v>
      </c>
      <c r="S255" s="15">
        <f>IF(R255="","",R255-0.1)</f>
        <v>0.33933312573317564</v>
      </c>
      <c r="T255" s="15">
        <f>IF(OR(P255="",E255=0,E255=""),"",P255/E255)</f>
        <v>0.5801074477480129</v>
      </c>
      <c r="U255" t="inlineStr">
        <is>
          <t>—</t>
        </is>
      </c>
      <c r="V255" t="inlineStr">
        <is>
          <t>—</t>
        </is>
      </c>
      <c r="W255" t="inlineStr">
        <is>
          <t>OK</t>
        </is>
      </c>
      <c r="X255" t="inlineStr">
        <is>
          <t>APPLIED MATERIALS INC /DE</t>
        </is>
      </c>
    </row>
    <row r="256">
      <c r="A256" t="inlineStr">
        <is>
          <t>어플라이드 머티리얼즈</t>
        </is>
      </c>
      <c r="B256" t="inlineStr">
        <is>
          <t>AMAT</t>
        </is>
      </c>
      <c r="C256" t="n">
        <v>2025</v>
      </c>
      <c r="D256" t="inlineStr">
        <is>
          <t>2025-10-26</t>
        </is>
      </c>
      <c r="E256" s="14" t="n">
        <v>28368000000</v>
      </c>
      <c r="F256" s="14" t="n">
        <v>8289000000</v>
      </c>
      <c r="G256" t="inlineStr">
        <is>
          <t>reported</t>
        </is>
      </c>
      <c r="H256" t="inlineStr">
        <is>
          <t>HIGH</t>
        </is>
      </c>
      <c r="I256" s="15" t="n">
        <v>0.2451731204832273</v>
      </c>
      <c r="J256" s="14">
        <f>IF(F256="","",F256*(1-I256))</f>
        <v>6256760004.314529</v>
      </c>
      <c r="K256" s="14" t="n">
        <v>20415000000</v>
      </c>
      <c r="L256" s="14" t="n">
        <v>6555000000</v>
      </c>
      <c r="M256" s="14" t="n">
        <v>8573000000</v>
      </c>
      <c r="N256" s="14">
        <f>IF(COUNT(K256:M256)&lt;3,"",K256+L256-M256)</f>
        <v>18397000000.0</v>
      </c>
      <c r="O256" s="14">
        <f>N255</f>
        <v>16489000000.0</v>
      </c>
      <c r="P256" s="14">
        <f>IF(N256="","",IF(OR(O256="",O256&lt;=0,N256&lt;=0),N256,(N256+O256)/2))</f>
        <v>17443000000.0</v>
      </c>
      <c r="Q256" t="inlineStr">
        <is>
          <t>기초·기말 평균</t>
        </is>
      </c>
      <c r="R256" s="15">
        <f>IF(OR(P256="",P256&lt;=0),"",J256/P256)</f>
        <v>0.3586974720125282</v>
      </c>
      <c r="S256" s="15">
        <f>IF(R256="","",R256-0.1)</f>
        <v>0.25869747201252824</v>
      </c>
      <c r="T256" s="15">
        <f>IF(OR(P256="",E256=0,E256=""),"",P256/E256)</f>
        <v>0.6148829667230682</v>
      </c>
      <c r="U256" t="inlineStr">
        <is>
          <t>—</t>
        </is>
      </c>
      <c r="V256" t="inlineStr">
        <is>
          <t>—</t>
        </is>
      </c>
      <c r="W256" t="inlineStr">
        <is>
          <t>OK</t>
        </is>
      </c>
      <c r="X256" t="inlineStr">
        <is>
          <t>APPLIED MATERIALS INC /DE</t>
        </is>
      </c>
    </row>
    <row r="257">
      <c r="A257" s="11" t="inlineStr">
        <is>
          <t>오라클</t>
        </is>
      </c>
      <c r="B257" s="11" t="inlineStr">
        <is>
          <t>ORCL</t>
        </is>
      </c>
      <c r="C257" s="11" t="n">
        <v>2015</v>
      </c>
      <c r="D257" s="11" t="inlineStr">
        <is>
          <t>2015-05-31</t>
        </is>
      </c>
      <c r="E257" s="12" t="n">
        <v>38226000000</v>
      </c>
      <c r="F257" s="12" t="n">
        <v>13871000000</v>
      </c>
      <c r="G257" s="11" t="inlineStr">
        <is>
          <t>reported</t>
        </is>
      </c>
      <c r="H257" s="11" t="inlineStr">
        <is>
          <t>HIGH</t>
        </is>
      </c>
      <c r="I257" s="13" t="n">
        <v>0.2256506155524388</v>
      </c>
      <c r="J257" s="12">
        <f>IF(F257="","",F257*(1-I257))</f>
        <v>10741000311.672121</v>
      </c>
      <c r="K257" s="12" t="n">
        <v>49098000000</v>
      </c>
      <c r="L257" s="12" t="n">
        <v>41958000000</v>
      </c>
      <c r="M257" s="12" t="n">
        <v>54368000000</v>
      </c>
      <c r="N257" s="12">
        <f>IF(COUNT(K257:M257)&lt;3,"",K257+L257-M257)</f>
        <v>36688000000.0</v>
      </c>
      <c r="O257" s="11" t="inlineStr">
        <is>
          <t>—</t>
        </is>
      </c>
      <c r="P257" s="12" t="inlineStr">
        <is>
          <t>—</t>
        </is>
      </c>
      <c r="Q257" s="11" t="inlineStr">
        <is>
          <t>—</t>
        </is>
      </c>
      <c r="R257" s="13" t="inlineStr">
        <is>
          <t>—</t>
        </is>
      </c>
      <c r="S257" s="13" t="inlineStr">
        <is>
          <t>—</t>
        </is>
      </c>
      <c r="T257" s="13" t="inlineStr">
        <is>
          <t>—</t>
        </is>
      </c>
      <c r="U257" s="11" t="inlineStr">
        <is>
          <t>—</t>
        </is>
      </c>
      <c r="V257" s="11" t="inlineStr">
        <is>
          <t>—</t>
        </is>
      </c>
      <c r="W257" s="11" t="inlineStr">
        <is>
          <t>다음 해 평균 투하자본의 기초값으로만 사용 (보고 기간 밖 — 자체 비율은 계산하지 않음)</t>
        </is>
      </c>
      <c r="X257" s="11" t="inlineStr">
        <is>
          <t>ORACLE CORP</t>
        </is>
      </c>
    </row>
    <row r="258">
      <c r="A258" s="11" t="inlineStr">
        <is>
          <t>오라클</t>
        </is>
      </c>
      <c r="B258" s="11" t="inlineStr">
        <is>
          <t>ORCL</t>
        </is>
      </c>
      <c r="C258" s="11" t="n">
        <v>2016</v>
      </c>
      <c r="D258" s="11" t="inlineStr">
        <is>
          <t>2016-05-31</t>
        </is>
      </c>
      <c r="E258" s="12" t="n">
        <v>37047000000</v>
      </c>
      <c r="F258" s="12" t="n">
        <v>12604000000</v>
      </c>
      <c r="G258" s="11" t="inlineStr">
        <is>
          <t>reported</t>
        </is>
      </c>
      <c r="H258" s="11" t="inlineStr">
        <is>
          <t>HIGH</t>
        </is>
      </c>
      <c r="I258" s="13" t="n">
        <v>0.2220765600419507</v>
      </c>
      <c r="J258" s="12">
        <f>IF(F258="","",F258*(1-I258))</f>
        <v>9804947037.231253</v>
      </c>
      <c r="K258" s="12" t="n">
        <v>47790000000</v>
      </c>
      <c r="L258" s="12" t="n">
        <v>43855000000</v>
      </c>
      <c r="M258" s="12" t="n">
        <v>56125000000</v>
      </c>
      <c r="N258" s="12">
        <f>IF(COUNT(K258:M258)&lt;3,"",K258+L258-M258)</f>
        <v>35520000000.0</v>
      </c>
      <c r="O258" s="12" t="inlineStr">
        <is>
          <t>—</t>
        </is>
      </c>
      <c r="P258" s="12" t="inlineStr">
        <is>
          <t>—</t>
        </is>
      </c>
      <c r="Q258" s="11" t="inlineStr">
        <is>
          <t>—</t>
        </is>
      </c>
      <c r="R258" s="13" t="inlineStr">
        <is>
          <t>—</t>
        </is>
      </c>
      <c r="S258" s="13" t="inlineStr">
        <is>
          <t>—</t>
        </is>
      </c>
      <c r="T258" s="13" t="inlineStr">
        <is>
          <t>—</t>
        </is>
      </c>
      <c r="U258" s="11" t="inlineStr">
        <is>
          <t>—</t>
        </is>
      </c>
      <c r="V258" s="11" t="inlineStr">
        <is>
          <t>—</t>
        </is>
      </c>
      <c r="W258" s="11" t="inlineStr">
        <is>
          <t>다음 해 평균 투하자본의 기초값으로만 사용 (보고 기간 밖 — 자체 비율은 계산하지 않음)</t>
        </is>
      </c>
      <c r="X258" s="11" t="inlineStr">
        <is>
          <t>ORACLE CORP</t>
        </is>
      </c>
    </row>
    <row r="259">
      <c r="A259" t="inlineStr">
        <is>
          <t>오라클</t>
        </is>
      </c>
      <c r="B259" t="inlineStr">
        <is>
          <t>ORCL</t>
        </is>
      </c>
      <c r="C259" t="n">
        <v>2017</v>
      </c>
      <c r="D259" t="inlineStr">
        <is>
          <t>2017-05-31</t>
        </is>
      </c>
      <c r="E259" s="14" t="n">
        <v>37792000000</v>
      </c>
      <c r="F259" s="14" t="n">
        <v>12913000000</v>
      </c>
      <c r="G259" t="inlineStr">
        <is>
          <t>reported</t>
        </is>
      </c>
      <c r="H259" t="inlineStr">
        <is>
          <t>HIGH</t>
        </is>
      </c>
      <c r="I259" s="15" t="n">
        <v>0.1934531562038725</v>
      </c>
      <c r="J259" s="14">
        <f>IF(F259="","",F259*(1-I259))</f>
        <v>10414939393.939394</v>
      </c>
      <c r="K259" s="14" t="n">
        <v>55130000000</v>
      </c>
      <c r="L259" s="14" t="n">
        <v>57909000000</v>
      </c>
      <c r="M259" s="14" t="n">
        <v>66078000000</v>
      </c>
      <c r="N259" s="14">
        <f>IF(COUNT(K259:M259)&lt;3,"",K259+L259-M259)</f>
        <v>46961000000.0</v>
      </c>
      <c r="O259" s="14">
        <f>N258</f>
        <v>35520000000.0</v>
      </c>
      <c r="P259" s="14">
        <f>IF(N259="","",IF(OR(O259="",O259&lt;=0,N259&lt;=0),N259,(N259+O259)/2))</f>
        <v>41240500000.0</v>
      </c>
      <c r="Q259" t="inlineStr">
        <is>
          <t>기초·기말 평균</t>
        </is>
      </c>
      <c r="R259" s="15">
        <f>IF(OR(P259="",P259&lt;=0),"",J259/P259)</f>
        <v>0.25254154032903076</v>
      </c>
      <c r="S259" s="15">
        <f>IF(R259="","",R259-0.1)</f>
        <v>0.15254154032903075</v>
      </c>
      <c r="T259" s="15">
        <f>IF(OR(P259="",E259=0,E259=""),"",P259/E259)</f>
        <v>1.0912494707874683</v>
      </c>
      <c r="U259" t="inlineStr">
        <is>
          <t>—</t>
        </is>
      </c>
      <c r="V259" t="inlineStr">
        <is>
          <t>—</t>
        </is>
      </c>
      <c r="W259" t="inlineStr">
        <is>
          <t>OK</t>
        </is>
      </c>
      <c r="X259" t="inlineStr">
        <is>
          <t>ORACLE CORP</t>
        </is>
      </c>
    </row>
    <row r="260">
      <c r="A260" t="inlineStr">
        <is>
          <t>오라클</t>
        </is>
      </c>
      <c r="B260" t="inlineStr">
        <is>
          <t>ORCL</t>
        </is>
      </c>
      <c r="C260" t="n">
        <v>2018</v>
      </c>
      <c r="D260" t="inlineStr">
        <is>
          <t>2018-05-31</t>
        </is>
      </c>
      <c r="E260" s="14" t="n">
        <v>39383000000</v>
      </c>
      <c r="F260" s="14" t="n">
        <v>13264000000</v>
      </c>
      <c r="G260" t="inlineStr">
        <is>
          <t>reported</t>
        </is>
      </c>
      <c r="H260" t="inlineStr">
        <is>
          <t>HIGH</t>
        </is>
      </c>
      <c r="I260" s="15" t="n">
        <v>0.4</v>
      </c>
      <c r="J260" s="14">
        <f>IF(F260="","",F260*(1-I260))</f>
        <v>7958400000.0</v>
      </c>
      <c r="K260" s="14" t="n">
        <v>46873000000</v>
      </c>
      <c r="L260" s="14" t="n">
        <v>60619000000</v>
      </c>
      <c r="M260" s="14" t="n">
        <v>67261000000</v>
      </c>
      <c r="N260" s="14">
        <f>IF(COUNT(K260:M260)&lt;3,"",K260+L260-M260)</f>
        <v>40231000000.0</v>
      </c>
      <c r="O260" s="14">
        <f>N259</f>
        <v>46961000000.0</v>
      </c>
      <c r="P260" s="14">
        <f>IF(N260="","",IF(OR(O260="",O260&lt;=0,N260&lt;=0),N260,(N260+O260)/2))</f>
        <v>43596000000.0</v>
      </c>
      <c r="Q260" t="inlineStr">
        <is>
          <t>기초·기말 평균</t>
        </is>
      </c>
      <c r="R260" s="15">
        <f>IF(OR(P260="",P260&lt;=0),"",J260/P260)</f>
        <v>0.18254885769336637</v>
      </c>
      <c r="S260" s="15">
        <f>IF(R260="","",R260-0.1)</f>
        <v>0.08254885769336637</v>
      </c>
      <c r="T260" s="15">
        <f>IF(OR(P260="",E260=0,E260=""),"",P260/E260)</f>
        <v>1.1069750907752076</v>
      </c>
      <c r="U260" t="inlineStr">
        <is>
          <t>—</t>
        </is>
      </c>
      <c r="V260" t="inlineStr">
        <is>
          <t>—</t>
        </is>
      </c>
      <c r="W260" t="inlineStr">
        <is>
          <t>OK</t>
        </is>
      </c>
      <c r="X260" t="inlineStr">
        <is>
          <t>ORACLE CORP</t>
        </is>
      </c>
    </row>
    <row r="261">
      <c r="A261" t="inlineStr">
        <is>
          <t>오라클</t>
        </is>
      </c>
      <c r="B261" t="inlineStr">
        <is>
          <t>ORCL</t>
        </is>
      </c>
      <c r="C261" t="n">
        <v>2019</v>
      </c>
      <c r="D261" t="inlineStr">
        <is>
          <t>2019-05-31</t>
        </is>
      </c>
      <c r="E261" s="14" t="n">
        <v>39506000000</v>
      </c>
      <c r="F261" s="14" t="n">
        <v>13535000000</v>
      </c>
      <c r="G261" t="inlineStr">
        <is>
          <t>reported</t>
        </is>
      </c>
      <c r="H261" t="inlineStr">
        <is>
          <t>HIGH</t>
        </is>
      </c>
      <c r="I261" s="15" t="n">
        <v>0.21</v>
      </c>
      <c r="J261" s="14">
        <f>IF(F261="","",F261*(1-I261))</f>
        <v>10692650000.0</v>
      </c>
      <c r="K261" s="14" t="n">
        <v>22363000000</v>
      </c>
      <c r="L261" s="14" t="n">
        <v>56167000000</v>
      </c>
      <c r="M261" s="14" t="n">
        <v>37827000000</v>
      </c>
      <c r="N261" s="14">
        <f>IF(COUNT(K261:M261)&lt;3,"",K261+L261-M261)</f>
        <v>40703000000.0</v>
      </c>
      <c r="O261" s="14">
        <f>N260</f>
        <v>40231000000.0</v>
      </c>
      <c r="P261" s="14">
        <f>IF(N261="","",IF(OR(O261="",O261&lt;=0,N261&lt;=0),N261,(N261+O261)/2))</f>
        <v>40467000000.0</v>
      </c>
      <c r="Q261" t="inlineStr">
        <is>
          <t>기초·기말 평균</t>
        </is>
      </c>
      <c r="R261" s="15">
        <f>IF(OR(P261="",P261&lt;=0),"",J261/P261)</f>
        <v>0.2642313490004201</v>
      </c>
      <c r="S261" s="15">
        <f>IF(R261="","",R261-0.1)</f>
        <v>0.1642313490004201</v>
      </c>
      <c r="T261" s="15">
        <f>IF(OR(P261="",E261=0,E261=""),"",P261/E261)</f>
        <v>1.0243254189237079</v>
      </c>
      <c r="U261" t="inlineStr">
        <is>
          <t>—</t>
        </is>
      </c>
      <c r="V261" t="inlineStr">
        <is>
          <t>—</t>
        </is>
      </c>
      <c r="W261" t="inlineStr">
        <is>
          <t>OK</t>
        </is>
      </c>
      <c r="X261" t="inlineStr">
        <is>
          <t>ORACLE CORP</t>
        </is>
      </c>
    </row>
    <row r="262">
      <c r="A262" t="inlineStr">
        <is>
          <t>오라클</t>
        </is>
      </c>
      <c r="B262" t="inlineStr">
        <is>
          <t>ORCL</t>
        </is>
      </c>
      <c r="C262" t="n">
        <v>2020</v>
      </c>
      <c r="D262" t="inlineStr">
        <is>
          <t>2020-05-31</t>
        </is>
      </c>
      <c r="E262" s="14" t="n">
        <v>39068000000</v>
      </c>
      <c r="F262" s="14" t="n">
        <v>13896000000</v>
      </c>
      <c r="G262" t="inlineStr">
        <is>
          <t>reported</t>
        </is>
      </c>
      <c r="H262" t="inlineStr">
        <is>
          <t>HIGH</t>
        </is>
      </c>
      <c r="I262" s="15" t="n">
        <v>0.21</v>
      </c>
      <c r="J262" s="14">
        <f>IF(F262="","",F262*(1-I262))</f>
        <v>10977840000.0</v>
      </c>
      <c r="K262" s="14" t="n">
        <v>12717000000</v>
      </c>
      <c r="L262" s="14" t="n">
        <v>71597000000</v>
      </c>
      <c r="M262" s="14" t="n">
        <v>43057000000</v>
      </c>
      <c r="N262" s="14">
        <f>IF(COUNT(K262:M262)&lt;3,"",K262+L262-M262)</f>
        <v>41257000000.0</v>
      </c>
      <c r="O262" s="14">
        <f>N261</f>
        <v>40703000000.0</v>
      </c>
      <c r="P262" s="14">
        <f>IF(N262="","",IF(OR(O262="",O262&lt;=0,N262&lt;=0),N262,(N262+O262)/2))</f>
        <v>40980000000.0</v>
      </c>
      <c r="Q262" t="inlineStr">
        <is>
          <t>기초·기말 평균</t>
        </is>
      </c>
      <c r="R262" s="15">
        <f>IF(OR(P262="",P262&lt;=0),"",J262/P262)</f>
        <v>0.26788286969253294</v>
      </c>
      <c r="S262" s="15">
        <f>IF(R262="","",R262-0.1)</f>
        <v>0.16788286969253294</v>
      </c>
      <c r="T262" s="15">
        <f>IF(OR(P262="",E262=0,E262=""),"",P262/E262)</f>
        <v>1.048940309204464</v>
      </c>
      <c r="U262" t="inlineStr">
        <is>
          <t>—</t>
        </is>
      </c>
      <c r="V262" t="inlineStr">
        <is>
          <t>—</t>
        </is>
      </c>
      <c r="W262" t="inlineStr">
        <is>
          <t>OK</t>
        </is>
      </c>
      <c r="X262" t="inlineStr">
        <is>
          <t>ORACLE CORP</t>
        </is>
      </c>
    </row>
    <row r="263">
      <c r="A263" t="inlineStr">
        <is>
          <t>오라클</t>
        </is>
      </c>
      <c r="B263" t="inlineStr">
        <is>
          <t>ORCL</t>
        </is>
      </c>
      <c r="C263" t="n">
        <v>2021</v>
      </c>
      <c r="D263" t="inlineStr">
        <is>
          <t>2021-05-31</t>
        </is>
      </c>
      <c r="E263" s="14" t="n">
        <v>40479000000</v>
      </c>
      <c r="F263" s="14" t="n">
        <v>15213000000</v>
      </c>
      <c r="G263" t="inlineStr">
        <is>
          <t>reported</t>
        </is>
      </c>
      <c r="H263" t="inlineStr">
        <is>
          <t>HIGH</t>
        </is>
      </c>
      <c r="I263" s="15" t="n">
        <v>0.21</v>
      </c>
      <c r="J263" s="14">
        <f>IF(F263="","",F263*(1-I263))</f>
        <v>12018270000.0</v>
      </c>
      <c r="K263" s="14" t="n">
        <v>5952000000</v>
      </c>
      <c r="L263" s="14" t="n">
        <v>84245000000</v>
      </c>
      <c r="M263" s="14" t="n">
        <v>46554000000</v>
      </c>
      <c r="N263" s="14">
        <f>IF(COUNT(K263:M263)&lt;3,"",K263+L263-M263)</f>
        <v>43643000000.0</v>
      </c>
      <c r="O263" s="14">
        <f>N262</f>
        <v>41257000000.0</v>
      </c>
      <c r="P263" s="14">
        <f>IF(N263="","",IF(OR(O263="",O263&lt;=0,N263&lt;=0),N263,(N263+O263)/2))</f>
        <v>42450000000.0</v>
      </c>
      <c r="Q263" t="inlineStr">
        <is>
          <t>기초·기말 평균</t>
        </is>
      </c>
      <c r="R263" s="15">
        <f>IF(OR(P263="",P263&lt;=0),"",J263/P263)</f>
        <v>0.2831159010600707</v>
      </c>
      <c r="S263" s="15">
        <f>IF(R263="","",R263-0.1)</f>
        <v>0.18311590106007067</v>
      </c>
      <c r="T263" s="15">
        <f>IF(OR(P263="",E263=0,E263=""),"",P263/E263)</f>
        <v>1.0486919143259468</v>
      </c>
      <c r="U263" t="inlineStr">
        <is>
          <t>—</t>
        </is>
      </c>
      <c r="V263" t="inlineStr">
        <is>
          <t>—</t>
        </is>
      </c>
      <c r="W263" t="inlineStr">
        <is>
          <t>OK</t>
        </is>
      </c>
      <c r="X263" t="inlineStr">
        <is>
          <t>ORACLE CORP</t>
        </is>
      </c>
    </row>
    <row r="264">
      <c r="A264" t="inlineStr">
        <is>
          <t>오라클</t>
        </is>
      </c>
      <c r="B264" t="inlineStr">
        <is>
          <t>ORCL</t>
        </is>
      </c>
      <c r="C264" t="n">
        <v>2022</v>
      </c>
      <c r="D264" t="inlineStr">
        <is>
          <t>2022-05-31</t>
        </is>
      </c>
      <c r="E264" s="14" t="n">
        <v>42440000000</v>
      </c>
      <c r="F264" s="14" t="n">
        <v>10926000000</v>
      </c>
      <c r="G264" t="inlineStr">
        <is>
          <t>reported</t>
        </is>
      </c>
      <c r="H264" t="inlineStr">
        <is>
          <t>HIGH</t>
        </is>
      </c>
      <c r="I264" s="15" t="n">
        <v>0.21</v>
      </c>
      <c r="J264" s="14">
        <f>IF(F264="","",F264*(1-I264))</f>
        <v>8631540000.0</v>
      </c>
      <c r="K264" s="14" t="n">
        <v>-5768000000</v>
      </c>
      <c r="L264" s="14" t="n">
        <v>75859000000</v>
      </c>
      <c r="M264" s="14" t="n">
        <v>21902000000</v>
      </c>
      <c r="N264" s="14">
        <f>IF(COUNT(K264:M264)&lt;3,"",K264+L264-M264)</f>
        <v>48189000000.0</v>
      </c>
      <c r="O264" s="14">
        <f>N263</f>
        <v>43643000000.0</v>
      </c>
      <c r="P264" s="14">
        <f>IF(N264="","",IF(OR(O264="",O264&lt;=0,N264&lt;=0),N264,(N264+O264)/2))</f>
        <v>45916000000.0</v>
      </c>
      <c r="Q264" t="inlineStr">
        <is>
          <t>기초·기말 평균</t>
        </is>
      </c>
      <c r="R264" s="15">
        <f>IF(OR(P264="",P264&lt;=0),"",J264/P264)</f>
        <v>0.18798545169439845</v>
      </c>
      <c r="S264" s="15">
        <f>IF(R264="","",R264-0.1)</f>
        <v>0.08798545169439845</v>
      </c>
      <c r="T264" s="15">
        <f>IF(OR(P264="",E264=0,E264=""),"",P264/E264)</f>
        <v>1.081903864278982</v>
      </c>
      <c r="U264" t="inlineStr">
        <is>
          <t>—</t>
        </is>
      </c>
      <c r="V264" t="inlineStr">
        <is>
          <t>—</t>
        </is>
      </c>
      <c r="W264" t="inlineStr">
        <is>
          <t>OK</t>
        </is>
      </c>
      <c r="X264" t="inlineStr">
        <is>
          <t>ORACLE CORP</t>
        </is>
      </c>
    </row>
    <row r="265">
      <c r="A265" t="inlineStr">
        <is>
          <t>오라클</t>
        </is>
      </c>
      <c r="B265" t="inlineStr">
        <is>
          <t>ORCL</t>
        </is>
      </c>
      <c r="C265" t="n">
        <v>2023</v>
      </c>
      <c r="D265" t="inlineStr">
        <is>
          <t>2023-05-31</t>
        </is>
      </c>
      <c r="E265" s="14" t="n">
        <v>49954000000</v>
      </c>
      <c r="F265" s="14" t="n">
        <v>13093000000</v>
      </c>
      <c r="G265" t="inlineStr">
        <is>
          <t>reported</t>
        </is>
      </c>
      <c r="H265" t="inlineStr">
        <is>
          <t>HIGH</t>
        </is>
      </c>
      <c r="I265" s="15" t="n">
        <v>0.21</v>
      </c>
      <c r="J265" s="14">
        <f>IF(F265="","",F265*(1-I265))</f>
        <v>10343470000.0</v>
      </c>
      <c r="K265" s="14" t="n">
        <v>1556000000</v>
      </c>
      <c r="L265" s="14" t="n">
        <v>90481000000</v>
      </c>
      <c r="M265" s="14" t="n">
        <v>10187000000</v>
      </c>
      <c r="N265" s="14">
        <f>IF(COUNT(K265:M265)&lt;3,"",K265+L265-M265)</f>
        <v>81850000000.0</v>
      </c>
      <c r="O265" s="14">
        <f>N264</f>
        <v>48189000000.0</v>
      </c>
      <c r="P265" s="14">
        <f>IF(N265="","",IF(OR(O265="",O265&lt;=0,N265&lt;=0),N265,(N265+O265)/2))</f>
        <v>65019500000.0</v>
      </c>
      <c r="Q265" t="inlineStr">
        <is>
          <t>기초·기말 평균</t>
        </is>
      </c>
      <c r="R265" s="15">
        <f>IF(OR(P265="",P265&lt;=0),"",J265/P265)</f>
        <v>0.15908258291743246</v>
      </c>
      <c r="S265" s="15">
        <f>IF(R265="","",R265-0.1)</f>
        <v>0.05908258291743246</v>
      </c>
      <c r="T265" s="15">
        <f>IF(OR(P265="",E265=0,E265=""),"",P265/E265)</f>
        <v>1.3015874604636266</v>
      </c>
      <c r="U265" t="inlineStr">
        <is>
          <t>—</t>
        </is>
      </c>
      <c r="V265" t="inlineStr">
        <is>
          <t>—</t>
        </is>
      </c>
      <c r="W265" t="inlineStr">
        <is>
          <t>OK</t>
        </is>
      </c>
      <c r="X265" t="inlineStr">
        <is>
          <t>ORACLE CORP</t>
        </is>
      </c>
    </row>
    <row r="266">
      <c r="A266" t="inlineStr">
        <is>
          <t>오라클</t>
        </is>
      </c>
      <c r="B266" t="inlineStr">
        <is>
          <t>ORCL</t>
        </is>
      </c>
      <c r="C266" t="n">
        <v>2024</v>
      </c>
      <c r="D266" t="inlineStr">
        <is>
          <t>2024-05-31</t>
        </is>
      </c>
      <c r="E266" s="14" t="n">
        <v>52961000000</v>
      </c>
      <c r="F266" s="14" t="n">
        <v>15353000000</v>
      </c>
      <c r="G266" t="inlineStr">
        <is>
          <t>reported</t>
        </is>
      </c>
      <c r="H266" t="inlineStr">
        <is>
          <t>HIGH</t>
        </is>
      </c>
      <c r="I266" s="15" t="n">
        <v>0.21</v>
      </c>
      <c r="J266" s="14">
        <f>IF(F266="","",F266*(1-I266))</f>
        <v>12128870000.0</v>
      </c>
      <c r="K266" s="14" t="n">
        <v>9239000000</v>
      </c>
      <c r="L266" s="14" t="n">
        <v>86869000000</v>
      </c>
      <c r="M266" s="14" t="n">
        <v>10661000000</v>
      </c>
      <c r="N266" s="14">
        <f>IF(COUNT(K266:M266)&lt;3,"",K266+L266-M266)</f>
        <v>85447000000.0</v>
      </c>
      <c r="O266" s="14">
        <f>N265</f>
        <v>81850000000.0</v>
      </c>
      <c r="P266" s="14">
        <f>IF(N266="","",IF(OR(O266="",O266&lt;=0,N266&lt;=0),N266,(N266+O266)/2))</f>
        <v>83648500000.0</v>
      </c>
      <c r="Q266" t="inlineStr">
        <is>
          <t>기초·기말 평균</t>
        </is>
      </c>
      <c r="R266" s="15">
        <f>IF(OR(P266="",P266&lt;=0),"",J266/P266)</f>
        <v>0.1449980573471132</v>
      </c>
      <c r="S266" s="15">
        <f>IF(R266="","",R266-0.1)</f>
        <v>0.04499805734711321</v>
      </c>
      <c r="T266" s="15">
        <f>IF(OR(P266="",E266=0,E266=""),"",P266/E266)</f>
        <v>1.5794358112573403</v>
      </c>
      <c r="U266" t="inlineStr">
        <is>
          <t>—</t>
        </is>
      </c>
      <c r="V266" t="inlineStr">
        <is>
          <t>—</t>
        </is>
      </c>
      <c r="W266" t="inlineStr">
        <is>
          <t>OK</t>
        </is>
      </c>
      <c r="X266" t="inlineStr">
        <is>
          <t>ORACLE CORP</t>
        </is>
      </c>
    </row>
    <row r="267">
      <c r="A267" t="inlineStr">
        <is>
          <t>오라클</t>
        </is>
      </c>
      <c r="B267" t="inlineStr">
        <is>
          <t>ORCL</t>
        </is>
      </c>
      <c r="C267" t="n">
        <v>2025</v>
      </c>
      <c r="D267" t="inlineStr">
        <is>
          <t>2025-05-31</t>
        </is>
      </c>
      <c r="E267" s="14" t="n">
        <v>57399000000</v>
      </c>
      <c r="F267" s="14" t="n">
        <v>17678000000</v>
      </c>
      <c r="G267" t="inlineStr">
        <is>
          <t>reported</t>
        </is>
      </c>
      <c r="H267" t="inlineStr">
        <is>
          <t>HIGH</t>
        </is>
      </c>
      <c r="I267" s="15" t="n">
        <v>0.21</v>
      </c>
      <c r="J267" s="14">
        <f>IF(F267="","",F267*(1-I267))</f>
        <v>13965620000.0</v>
      </c>
      <c r="K267" s="14" t="n">
        <v>20969000000</v>
      </c>
      <c r="L267" s="14" t="n">
        <v>92568000000</v>
      </c>
      <c r="M267" s="14" t="n">
        <v>11203000000</v>
      </c>
      <c r="N267" s="14">
        <f>IF(COUNT(K267:M267)&lt;3,"",K267+L267-M267)</f>
        <v>102334000000.0</v>
      </c>
      <c r="O267" s="14">
        <f>N266</f>
        <v>85447000000.0</v>
      </c>
      <c r="P267" s="14">
        <f>IF(N267="","",IF(OR(O267="",O267&lt;=0,N267&lt;=0),N267,(N267+O267)/2))</f>
        <v>93890500000.0</v>
      </c>
      <c r="Q267" t="inlineStr">
        <is>
          <t>기초·기말 평균</t>
        </is>
      </c>
      <c r="R267" s="15">
        <f>IF(OR(P267="",P267&lt;=0),"",J267/P267)</f>
        <v>0.14874369611409036</v>
      </c>
      <c r="S267" s="15">
        <f>IF(R267="","",R267-0.1)</f>
        <v>0.04874369611409035</v>
      </c>
      <c r="T267" s="15">
        <f>IF(OR(P267="",E267=0,E267=""),"",P267/E267)</f>
        <v>1.6357514939284656</v>
      </c>
      <c r="U267" t="inlineStr">
        <is>
          <t>—</t>
        </is>
      </c>
      <c r="V267" t="inlineStr">
        <is>
          <t>—</t>
        </is>
      </c>
      <c r="W267" t="inlineStr">
        <is>
          <t>OK</t>
        </is>
      </c>
      <c r="X267" t="inlineStr">
        <is>
          <t>ORACLE CORP</t>
        </is>
      </c>
    </row>
    <row r="268">
      <c r="A268" t="inlineStr">
        <is>
          <t>오라클</t>
        </is>
      </c>
      <c r="B268" t="inlineStr">
        <is>
          <t>ORCL</t>
        </is>
      </c>
      <c r="C268" t="n">
        <v>2026</v>
      </c>
      <c r="D268" t="inlineStr">
        <is>
          <t>2026-05-31</t>
        </is>
      </c>
      <c r="E268" s="14" t="n">
        <v>67357000000</v>
      </c>
      <c r="F268" s="14" t="n">
        <v>20606000000</v>
      </c>
      <c r="G268" t="inlineStr">
        <is>
          <t>reported</t>
        </is>
      </c>
      <c r="H268" t="inlineStr">
        <is>
          <t>HIGH</t>
        </is>
      </c>
      <c r="I268" s="15" t="n">
        <v>0.21</v>
      </c>
      <c r="J268" s="14">
        <f>IF(F268="","",F268*(1-I268))</f>
        <v>16278740000.0</v>
      </c>
      <c r="K268" s="14" t="n">
        <v>43056000000</v>
      </c>
      <c r="L268" s="14" t="n">
        <v>129541000000</v>
      </c>
      <c r="M268" s="14" t="n">
        <v>31894000000</v>
      </c>
      <c r="N268" s="14">
        <f>IF(COUNT(K268:M268)&lt;3,"",K268+L268-M268)</f>
        <v>140703000000.0</v>
      </c>
      <c r="O268" s="14">
        <f>N267</f>
        <v>102334000000.0</v>
      </c>
      <c r="P268" s="14">
        <f>IF(N268="","",IF(OR(O268="",O268&lt;=0,N268&lt;=0),N268,(N268+O268)/2))</f>
        <v>121518500000.0</v>
      </c>
      <c r="Q268" t="inlineStr">
        <is>
          <t>기초·기말 평균</t>
        </is>
      </c>
      <c r="R268" s="15">
        <f>IF(OR(P268="",P268&lt;=0),"",J268/P268)</f>
        <v>0.13396100182276774</v>
      </c>
      <c r="S268" s="15">
        <f>IF(R268="","",R268-0.1)</f>
        <v>0.033961001822767733</v>
      </c>
      <c r="T268" s="15">
        <f>IF(OR(P268="",E268=0,E268=""),"",P268/E268)</f>
        <v>1.8040960850394168</v>
      </c>
      <c r="U268" t="inlineStr">
        <is>
          <t>—</t>
        </is>
      </c>
      <c r="V268" t="inlineStr">
        <is>
          <t>—</t>
        </is>
      </c>
      <c r="W268" t="inlineStr">
        <is>
          <t>OK</t>
        </is>
      </c>
      <c r="X268" t="inlineStr">
        <is>
          <t>ORACLE CORP</t>
        </is>
      </c>
    </row>
    <row r="269">
      <c r="A269" s="11" t="inlineStr">
        <is>
          <t>코스트코</t>
        </is>
      </c>
      <c r="B269" s="11" t="inlineStr">
        <is>
          <t>COST</t>
        </is>
      </c>
      <c r="C269" s="11" t="n">
        <v>2015</v>
      </c>
      <c r="D269" s="11" t="inlineStr">
        <is>
          <t>2015-08-30</t>
        </is>
      </c>
      <c r="E269" s="12" t="n">
        <v>116199000000</v>
      </c>
      <c r="F269" s="12" t="n">
        <v>3624000000</v>
      </c>
      <c r="G269" s="11" t="inlineStr">
        <is>
          <t>reported</t>
        </is>
      </c>
      <c r="H269" s="11" t="inlineStr">
        <is>
          <t>HIGH</t>
        </is>
      </c>
      <c r="I269" s="13" t="n">
        <v>0.3315760266370699</v>
      </c>
      <c r="J269" s="12">
        <f>IF(F269="","",F269*(1-I269))</f>
        <v>2422368479.4672585</v>
      </c>
      <c r="K269" s="12" t="n">
        <v>10843000000</v>
      </c>
      <c r="L269" s="12" t="n">
        <v>6135000000</v>
      </c>
      <c r="M269" s="12" t="n">
        <v>6419000000</v>
      </c>
      <c r="N269" s="12">
        <f>IF(COUNT(K269:M269)&lt;3,"",K269+L269-M269)</f>
        <v>10559000000.0</v>
      </c>
      <c r="O269" s="11" t="inlineStr">
        <is>
          <t>—</t>
        </is>
      </c>
      <c r="P269" s="12" t="inlineStr">
        <is>
          <t>—</t>
        </is>
      </c>
      <c r="Q269" s="11" t="inlineStr">
        <is>
          <t>—</t>
        </is>
      </c>
      <c r="R269" s="13" t="inlineStr">
        <is>
          <t>—</t>
        </is>
      </c>
      <c r="S269" s="13" t="inlineStr">
        <is>
          <t>—</t>
        </is>
      </c>
      <c r="T269" s="13" t="inlineStr">
        <is>
          <t>—</t>
        </is>
      </c>
      <c r="U269" s="11" t="inlineStr">
        <is>
          <t>—</t>
        </is>
      </c>
      <c r="V269" s="11" t="inlineStr">
        <is>
          <t>—</t>
        </is>
      </c>
      <c r="W269" s="11" t="inlineStr">
        <is>
          <t>다음 해 평균 투하자본의 기초값으로만 사용 (보고 기간 밖 — 자체 비율은 계산하지 않음)</t>
        </is>
      </c>
      <c r="X269" s="11" t="inlineStr">
        <is>
          <t>COSTCO WHOLESALE CORP /NEW</t>
        </is>
      </c>
    </row>
    <row r="270">
      <c r="A270" s="11" t="inlineStr">
        <is>
          <t>코스트코</t>
        </is>
      </c>
      <c r="B270" s="11" t="inlineStr">
        <is>
          <t>COST</t>
        </is>
      </c>
      <c r="C270" s="11" t="n">
        <v>2016</v>
      </c>
      <c r="D270" s="11" t="inlineStr">
        <is>
          <t>2016-08-28</t>
        </is>
      </c>
      <c r="E270" s="12" t="n">
        <v>118719000000</v>
      </c>
      <c r="F270" s="12" t="n">
        <v>3672000000</v>
      </c>
      <c r="G270" s="11" t="inlineStr">
        <is>
          <t>reported</t>
        </is>
      </c>
      <c r="H270" s="11" t="inlineStr">
        <is>
          <t>HIGH</t>
        </is>
      </c>
      <c r="I270" s="13" t="n">
        <v>0.3434650455927052</v>
      </c>
      <c r="J270" s="12">
        <f>IF(F270="","",F270*(1-I270))</f>
        <v>2410796352.5835867</v>
      </c>
      <c r="K270" s="12" t="n">
        <v>12332000000</v>
      </c>
      <c r="L270" s="12" t="n">
        <v>5161000000</v>
      </c>
      <c r="M270" s="12" t="n">
        <v>4729000000</v>
      </c>
      <c r="N270" s="12">
        <f>IF(COUNT(K270:M270)&lt;3,"",K270+L270-M270)</f>
        <v>12764000000.0</v>
      </c>
      <c r="O270" s="12" t="inlineStr">
        <is>
          <t>—</t>
        </is>
      </c>
      <c r="P270" s="12" t="inlineStr">
        <is>
          <t>—</t>
        </is>
      </c>
      <c r="Q270" s="11" t="inlineStr">
        <is>
          <t>—</t>
        </is>
      </c>
      <c r="R270" s="13" t="inlineStr">
        <is>
          <t>—</t>
        </is>
      </c>
      <c r="S270" s="13" t="inlineStr">
        <is>
          <t>—</t>
        </is>
      </c>
      <c r="T270" s="13" t="inlineStr">
        <is>
          <t>—</t>
        </is>
      </c>
      <c r="U270" s="11" t="inlineStr">
        <is>
          <t>—</t>
        </is>
      </c>
      <c r="V270" s="11" t="inlineStr">
        <is>
          <t>—</t>
        </is>
      </c>
      <c r="W270" s="11" t="inlineStr">
        <is>
          <t>다음 해 평균 투하자본의 기초값으로만 사용 (보고 기간 밖 — 자체 비율은 계산하지 않음)</t>
        </is>
      </c>
      <c r="X270" s="11" t="inlineStr">
        <is>
          <t>COSTCO WHOLESALE CORP /NEW</t>
        </is>
      </c>
    </row>
    <row r="271">
      <c r="A271" s="9" t="inlineStr">
        <is>
          <t>코스트코</t>
        </is>
      </c>
      <c r="B271" s="9" t="inlineStr">
        <is>
          <t>COST</t>
        </is>
      </c>
      <c r="C271" s="9" t="n">
        <v>2017</v>
      </c>
      <c r="D271" s="9" t="inlineStr">
        <is>
          <t>2017-09-03</t>
        </is>
      </c>
      <c r="E271" s="16" t="n">
        <v>129025000000</v>
      </c>
      <c r="F271" s="16" t="n">
        <v>4111000000</v>
      </c>
      <c r="G271" s="9" t="inlineStr">
        <is>
          <t>reported</t>
        </is>
      </c>
      <c r="H271" s="9" t="inlineStr">
        <is>
          <t>HIGH</t>
        </is>
      </c>
      <c r="I271" s="17" t="n">
        <v>0.3280514978955187</v>
      </c>
      <c r="J271" s="16">
        <f>IF(F271="","",F271*(1-I271))</f>
        <v>2762380292.1515226</v>
      </c>
      <c r="K271" s="16" t="n">
        <v>11079000000</v>
      </c>
      <c r="L271" s="16" t="n">
        <v>6659000000</v>
      </c>
      <c r="M271" s="16" t="n">
        <v>5779000000</v>
      </c>
      <c r="N271" s="16">
        <f>IF(COUNT(K271:M271)&lt;3,"",K271+L271-M271)</f>
        <v>11959000000.0</v>
      </c>
      <c r="O271" s="16">
        <f>N270</f>
        <v>12764000000.0</v>
      </c>
      <c r="P271" s="16">
        <f>IF(N271="","",IF(OR(O271="",O271&lt;=0,N271&lt;=0),N271,(N271+O271)/2))</f>
        <v>12361500000.0</v>
      </c>
      <c r="Q271" s="9" t="inlineStr">
        <is>
          <t>기초·기말 평균</t>
        </is>
      </c>
      <c r="R271" s="17">
        <f>IF(OR(P271="",P271&lt;=0),"",J271/P271)</f>
        <v>0.22346643143239273</v>
      </c>
      <c r="S271" s="17">
        <f>IF(R271="","",R271-0.1)</f>
        <v>0.12346643143239272</v>
      </c>
      <c r="T271" s="17">
        <f>IF(OR(P271="",E271=0,E271=""),"",P271/E271)</f>
        <v>0.09580701414454564</v>
      </c>
      <c r="U271" s="9" t="inlineStr">
        <is>
          <t>—</t>
        </is>
      </c>
      <c r="V271" s="9" t="inlineStr">
        <is>
          <t>—</t>
        </is>
      </c>
      <c r="W271" s="9" t="inlineStr">
        <is>
          <t>투하자본이 매출의 9.6% — 분모가 작아 비율이 민감 (판정은 유효)</t>
        </is>
      </c>
      <c r="X271" s="9" t="inlineStr">
        <is>
          <t>COSTCO WHOLESALE CORP /NEW</t>
        </is>
      </c>
    </row>
    <row r="272">
      <c r="A272" s="9" t="inlineStr">
        <is>
          <t>코스트코</t>
        </is>
      </c>
      <c r="B272" s="9" t="inlineStr">
        <is>
          <t>COST</t>
        </is>
      </c>
      <c r="C272" s="9" t="n">
        <v>2018</v>
      </c>
      <c r="D272" s="9" t="inlineStr">
        <is>
          <t>2018-09-02</t>
        </is>
      </c>
      <c r="E272" s="16" t="n">
        <v>141576000000</v>
      </c>
      <c r="F272" s="16" t="n">
        <v>4480000000</v>
      </c>
      <c r="G272" s="9" t="inlineStr">
        <is>
          <t>reported</t>
        </is>
      </c>
      <c r="H272" s="9" t="inlineStr">
        <is>
          <t>HIGH</t>
        </is>
      </c>
      <c r="I272" s="17" t="n">
        <v>0.2843313822602431</v>
      </c>
      <c r="J272" s="16">
        <f>IF(F272="","",F272*(1-I272))</f>
        <v>3206195407.4741106</v>
      </c>
      <c r="K272" s="16" t="n">
        <v>13103000000</v>
      </c>
      <c r="L272" s="16" t="n">
        <v>6577000000</v>
      </c>
      <c r="M272" s="16" t="n">
        <v>7259000000</v>
      </c>
      <c r="N272" s="16">
        <f>IF(COUNT(K272:M272)&lt;3,"",K272+L272-M272)</f>
        <v>12421000000.0</v>
      </c>
      <c r="O272" s="16">
        <f>N271</f>
        <v>11959000000.0</v>
      </c>
      <c r="P272" s="16">
        <f>IF(N272="","",IF(OR(O272="",O272&lt;=0,N272&lt;=0),N272,(N272+O272)/2))</f>
        <v>12190000000.0</v>
      </c>
      <c r="Q272" s="9" t="inlineStr">
        <is>
          <t>기초·기말 평균</t>
        </is>
      </c>
      <c r="R272" s="17">
        <f>IF(OR(P272="",P272&lt;=0),"",J272/P272)</f>
        <v>0.2630184911791723</v>
      </c>
      <c r="S272" s="17">
        <f>IF(R272="","",R272-0.1)</f>
        <v>0.1630184911791723</v>
      </c>
      <c r="T272" s="17">
        <f>IF(OR(P272="",E272=0,E272=""),"",P272/E272)</f>
        <v>0.08610216420862293</v>
      </c>
      <c r="U272" s="9" t="inlineStr">
        <is>
          <t>—</t>
        </is>
      </c>
      <c r="V272" s="9" t="inlineStr">
        <is>
          <t>—</t>
        </is>
      </c>
      <c r="W272" s="9" t="inlineStr">
        <is>
          <t>투하자본이 매출의 8.6% — 분모가 작아 비율이 민감 (판정은 유효)</t>
        </is>
      </c>
      <c r="X272" s="9" t="inlineStr">
        <is>
          <t>COSTCO WHOLESALE CORP /NEW</t>
        </is>
      </c>
    </row>
    <row r="273">
      <c r="A273" s="9" t="inlineStr">
        <is>
          <t>코스트코</t>
        </is>
      </c>
      <c r="B273" s="9" t="inlineStr">
        <is>
          <t>COST</t>
        </is>
      </c>
      <c r="C273" s="9" t="n">
        <v>2019</v>
      </c>
      <c r="D273" s="9" t="inlineStr">
        <is>
          <t>2019-09-01</t>
        </is>
      </c>
      <c r="E273" s="16" t="n">
        <v>152703000000</v>
      </c>
      <c r="F273" s="16" t="n">
        <v>4737000000</v>
      </c>
      <c r="G273" s="9" t="inlineStr">
        <is>
          <t>reported</t>
        </is>
      </c>
      <c r="H273" s="9" t="inlineStr">
        <is>
          <t>HIGH</t>
        </is>
      </c>
      <c r="I273" s="17" t="n">
        <v>0.2226652675760755</v>
      </c>
      <c r="J273" s="16">
        <f>IF(F273="","",F273*(1-I273))</f>
        <v>3682234627.4921303</v>
      </c>
      <c r="K273" s="16" t="n">
        <v>15584000000</v>
      </c>
      <c r="L273" s="16" t="n">
        <v>6823000000</v>
      </c>
      <c r="M273" s="16" t="n">
        <v>9444000000</v>
      </c>
      <c r="N273" s="16">
        <f>IF(COUNT(K273:M273)&lt;3,"",K273+L273-M273)</f>
        <v>12963000000.0</v>
      </c>
      <c r="O273" s="16">
        <f>N272</f>
        <v>12421000000.0</v>
      </c>
      <c r="P273" s="16">
        <f>IF(N273="","",IF(OR(O273="",O273&lt;=0,N273&lt;=0),N273,(N273+O273)/2))</f>
        <v>12692000000.0</v>
      </c>
      <c r="Q273" s="9" t="inlineStr">
        <is>
          <t>기초·기말 평균</t>
        </is>
      </c>
      <c r="R273" s="17">
        <f>IF(OR(P273="",P273&lt;=0),"",J273/P273)</f>
        <v>0.29012248877183505</v>
      </c>
      <c r="S273" s="17">
        <f>IF(R273="","",R273-0.1)</f>
        <v>0.19012248877183505</v>
      </c>
      <c r="T273" s="17">
        <f>IF(OR(P273="",E273=0,E273=""),"",P273/E273)</f>
        <v>0.08311559039442579</v>
      </c>
      <c r="U273" s="9" t="inlineStr">
        <is>
          <t>—</t>
        </is>
      </c>
      <c r="V273" s="9" t="inlineStr">
        <is>
          <t>—</t>
        </is>
      </c>
      <c r="W273" s="9" t="inlineStr">
        <is>
          <t>투하자본이 매출의 8.3% — 분모가 작아 비율이 민감 (판정은 유효)</t>
        </is>
      </c>
      <c r="X273" s="9" t="inlineStr">
        <is>
          <t>COSTCO WHOLESALE CORP /NEW</t>
        </is>
      </c>
    </row>
    <row r="274">
      <c r="A274" s="9" t="inlineStr">
        <is>
          <t>코스트코</t>
        </is>
      </c>
      <c r="B274" s="9" t="inlineStr">
        <is>
          <t>COST</t>
        </is>
      </c>
      <c r="C274" s="9" t="n">
        <v>2020</v>
      </c>
      <c r="D274" s="9" t="inlineStr">
        <is>
          <t>2020-08-30</t>
        </is>
      </c>
      <c r="E274" s="16" t="n">
        <v>166761000000</v>
      </c>
      <c r="F274" s="16" t="n">
        <v>5435000000</v>
      </c>
      <c r="G274" s="9" t="inlineStr">
        <is>
          <t>reported</t>
        </is>
      </c>
      <c r="H274" s="9" t="inlineStr">
        <is>
          <t>HIGH</t>
        </is>
      </c>
      <c r="I274" s="17" t="n">
        <v>0.2437115707098938</v>
      </c>
      <c r="J274" s="16">
        <f>IF(F274="","",F274*(1-I274))</f>
        <v>4110427613.191727</v>
      </c>
      <c r="K274" s="16" t="n">
        <v>18705000000</v>
      </c>
      <c r="L274" s="16" t="n">
        <v>7609000000</v>
      </c>
      <c r="M274" s="16" t="n">
        <v>13305000000</v>
      </c>
      <c r="N274" s="16">
        <f>IF(COUNT(K274:M274)&lt;3,"",K274+L274-M274)</f>
        <v>13009000000.0</v>
      </c>
      <c r="O274" s="16">
        <f>N273</f>
        <v>12963000000.0</v>
      </c>
      <c r="P274" s="16">
        <f>IF(N274="","",IF(OR(O274="",O274&lt;=0,N274&lt;=0),N274,(N274+O274)/2))</f>
        <v>12986000000.0</v>
      </c>
      <c r="Q274" s="9" t="inlineStr">
        <is>
          <t>기초·기말 평균</t>
        </is>
      </c>
      <c r="R274" s="17">
        <f>IF(OR(P274="",P274&lt;=0),"",J274/P274)</f>
        <v>0.3165276153697618</v>
      </c>
      <c r="S274" s="17">
        <f>IF(R274="","",R274-0.1)</f>
        <v>0.2165276153697618</v>
      </c>
      <c r="T274" s="17">
        <f>IF(OR(P274="",E274=0,E274=""),"",P274/E274)</f>
        <v>0.07787192449073824</v>
      </c>
      <c r="U274" s="9" t="inlineStr">
        <is>
          <t>—</t>
        </is>
      </c>
      <c r="V274" s="9" t="inlineStr">
        <is>
          <t>—</t>
        </is>
      </c>
      <c r="W274" s="9" t="inlineStr">
        <is>
          <t>투하자본이 매출의 7.8% — 분모가 작아 비율이 민감 (판정은 유효)</t>
        </is>
      </c>
      <c r="X274" s="9" t="inlineStr">
        <is>
          <t>COSTCO WHOLESALE CORP /NEW</t>
        </is>
      </c>
    </row>
    <row r="275">
      <c r="A275" s="9" t="inlineStr">
        <is>
          <t>코스트코</t>
        </is>
      </c>
      <c r="B275" s="9" t="inlineStr">
        <is>
          <t>COST</t>
        </is>
      </c>
      <c r="C275" s="9" t="n">
        <v>2021</v>
      </c>
      <c r="D275" s="9" t="inlineStr">
        <is>
          <t>2021-08-29</t>
        </is>
      </c>
      <c r="E275" s="16" t="n">
        <v>195929000000</v>
      </c>
      <c r="F275" s="16" t="n">
        <v>6708000000</v>
      </c>
      <c r="G275" s="9" t="inlineStr">
        <is>
          <t>reported</t>
        </is>
      </c>
      <c r="H275" s="9" t="inlineStr">
        <is>
          <t>HIGH</t>
        </is>
      </c>
      <c r="I275" s="17" t="n">
        <v>0.2396706586826347</v>
      </c>
      <c r="J275" s="16">
        <f>IF(F275="","",F275*(1-I275))</f>
        <v>5100289221.556887</v>
      </c>
      <c r="K275" s="16" t="n">
        <v>18078000000</v>
      </c>
      <c r="L275" s="16" t="n">
        <v>7532000000</v>
      </c>
      <c r="M275" s="16" t="n">
        <v>12175000000</v>
      </c>
      <c r="N275" s="16">
        <f>IF(COUNT(K275:M275)&lt;3,"",K275+L275-M275)</f>
        <v>13435000000.0</v>
      </c>
      <c r="O275" s="16">
        <f>N274</f>
        <v>13009000000.0</v>
      </c>
      <c r="P275" s="16">
        <f>IF(N275="","",IF(OR(O275="",O275&lt;=0,N275&lt;=0),N275,(N275+O275)/2))</f>
        <v>13222000000.0</v>
      </c>
      <c r="Q275" s="9" t="inlineStr">
        <is>
          <t>기초·기말 평균</t>
        </is>
      </c>
      <c r="R275" s="17">
        <f>IF(OR(P275="",P275&lt;=0),"",J275/P275)</f>
        <v>0.385742642683171</v>
      </c>
      <c r="S275" s="17">
        <f>IF(R275="","",R275-0.1)</f>
        <v>0.28574264268317096</v>
      </c>
      <c r="T275" s="17">
        <f>IF(OR(P275="",E275=0,E275=""),"",P275/E275)</f>
        <v>0.06748362927386961</v>
      </c>
      <c r="U275" s="9" t="inlineStr">
        <is>
          <t>—</t>
        </is>
      </c>
      <c r="V275" s="9" t="inlineStr">
        <is>
          <t>—</t>
        </is>
      </c>
      <c r="W275" s="9" t="inlineStr">
        <is>
          <t>투하자본이 매출의 6.7% — 분모가 작아 비율이 민감 (판정은 유효)</t>
        </is>
      </c>
      <c r="X275" s="9" t="inlineStr">
        <is>
          <t>COSTCO WHOLESALE CORP /NEW</t>
        </is>
      </c>
    </row>
    <row r="276">
      <c r="A276" s="9" t="inlineStr">
        <is>
          <t>코스트코</t>
        </is>
      </c>
      <c r="B276" s="9" t="inlineStr">
        <is>
          <t>COST</t>
        </is>
      </c>
      <c r="C276" s="9" t="n">
        <v>2022</v>
      </c>
      <c r="D276" s="9" t="inlineStr">
        <is>
          <t>2022-08-28</t>
        </is>
      </c>
      <c r="E276" s="16" t="n">
        <v>226954000000</v>
      </c>
      <c r="F276" s="16" t="n">
        <v>7793000000</v>
      </c>
      <c r="G276" s="9" t="inlineStr">
        <is>
          <t>reported</t>
        </is>
      </c>
      <c r="H276" s="9" t="inlineStr">
        <is>
          <t>HIGH</t>
        </is>
      </c>
      <c r="I276" s="17" t="n">
        <v>0.2455357142857143</v>
      </c>
      <c r="J276" s="16">
        <f>IF(F276="","",F276*(1-I276))</f>
        <v>5879540178.571428</v>
      </c>
      <c r="K276" s="16" t="n">
        <v>20647000000</v>
      </c>
      <c r="L276" s="16" t="n">
        <v>6645000000</v>
      </c>
      <c r="M276" s="16" t="n">
        <v>11049000000</v>
      </c>
      <c r="N276" s="16">
        <f>IF(COUNT(K276:M276)&lt;3,"",K276+L276-M276)</f>
        <v>16243000000.0</v>
      </c>
      <c r="O276" s="16">
        <f>N275</f>
        <v>13435000000.0</v>
      </c>
      <c r="P276" s="16">
        <f>IF(N276="","",IF(OR(O276="",O276&lt;=0,N276&lt;=0),N276,(N276+O276)/2))</f>
        <v>14839000000.0</v>
      </c>
      <c r="Q276" s="9" t="inlineStr">
        <is>
          <t>기초·기말 평균</t>
        </is>
      </c>
      <c r="R276" s="17">
        <f>IF(OR(P276="",P276&lt;=0),"",J276/P276)</f>
        <v>0.39622212942728136</v>
      </c>
      <c r="S276" s="17">
        <f>IF(R276="","",R276-0.1)</f>
        <v>0.2962221294272813</v>
      </c>
      <c r="T276" s="17">
        <f>IF(OR(P276="",E276=0,E276=""),"",P276/E276)</f>
        <v>0.06538329353084767</v>
      </c>
      <c r="U276" s="9" t="inlineStr">
        <is>
          <t>—</t>
        </is>
      </c>
      <c r="V276" s="9" t="inlineStr">
        <is>
          <t>—</t>
        </is>
      </c>
      <c r="W276" s="9" t="inlineStr">
        <is>
          <t>투하자본이 매출의 6.5% — 분모가 작아 비율이 민감 (판정은 유효)</t>
        </is>
      </c>
      <c r="X276" s="9" t="inlineStr">
        <is>
          <t>COSTCO WHOLESALE CORP /NEW</t>
        </is>
      </c>
    </row>
    <row r="277">
      <c r="A277" s="9" t="inlineStr">
        <is>
          <t>코스트코</t>
        </is>
      </c>
      <c r="B277" s="9" t="inlineStr">
        <is>
          <t>COST</t>
        </is>
      </c>
      <c r="C277" s="9" t="n">
        <v>2023</v>
      </c>
      <c r="D277" s="9" t="inlineStr">
        <is>
          <t>2023-09-03</t>
        </is>
      </c>
      <c r="E277" s="16" t="n">
        <v>242290000000</v>
      </c>
      <c r="F277" s="16" t="n">
        <v>8114000000</v>
      </c>
      <c r="G277" s="9" t="inlineStr">
        <is>
          <t>reported</t>
        </is>
      </c>
      <c r="H277" s="9" t="inlineStr">
        <is>
          <t>HIGH</t>
        </is>
      </c>
      <c r="I277" s="17" t="n">
        <v>0.258630847178037</v>
      </c>
      <c r="J277" s="16">
        <f>IF(F277="","",F277*(1-I277))</f>
        <v>6015469305.997408</v>
      </c>
      <c r="K277" s="16" t="n">
        <v>25058000000</v>
      </c>
      <c r="L277" s="16" t="n">
        <v>6458000000</v>
      </c>
      <c r="M277" s="16" t="n">
        <v>15234000000</v>
      </c>
      <c r="N277" s="16">
        <f>IF(COUNT(K277:M277)&lt;3,"",K277+L277-M277)</f>
        <v>16282000000.0</v>
      </c>
      <c r="O277" s="16">
        <f>N276</f>
        <v>16243000000.0</v>
      </c>
      <c r="P277" s="16">
        <f>IF(N277="","",IF(OR(O277="",O277&lt;=0,N277&lt;=0),N277,(N277+O277)/2))</f>
        <v>16262500000.0</v>
      </c>
      <c r="Q277" s="9" t="inlineStr">
        <is>
          <t>기초·기말 평균</t>
        </is>
      </c>
      <c r="R277" s="17">
        <f>IF(OR(P277="",P277&lt;=0),"",J277/P277)</f>
        <v>0.3698981894541066</v>
      </c>
      <c r="S277" s="17">
        <f>IF(R277="","",R277-0.1)</f>
        <v>0.2698981894541066</v>
      </c>
      <c r="T277" s="17">
        <f>IF(OR(P277="",E277=0,E277=""),"",P277/E277)</f>
        <v>0.06711998018902968</v>
      </c>
      <c r="U277" s="9" t="inlineStr">
        <is>
          <t>—</t>
        </is>
      </c>
      <c r="V277" s="9" t="inlineStr">
        <is>
          <t>—</t>
        </is>
      </c>
      <c r="W277" s="9" t="inlineStr">
        <is>
          <t>투하자본이 매출의 6.7% — 분모가 작아 비율이 민감 (판정은 유효)</t>
        </is>
      </c>
      <c r="X277" s="9" t="inlineStr">
        <is>
          <t>COSTCO WHOLESALE CORP /NEW</t>
        </is>
      </c>
    </row>
    <row r="278">
      <c r="A278" s="9" t="inlineStr">
        <is>
          <t>코스트코</t>
        </is>
      </c>
      <c r="B278" s="9" t="inlineStr">
        <is>
          <t>COST</t>
        </is>
      </c>
      <c r="C278" s="9" t="n">
        <v>2024</v>
      </c>
      <c r="D278" s="9" t="inlineStr">
        <is>
          <t>2024-09-01</t>
        </is>
      </c>
      <c r="E278" s="16" t="n">
        <v>254453000000</v>
      </c>
      <c r="F278" s="16" t="n">
        <v>9285000000</v>
      </c>
      <c r="G278" s="9" t="inlineStr">
        <is>
          <t>reported</t>
        </is>
      </c>
      <c r="H278" s="9" t="inlineStr">
        <is>
          <t>HIGH</t>
        </is>
      </c>
      <c r="I278" s="17" t="n">
        <v>0.2436344969199179</v>
      </c>
      <c r="J278" s="16">
        <f>IF(F278="","",F278*(1-I278))</f>
        <v>7022853696.098562</v>
      </c>
      <c r="K278" s="16" t="n">
        <v>23622000000</v>
      </c>
      <c r="L278" s="16" t="n">
        <v>5897000000</v>
      </c>
      <c r="M278" s="16" t="n">
        <v>11144000000</v>
      </c>
      <c r="N278" s="16">
        <f>IF(COUNT(K278:M278)&lt;3,"",K278+L278-M278)</f>
        <v>18375000000.0</v>
      </c>
      <c r="O278" s="16">
        <f>N277</f>
        <v>16282000000.0</v>
      </c>
      <c r="P278" s="16">
        <f>IF(N278="","",IF(OR(O278="",O278&lt;=0,N278&lt;=0),N278,(N278+O278)/2))</f>
        <v>17328500000.0</v>
      </c>
      <c r="Q278" s="9" t="inlineStr">
        <is>
          <t>기초·기말 평균</t>
        </is>
      </c>
      <c r="R278" s="17">
        <f>IF(OR(P278="",P278&lt;=0),"",J278/P278)</f>
        <v>0.4052776464263244</v>
      </c>
      <c r="S278" s="17">
        <f>IF(R278="","",R278-0.1)</f>
        <v>0.3052776464263244</v>
      </c>
      <c r="T278" s="17">
        <f>IF(OR(P278="",E278=0,E278=""),"",P278/E278)</f>
        <v>0.06810098525071427</v>
      </c>
      <c r="U278" s="9" t="inlineStr">
        <is>
          <t>—</t>
        </is>
      </c>
      <c r="V278" s="9" t="inlineStr">
        <is>
          <t>—</t>
        </is>
      </c>
      <c r="W278" s="9" t="inlineStr">
        <is>
          <t>투하자본이 매출의 6.8% — 분모가 작아 비율이 민감 (판정은 유효)</t>
        </is>
      </c>
      <c r="X278" s="9" t="inlineStr">
        <is>
          <t>COSTCO WHOLESALE CORP /NEW</t>
        </is>
      </c>
    </row>
    <row r="279">
      <c r="A279" s="9" t="inlineStr">
        <is>
          <t>코스트코</t>
        </is>
      </c>
      <c r="B279" s="9" t="inlineStr">
        <is>
          <t>COST</t>
        </is>
      </c>
      <c r="C279" s="9" t="n">
        <v>2025</v>
      </c>
      <c r="D279" s="9" t="inlineStr">
        <is>
          <t>2025-08-31</t>
        </is>
      </c>
      <c r="E279" s="16" t="n">
        <v>275235000000</v>
      </c>
      <c r="F279" s="16" t="n">
        <v>10383000000</v>
      </c>
      <c r="G279" s="9" t="inlineStr">
        <is>
          <t>reported</t>
        </is>
      </c>
      <c r="H279" s="9" t="inlineStr">
        <is>
          <t>HIGH</t>
        </is>
      </c>
      <c r="I279" s="17" t="n">
        <v>0.2513403586614901</v>
      </c>
      <c r="J279" s="16">
        <f>IF(F279="","",F279*(1-I279))</f>
        <v>7773333056.017748</v>
      </c>
      <c r="K279" s="16" t="n">
        <v>29164000000</v>
      </c>
      <c r="L279" s="16" t="n">
        <v>5788000000</v>
      </c>
      <c r="M279" s="16" t="n">
        <v>15284000000</v>
      </c>
      <c r="N279" s="16">
        <f>IF(COUNT(K279:M279)&lt;3,"",K279+L279-M279)</f>
        <v>19668000000.0</v>
      </c>
      <c r="O279" s="16">
        <f>N278</f>
        <v>18375000000.0</v>
      </c>
      <c r="P279" s="16">
        <f>IF(N279="","",IF(OR(O279="",O279&lt;=0,N279&lt;=0),N279,(N279+O279)/2))</f>
        <v>19021500000.0</v>
      </c>
      <c r="Q279" s="9" t="inlineStr">
        <is>
          <t>기초·기말 평균</t>
        </is>
      </c>
      <c r="R279" s="17">
        <f>IF(OR(P279="",P279&lt;=0),"",J279/P279)</f>
        <v>0.4086603609608994</v>
      </c>
      <c r="S279" s="17">
        <f>IF(R279="","",R279-0.1)</f>
        <v>0.30866036096089944</v>
      </c>
      <c r="T279" s="17">
        <f>IF(OR(P279="",E279=0,E279=""),"",P279/E279)</f>
        <v>0.0691100332443185</v>
      </c>
      <c r="U279" s="9" t="inlineStr">
        <is>
          <t>—</t>
        </is>
      </c>
      <c r="V279" s="9" t="inlineStr">
        <is>
          <t>—</t>
        </is>
      </c>
      <c r="W279" s="9" t="inlineStr">
        <is>
          <t>투하자본이 매출의 6.9% — 분모가 작아 비율이 민감 (판정은 유효)</t>
        </is>
      </c>
      <c r="X279" s="9" t="inlineStr">
        <is>
          <t>COSTCO WHOLESALE CORP /NEW</t>
        </is>
      </c>
    </row>
    <row r="280">
      <c r="A280" s="9" t="inlineStr">
        <is>
          <t>코스트코</t>
        </is>
      </c>
      <c r="B280" s="9" t="inlineStr">
        <is>
          <t>COST</t>
        </is>
      </c>
      <c r="C280" s="9" t="n">
        <v>2026</v>
      </c>
      <c r="D280" s="9" t="inlineStr">
        <is>
          <t>2026-08-30</t>
        </is>
      </c>
      <c r="E280" s="16" t="n">
        <v>303154000000</v>
      </c>
      <c r="F280" s="16" t="n">
        <v>11685000000</v>
      </c>
      <c r="G280" s="9" t="inlineStr">
        <is>
          <t>reported</t>
        </is>
      </c>
      <c r="H280" s="9" t="inlineStr">
        <is>
          <t>HIGH</t>
        </is>
      </c>
      <c r="I280" s="17" t="n">
        <v>0.246918618888254</v>
      </c>
      <c r="J280" s="16">
        <f>IF(F280="","",F280*(1-I280))</f>
        <v>8799755938.290752</v>
      </c>
      <c r="K280" s="16" t="n">
        <v>35803000000</v>
      </c>
      <c r="L280" s="16" t="n">
        <v>6162000000</v>
      </c>
      <c r="M280" s="16" t="n">
        <v>21301000000</v>
      </c>
      <c r="N280" s="16">
        <f>IF(COUNT(K280:M280)&lt;3,"",K280+L280-M280)</f>
        <v>20664000000.0</v>
      </c>
      <c r="O280" s="16">
        <f>N279</f>
        <v>19668000000.0</v>
      </c>
      <c r="P280" s="16">
        <f>IF(N280="","",IF(OR(O280="",O280&lt;=0,N280&lt;=0),N280,(N280+O280)/2))</f>
        <v>20166000000.0</v>
      </c>
      <c r="Q280" s="9" t="inlineStr">
        <is>
          <t>기초·기말 평균</t>
        </is>
      </c>
      <c r="R280" s="17">
        <f>IF(OR(P280="",P280&lt;=0),"",J280/P280)</f>
        <v>0.4363659594510935</v>
      </c>
      <c r="S280" s="17">
        <f>IF(R280="","",R280-0.1)</f>
        <v>0.3363659594510935</v>
      </c>
      <c r="T280" s="17">
        <f>IF(OR(P280="",E280=0,E280=""),"",P280/E280)</f>
        <v>0.06652064627219169</v>
      </c>
      <c r="U280" s="9" t="inlineStr">
        <is>
          <t>—</t>
        </is>
      </c>
      <c r="V280" s="9" t="inlineStr">
        <is>
          <t>—</t>
        </is>
      </c>
      <c r="W280" s="9" t="inlineStr">
        <is>
          <t>투하자본이 매출의 6.7% — 분모가 작아 비율이 민감 (판정은 유효)</t>
        </is>
      </c>
      <c r="X280" s="9" t="inlineStr">
        <is>
          <t>COSTCO WHOLESALE CORP /NEW</t>
        </is>
      </c>
    </row>
    <row r="281">
      <c r="A281" t="inlineStr">
        <is>
          <t>팔란티어 테크놀로지스</t>
        </is>
      </c>
      <c r="B281" t="inlineStr">
        <is>
          <t>PLTR</t>
        </is>
      </c>
      <c r="C281" t="n">
        <v>2018</v>
      </c>
      <c r="D281" t="inlineStr">
        <is>
          <t>2018-12-31</t>
        </is>
      </c>
      <c r="E281" s="14" t="n">
        <v>595409000</v>
      </c>
      <c r="F281" s="14" t="n">
        <v>-623440000</v>
      </c>
      <c r="G281" t="inlineStr">
        <is>
          <t>reported</t>
        </is>
      </c>
      <c r="H281" t="inlineStr">
        <is>
          <t>HIGH</t>
        </is>
      </c>
      <c r="I281" s="15" t="n">
        <v>0.21</v>
      </c>
      <c r="J281" s="14">
        <f>IF(F281="","",F281*(1-I281))</f>
        <v>-492517600.0</v>
      </c>
      <c r="K281" s="14" t="n">
        <v>-1751428000</v>
      </c>
      <c r="L281" s="14" t="n">
        <v>0</v>
      </c>
      <c r="M281" s="14" t="n">
        <v>1116342000</v>
      </c>
      <c r="N281" s="14">
        <f>IF(COUNT(K281:M281)&lt;3,"",K281+L281-M281)</f>
        <v>-2867770000.0</v>
      </c>
      <c r="O281" t="inlineStr">
        <is>
          <t>—</t>
        </is>
      </c>
      <c r="P281" s="14">
        <f>N281</f>
        <v>-2867770000.0</v>
      </c>
      <c r="Q281" t="inlineStr">
        <is>
          <t>기말 (직전연도 없음)</t>
        </is>
      </c>
      <c r="R281" t="inlineStr">
        <is>
          <t>—</t>
        </is>
      </c>
      <c r="S281" t="inlineStr">
        <is>
          <t>—</t>
        </is>
      </c>
      <c r="T281" s="15">
        <f>IF(OR(P281="",E281=0,E281=""),"",P281/E281)</f>
        <v>-4.81647069493407</v>
      </c>
      <c r="U281" t="inlineStr">
        <is>
          <t>—</t>
        </is>
      </c>
      <c r="V281" t="inlineStr">
        <is>
          <t>—</t>
        </is>
      </c>
      <c r="W281" t="inlineStr">
        <is>
          <t>투하자본이 0 이하 — 현금이 자기자본+차입금을 넘어 비율이 성립하지 않음</t>
        </is>
      </c>
      <c r="X281" t="inlineStr">
        <is>
          <t>Palantir Technologies Inc.</t>
        </is>
      </c>
    </row>
    <row r="282">
      <c r="A282" t="inlineStr">
        <is>
          <t>팔란티어 테크놀로지스</t>
        </is>
      </c>
      <c r="B282" t="inlineStr">
        <is>
          <t>PLTR</t>
        </is>
      </c>
      <c r="C282" t="n">
        <v>2019</v>
      </c>
      <c r="D282" t="inlineStr">
        <is>
          <t>2019-12-31</t>
        </is>
      </c>
      <c r="E282" s="14" t="n">
        <v>742555000</v>
      </c>
      <c r="F282" s="14" t="n">
        <v>-576444000</v>
      </c>
      <c r="G282" t="inlineStr">
        <is>
          <t>reported</t>
        </is>
      </c>
      <c r="H282" t="inlineStr">
        <is>
          <t>HIGH</t>
        </is>
      </c>
      <c r="I282" s="15" t="n">
        <v>0.21</v>
      </c>
      <c r="J282" s="14">
        <f>IF(F282="","",F282*(1-I282))</f>
        <v>-455390760.0</v>
      </c>
      <c r="K282" s="14" t="n">
        <v>-1980642000</v>
      </c>
      <c r="L282" s="14" t="n">
        <v>396065000</v>
      </c>
      <c r="M282" s="14" t="n">
        <v>1079154000</v>
      </c>
      <c r="N282" s="14">
        <f>IF(COUNT(K282:M282)&lt;3,"",K282+L282-M282)</f>
        <v>-2663731000.0</v>
      </c>
      <c r="O282" s="14">
        <f>N281</f>
        <v>-2867770000.0</v>
      </c>
      <c r="P282" s="14">
        <f>IF(N282="","",IF(OR(O282="",O282&lt;=0,N282&lt;=0),N282,(N282+O282)/2))</f>
        <v>-2663731000.0</v>
      </c>
      <c r="Q282" t="inlineStr">
        <is>
          <t>기말 단독 (기초 또는 기말 자본이 0 이하)</t>
        </is>
      </c>
      <c r="R282" t="inlineStr">
        <is>
          <t>—</t>
        </is>
      </c>
      <c r="S282" t="inlineStr">
        <is>
          <t>—</t>
        </is>
      </c>
      <c r="T282" s="15">
        <f>IF(OR(P282="",E282=0,E282=""),"",P282/E282)</f>
        <v>-3.5872507760367918</v>
      </c>
      <c r="U282" t="inlineStr">
        <is>
          <t>—</t>
        </is>
      </c>
      <c r="V282" t="inlineStr">
        <is>
          <t>—</t>
        </is>
      </c>
      <c r="W282" t="inlineStr">
        <is>
          <t>투하자본이 0 이하 — 현금이 자기자본+차입금을 넘어 비율이 성립하지 않음</t>
        </is>
      </c>
      <c r="X282" t="inlineStr">
        <is>
          <t>Palantir Technologies Inc.</t>
        </is>
      </c>
    </row>
    <row r="283">
      <c r="A283" t="inlineStr">
        <is>
          <t>팔란티어 테크놀로지스</t>
        </is>
      </c>
      <c r="B283" t="inlineStr">
        <is>
          <t>PLTR</t>
        </is>
      </c>
      <c r="C283" t="n">
        <v>2020</v>
      </c>
      <c r="D283" t="inlineStr">
        <is>
          <t>2020-12-31</t>
        </is>
      </c>
      <c r="E283" s="14" t="n">
        <v>1092673000</v>
      </c>
      <c r="F283" s="14" t="n">
        <v>-1173679000</v>
      </c>
      <c r="G283" t="inlineStr">
        <is>
          <t>reported</t>
        </is>
      </c>
      <c r="H283" t="inlineStr">
        <is>
          <t>HIGH</t>
        </is>
      </c>
      <c r="I283" s="15" t="n">
        <v>0.21</v>
      </c>
      <c r="J283" s="14">
        <f>IF(F283="","",F283*(1-I283))</f>
        <v>-927206410.0</v>
      </c>
      <c r="K283" s="14" t="n">
        <v>1522550000</v>
      </c>
      <c r="L283" s="14" t="n">
        <v>197977000</v>
      </c>
      <c r="M283" s="14" t="n">
        <v>2011323000</v>
      </c>
      <c r="N283" s="14">
        <f>IF(COUNT(K283:M283)&lt;3,"",K283+L283-M283)</f>
        <v>-290796000.0</v>
      </c>
      <c r="O283" s="14">
        <f>N282</f>
        <v>-2663731000.0</v>
      </c>
      <c r="P283" s="14">
        <f>IF(N283="","",IF(OR(O283="",O283&lt;=0,N283&lt;=0),N283,(N283+O283)/2))</f>
        <v>-290796000.0</v>
      </c>
      <c r="Q283" t="inlineStr">
        <is>
          <t>기말 단독 (기초 또는 기말 자본이 0 이하)</t>
        </is>
      </c>
      <c r="R283" t="inlineStr">
        <is>
          <t>—</t>
        </is>
      </c>
      <c r="S283" t="inlineStr">
        <is>
          <t>—</t>
        </is>
      </c>
      <c r="T283" s="15">
        <f>IF(OR(P283="",E283=0,E283=""),"",P283/E283)</f>
        <v>-0.2661326856250681</v>
      </c>
      <c r="U283" t="inlineStr">
        <is>
          <t>—</t>
        </is>
      </c>
      <c r="V283" t="inlineStr">
        <is>
          <t>—</t>
        </is>
      </c>
      <c r="W283" t="inlineStr">
        <is>
          <t>투하자본이 0 이하 — 현금이 자기자본+차입금을 넘어 비율이 성립하지 않음</t>
        </is>
      </c>
      <c r="X283" t="inlineStr">
        <is>
          <t>Palantir Technologies Inc.</t>
        </is>
      </c>
    </row>
    <row r="284">
      <c r="A284" t="inlineStr">
        <is>
          <t>팔란티어 테크놀로지스</t>
        </is>
      </c>
      <c r="B284" t="inlineStr">
        <is>
          <t>PLTR</t>
        </is>
      </c>
      <c r="C284" t="n">
        <v>2021</v>
      </c>
      <c r="D284" t="inlineStr">
        <is>
          <t>2021-12-31</t>
        </is>
      </c>
      <c r="E284" s="14" t="n">
        <v>1541889000</v>
      </c>
      <c r="F284" s="14" t="n">
        <v>-411046000</v>
      </c>
      <c r="G284" t="inlineStr">
        <is>
          <t>reported</t>
        </is>
      </c>
      <c r="H284" t="inlineStr">
        <is>
          <t>HIGH</t>
        </is>
      </c>
      <c r="I284" s="15" t="n">
        <v>0.21</v>
      </c>
      <c r="J284" s="14">
        <f>IF(F284="","",F284*(1-I284))</f>
        <v>-324726340.0</v>
      </c>
      <c r="K284" s="14" t="n">
        <v>2291030000</v>
      </c>
      <c r="L284" s="14" t="n">
        <v>0</v>
      </c>
      <c r="M284" s="14" t="n">
        <v>2524827000</v>
      </c>
      <c r="N284" s="14">
        <f>IF(COUNT(K284:M284)&lt;3,"",K284+L284-M284)</f>
        <v>-233797000.0</v>
      </c>
      <c r="O284" s="14">
        <f>N283</f>
        <v>-290796000.0</v>
      </c>
      <c r="P284" s="14">
        <f>IF(N284="","",IF(OR(O284="",O284&lt;=0,N284&lt;=0),N284,(N284+O284)/2))</f>
        <v>-233797000.0</v>
      </c>
      <c r="Q284" t="inlineStr">
        <is>
          <t>기말 단독 (기초 또는 기말 자본이 0 이하)</t>
        </is>
      </c>
      <c r="R284" t="inlineStr">
        <is>
          <t>—</t>
        </is>
      </c>
      <c r="S284" t="inlineStr">
        <is>
          <t>—</t>
        </is>
      </c>
      <c r="T284" s="15">
        <f>IF(OR(P284="",E284=0,E284=""),"",P284/E284)</f>
        <v>-0.15163024056854935</v>
      </c>
      <c r="U284" t="inlineStr">
        <is>
          <t>—</t>
        </is>
      </c>
      <c r="V284" t="inlineStr">
        <is>
          <t>—</t>
        </is>
      </c>
      <c r="W284" t="inlineStr">
        <is>
          <t>투하자본이 0 이하 — 현금이 자기자본+차입금을 넘어 비율이 성립하지 않음</t>
        </is>
      </c>
      <c r="X284" t="inlineStr">
        <is>
          <t>Palantir Technologies Inc.</t>
        </is>
      </c>
    </row>
    <row r="285">
      <c r="A285" s="9" t="inlineStr">
        <is>
          <t>팔란티어 테크놀로지스</t>
        </is>
      </c>
      <c r="B285" s="9" t="inlineStr">
        <is>
          <t>PLTR</t>
        </is>
      </c>
      <c r="C285" s="9" t="n">
        <v>2022</v>
      </c>
      <c r="D285" s="9" t="inlineStr">
        <is>
          <t>2022-12-31</t>
        </is>
      </c>
      <c r="E285" s="16" t="n">
        <v>1905871000</v>
      </c>
      <c r="F285" s="16" t="n">
        <v>-161201000</v>
      </c>
      <c r="G285" s="9" t="inlineStr">
        <is>
          <t>reported</t>
        </is>
      </c>
      <c r="H285" s="9" t="inlineStr">
        <is>
          <t>HIGH</t>
        </is>
      </c>
      <c r="I285" s="17" t="n">
        <v>0.21</v>
      </c>
      <c r="J285" s="16">
        <f>IF(F285="","",F285*(1-I285))</f>
        <v>-127348790.0</v>
      </c>
      <c r="K285" s="16" t="n">
        <v>2642437000</v>
      </c>
      <c r="L285" s="16" t="n">
        <v>0</v>
      </c>
      <c r="M285" s="16" t="n">
        <v>2633675000</v>
      </c>
      <c r="N285" s="16">
        <f>IF(COUNT(K285:M285)&lt;3,"",K285+L285-M285)</f>
        <v>8762000.0</v>
      </c>
      <c r="O285" s="16">
        <f>N284</f>
        <v>-233797000.0</v>
      </c>
      <c r="P285" s="16">
        <f>IF(N285="","",IF(OR(O285="",O285&lt;=0,N285&lt;=0),N285,(N285+O285)/2))</f>
        <v>8762000.0</v>
      </c>
      <c r="Q285" s="9" t="inlineStr">
        <is>
          <t>기말 단독 (기초 또는 기말 자본이 0 이하)</t>
        </is>
      </c>
      <c r="R285" s="17">
        <f>IF(OR(P285="",P285&lt;=0),"",J285/P285)</f>
        <v>-14.534214791143574</v>
      </c>
      <c r="S285" s="17">
        <f>IF(R285="","",R285-0.1)</f>
        <v>-14.634214791143574</v>
      </c>
      <c r="T285" s="17">
        <f>IF(OR(P285="",E285=0,E285=""),"",P285/E285)</f>
        <v>0.004597373064598811</v>
      </c>
      <c r="U285" s="9" t="inlineStr">
        <is>
          <t>—</t>
        </is>
      </c>
      <c r="V285" s="9" t="inlineStr">
        <is>
          <t>—</t>
        </is>
      </c>
      <c r="W285" s="9" t="inlineStr">
        <is>
          <t>투하자본이 매출의 0.5% — 분모가 작아 비율이 민감 (판정은 유효)</t>
        </is>
      </c>
      <c r="X285" s="9" t="inlineStr">
        <is>
          <t>Palantir Technologies Inc.</t>
        </is>
      </c>
    </row>
    <row r="286">
      <c r="A286" t="inlineStr">
        <is>
          <t>팔란티어 테크놀로지스</t>
        </is>
      </c>
      <c r="B286" t="inlineStr">
        <is>
          <t>PLTR</t>
        </is>
      </c>
      <c r="C286" t="n">
        <v>2023</v>
      </c>
      <c r="D286" t="inlineStr">
        <is>
          <t>2023-12-31</t>
        </is>
      </c>
      <c r="E286" s="14" t="n">
        <v>2225012000</v>
      </c>
      <c r="F286" s="14" t="n">
        <v>119966000</v>
      </c>
      <c r="G286" t="inlineStr">
        <is>
          <t>reported</t>
        </is>
      </c>
      <c r="H286" t="inlineStr">
        <is>
          <t>HIGH</t>
        </is>
      </c>
      <c r="I286" s="15" t="n">
        <v>0.08315794357440814</v>
      </c>
      <c r="J286" s="14">
        <f>IF(F286="","",F286*(1-I286))</f>
        <v>109989874.14115256</v>
      </c>
      <c r="K286" s="14" t="n">
        <v>3560965000</v>
      </c>
      <c r="L286" s="14" t="n">
        <v>0</v>
      </c>
      <c r="M286" s="14" t="n">
        <v>3674179000</v>
      </c>
      <c r="N286" s="14">
        <f>IF(COUNT(K286:M286)&lt;3,"",K286+L286-M286)</f>
        <v>-113214000.0</v>
      </c>
      <c r="O286" s="14">
        <f>N285</f>
        <v>8762000.0</v>
      </c>
      <c r="P286" s="14">
        <f>IF(N286="","",IF(OR(O286="",O286&lt;=0,N286&lt;=0),N286,(N286+O286)/2))</f>
        <v>-113214000.0</v>
      </c>
      <c r="Q286" t="inlineStr">
        <is>
          <t>기말 단독 (기초 또는 기말 자본이 0 이하)</t>
        </is>
      </c>
      <c r="R286" t="inlineStr">
        <is>
          <t>—</t>
        </is>
      </c>
      <c r="S286" t="inlineStr">
        <is>
          <t>—</t>
        </is>
      </c>
      <c r="T286" s="15">
        <f>IF(OR(P286="",E286=0,E286=""),"",P286/E286)</f>
        <v>-0.05088242220716113</v>
      </c>
      <c r="U286" t="inlineStr">
        <is>
          <t>—</t>
        </is>
      </c>
      <c r="V286" t="inlineStr">
        <is>
          <t>—</t>
        </is>
      </c>
      <c r="W286" t="inlineStr">
        <is>
          <t>투하자본이 0 이하 — 현금이 자기자본+차입금을 넘어 비율이 성립하지 않음</t>
        </is>
      </c>
      <c r="X286" t="inlineStr">
        <is>
          <t>Palantir Technologies Inc.</t>
        </is>
      </c>
    </row>
    <row r="287">
      <c r="A287" t="inlineStr">
        <is>
          <t>팔란티어 테크놀로지스</t>
        </is>
      </c>
      <c r="B287" t="inlineStr">
        <is>
          <t>PLTR</t>
        </is>
      </c>
      <c r="C287" t="n">
        <v>2024</v>
      </c>
      <c r="D287" t="inlineStr">
        <is>
          <t>2024-12-31</t>
        </is>
      </c>
      <c r="E287" s="14" t="n">
        <v>2865507000</v>
      </c>
      <c r="F287" s="14" t="n">
        <v>310403000</v>
      </c>
      <c r="G287" t="inlineStr">
        <is>
          <t>reported</t>
        </is>
      </c>
      <c r="H287" t="inlineStr">
        <is>
          <t>HIGH</t>
        </is>
      </c>
      <c r="I287" s="15" t="n">
        <v>0.05</v>
      </c>
      <c r="J287" s="14">
        <f>IF(F287="","",F287*(1-I287))</f>
        <v>294882850.0</v>
      </c>
      <c r="K287" s="14" t="n">
        <v>5094407000</v>
      </c>
      <c r="L287" s="14" t="n">
        <v>0</v>
      </c>
      <c r="M287" s="14" t="n">
        <v>5229987000</v>
      </c>
      <c r="N287" s="14">
        <f>IF(COUNT(K287:M287)&lt;3,"",K287+L287-M287)</f>
        <v>-135580000.0</v>
      </c>
      <c r="O287" s="14">
        <f>N286</f>
        <v>-113214000.0</v>
      </c>
      <c r="P287" s="14">
        <f>IF(N287="","",IF(OR(O287="",O287&lt;=0,N287&lt;=0),N287,(N287+O287)/2))</f>
        <v>-135580000.0</v>
      </c>
      <c r="Q287" t="inlineStr">
        <is>
          <t>기말 단독 (기초 또는 기말 자본이 0 이하)</t>
        </is>
      </c>
      <c r="R287" t="inlineStr">
        <is>
          <t>—</t>
        </is>
      </c>
      <c r="S287" t="inlineStr">
        <is>
          <t>—</t>
        </is>
      </c>
      <c r="T287" s="15">
        <f>IF(OR(P287="",E287=0,E287=""),"",P287/E287)</f>
        <v>-0.04731448919859557</v>
      </c>
      <c r="U287" t="inlineStr">
        <is>
          <t>—</t>
        </is>
      </c>
      <c r="V287" t="inlineStr">
        <is>
          <t>—</t>
        </is>
      </c>
      <c r="W287" t="inlineStr">
        <is>
          <t>투하자본이 0 이하 — 현금이 자기자본+차입금을 넘어 비율이 성립하지 않음</t>
        </is>
      </c>
      <c r="X287" t="inlineStr">
        <is>
          <t>Palantir Technologies Inc.</t>
        </is>
      </c>
    </row>
    <row r="288">
      <c r="A288" s="9" t="inlineStr">
        <is>
          <t>팔란티어 테크놀로지스</t>
        </is>
      </c>
      <c r="B288" s="9" t="inlineStr">
        <is>
          <t>PLTR</t>
        </is>
      </c>
      <c r="C288" s="9" t="n">
        <v>2025</v>
      </c>
      <c r="D288" s="9" t="inlineStr">
        <is>
          <t>2025-12-31</t>
        </is>
      </c>
      <c r="E288" s="16" t="n">
        <v>4475446000</v>
      </c>
      <c r="F288" s="16" t="n">
        <v>1414015000</v>
      </c>
      <c r="G288" s="9" t="inlineStr">
        <is>
          <t>reported</t>
        </is>
      </c>
      <c r="H288" s="9" t="inlineStr">
        <is>
          <t>HIGH</t>
        </is>
      </c>
      <c r="I288" s="17" t="n">
        <v>0.05</v>
      </c>
      <c r="J288" s="16">
        <f>IF(F288="","",F288*(1-I288))</f>
        <v>1343314250.0</v>
      </c>
      <c r="K288" s="16" t="n">
        <v>7488011000</v>
      </c>
      <c r="L288" s="16" t="n">
        <v>0</v>
      </c>
      <c r="M288" s="16" t="n">
        <v>7177043000</v>
      </c>
      <c r="N288" s="16">
        <f>IF(COUNT(K288:M288)&lt;3,"",K288+L288-M288)</f>
        <v>310968000.0</v>
      </c>
      <c r="O288" s="16">
        <f>N287</f>
        <v>-135580000.0</v>
      </c>
      <c r="P288" s="16">
        <f>IF(N288="","",IF(OR(O288="",O288&lt;=0,N288&lt;=0),N288,(N288+O288)/2))</f>
        <v>310968000.0</v>
      </c>
      <c r="Q288" s="9" t="inlineStr">
        <is>
          <t>기말 단독 (기초 또는 기말 자본이 0 이하)</t>
        </is>
      </c>
      <c r="R288" s="17">
        <f>IF(OR(P288="",P288&lt;=0),"",J288/P288)</f>
        <v>4.319782903707134</v>
      </c>
      <c r="S288" s="17">
        <f>IF(R288="","",R288-0.1)</f>
        <v>4.219782903707134</v>
      </c>
      <c r="T288" s="17">
        <f>IF(OR(P288="",E288=0,E288=""),"",P288/E288)</f>
        <v>0.06948313084327239</v>
      </c>
      <c r="U288" s="9" t="inlineStr">
        <is>
          <t>—</t>
        </is>
      </c>
      <c r="V288" s="9" t="inlineStr">
        <is>
          <t>—</t>
        </is>
      </c>
      <c r="W288" s="9" t="inlineStr">
        <is>
          <t>투하자본이 매출의 6.9% — 분모가 작아 비율이 민감 (판정은 유효)</t>
        </is>
      </c>
      <c r="X288" s="9" t="inlineStr">
        <is>
          <t>Palantir Technologies Inc.</t>
        </is>
      </c>
    </row>
    <row r="289">
      <c r="A289" s="11" t="inlineStr">
        <is>
          <t>램리서치</t>
        </is>
      </c>
      <c r="B289" s="11" t="inlineStr">
        <is>
          <t>LRCX</t>
        </is>
      </c>
      <c r="C289" s="11" t="n">
        <v>2015</v>
      </c>
      <c r="D289" s="11" t="inlineStr">
        <is>
          <t>2015-06-28</t>
        </is>
      </c>
      <c r="E289" s="12" t="n">
        <v>5259312000</v>
      </c>
      <c r="F289" s="12" t="n">
        <v>788039000</v>
      </c>
      <c r="G289" s="11" t="inlineStr">
        <is>
          <t>reported</t>
        </is>
      </c>
      <c r="H289" s="11" t="inlineStr">
        <is>
          <t>HIGH</t>
        </is>
      </c>
      <c r="I289" s="13" t="n">
        <v>0.1151015725180536</v>
      </c>
      <c r="J289" s="12">
        <f>IF(F289="","",F289*(1-I289))</f>
        <v>697334471.8944455</v>
      </c>
      <c r="K289" s="12" t="n">
        <v>5103144000</v>
      </c>
      <c r="L289" s="12" t="n">
        <v>2352086000</v>
      </c>
      <c r="M289" s="12" t="n">
        <v>4076486000</v>
      </c>
      <c r="N289" s="12">
        <f>IF(COUNT(K289:M289)&lt;3,"",K289+L289-M289)</f>
        <v>3378744000.0</v>
      </c>
      <c r="O289" s="11" t="inlineStr">
        <is>
          <t>—</t>
        </is>
      </c>
      <c r="P289" s="12" t="inlineStr">
        <is>
          <t>—</t>
        </is>
      </c>
      <c r="Q289" s="11" t="inlineStr">
        <is>
          <t>—</t>
        </is>
      </c>
      <c r="R289" s="13" t="inlineStr">
        <is>
          <t>—</t>
        </is>
      </c>
      <c r="S289" s="13" t="inlineStr">
        <is>
          <t>—</t>
        </is>
      </c>
      <c r="T289" s="13" t="inlineStr">
        <is>
          <t>—</t>
        </is>
      </c>
      <c r="U289" s="11" t="inlineStr">
        <is>
          <t>—</t>
        </is>
      </c>
      <c r="V289" s="11" t="inlineStr">
        <is>
          <t>—</t>
        </is>
      </c>
      <c r="W289" s="11" t="inlineStr">
        <is>
          <t>다음 해 평균 투하자본의 기초값으로만 사용 (보고 기간 밖 — 자체 비율은 계산하지 않음)</t>
        </is>
      </c>
      <c r="X289" s="11" t="inlineStr">
        <is>
          <t>LAM RESEARCH CORP</t>
        </is>
      </c>
    </row>
    <row r="290">
      <c r="A290" s="11" t="inlineStr">
        <is>
          <t>램리서치</t>
        </is>
      </c>
      <c r="B290" s="11" t="inlineStr">
        <is>
          <t>LRCX</t>
        </is>
      </c>
      <c r="C290" s="11" t="n">
        <v>2016</v>
      </c>
      <c r="D290" s="11" t="inlineStr">
        <is>
          <t>2016-06-26</t>
        </is>
      </c>
      <c r="E290" s="12" t="n">
        <v>5885893000</v>
      </c>
      <c r="F290" s="12" t="n">
        <v>1074256000</v>
      </c>
      <c r="G290" s="11" t="inlineStr">
        <is>
          <t>reported</t>
        </is>
      </c>
      <c r="H290" s="11" t="inlineStr">
        <is>
          <t>HIGH</t>
        </is>
      </c>
      <c r="I290" s="13" t="n">
        <v>0.05</v>
      </c>
      <c r="J290" s="12">
        <f>IF(F290="","",F290*(1-I290))</f>
        <v>1020543200.0</v>
      </c>
      <c r="K290" s="12" t="n">
        <v>5894517000</v>
      </c>
      <c r="L290" s="12" t="n">
        <v>4318461000</v>
      </c>
      <c r="M290" s="12" t="n">
        <v>6827934000</v>
      </c>
      <c r="N290" s="12">
        <f>IF(COUNT(K290:M290)&lt;3,"",K290+L290-M290)</f>
        <v>3385044000.0</v>
      </c>
      <c r="O290" s="12" t="inlineStr">
        <is>
          <t>—</t>
        </is>
      </c>
      <c r="P290" s="12" t="inlineStr">
        <is>
          <t>—</t>
        </is>
      </c>
      <c r="Q290" s="11" t="inlineStr">
        <is>
          <t>—</t>
        </is>
      </c>
      <c r="R290" s="13" t="inlineStr">
        <is>
          <t>—</t>
        </is>
      </c>
      <c r="S290" s="13" t="inlineStr">
        <is>
          <t>—</t>
        </is>
      </c>
      <c r="T290" s="13" t="inlineStr">
        <is>
          <t>—</t>
        </is>
      </c>
      <c r="U290" s="11" t="inlineStr">
        <is>
          <t>—</t>
        </is>
      </c>
      <c r="V290" s="11" t="inlineStr">
        <is>
          <t>—</t>
        </is>
      </c>
      <c r="W290" s="11" t="inlineStr">
        <is>
          <t>다음 해 평균 투하자본의 기초값으로만 사용 (보고 기간 밖 — 자체 비율은 계산하지 않음)</t>
        </is>
      </c>
      <c r="X290" s="11" t="inlineStr">
        <is>
          <t>LAM RESEARCH CORP</t>
        </is>
      </c>
    </row>
    <row r="291">
      <c r="A291" t="inlineStr">
        <is>
          <t>램리서치</t>
        </is>
      </c>
      <c r="B291" t="inlineStr">
        <is>
          <t>LRCX</t>
        </is>
      </c>
      <c r="C291" t="n">
        <v>2017</v>
      </c>
      <c r="D291" t="inlineStr">
        <is>
          <t>2017-06-25</t>
        </is>
      </c>
      <c r="E291" s="14" t="n">
        <v>8013620000</v>
      </c>
      <c r="F291" s="14" t="n">
        <v>1902132000</v>
      </c>
      <c r="G291" t="inlineStr">
        <is>
          <t>reported</t>
        </is>
      </c>
      <c r="H291" t="inlineStr">
        <is>
          <t>HIGH</t>
        </is>
      </c>
      <c r="I291" s="15" t="n">
        <v>0.06287558516354773</v>
      </c>
      <c r="J291" s="14">
        <f>IF(F291="","",F291*(1-I291))</f>
        <v>1782534337.4416907</v>
      </c>
      <c r="K291" s="14" t="n">
        <v>6817451000</v>
      </c>
      <c r="L291" s="14" t="n">
        <v>2687270000</v>
      </c>
      <c r="M291" s="14" t="n">
        <v>6041162000</v>
      </c>
      <c r="N291" s="14">
        <f>IF(COUNT(K291:M291)&lt;3,"",K291+L291-M291)</f>
        <v>3463559000.0</v>
      </c>
      <c r="O291" s="14">
        <f>N290</f>
        <v>3385044000.0</v>
      </c>
      <c r="P291" s="14">
        <f>IF(N291="","",IF(OR(O291="",O291&lt;=0,N291&lt;=0),N291,(N291+O291)/2))</f>
        <v>3424301500.0</v>
      </c>
      <c r="Q291" t="inlineStr">
        <is>
          <t>기초·기말 평균</t>
        </is>
      </c>
      <c r="R291" s="15">
        <f>IF(OR(P291="",P291&lt;=0),"",J291/P291)</f>
        <v>0.520554144382932</v>
      </c>
      <c r="S291" s="15">
        <f>IF(R291="","",R291-0.1)</f>
        <v>0.42055414438293204</v>
      </c>
      <c r="T291" s="15">
        <f>IF(OR(P291="",E291=0,E291=""),"",P291/E291)</f>
        <v>0.42731019189829317</v>
      </c>
      <c r="U291" t="inlineStr">
        <is>
          <t>—</t>
        </is>
      </c>
      <c r="V291" t="inlineStr">
        <is>
          <t>—</t>
        </is>
      </c>
      <c r="W291" t="inlineStr">
        <is>
          <t>OK</t>
        </is>
      </c>
      <c r="X291" t="inlineStr">
        <is>
          <t>LAM RESEARCH CORP</t>
        </is>
      </c>
    </row>
    <row r="292">
      <c r="A292" t="inlineStr">
        <is>
          <t>램리서치</t>
        </is>
      </c>
      <c r="B292" t="inlineStr">
        <is>
          <t>LRCX</t>
        </is>
      </c>
      <c r="C292" t="n">
        <v>2018</v>
      </c>
      <c r="D292" t="inlineStr">
        <is>
          <t>2018-06-24</t>
        </is>
      </c>
      <c r="E292" s="14" t="n">
        <v>11076998000</v>
      </c>
      <c r="F292" s="14" t="n">
        <v>3213299000</v>
      </c>
      <c r="G292" t="inlineStr">
        <is>
          <t>reported</t>
        </is>
      </c>
      <c r="H292" t="inlineStr">
        <is>
          <t>HIGH</t>
        </is>
      </c>
      <c r="I292" s="15" t="n">
        <v>0.2446572406972675</v>
      </c>
      <c r="J292" s="14">
        <f>IF(F292="","",F292*(1-I292))</f>
        <v>2427142133.124711</v>
      </c>
      <c r="K292" s="14" t="n">
        <v>6501851000</v>
      </c>
      <c r="L292" s="14" t="n">
        <v>2370246000</v>
      </c>
      <c r="M292" s="14" t="n">
        <v>4949595000</v>
      </c>
      <c r="N292" s="14">
        <f>IF(COUNT(K292:M292)&lt;3,"",K292+L292-M292)</f>
        <v>3922502000.0</v>
      </c>
      <c r="O292" s="14">
        <f>N291</f>
        <v>3463559000.0</v>
      </c>
      <c r="P292" s="14">
        <f>IF(N292="","",IF(OR(O292="",O292&lt;=0,N292&lt;=0),N292,(N292+O292)/2))</f>
        <v>3693030500.0</v>
      </c>
      <c r="Q292" t="inlineStr">
        <is>
          <t>기초·기말 평균</t>
        </is>
      </c>
      <c r="R292" s="15">
        <f>IF(OR(P292="",P292&lt;=0),"",J292/P292)</f>
        <v>0.6572223362695518</v>
      </c>
      <c r="S292" s="15">
        <f>IF(R292="","",R292-0.1)</f>
        <v>0.5572223362695519</v>
      </c>
      <c r="T292" s="15">
        <f>IF(OR(P292="",E292=0,E292=""),"",P292/E292)</f>
        <v>0.33339633174981165</v>
      </c>
      <c r="U292" t="inlineStr">
        <is>
          <t>—</t>
        </is>
      </c>
      <c r="V292" t="inlineStr">
        <is>
          <t>—</t>
        </is>
      </c>
      <c r="W292" t="inlineStr">
        <is>
          <t>OK</t>
        </is>
      </c>
      <c r="X292" t="inlineStr">
        <is>
          <t>LAM RESEARCH CORP</t>
        </is>
      </c>
    </row>
    <row r="293">
      <c r="A293" t="inlineStr">
        <is>
          <t>램리서치</t>
        </is>
      </c>
      <c r="B293" t="inlineStr">
        <is>
          <t>LRCX</t>
        </is>
      </c>
      <c r="C293" t="n">
        <v>2019</v>
      </c>
      <c r="D293" t="inlineStr">
        <is>
          <t>2019-06-30</t>
        </is>
      </c>
      <c r="E293" s="14" t="n">
        <v>9653559000</v>
      </c>
      <c r="F293" s="14" t="n">
        <v>2464732000</v>
      </c>
      <c r="G293" t="inlineStr">
        <is>
          <t>reported</t>
        </is>
      </c>
      <c r="H293" t="inlineStr">
        <is>
          <t>HIGH</t>
        </is>
      </c>
      <c r="I293" s="15" t="n">
        <v>0.1042851403045323</v>
      </c>
      <c r="J293" s="14">
        <f>IF(F293="","",F293*(1-I293))</f>
        <v>2207697077.5669293</v>
      </c>
      <c r="K293" s="14" t="n">
        <v>4673865000</v>
      </c>
      <c r="L293" s="14" t="n">
        <v>4434834000</v>
      </c>
      <c r="M293" s="14" t="n">
        <v>5431203000</v>
      </c>
      <c r="N293" s="14">
        <f>IF(COUNT(K293:M293)&lt;3,"",K293+L293-M293)</f>
        <v>3677496000.0</v>
      </c>
      <c r="O293" s="14">
        <f>N292</f>
        <v>3922502000.0</v>
      </c>
      <c r="P293" s="14">
        <f>IF(N293="","",IF(OR(O293="",O293&lt;=0,N293&lt;=0),N293,(N293+O293)/2))</f>
        <v>3799999000.0</v>
      </c>
      <c r="Q293" t="inlineStr">
        <is>
          <t>기초·기말 평균</t>
        </is>
      </c>
      <c r="R293" s="15">
        <f>IF(OR(P293="",P293&lt;=0),"",J293/P293)</f>
        <v>0.5809730680368415</v>
      </c>
      <c r="S293" s="15">
        <f>IF(R293="","",R293-0.1)</f>
        <v>0.4809730680368415</v>
      </c>
      <c r="T293" s="15">
        <f>IF(OR(P293="",E293=0,E293=""),"",P293/E293)</f>
        <v>0.3936371031657858</v>
      </c>
      <c r="U293" t="inlineStr">
        <is>
          <t>—</t>
        </is>
      </c>
      <c r="V293" t="inlineStr">
        <is>
          <t>—</t>
        </is>
      </c>
      <c r="W293" t="inlineStr">
        <is>
          <t>OK</t>
        </is>
      </c>
      <c r="X293" t="inlineStr">
        <is>
          <t>LAM RESEARCH CORP</t>
        </is>
      </c>
    </row>
    <row r="294">
      <c r="A294" t="inlineStr">
        <is>
          <t>램리서치</t>
        </is>
      </c>
      <c r="B294" t="inlineStr">
        <is>
          <t>LRCX</t>
        </is>
      </c>
      <c r="C294" t="n">
        <v>2020</v>
      </c>
      <c r="D294" t="inlineStr">
        <is>
          <t>2020-06-28</t>
        </is>
      </c>
      <c r="E294" s="14" t="n">
        <v>10044736000</v>
      </c>
      <c r="F294" s="14" t="n">
        <v>2673802000</v>
      </c>
      <c r="G294" t="inlineStr">
        <is>
          <t>reported</t>
        </is>
      </c>
      <c r="H294" t="inlineStr">
        <is>
          <t>HIGH</t>
        </is>
      </c>
      <c r="I294" s="15" t="n">
        <v>0.1255253442942037</v>
      </c>
      <c r="J294" s="14">
        <f>IF(F294="","",F294*(1-I294))</f>
        <v>2338172083.3754697</v>
      </c>
      <c r="K294" s="14" t="n">
        <v>5172494000</v>
      </c>
      <c r="L294" s="14" t="n">
        <v>5799248000</v>
      </c>
      <c r="M294" s="14" t="n">
        <v>6710252000</v>
      </c>
      <c r="N294" s="14">
        <f>IF(COUNT(K294:M294)&lt;3,"",K294+L294-M294)</f>
        <v>4261490000.0</v>
      </c>
      <c r="O294" s="14">
        <f>N293</f>
        <v>3677496000.0</v>
      </c>
      <c r="P294" s="14">
        <f>IF(N294="","",IF(OR(O294="",O294&lt;=0,N294&lt;=0),N294,(N294+O294)/2))</f>
        <v>3969493000.0</v>
      </c>
      <c r="Q294" t="inlineStr">
        <is>
          <t>기초·기말 평균</t>
        </is>
      </c>
      <c r="R294" s="15">
        <f>IF(OR(P294="",P294&lt;=0),"",J294/P294)</f>
        <v>0.5890354469388079</v>
      </c>
      <c r="S294" s="15">
        <f>IF(R294="","",R294-0.1)</f>
        <v>0.48903544693880796</v>
      </c>
      <c r="T294" s="15">
        <f>IF(OR(P294="",E294=0,E294=""),"",P294/E294)</f>
        <v>0.3951814164155235</v>
      </c>
      <c r="U294" t="inlineStr">
        <is>
          <t>—</t>
        </is>
      </c>
      <c r="V294" t="inlineStr">
        <is>
          <t>—</t>
        </is>
      </c>
      <c r="W294" t="inlineStr">
        <is>
          <t>OK</t>
        </is>
      </c>
      <c r="X294" t="inlineStr">
        <is>
          <t>LAM RESEARCH CORP</t>
        </is>
      </c>
    </row>
    <row r="295">
      <c r="A295" t="inlineStr">
        <is>
          <t>램리서치</t>
        </is>
      </c>
      <c r="B295" t="inlineStr">
        <is>
          <t>LRCX</t>
        </is>
      </c>
      <c r="C295" t="n">
        <v>2021</v>
      </c>
      <c r="D295" t="inlineStr">
        <is>
          <t>2021-06-27</t>
        </is>
      </c>
      <c r="E295" s="14" t="n">
        <v>14626150000</v>
      </c>
      <c r="F295" s="14" t="n">
        <v>4482023000</v>
      </c>
      <c r="G295" t="inlineStr">
        <is>
          <t>reported</t>
        </is>
      </c>
      <c r="H295" t="inlineStr">
        <is>
          <t>HIGH</t>
        </is>
      </c>
      <c r="I295" s="15" t="n">
        <v>0.1057805383174354</v>
      </c>
      <c r="J295" s="14">
        <f>IF(F295="","",F295*(1-I295))</f>
        <v>4007912194.308873</v>
      </c>
      <c r="K295" s="14" t="n">
        <v>6027188000</v>
      </c>
      <c r="L295" s="14" t="n">
        <v>4960935000</v>
      </c>
      <c r="M295" s="14" t="n">
        <v>5729135000</v>
      </c>
      <c r="N295" s="14">
        <f>IF(COUNT(K295:M295)&lt;3,"",K295+L295-M295)</f>
        <v>5258988000.0</v>
      </c>
      <c r="O295" s="14">
        <f>N294</f>
        <v>4261490000.0</v>
      </c>
      <c r="P295" s="14">
        <f>IF(N295="","",IF(OR(O295="",O295&lt;=0,N295&lt;=0),N295,(N295+O295)/2))</f>
        <v>4760239000.0</v>
      </c>
      <c r="Q295" t="inlineStr">
        <is>
          <t>기초·기말 평균</t>
        </is>
      </c>
      <c r="R295" s="15">
        <f>IF(OR(P295="",P295&lt;=0),"",J295/P295)</f>
        <v>0.8419560854631192</v>
      </c>
      <c r="S295" s="15">
        <f>IF(R295="","",R295-0.1)</f>
        <v>0.7419560854631192</v>
      </c>
      <c r="T295" s="15">
        <f>IF(OR(P295="",E295=0,E295=""),"",P295/E295)</f>
        <v>0.32546083555822963</v>
      </c>
      <c r="U295" t="inlineStr">
        <is>
          <t>—</t>
        </is>
      </c>
      <c r="V295" t="inlineStr">
        <is>
          <t>—</t>
        </is>
      </c>
      <c r="W295" t="inlineStr">
        <is>
          <t>OK</t>
        </is>
      </c>
      <c r="X295" t="inlineStr">
        <is>
          <t>LAM RESEARCH CORP</t>
        </is>
      </c>
    </row>
    <row r="296">
      <c r="A296" t="inlineStr">
        <is>
          <t>램리서치</t>
        </is>
      </c>
      <c r="B296" t="inlineStr">
        <is>
          <t>LRCX</t>
        </is>
      </c>
      <c r="C296" t="n">
        <v>2022</v>
      </c>
      <c r="D296" t="inlineStr">
        <is>
          <t>2022-06-26</t>
        </is>
      </c>
      <c r="E296" s="14" t="n">
        <v>17227039000</v>
      </c>
      <c r="F296" s="14" t="n">
        <v>5381822000</v>
      </c>
      <c r="G296" t="inlineStr">
        <is>
          <t>reported</t>
        </is>
      </c>
      <c r="H296" t="inlineStr">
        <is>
          <t>HIGH</t>
        </is>
      </c>
      <c r="I296" s="15" t="n">
        <v>0.1131937407882823</v>
      </c>
      <c r="J296" s="14">
        <f>IF(F296="","",F296*(1-I296))</f>
        <v>4772633435.563325</v>
      </c>
      <c r="K296" s="14" t="n">
        <v>6278366000</v>
      </c>
      <c r="L296" s="14" t="n">
        <v>4962459000</v>
      </c>
      <c r="M296" s="14" t="n">
        <v>3657732000</v>
      </c>
      <c r="N296" s="14">
        <f>IF(COUNT(K296:M296)&lt;3,"",K296+L296-M296)</f>
        <v>7583093000.0</v>
      </c>
      <c r="O296" s="14">
        <f>N295</f>
        <v>5258988000.0</v>
      </c>
      <c r="P296" s="14">
        <f>IF(N296="","",IF(OR(O296="",O296&lt;=0,N296&lt;=0),N296,(N296+O296)/2))</f>
        <v>6421040500.0</v>
      </c>
      <c r="Q296" t="inlineStr">
        <is>
          <t>기초·기말 평균</t>
        </is>
      </c>
      <c r="R296" s="15">
        <f>IF(OR(P296="",P296&lt;=0),"",J296/P296)</f>
        <v>0.7432803819822231</v>
      </c>
      <c r="S296" s="15">
        <f>IF(R296="","",R296-0.1)</f>
        <v>0.6432803819822231</v>
      </c>
      <c r="T296" s="15">
        <f>IF(OR(P296="",E296=0,E296=""),"",P296/E296)</f>
        <v>0.37273036300666645</v>
      </c>
      <c r="U296" t="inlineStr">
        <is>
          <t>—</t>
        </is>
      </c>
      <c r="V296" t="inlineStr">
        <is>
          <t>—</t>
        </is>
      </c>
      <c r="W296" t="inlineStr">
        <is>
          <t>OK</t>
        </is>
      </c>
      <c r="X296" t="inlineStr">
        <is>
          <t>LAM RESEARCH CORP</t>
        </is>
      </c>
    </row>
    <row r="297">
      <c r="A297" t="inlineStr">
        <is>
          <t>램리서치</t>
        </is>
      </c>
      <c r="B297" t="inlineStr">
        <is>
          <t>LRCX</t>
        </is>
      </c>
      <c r="C297" t="n">
        <v>2023</v>
      </c>
      <c r="D297" t="inlineStr">
        <is>
          <t>2023-06-25</t>
        </is>
      </c>
      <c r="E297" s="14" t="n">
        <v>17428516000</v>
      </c>
      <c r="F297" s="14" t="n">
        <v>5174860000</v>
      </c>
      <c r="G297" t="inlineStr">
        <is>
          <t>reported</t>
        </is>
      </c>
      <c r="H297" t="inlineStr">
        <is>
          <t>HIGH</t>
        </is>
      </c>
      <c r="I297" s="15" t="n">
        <v>0.1170981423742614</v>
      </c>
      <c r="J297" s="14">
        <f>IF(F297="","",F297*(1-I297))</f>
        <v>4568893506.95313</v>
      </c>
      <c r="K297" s="14" t="n">
        <v>8210172000</v>
      </c>
      <c r="L297" s="14" t="n">
        <v>4965365000</v>
      </c>
      <c r="M297" s="14" t="n">
        <v>5374697000</v>
      </c>
      <c r="N297" s="14">
        <f>IF(COUNT(K297:M297)&lt;3,"",K297+L297-M297)</f>
        <v>7800840000.0</v>
      </c>
      <c r="O297" s="14">
        <f>N296</f>
        <v>7583093000.0</v>
      </c>
      <c r="P297" s="14">
        <f>IF(N297="","",IF(OR(O297="",O297&lt;=0,N297&lt;=0),N297,(N297+O297)/2))</f>
        <v>7691966500.0</v>
      </c>
      <c r="Q297" t="inlineStr">
        <is>
          <t>기초·기말 평균</t>
        </is>
      </c>
      <c r="R297" s="15">
        <f>IF(OR(P297="",P297&lt;=0),"",J297/P297)</f>
        <v>0.593982501997783</v>
      </c>
      <c r="S297" s="15">
        <f>IF(R297="","",R297-0.1)</f>
        <v>0.49398250199778304</v>
      </c>
      <c r="T297" s="15">
        <f>IF(OR(P297="",E297=0,E297=""),"",P297/E297)</f>
        <v>0.4413437437817425</v>
      </c>
      <c r="U297" t="inlineStr">
        <is>
          <t>—</t>
        </is>
      </c>
      <c r="V297" t="inlineStr">
        <is>
          <t>—</t>
        </is>
      </c>
      <c r="W297" t="inlineStr">
        <is>
          <t>OK</t>
        </is>
      </c>
      <c r="X297" t="inlineStr">
        <is>
          <t>LAM RESEARCH CORP</t>
        </is>
      </c>
    </row>
    <row r="298">
      <c r="A298" t="inlineStr">
        <is>
          <t>램리서치</t>
        </is>
      </c>
      <c r="B298" t="inlineStr">
        <is>
          <t>LRCX</t>
        </is>
      </c>
      <c r="C298" t="n">
        <v>2024</v>
      </c>
      <c r="D298" t="inlineStr">
        <is>
          <t>2024-06-30</t>
        </is>
      </c>
      <c r="E298" s="14" t="n">
        <v>14905386000</v>
      </c>
      <c r="F298" s="14" t="n">
        <v>4263913000</v>
      </c>
      <c r="G298" t="inlineStr">
        <is>
          <t>reported</t>
        </is>
      </c>
      <c r="H298" t="inlineStr">
        <is>
          <t>HIGH</t>
        </is>
      </c>
      <c r="I298" s="15" t="n">
        <v>0.1221153418335122</v>
      </c>
      <c r="J298" s="14">
        <f>IF(F298="","",F298*(1-I298))</f>
        <v>3743223806.456643</v>
      </c>
      <c r="K298" s="14" t="n">
        <v>8539454000</v>
      </c>
      <c r="L298" s="14" t="n">
        <v>4967361000</v>
      </c>
      <c r="M298" s="14" t="n">
        <v>5847856000</v>
      </c>
      <c r="N298" s="14">
        <f>IF(COUNT(K298:M298)&lt;3,"",K298+L298-M298)</f>
        <v>7658959000.0</v>
      </c>
      <c r="O298" s="14">
        <f>N297</f>
        <v>7800840000.0</v>
      </c>
      <c r="P298" s="14">
        <f>IF(N298="","",IF(OR(O298="",O298&lt;=0,N298&lt;=0),N298,(N298+O298)/2))</f>
        <v>7729899500.0</v>
      </c>
      <c r="Q298" t="inlineStr">
        <is>
          <t>기초·기말 평균</t>
        </is>
      </c>
      <c r="R298" s="15">
        <f>IF(OR(P298="",P298&lt;=0),"",J298/P298)</f>
        <v>0.4842525839380762</v>
      </c>
      <c r="S298" s="15">
        <f>IF(R298="","",R298-0.1)</f>
        <v>0.38425258393807615</v>
      </c>
      <c r="T298" s="15">
        <f>IF(OR(P298="",E298=0,E298=""),"",P298/E298)</f>
        <v>0.5185977404409386</v>
      </c>
      <c r="U298" t="inlineStr">
        <is>
          <t>—</t>
        </is>
      </c>
      <c r="V298" t="inlineStr">
        <is>
          <t>—</t>
        </is>
      </c>
      <c r="W298" t="inlineStr">
        <is>
          <t>OK</t>
        </is>
      </c>
      <c r="X298" t="inlineStr">
        <is>
          <t>LAM RESEARCH CORP</t>
        </is>
      </c>
    </row>
    <row r="299">
      <c r="A299" t="inlineStr">
        <is>
          <t>램리서치</t>
        </is>
      </c>
      <c r="B299" t="inlineStr">
        <is>
          <t>LRCX</t>
        </is>
      </c>
      <c r="C299" t="n">
        <v>2025</v>
      </c>
      <c r="D299" t="inlineStr">
        <is>
          <t>2025-06-29</t>
        </is>
      </c>
      <c r="E299" s="14" t="n">
        <v>18435591000</v>
      </c>
      <c r="F299" s="14" t="n">
        <v>5900968000</v>
      </c>
      <c r="G299" t="inlineStr">
        <is>
          <t>reported</t>
        </is>
      </c>
      <c r="H299" t="inlineStr">
        <is>
          <t>HIGH</t>
        </is>
      </c>
      <c r="I299" s="15" t="n">
        <v>0.1006879844326969</v>
      </c>
      <c r="J299" s="14">
        <f>IF(F299="","",F299*(1-I299))</f>
        <v>5306811425.878158</v>
      </c>
      <c r="K299" s="14" t="n">
        <v>9861619000</v>
      </c>
      <c r="L299" s="14" t="n">
        <v>4469364000</v>
      </c>
      <c r="M299" s="14" t="n">
        <v>6390659000</v>
      </c>
      <c r="N299" s="14">
        <f>IF(COUNT(K299:M299)&lt;3,"",K299+L299-M299)</f>
        <v>7940324000.0</v>
      </c>
      <c r="O299" s="14">
        <f>N298</f>
        <v>7658959000.0</v>
      </c>
      <c r="P299" s="14">
        <f>IF(N299="","",IF(OR(O299="",O299&lt;=0,N299&lt;=0),N299,(N299+O299)/2))</f>
        <v>7799641500.0</v>
      </c>
      <c r="Q299" t="inlineStr">
        <is>
          <t>기초·기말 평균</t>
        </is>
      </c>
      <c r="R299" s="15">
        <f>IF(OR(P299="",P299&lt;=0),"",J299/P299)</f>
        <v>0.6803917110649454</v>
      </c>
      <c r="S299" s="15">
        <f>IF(R299="","",R299-0.1)</f>
        <v>0.5803917110649455</v>
      </c>
      <c r="T299" s="15">
        <f>IF(OR(P299="",E299=0,E299=""),"",P299/E299)</f>
        <v>0.42307520816663813</v>
      </c>
      <c r="U299" t="inlineStr">
        <is>
          <t>—</t>
        </is>
      </c>
      <c r="V299" t="inlineStr">
        <is>
          <t>—</t>
        </is>
      </c>
      <c r="W299" t="inlineStr">
        <is>
          <t>OK</t>
        </is>
      </c>
      <c r="X299" t="inlineStr">
        <is>
          <t>LAM RESEARCH CORP</t>
        </is>
      </c>
    </row>
    <row r="300">
      <c r="A300" t="inlineStr">
        <is>
          <t>램리서치</t>
        </is>
      </c>
      <c r="B300" t="inlineStr">
        <is>
          <t>LRCX</t>
        </is>
      </c>
      <c r="C300" t="n">
        <v>2026</v>
      </c>
      <c r="D300" t="inlineStr">
        <is>
          <t>2026-06-28</t>
        </is>
      </c>
      <c r="E300" s="14" t="n">
        <v>23232690000</v>
      </c>
      <c r="F300" s="14" t="n">
        <v>8199795000</v>
      </c>
      <c r="G300" t="inlineStr">
        <is>
          <t>reported</t>
        </is>
      </c>
      <c r="H300" t="inlineStr">
        <is>
          <t>HIGH</t>
        </is>
      </c>
      <c r="I300" s="15" t="n">
        <v>0.1206753716472054</v>
      </c>
      <c r="J300" s="14">
        <f>IF(F300="","",F300*(1-I300))</f>
        <v>7210281690.944103</v>
      </c>
      <c r="K300" s="14" t="n">
        <v>12470921000</v>
      </c>
      <c r="L300" s="14" t="n">
        <v>3722061000</v>
      </c>
      <c r="M300" s="14" t="n">
        <v>5579171000</v>
      </c>
      <c r="N300" s="14">
        <f>IF(COUNT(K300:M300)&lt;3,"",K300+L300-M300)</f>
        <v>10613811000.0</v>
      </c>
      <c r="O300" s="14">
        <f>N299</f>
        <v>7940324000.0</v>
      </c>
      <c r="P300" s="14">
        <f>IF(N300="","",IF(OR(O300="",O300&lt;=0,N300&lt;=0),N300,(N300+O300)/2))</f>
        <v>9277067500.0</v>
      </c>
      <c r="Q300" t="inlineStr">
        <is>
          <t>기초·기말 평균</t>
        </is>
      </c>
      <c r="R300" s="15">
        <f>IF(OR(P300="",P300&lt;=0),"",J300/P300)</f>
        <v>0.777215611608313</v>
      </c>
      <c r="S300" s="15">
        <f>IF(R300="","",R300-0.1)</f>
        <v>0.677215611608313</v>
      </c>
      <c r="T300" s="15">
        <f>IF(OR(P300="",E300=0,E300=""),"",P300/E300)</f>
        <v>0.3993109493562734</v>
      </c>
      <c r="U300" t="inlineStr">
        <is>
          <t>—</t>
        </is>
      </c>
      <c r="V300" t="inlineStr">
        <is>
          <t>—</t>
        </is>
      </c>
      <c r="W300" t="inlineStr">
        <is>
          <t>OK</t>
        </is>
      </c>
      <c r="X300" t="inlineStr">
        <is>
          <t>LAM RESEARCH CORP</t>
        </is>
      </c>
    </row>
    <row r="301">
      <c r="A301" s="11" t="inlineStr">
        <is>
          <t>캐터필러</t>
        </is>
      </c>
      <c r="B301" s="11" t="inlineStr">
        <is>
          <t>CAT</t>
        </is>
      </c>
      <c r="C301" s="11" t="n">
        <v>2015</v>
      </c>
      <c r="D301" s="11" t="inlineStr">
        <is>
          <t>2015-12-31</t>
        </is>
      </c>
      <c r="E301" s="12" t="n">
        <v>47011000000</v>
      </c>
      <c r="F301" s="12" t="n">
        <v>3785000000</v>
      </c>
      <c r="G301" s="11" t="inlineStr">
        <is>
          <t>reported</t>
        </is>
      </c>
      <c r="H301" s="11" t="inlineStr">
        <is>
          <t>HIGH</t>
        </is>
      </c>
      <c r="I301" s="13" t="n">
        <v>0.2663564989822623</v>
      </c>
      <c r="J301" s="12">
        <f>IF(F301="","",F301*(1-I301))</f>
        <v>2776840651.352137</v>
      </c>
      <c r="K301" s="12" t="n">
        <v>14885000000</v>
      </c>
      <c r="L301" s="12" t="n">
        <v>32136000000</v>
      </c>
      <c r="M301" s="12" t="n">
        <v>6460000000</v>
      </c>
      <c r="N301" s="12">
        <f>IF(COUNT(K301:M301)&lt;3,"",K301+L301-M301)</f>
        <v>40561000000.0</v>
      </c>
      <c r="O301" s="11" t="inlineStr">
        <is>
          <t>—</t>
        </is>
      </c>
      <c r="P301" s="12" t="inlineStr">
        <is>
          <t>—</t>
        </is>
      </c>
      <c r="Q301" s="11" t="inlineStr">
        <is>
          <t>—</t>
        </is>
      </c>
      <c r="R301" s="13" t="inlineStr">
        <is>
          <t>—</t>
        </is>
      </c>
      <c r="S301" s="13" t="inlineStr">
        <is>
          <t>—</t>
        </is>
      </c>
      <c r="T301" s="13" t="inlineStr">
        <is>
          <t>—</t>
        </is>
      </c>
      <c r="U301" s="11" t="inlineStr">
        <is>
          <t>—</t>
        </is>
      </c>
      <c r="V301" s="11" t="inlineStr">
        <is>
          <t>—</t>
        </is>
      </c>
      <c r="W301" s="11" t="inlineStr">
        <is>
          <t>다음 해 평균 투하자본의 기초값으로만 사용 (보고 기간 밖 — 자체 비율은 계산하지 않음)</t>
        </is>
      </c>
      <c r="X301" s="11" t="inlineStr">
        <is>
          <t>CATERPILLAR INC</t>
        </is>
      </c>
    </row>
    <row r="302">
      <c r="A302" t="inlineStr">
        <is>
          <t>캐터필러</t>
        </is>
      </c>
      <c r="B302" t="inlineStr">
        <is>
          <t>CAT</t>
        </is>
      </c>
      <c r="C302" t="n">
        <v>2016</v>
      </c>
      <c r="D302" t="inlineStr">
        <is>
          <t>2016-12-31</t>
        </is>
      </c>
      <c r="E302" s="14" t="n">
        <v>38537000000</v>
      </c>
      <c r="F302" s="14" t="n">
        <v>1162000000</v>
      </c>
      <c r="G302" t="inlineStr">
        <is>
          <t>reported</t>
        </is>
      </c>
      <c r="H302" t="inlineStr">
        <is>
          <t>HIGH</t>
        </is>
      </c>
      <c r="I302" s="15" t="n">
        <v>0.4</v>
      </c>
      <c r="J302" s="14">
        <f>IF(F302="","",F302*(1-I302))</f>
        <v>697200000.0</v>
      </c>
      <c r="K302" s="14" t="n">
        <v>13228000000</v>
      </c>
      <c r="L302" s="14" t="n">
        <v>30121000000</v>
      </c>
      <c r="M302" s="14" t="n">
        <v>7168000000</v>
      </c>
      <c r="N302" s="14">
        <f>IF(COUNT(K302:M302)&lt;3,"",K302+L302-M302)</f>
        <v>36181000000.0</v>
      </c>
      <c r="O302" s="14">
        <f>N301</f>
        <v>40561000000.0</v>
      </c>
      <c r="P302" s="14">
        <f>IF(N302="","",IF(OR(O302="",O302&lt;=0,N302&lt;=0),N302,(N302+O302)/2))</f>
        <v>38371000000.0</v>
      </c>
      <c r="Q302" t="inlineStr">
        <is>
          <t>기초·기말 평균</t>
        </is>
      </c>
      <c r="R302" s="15">
        <f>IF(OR(P302="",P302&lt;=0),"",J302/P302)</f>
        <v>0.018169972114357197</v>
      </c>
      <c r="S302" s="15">
        <f>IF(R302="","",R302-0.1)</f>
        <v>-0.08183002788564281</v>
      </c>
      <c r="T302" s="15">
        <f>IF(OR(P302="",E302=0,E302=""),"",P302/E302)</f>
        <v>0.9956924514103329</v>
      </c>
      <c r="U302" t="inlineStr">
        <is>
          <t>—</t>
        </is>
      </c>
      <c r="V302" t="inlineStr">
        <is>
          <t>—</t>
        </is>
      </c>
      <c r="W302" t="inlineStr">
        <is>
          <t>OK</t>
        </is>
      </c>
      <c r="X302" t="inlineStr">
        <is>
          <t>CATERPILLAR INC</t>
        </is>
      </c>
    </row>
    <row r="303">
      <c r="A303" t="inlineStr">
        <is>
          <t>캐터필러</t>
        </is>
      </c>
      <c r="B303" t="inlineStr">
        <is>
          <t>CAT</t>
        </is>
      </c>
      <c r="C303" t="n">
        <v>2017</v>
      </c>
      <c r="D303" t="inlineStr">
        <is>
          <t>2017-12-31</t>
        </is>
      </c>
      <c r="E303" s="14" t="n">
        <v>45462000000</v>
      </c>
      <c r="F303" s="14" t="n">
        <v>4460000000</v>
      </c>
      <c r="G303" t="inlineStr">
        <is>
          <t>reported</t>
        </is>
      </c>
      <c r="H303" t="inlineStr">
        <is>
          <t>HIGH</t>
        </is>
      </c>
      <c r="I303" s="15" t="n">
        <v>0.4</v>
      </c>
      <c r="J303" s="14">
        <f>IF(F303="","",F303*(1-I303))</f>
        <v>2676000000.0</v>
      </c>
      <c r="K303" s="14" t="n">
        <v>13766000000</v>
      </c>
      <c r="L303" s="14" t="n">
        <v>28684000000</v>
      </c>
      <c r="M303" s="14" t="n">
        <v>8261000000</v>
      </c>
      <c r="N303" s="14">
        <f>IF(COUNT(K303:M303)&lt;3,"",K303+L303-M303)</f>
        <v>34189000000.0</v>
      </c>
      <c r="O303" s="14">
        <f>N302</f>
        <v>36181000000.0</v>
      </c>
      <c r="P303" s="14">
        <f>IF(N303="","",IF(OR(O303="",O303&lt;=0,N303&lt;=0),N303,(N303+O303)/2))</f>
        <v>35185000000.0</v>
      </c>
      <c r="Q303" t="inlineStr">
        <is>
          <t>기초·기말 평균</t>
        </is>
      </c>
      <c r="R303" s="15">
        <f>IF(OR(P303="",P303&lt;=0),"",J303/P303)</f>
        <v>0.07605513713230069</v>
      </c>
      <c r="S303" s="15">
        <f>IF(R303="","",R303-0.1)</f>
        <v>-0.023944862867699312</v>
      </c>
      <c r="T303" s="15">
        <f>IF(OR(P303="",E303=0,E303=""),"",P303/E303)</f>
        <v>0.7739430733359729</v>
      </c>
      <c r="U303" t="inlineStr">
        <is>
          <t>—</t>
        </is>
      </c>
      <c r="V303" t="inlineStr">
        <is>
          <t>—</t>
        </is>
      </c>
      <c r="W303" t="inlineStr">
        <is>
          <t>OK</t>
        </is>
      </c>
      <c r="X303" t="inlineStr">
        <is>
          <t>CATERPILLAR INC</t>
        </is>
      </c>
    </row>
    <row r="304">
      <c r="A304" t="inlineStr">
        <is>
          <t>캐터필러</t>
        </is>
      </c>
      <c r="B304" t="inlineStr">
        <is>
          <t>CAT</t>
        </is>
      </c>
      <c r="C304" t="n">
        <v>2018</v>
      </c>
      <c r="D304" t="inlineStr">
        <is>
          <t>2018-12-31</t>
        </is>
      </c>
      <c r="E304" s="14" t="n">
        <v>54722000000</v>
      </c>
      <c r="F304" s="14" t="n">
        <v>8293000000</v>
      </c>
      <c r="G304" t="inlineStr">
        <is>
          <t>reported</t>
        </is>
      </c>
      <c r="H304" t="inlineStr">
        <is>
          <t>HIGH</t>
        </is>
      </c>
      <c r="I304" s="15" t="n">
        <v>0.2170800306826899</v>
      </c>
      <c r="J304" s="14">
        <f>IF(F304="","",F304*(1-I304))</f>
        <v>6492755305.548452</v>
      </c>
      <c r="K304" s="14" t="n">
        <v>14080000000</v>
      </c>
      <c r="L304" s="14" t="n">
        <v>30723000000</v>
      </c>
      <c r="M304" s="14" t="n">
        <v>7857000000</v>
      </c>
      <c r="N304" s="14">
        <f>IF(COUNT(K304:M304)&lt;3,"",K304+L304-M304)</f>
        <v>36946000000.0</v>
      </c>
      <c r="O304" s="14">
        <f>N303</f>
        <v>34189000000.0</v>
      </c>
      <c r="P304" s="14">
        <f>IF(N304="","",IF(OR(O304="",O304&lt;=0,N304&lt;=0),N304,(N304+O304)/2))</f>
        <v>35567500000.0</v>
      </c>
      <c r="Q304" t="inlineStr">
        <is>
          <t>기초·기말 평균</t>
        </is>
      </c>
      <c r="R304" s="15">
        <f>IF(OR(P304="",P304&lt;=0),"",J304/P304)</f>
        <v>0.1825474184451663</v>
      </c>
      <c r="S304" s="15">
        <f>IF(R304="","",R304-0.1)</f>
        <v>0.0825474184451663</v>
      </c>
      <c r="T304" s="15">
        <f>IF(OR(P304="",E304=0,E304=""),"",P304/E304)</f>
        <v>0.649967106465407</v>
      </c>
      <c r="U304" t="inlineStr">
        <is>
          <t>—</t>
        </is>
      </c>
      <c r="V304" t="inlineStr">
        <is>
          <t>—</t>
        </is>
      </c>
      <c r="W304" t="inlineStr">
        <is>
          <t>OK</t>
        </is>
      </c>
      <c r="X304" t="inlineStr">
        <is>
          <t>CATERPILLAR INC</t>
        </is>
      </c>
    </row>
    <row r="305">
      <c r="A305" t="inlineStr">
        <is>
          <t>캐터필러</t>
        </is>
      </c>
      <c r="B305" t="inlineStr">
        <is>
          <t>CAT</t>
        </is>
      </c>
      <c r="C305" t="n">
        <v>2019</v>
      </c>
      <c r="D305" t="inlineStr">
        <is>
          <t>2019-12-31</t>
        </is>
      </c>
      <c r="E305" s="14" t="n">
        <v>53800000000</v>
      </c>
      <c r="F305" s="14" t="n">
        <v>8290000000</v>
      </c>
      <c r="G305" t="inlineStr">
        <is>
          <t>reported</t>
        </is>
      </c>
      <c r="H305" t="inlineStr">
        <is>
          <t>HIGH</t>
        </is>
      </c>
      <c r="I305" s="15" t="n">
        <v>0.2235023041474654</v>
      </c>
      <c r="J305" s="14">
        <f>IF(F305="","",F305*(1-I305))</f>
        <v>6437165898.617512</v>
      </c>
      <c r="K305" s="14" t="n">
        <v>14629000000</v>
      </c>
      <c r="L305" s="14" t="n">
        <v>31447000000</v>
      </c>
      <c r="M305" s="14" t="n">
        <v>8284000000</v>
      </c>
      <c r="N305" s="14">
        <f>IF(COUNT(K305:M305)&lt;3,"",K305+L305-M305)</f>
        <v>37792000000.0</v>
      </c>
      <c r="O305" s="14">
        <f>N304</f>
        <v>36946000000.0</v>
      </c>
      <c r="P305" s="14">
        <f>IF(N305="","",IF(OR(O305="",O305&lt;=0,N305&lt;=0),N305,(N305+O305)/2))</f>
        <v>37369000000.0</v>
      </c>
      <c r="Q305" t="inlineStr">
        <is>
          <t>기초·기말 평균</t>
        </is>
      </c>
      <c r="R305" s="15">
        <f>IF(OR(P305="",P305&lt;=0),"",J305/P305)</f>
        <v>0.1722595172099203</v>
      </c>
      <c r="S305" s="15">
        <f>IF(R305="","",R305-0.1)</f>
        <v>0.0722595172099203</v>
      </c>
      <c r="T305" s="15">
        <f>IF(OR(P305="",E305=0,E305=""),"",P305/E305)</f>
        <v>0.6945910780669144</v>
      </c>
      <c r="U305" t="inlineStr">
        <is>
          <t>—</t>
        </is>
      </c>
      <c r="V305" t="inlineStr">
        <is>
          <t>—</t>
        </is>
      </c>
      <c r="W305" t="inlineStr">
        <is>
          <t>OK</t>
        </is>
      </c>
      <c r="X305" t="inlineStr">
        <is>
          <t>CATERPILLAR INC</t>
        </is>
      </c>
    </row>
    <row r="306">
      <c r="A306" t="inlineStr">
        <is>
          <t>캐터필러</t>
        </is>
      </c>
      <c r="B306" t="inlineStr">
        <is>
          <t>CAT</t>
        </is>
      </c>
      <c r="C306" t="n">
        <v>2020</v>
      </c>
      <c r="D306" t="inlineStr">
        <is>
          <t>2020-12-31</t>
        </is>
      </c>
      <c r="E306" s="14" t="n">
        <v>41748000000</v>
      </c>
      <c r="F306" s="14" t="n">
        <v>4553000000</v>
      </c>
      <c r="G306" t="inlineStr">
        <is>
          <t>reported</t>
        </is>
      </c>
      <c r="H306" t="inlineStr">
        <is>
          <t>HIGH</t>
        </is>
      </c>
      <c r="I306" s="15" t="n">
        <v>0.2518147684605757</v>
      </c>
      <c r="J306" s="14">
        <f>IF(F306="","",F306*(1-I306))</f>
        <v>3406487359.198999</v>
      </c>
      <c r="K306" s="14" t="n">
        <v>15378000000</v>
      </c>
      <c r="L306" s="14" t="n">
        <v>28014000000</v>
      </c>
      <c r="M306" s="14" t="n">
        <v>9352000000</v>
      </c>
      <c r="N306" s="14">
        <f>IF(COUNT(K306:M306)&lt;3,"",K306+L306-M306)</f>
        <v>34040000000.0</v>
      </c>
      <c r="O306" s="14">
        <f>N305</f>
        <v>37792000000.0</v>
      </c>
      <c r="P306" s="14">
        <f>IF(N306="","",IF(OR(O306="",O306&lt;=0,N306&lt;=0),N306,(N306+O306)/2))</f>
        <v>35916000000.0</v>
      </c>
      <c r="Q306" t="inlineStr">
        <is>
          <t>기초·기말 평균</t>
        </is>
      </c>
      <c r="R306" s="15">
        <f>IF(OR(P306="",P306&lt;=0),"",J306/P306)</f>
        <v>0.0948459560975331</v>
      </c>
      <c r="S306" s="15">
        <f>IF(R306="","",R306-0.1)</f>
        <v>-0.005154043902466904</v>
      </c>
      <c r="T306" s="15">
        <f>IF(OR(P306="",E306=0,E306=""),"",P306/E306)</f>
        <v>0.8603046852543834</v>
      </c>
      <c r="U306" t="inlineStr">
        <is>
          <t>—</t>
        </is>
      </c>
      <c r="V306" t="inlineStr">
        <is>
          <t>—</t>
        </is>
      </c>
      <c r="W306" t="inlineStr">
        <is>
          <t>OK</t>
        </is>
      </c>
      <c r="X306" t="inlineStr">
        <is>
          <t>CATERPILLAR INC</t>
        </is>
      </c>
    </row>
    <row r="307">
      <c r="A307" t="inlineStr">
        <is>
          <t>캐터필러</t>
        </is>
      </c>
      <c r="B307" t="inlineStr">
        <is>
          <t>CAT</t>
        </is>
      </c>
      <c r="C307" t="n">
        <v>2021</v>
      </c>
      <c r="D307" t="inlineStr">
        <is>
          <t>2021-12-31</t>
        </is>
      </c>
      <c r="E307" s="14" t="n">
        <v>50971000000</v>
      </c>
      <c r="F307" s="14" t="n">
        <v>6878000000</v>
      </c>
      <c r="G307" t="inlineStr">
        <is>
          <t>reported</t>
        </is>
      </c>
      <c r="H307" t="inlineStr">
        <is>
          <t>HIGH</t>
        </is>
      </c>
      <c r="I307" s="15" t="n">
        <v>0.212335446123842</v>
      </c>
      <c r="J307" s="14">
        <f>IF(F307="","",F307*(1-I307))</f>
        <v>5417556801.560214</v>
      </c>
      <c r="K307" s="14" t="n">
        <v>16516000000</v>
      </c>
      <c r="L307" s="14" t="n">
        <v>31437000000</v>
      </c>
      <c r="M307" s="14" t="n">
        <v>9254000000</v>
      </c>
      <c r="N307" s="14">
        <f>IF(COUNT(K307:M307)&lt;3,"",K307+L307-M307)</f>
        <v>38699000000.0</v>
      </c>
      <c r="O307" s="14">
        <f>N306</f>
        <v>34040000000.0</v>
      </c>
      <c r="P307" s="14">
        <f>IF(N307="","",IF(OR(O307="",O307&lt;=0,N307&lt;=0),N307,(N307+O307)/2))</f>
        <v>36369500000.0</v>
      </c>
      <c r="Q307" t="inlineStr">
        <is>
          <t>기초·기말 평균</t>
        </is>
      </c>
      <c r="R307" s="15">
        <f>IF(OR(P307="",P307&lt;=0),"",J307/P307)</f>
        <v>0.14895879243762533</v>
      </c>
      <c r="S307" s="15">
        <f>IF(R307="","",R307-0.1)</f>
        <v>0.048958792437625326</v>
      </c>
      <c r="T307" s="15">
        <f>IF(OR(P307="",E307=0,E307=""),"",P307/E307)</f>
        <v>0.713533185536874</v>
      </c>
      <c r="U307" t="inlineStr">
        <is>
          <t>—</t>
        </is>
      </c>
      <c r="V307" t="inlineStr">
        <is>
          <t>—</t>
        </is>
      </c>
      <c r="W307" t="inlineStr">
        <is>
          <t>OK</t>
        </is>
      </c>
      <c r="X307" t="inlineStr">
        <is>
          <t>CATERPILLAR INC</t>
        </is>
      </c>
    </row>
    <row r="308">
      <c r="A308" t="inlineStr">
        <is>
          <t>캐터필러</t>
        </is>
      </c>
      <c r="B308" t="inlineStr">
        <is>
          <t>CAT</t>
        </is>
      </c>
      <c r="C308" t="n">
        <v>2022</v>
      </c>
      <c r="D308" t="inlineStr">
        <is>
          <t>2022-12-31</t>
        </is>
      </c>
      <c r="E308" s="14" t="n">
        <v>59427000000</v>
      </c>
      <c r="F308" s="14" t="n">
        <v>7904000000</v>
      </c>
      <c r="G308" t="inlineStr">
        <is>
          <t>reported</t>
        </is>
      </c>
      <c r="H308" t="inlineStr">
        <is>
          <t>HIGH</t>
        </is>
      </c>
      <c r="I308" s="15" t="n">
        <v>0.2361745886654479</v>
      </c>
      <c r="J308" s="14">
        <f>IF(F308="","",F308*(1-I308))</f>
        <v>6037276051.188299</v>
      </c>
      <c r="K308" s="14" t="n">
        <v>15891000000</v>
      </c>
      <c r="L308" s="14" t="n">
        <v>31671000000</v>
      </c>
      <c r="M308" s="14" t="n">
        <v>7004000000</v>
      </c>
      <c r="N308" s="14">
        <f>IF(COUNT(K308:M308)&lt;3,"",K308+L308-M308)</f>
        <v>40558000000.0</v>
      </c>
      <c r="O308" s="14">
        <f>N307</f>
        <v>38699000000.0</v>
      </c>
      <c r="P308" s="14">
        <f>IF(N308="","",IF(OR(O308="",O308&lt;=0,N308&lt;=0),N308,(N308+O308)/2))</f>
        <v>39628500000.0</v>
      </c>
      <c r="Q308" t="inlineStr">
        <is>
          <t>기초·기말 평균</t>
        </is>
      </c>
      <c r="R308" s="15">
        <f>IF(OR(P308="",P308&lt;=0),"",J308/P308)</f>
        <v>0.1523468223926795</v>
      </c>
      <c r="S308" s="15">
        <f>IF(R308="","",R308-0.1)</f>
        <v>0.05234682239267949</v>
      </c>
      <c r="T308" s="15">
        <f>IF(OR(P308="",E308=0,E308=""),"",P308/E308)</f>
        <v>0.666843354030996</v>
      </c>
      <c r="U308" t="inlineStr">
        <is>
          <t>—</t>
        </is>
      </c>
      <c r="V308" t="inlineStr">
        <is>
          <t>—</t>
        </is>
      </c>
      <c r="W308" t="inlineStr">
        <is>
          <t>OK</t>
        </is>
      </c>
      <c r="X308" t="inlineStr">
        <is>
          <t>CATERPILLAR INC</t>
        </is>
      </c>
    </row>
    <row r="309">
      <c r="A309" t="inlineStr">
        <is>
          <t>캐터필러</t>
        </is>
      </c>
      <c r="B309" t="inlineStr">
        <is>
          <t>CAT</t>
        </is>
      </c>
      <c r="C309" t="n">
        <v>2023</v>
      </c>
      <c r="D309" t="inlineStr">
        <is>
          <t>2023-12-31</t>
        </is>
      </c>
      <c r="E309" s="14" t="n">
        <v>67060000000</v>
      </c>
      <c r="F309" s="14" t="n">
        <v>12966000000</v>
      </c>
      <c r="G309" t="inlineStr">
        <is>
          <t>reported</t>
        </is>
      </c>
      <c r="H309" t="inlineStr">
        <is>
          <t>HIGH</t>
        </is>
      </c>
      <c r="I309" s="15" t="n">
        <v>0.2131034482758621</v>
      </c>
      <c r="J309" s="14">
        <f>IF(F309="","",F309*(1-I309))</f>
        <v>10202900689.655172</v>
      </c>
      <c r="K309" s="14" t="n">
        <v>19503000000</v>
      </c>
      <c r="L309" s="14" t="n">
        <v>29115000000</v>
      </c>
      <c r="M309" s="14" t="n">
        <v>6978000000</v>
      </c>
      <c r="N309" s="14">
        <f>IF(COUNT(K309:M309)&lt;3,"",K309+L309-M309)</f>
        <v>41640000000.0</v>
      </c>
      <c r="O309" s="14">
        <f>N308</f>
        <v>40558000000.0</v>
      </c>
      <c r="P309" s="14">
        <f>IF(N309="","",IF(OR(O309="",O309&lt;=0,N309&lt;=0),N309,(N309+O309)/2))</f>
        <v>41099000000.0</v>
      </c>
      <c r="Q309" t="inlineStr">
        <is>
          <t>기초·기말 평균</t>
        </is>
      </c>
      <c r="R309" s="15">
        <f>IF(OR(P309="",P309&lt;=0),"",J309/P309)</f>
        <v>0.24825179906214684</v>
      </c>
      <c r="S309" s="15">
        <f>IF(R309="","",R309-0.1)</f>
        <v>0.14825179906214683</v>
      </c>
      <c r="T309" s="15">
        <f>IF(OR(P309="",E309=0,E309=""),"",P309/E309)</f>
        <v>0.6128690724724127</v>
      </c>
      <c r="U309" t="inlineStr">
        <is>
          <t>—</t>
        </is>
      </c>
      <c r="V309" t="inlineStr">
        <is>
          <t>—</t>
        </is>
      </c>
      <c r="W309" t="inlineStr">
        <is>
          <t>OK</t>
        </is>
      </c>
      <c r="X309" t="inlineStr">
        <is>
          <t>CATERPILLAR INC</t>
        </is>
      </c>
    </row>
    <row r="310">
      <c r="A310" t="inlineStr">
        <is>
          <t>캐터필러</t>
        </is>
      </c>
      <c r="B310" t="inlineStr">
        <is>
          <t>CAT</t>
        </is>
      </c>
      <c r="C310" t="n">
        <v>2024</v>
      </c>
      <c r="D310" t="inlineStr">
        <is>
          <t>2024-12-31</t>
        </is>
      </c>
      <c r="E310" s="14" t="n">
        <v>64809000000</v>
      </c>
      <c r="F310" s="14" t="n">
        <v>13072000000</v>
      </c>
      <c r="G310" t="inlineStr">
        <is>
          <t>reported</t>
        </is>
      </c>
      <c r="H310" t="inlineStr">
        <is>
          <t>HIGH</t>
        </is>
      </c>
      <c r="I310" s="15" t="n">
        <v>0.1965901443206461</v>
      </c>
      <c r="J310" s="14">
        <f>IF(F310="","",F310*(1-I310))</f>
        <v>10502173633.440514</v>
      </c>
      <c r="K310" s="14" t="n">
        <v>19494000000</v>
      </c>
      <c r="L310" s="14" t="n">
        <v>31744000000</v>
      </c>
      <c r="M310" s="14" t="n">
        <v>6889000000</v>
      </c>
      <c r="N310" s="14">
        <f>IF(COUNT(K310:M310)&lt;3,"",K310+L310-M310)</f>
        <v>44349000000.0</v>
      </c>
      <c r="O310" s="14">
        <f>N309</f>
        <v>41640000000.0</v>
      </c>
      <c r="P310" s="14">
        <f>IF(N310="","",IF(OR(O310="",O310&lt;=0,N310&lt;=0),N310,(N310+O310)/2))</f>
        <v>42994500000.0</v>
      </c>
      <c r="Q310" t="inlineStr">
        <is>
          <t>기초·기말 평균</t>
        </is>
      </c>
      <c r="R310" s="15">
        <f>IF(OR(P310="",P310&lt;=0),"",J310/P310)</f>
        <v>0.24426783968741383</v>
      </c>
      <c r="S310" s="15">
        <f>IF(R310="","",R310-0.1)</f>
        <v>0.14426783968741383</v>
      </c>
      <c r="T310" s="15">
        <f>IF(OR(P310="",E310=0,E310=""),"",P310/E310)</f>
        <v>0.6634032310327269</v>
      </c>
      <c r="U310" t="inlineStr">
        <is>
          <t>—</t>
        </is>
      </c>
      <c r="V310" t="inlineStr">
        <is>
          <t>—</t>
        </is>
      </c>
      <c r="W310" t="inlineStr">
        <is>
          <t>OK</t>
        </is>
      </c>
      <c r="X310" t="inlineStr">
        <is>
          <t>CATERPILLAR INC</t>
        </is>
      </c>
    </row>
    <row r="311">
      <c r="A311" t="inlineStr">
        <is>
          <t>캐터필러</t>
        </is>
      </c>
      <c r="B311" t="inlineStr">
        <is>
          <t>CAT</t>
        </is>
      </c>
      <c r="C311" t="n">
        <v>2025</v>
      </c>
      <c r="D311" t="inlineStr">
        <is>
          <t>2025-12-31</t>
        </is>
      </c>
      <c r="E311" s="14" t="n">
        <v>67589000000</v>
      </c>
      <c r="F311" s="14" t="n">
        <v>11151000000</v>
      </c>
      <c r="G311" t="inlineStr">
        <is>
          <t>reported</t>
        </is>
      </c>
      <c r="H311" t="inlineStr">
        <is>
          <t>HIGH</t>
        </is>
      </c>
      <c r="I311" s="15" t="n">
        <v>0.2398405684082835</v>
      </c>
      <c r="J311" s="14">
        <f>IF(F311="","",F311*(1-I311))</f>
        <v>8476537821.679231</v>
      </c>
      <c r="K311" s="14" t="n">
        <v>21318000000</v>
      </c>
      <c r="L311" s="14" t="n">
        <v>36210000000</v>
      </c>
      <c r="M311" s="14" t="n">
        <v>9980000000</v>
      </c>
      <c r="N311" s="14">
        <f>IF(COUNT(K311:M311)&lt;3,"",K311+L311-M311)</f>
        <v>47548000000.0</v>
      </c>
      <c r="O311" s="14">
        <f>N310</f>
        <v>44349000000.0</v>
      </c>
      <c r="P311" s="14">
        <f>IF(N311="","",IF(OR(O311="",O311&lt;=0,N311&lt;=0),N311,(N311+O311)/2))</f>
        <v>45948500000.0</v>
      </c>
      <c r="Q311" t="inlineStr">
        <is>
          <t>기초·기말 평균</t>
        </is>
      </c>
      <c r="R311" s="15">
        <f>IF(OR(P311="",P311&lt;=0),"",J311/P311)</f>
        <v>0.1844790977219981</v>
      </c>
      <c r="S311" s="15">
        <f>IF(R311="","",R311-0.1)</f>
        <v>0.0844790977219981</v>
      </c>
      <c r="T311" s="15">
        <f>IF(OR(P311="",E311=0,E311=""),"",P311/E311)</f>
        <v>0.6798221604107177</v>
      </c>
      <c r="U311" t="inlineStr">
        <is>
          <t>—</t>
        </is>
      </c>
      <c r="V311" t="inlineStr">
        <is>
          <t>—</t>
        </is>
      </c>
      <c r="W311" t="inlineStr">
        <is>
          <t>OK</t>
        </is>
      </c>
      <c r="X311" t="inlineStr">
        <is>
          <t>CATERPILLAR INC</t>
        </is>
      </c>
    </row>
    <row r="312">
      <c r="A312" s="11" t="inlineStr">
        <is>
          <t>제너럴 일렉트릭</t>
        </is>
      </c>
      <c r="B312" s="11" t="inlineStr">
        <is>
          <t>GE</t>
        </is>
      </c>
      <c r="C312" s="11" t="n">
        <v>2015</v>
      </c>
      <c r="D312" s="11" t="inlineStr">
        <is>
          <t>2015-12-31</t>
        </is>
      </c>
      <c r="E312" s="12" t="n">
        <v>117386000000</v>
      </c>
      <c r="F312" s="12" t="n">
        <v>5959000000</v>
      </c>
      <c r="G312" s="11" t="inlineStr">
        <is>
          <t>pretax_less_nonoperating</t>
        </is>
      </c>
      <c r="H312" s="11" t="inlineStr">
        <is>
          <t>LOW</t>
        </is>
      </c>
      <c r="I312" s="13" t="n">
        <v>0.4</v>
      </c>
      <c r="J312" s="12">
        <f>IF(F312="","",F312*(1-I312))</f>
        <v>3575400000.0</v>
      </c>
      <c r="K312" s="12" t="n">
        <v>100138000000</v>
      </c>
      <c r="L312" s="12" t="n">
        <v>194519000000</v>
      </c>
      <c r="M312" s="12" t="n">
        <v>102456000000</v>
      </c>
      <c r="N312" s="12">
        <f>IF(COUNT(K312:M312)&lt;3,"",K312+L312-M312)</f>
        <v>192201000000.0</v>
      </c>
      <c r="O312" s="11" t="inlineStr">
        <is>
          <t>—</t>
        </is>
      </c>
      <c r="P312" s="12" t="inlineStr">
        <is>
          <t>—</t>
        </is>
      </c>
      <c r="Q312" s="11" t="inlineStr">
        <is>
          <t>—</t>
        </is>
      </c>
      <c r="R312" s="13" t="inlineStr">
        <is>
          <t>—</t>
        </is>
      </c>
      <c r="S312" s="13" t="inlineStr">
        <is>
          <t>—</t>
        </is>
      </c>
      <c r="T312" s="13" t="inlineStr">
        <is>
          <t>—</t>
        </is>
      </c>
      <c r="U312" s="11" t="inlineStr">
        <is>
          <t>—</t>
        </is>
      </c>
      <c r="V312" s="11" t="inlineStr">
        <is>
          <t>—</t>
        </is>
      </c>
      <c r="W312" s="11" t="inlineStr">
        <is>
          <t>다음 해 평균 투하자본의 기초값으로만 사용 (보고 기간 밖 — 자체 비율은 계산하지 않음)</t>
        </is>
      </c>
      <c r="X312" s="11" t="inlineStr">
        <is>
          <t>GENERAL ELECTRIC CO</t>
        </is>
      </c>
    </row>
    <row r="313">
      <c r="A313" s="18" t="inlineStr">
        <is>
          <t>제너럴 일렉트릭</t>
        </is>
      </c>
      <c r="B313" s="18" t="inlineStr">
        <is>
          <t>GE</t>
        </is>
      </c>
      <c r="C313" s="18" t="n">
        <v>2016</v>
      </c>
      <c r="D313" s="18" t="inlineStr">
        <is>
          <t>2016-12-31</t>
        </is>
      </c>
      <c r="E313" s="19" t="n">
        <v>110171000000</v>
      </c>
      <c r="F313" s="19" t="n">
        <v>2891000000</v>
      </c>
      <c r="G313" s="18" t="inlineStr">
        <is>
          <t>pretax_less_nonoperating</t>
        </is>
      </c>
      <c r="H313" s="18" t="inlineStr">
        <is>
          <t>LOW</t>
        </is>
      </c>
      <c r="I313" s="20" t="n">
        <v>0.05</v>
      </c>
      <c r="J313" s="19">
        <f>IF(F313="","",F313*(1-I313))</f>
        <v>2746450000.0</v>
      </c>
      <c r="K313" s="19" t="n">
        <v>71825000000</v>
      </c>
      <c r="L313" s="19" t="n">
        <v>136210000000</v>
      </c>
      <c r="M313" s="19" t="n">
        <v>92442000000</v>
      </c>
      <c r="N313" s="19">
        <f>IF(COUNT(K313:M313)&lt;3,"",K313+L313-M313)</f>
        <v>115593000000.0</v>
      </c>
      <c r="O313" s="19">
        <f>N312</f>
        <v>192201000000.0</v>
      </c>
      <c r="P313" s="19">
        <f>IF(N313="","",IF(OR(O313="",O313&lt;=0,N313&lt;=0),N313,(N313+O313)/2))</f>
        <v>153897000000.0</v>
      </c>
      <c r="Q313" s="18" t="inlineStr">
        <is>
          <t>기초·기말 평균</t>
        </is>
      </c>
      <c r="R313" s="20">
        <f>IF(OR(P313="",P313&lt;=0),"",J313/P313)</f>
        <v>0.01784602688811348</v>
      </c>
      <c r="S313" s="20">
        <f>IF(R313="","",R313-0.1)</f>
        <v>-0.08215397311188652</v>
      </c>
      <c r="T313" s="20">
        <f>IF(OR(P313="",E313=0,E313=""),"",P313/E313)</f>
        <v>1.3968921040927287</v>
      </c>
      <c r="U313" s="18" t="inlineStr">
        <is>
          <t>—</t>
        </is>
      </c>
      <c r="V313" s="18" t="inlineStr">
        <is>
          <t>—</t>
        </is>
      </c>
      <c r="W313" s="18" t="inlineStr">
        <is>
          <t>OK</t>
        </is>
      </c>
      <c r="X313" s="18" t="inlineStr">
        <is>
          <t>GENERAL ELECTRIC CO</t>
        </is>
      </c>
    </row>
    <row r="314">
      <c r="A314" s="18" t="inlineStr">
        <is>
          <t>제너럴 일렉트릭</t>
        </is>
      </c>
      <c r="B314" s="18" t="inlineStr">
        <is>
          <t>GE</t>
        </is>
      </c>
      <c r="C314" s="18" t="n">
        <v>2017</v>
      </c>
      <c r="D314" s="18" t="inlineStr">
        <is>
          <t>2017-12-31</t>
        </is>
      </c>
      <c r="E314" s="19" t="n">
        <v>110968000000</v>
      </c>
      <c r="F314" s="19" t="n">
        <v>-13428000000</v>
      </c>
      <c r="G314" s="18" t="inlineStr">
        <is>
          <t>pretax_less_nonoperating</t>
        </is>
      </c>
      <c r="H314" s="18" t="inlineStr">
        <is>
          <t>LOW</t>
        </is>
      </c>
      <c r="I314" s="20" t="n">
        <v>0.21</v>
      </c>
      <c r="J314" s="19">
        <f>IF(F314="","",F314*(1-I314))</f>
        <v>-10608120000.0</v>
      </c>
      <c r="K314" s="19" t="n">
        <v>73499000000</v>
      </c>
      <c r="L314" s="19" t="n">
        <v>134591000000</v>
      </c>
      <c r="M314" s="19" t="n">
        <v>81995000000</v>
      </c>
      <c r="N314" s="19">
        <f>IF(COUNT(K314:M314)&lt;3,"",K314+L314-M314)</f>
        <v>126095000000.0</v>
      </c>
      <c r="O314" s="19">
        <f>N313</f>
        <v>115593000000.0</v>
      </c>
      <c r="P314" s="19">
        <f>IF(N314="","",IF(OR(O314="",O314&lt;=0,N314&lt;=0),N314,(N314+O314)/2))</f>
        <v>120844000000.0</v>
      </c>
      <c r="Q314" s="18" t="inlineStr">
        <is>
          <t>기초·기말 평균</t>
        </is>
      </c>
      <c r="R314" s="20">
        <f>IF(OR(P314="",P314&lt;=0),"",J314/P314)</f>
        <v>-0.08778358875906127</v>
      </c>
      <c r="S314" s="20">
        <f>IF(R314="","",R314-0.1)</f>
        <v>-0.18778358875906126</v>
      </c>
      <c r="T314" s="20">
        <f>IF(OR(P314="",E314=0,E314=""),"",P314/E314)</f>
        <v>1.0889986302357437</v>
      </c>
      <c r="U314" s="18" t="inlineStr">
        <is>
          <t>—</t>
        </is>
      </c>
      <c r="V314" s="18" t="inlineStr">
        <is>
          <t>—</t>
        </is>
      </c>
      <c r="W314" s="18" t="inlineStr">
        <is>
          <t>OK</t>
        </is>
      </c>
      <c r="X314" s="18" t="inlineStr">
        <is>
          <t>GENERAL ELECTRIC CO</t>
        </is>
      </c>
    </row>
    <row r="315">
      <c r="A315" s="18" t="inlineStr">
        <is>
          <t>제너럴 일렉트릭</t>
        </is>
      </c>
      <c r="B315" s="18" t="inlineStr">
        <is>
          <t>GE</t>
        </is>
      </c>
      <c r="C315" s="18" t="n">
        <v>2018</v>
      </c>
      <c r="D315" s="18" t="inlineStr">
        <is>
          <t>2018-12-31</t>
        </is>
      </c>
      <c r="E315" s="19" t="n">
        <v>113543000000</v>
      </c>
      <c r="F315" s="19" t="n">
        <v>-23308000000</v>
      </c>
      <c r="G315" s="18" t="inlineStr">
        <is>
          <t>pretax_less_nonoperating</t>
        </is>
      </c>
      <c r="H315" s="18" t="inlineStr">
        <is>
          <t>LOW</t>
        </is>
      </c>
      <c r="I315" s="20" t="n">
        <v>0.21</v>
      </c>
      <c r="J315" s="19">
        <f>IF(F315="","",F315*(1-I315))</f>
        <v>-18413320000.0</v>
      </c>
      <c r="K315" s="19" t="n">
        <v>51481000000</v>
      </c>
      <c r="L315" s="19" t="n">
        <v>103599000000</v>
      </c>
      <c r="M315" s="19" t="n">
        <v>64959000000</v>
      </c>
      <c r="N315" s="19">
        <f>IF(COUNT(K315:M315)&lt;3,"",K315+L315-M315)</f>
        <v>90121000000.0</v>
      </c>
      <c r="O315" s="19">
        <f>N314</f>
        <v>126095000000.0</v>
      </c>
      <c r="P315" s="19">
        <f>IF(N315="","",IF(OR(O315="",O315&lt;=0,N315&lt;=0),N315,(N315+O315)/2))</f>
        <v>108108000000.0</v>
      </c>
      <c r="Q315" s="18" t="inlineStr">
        <is>
          <t>기초·기말 평균</t>
        </is>
      </c>
      <c r="R315" s="20">
        <f>IF(OR(P315="",P315&lt;=0),"",J315/P315)</f>
        <v>-0.17032338032338032</v>
      </c>
      <c r="S315" s="20">
        <f>IF(R315="","",R315-0.1)</f>
        <v>-0.2703233803233803</v>
      </c>
      <c r="T315" s="20">
        <f>IF(OR(P315="",E315=0,E315=""),"",P315/E315)</f>
        <v>0.9521326722034824</v>
      </c>
      <c r="U315" s="18" t="inlineStr">
        <is>
          <t>—</t>
        </is>
      </c>
      <c r="V315" s="18" t="inlineStr">
        <is>
          <t>—</t>
        </is>
      </c>
      <c r="W315" s="18" t="inlineStr">
        <is>
          <t>OK</t>
        </is>
      </c>
      <c r="X315" s="18" t="inlineStr">
        <is>
          <t>GENERAL ELECTRIC CO</t>
        </is>
      </c>
    </row>
    <row r="316">
      <c r="A316" s="18" t="inlineStr">
        <is>
          <t>제너럴 일렉트릭</t>
        </is>
      </c>
      <c r="B316" s="18" t="inlineStr">
        <is>
          <t>GE</t>
        </is>
      </c>
      <c r="C316" s="18" t="n">
        <v>2019</v>
      </c>
      <c r="D316" s="18" t="inlineStr">
        <is>
          <t>2019-12-31</t>
        </is>
      </c>
      <c r="E316" s="19" t="n">
        <v>90221000000</v>
      </c>
      <c r="F316" s="19" t="n">
        <v>-2533000000</v>
      </c>
      <c r="G316" s="18" t="inlineStr">
        <is>
          <t>pretax_less_nonoperating</t>
        </is>
      </c>
      <c r="H316" s="18" t="inlineStr">
        <is>
          <t>LOW</t>
        </is>
      </c>
      <c r="I316" s="20" t="n">
        <v>0.21</v>
      </c>
      <c r="J316" s="19">
        <f>IF(F316="","",F316*(1-I316))</f>
        <v>-2001070000.0</v>
      </c>
      <c r="K316" s="19" t="n">
        <v>29861000000</v>
      </c>
      <c r="L316" s="19" t="n">
        <v>90882000000</v>
      </c>
      <c r="M316" s="19" t="n">
        <v>84332000000</v>
      </c>
      <c r="N316" s="19">
        <f>IF(COUNT(K316:M316)&lt;3,"",K316+L316-M316)</f>
        <v>36411000000.0</v>
      </c>
      <c r="O316" s="19">
        <f>N315</f>
        <v>90121000000.0</v>
      </c>
      <c r="P316" s="19">
        <f>IF(N316="","",IF(OR(O316="",O316&lt;=0,N316&lt;=0),N316,(N316+O316)/2))</f>
        <v>63266000000.0</v>
      </c>
      <c r="Q316" s="18" t="inlineStr">
        <is>
          <t>기초·기말 평균</t>
        </is>
      </c>
      <c r="R316" s="20">
        <f>IF(OR(P316="",P316&lt;=0),"",J316/P316)</f>
        <v>-0.03162946922517624</v>
      </c>
      <c r="S316" s="20">
        <f>IF(R316="","",R316-0.1)</f>
        <v>-0.13162946922517624</v>
      </c>
      <c r="T316" s="20">
        <f>IF(OR(P316="",E316=0,E316=""),"",P316/E316)</f>
        <v>0.7012336374014919</v>
      </c>
      <c r="U316" s="18" t="inlineStr">
        <is>
          <t>—</t>
        </is>
      </c>
      <c r="V316" s="18" t="inlineStr">
        <is>
          <t>—</t>
        </is>
      </c>
      <c r="W316" s="18" t="inlineStr">
        <is>
          <t>OK</t>
        </is>
      </c>
      <c r="X316" s="18" t="inlineStr">
        <is>
          <t>GENERAL ELECTRIC CO</t>
        </is>
      </c>
    </row>
    <row r="317">
      <c r="A317" s="18" t="inlineStr">
        <is>
          <t>제너럴 일렉트릭</t>
        </is>
      </c>
      <c r="B317" s="18" t="inlineStr">
        <is>
          <t>GE</t>
        </is>
      </c>
      <c r="C317" s="18" t="n">
        <v>2020</v>
      </c>
      <c r="D317" s="18" t="inlineStr">
        <is>
          <t>2020-12-31</t>
        </is>
      </c>
      <c r="E317" s="19" t="n">
        <v>75833000000</v>
      </c>
      <c r="F317" s="19" t="n">
        <v>-5426000000</v>
      </c>
      <c r="G317" s="18" t="inlineStr">
        <is>
          <t>pretax_less_nonoperating</t>
        </is>
      </c>
      <c r="H317" s="18" t="inlineStr">
        <is>
          <t>LOW</t>
        </is>
      </c>
      <c r="I317" s="20" t="n">
        <v>0.05</v>
      </c>
      <c r="J317" s="19">
        <f>IF(F317="","",F317*(1-I317))</f>
        <v>-5154700000.0</v>
      </c>
      <c r="K317" s="19" t="n">
        <v>37073000000</v>
      </c>
      <c r="L317" s="19" t="n">
        <v>74902000000</v>
      </c>
      <c r="M317" s="19" t="n">
        <v>36530000000</v>
      </c>
      <c r="N317" s="19">
        <f>IF(COUNT(K317:M317)&lt;3,"",K317+L317-M317)</f>
        <v>75445000000.0</v>
      </c>
      <c r="O317" s="19">
        <f>N316</f>
        <v>36411000000.0</v>
      </c>
      <c r="P317" s="19">
        <f>IF(N317="","",IF(OR(O317="",O317&lt;=0,N317&lt;=0),N317,(N317+O317)/2))</f>
        <v>55928000000.0</v>
      </c>
      <c r="Q317" s="18" t="inlineStr">
        <is>
          <t>기초·기말 평균</t>
        </is>
      </c>
      <c r="R317" s="20">
        <f>IF(OR(P317="",P317&lt;=0),"",J317/P317)</f>
        <v>-0.09216671434701759</v>
      </c>
      <c r="S317" s="20">
        <f>IF(R317="","",R317-0.1)</f>
        <v>-0.1921667143470176</v>
      </c>
      <c r="T317" s="20">
        <f>IF(OR(P317="",E317=0,E317=""),"",P317/E317)</f>
        <v>0.7375153297377132</v>
      </c>
      <c r="U317" s="18" t="inlineStr">
        <is>
          <t>—</t>
        </is>
      </c>
      <c r="V317" s="18" t="inlineStr">
        <is>
          <t>—</t>
        </is>
      </c>
      <c r="W317" s="18" t="inlineStr">
        <is>
          <t>OK</t>
        </is>
      </c>
      <c r="X317" s="18" t="inlineStr">
        <is>
          <t>GENERAL ELECTRIC CO</t>
        </is>
      </c>
    </row>
    <row r="318">
      <c r="A318" s="18" t="inlineStr">
        <is>
          <t>제너럴 일렉트릭</t>
        </is>
      </c>
      <c r="B318" s="18" t="inlineStr">
        <is>
          <t>GE</t>
        </is>
      </c>
      <c r="C318" s="18" t="n">
        <v>2021</v>
      </c>
      <c r="D318" s="18" t="inlineStr">
        <is>
          <t>2021-12-31</t>
        </is>
      </c>
      <c r="E318" s="19" t="n">
        <v>56469000000</v>
      </c>
      <c r="F318" s="19" t="n">
        <v>-8391000000</v>
      </c>
      <c r="G318" s="18" t="inlineStr">
        <is>
          <t>pretax_less_nonoperating</t>
        </is>
      </c>
      <c r="H318" s="18" t="inlineStr">
        <is>
          <t>LOW</t>
        </is>
      </c>
      <c r="I318" s="20" t="n">
        <v>0.21</v>
      </c>
      <c r="J318" s="19">
        <f>IF(F318="","",F318*(1-I318))</f>
        <v>-6628890000.0</v>
      </c>
      <c r="K318" s="19" t="n">
        <v>33346000000</v>
      </c>
      <c r="L318" s="19" t="n">
        <v>35186000000</v>
      </c>
      <c r="M318" s="19" t="n">
        <v>15770000000</v>
      </c>
      <c r="N318" s="19">
        <f>IF(COUNT(K318:M318)&lt;3,"",K318+L318-M318)</f>
        <v>52762000000.0</v>
      </c>
      <c r="O318" s="19">
        <f>N317</f>
        <v>75445000000.0</v>
      </c>
      <c r="P318" s="19">
        <f>IF(N318="","",IF(OR(O318="",O318&lt;=0,N318&lt;=0),N318,(N318+O318)/2))</f>
        <v>64103500000.0</v>
      </c>
      <c r="Q318" s="18" t="inlineStr">
        <is>
          <t>기초·기말 평균</t>
        </is>
      </c>
      <c r="R318" s="20">
        <f>IF(OR(P318="",P318&lt;=0),"",J318/P318)</f>
        <v>-0.1034091742260563</v>
      </c>
      <c r="S318" s="20">
        <f>IF(R318="","",R318-0.1)</f>
        <v>-0.2034091742260563</v>
      </c>
      <c r="T318" s="20">
        <f>IF(OR(P318="",E318=0,E318=""),"",P318/E318)</f>
        <v>1.1351980732791442</v>
      </c>
      <c r="U318" s="18" t="inlineStr">
        <is>
          <t>—</t>
        </is>
      </c>
      <c r="V318" s="18" t="inlineStr">
        <is>
          <t>—</t>
        </is>
      </c>
      <c r="W318" s="18" t="inlineStr">
        <is>
          <t>OK</t>
        </is>
      </c>
      <c r="X318" s="18" t="inlineStr">
        <is>
          <t>GENERAL ELECTRIC CO</t>
        </is>
      </c>
    </row>
    <row r="319">
      <c r="A319" s="18" t="inlineStr">
        <is>
          <t>제너럴 일렉트릭</t>
        </is>
      </c>
      <c r="B319" s="18" t="inlineStr">
        <is>
          <t>GE</t>
        </is>
      </c>
      <c r="C319" s="18" t="n">
        <v>2022</v>
      </c>
      <c r="D319" s="18" t="inlineStr">
        <is>
          <t>2022-12-31</t>
        </is>
      </c>
      <c r="E319" s="19" t="n">
        <v>29139000000</v>
      </c>
      <c r="F319" s="19" t="n">
        <v>711000000</v>
      </c>
      <c r="G319" s="18" t="inlineStr">
        <is>
          <t>pretax_less_nonoperating</t>
        </is>
      </c>
      <c r="H319" s="18" t="inlineStr">
        <is>
          <t>LOW</t>
        </is>
      </c>
      <c r="I319" s="20" t="n">
        <v>0.1110381077529566</v>
      </c>
      <c r="J319" s="19">
        <f>IF(F319="","",F319*(1-I319))</f>
        <v>632051905.3876479</v>
      </c>
      <c r="K319" s="19" t="n">
        <v>34930000000</v>
      </c>
      <c r="L319" s="19" t="n">
        <v>24059000000</v>
      </c>
      <c r="M319" s="19" t="n">
        <v>15810000000</v>
      </c>
      <c r="N319" s="19">
        <f>IF(COUNT(K319:M319)&lt;3,"",K319+L319-M319)</f>
        <v>43179000000.0</v>
      </c>
      <c r="O319" s="19">
        <f>N318</f>
        <v>52762000000.0</v>
      </c>
      <c r="P319" s="19">
        <f>IF(N319="","",IF(OR(O319="",O319&lt;=0,N319&lt;=0),N319,(N319+O319)/2))</f>
        <v>47970500000.0</v>
      </c>
      <c r="Q319" s="18" t="inlineStr">
        <is>
          <t>기초·기말 평균</t>
        </is>
      </c>
      <c r="R319" s="20">
        <f>IF(OR(P319="",P319&lt;=0),"",J319/P319)</f>
        <v>0.013175845684069331</v>
      </c>
      <c r="S319" s="20">
        <f>IF(R319="","",R319-0.1)</f>
        <v>-0.08682415431593067</v>
      </c>
      <c r="T319" s="20">
        <f>IF(OR(P319="",E319=0,E319=""),"",P319/E319)</f>
        <v>1.6462644565702322</v>
      </c>
      <c r="U319" s="18" t="inlineStr">
        <is>
          <t>—</t>
        </is>
      </c>
      <c r="V319" s="18" t="inlineStr">
        <is>
          <t>—</t>
        </is>
      </c>
      <c r="W319" s="18" t="inlineStr">
        <is>
          <t>OK</t>
        </is>
      </c>
      <c r="X319" s="18" t="inlineStr">
        <is>
          <t>GENERAL ELECTRIC CO</t>
        </is>
      </c>
    </row>
    <row r="320">
      <c r="A320" s="18" t="inlineStr">
        <is>
          <t>제너럴 일렉트릭</t>
        </is>
      </c>
      <c r="B320" s="18" t="inlineStr">
        <is>
          <t>GE</t>
        </is>
      </c>
      <c r="C320" s="18" t="n">
        <v>2023</v>
      </c>
      <c r="D320" s="18" t="inlineStr">
        <is>
          <t>2023-12-31</t>
        </is>
      </c>
      <c r="E320" s="19" t="n">
        <v>35348000000</v>
      </c>
      <c r="F320" s="19" t="n">
        <v>3723000000</v>
      </c>
      <c r="G320" s="18" t="inlineStr">
        <is>
          <t>pretax_less_nonoperating</t>
        </is>
      </c>
      <c r="H320" s="18" t="inlineStr">
        <is>
          <t>LOW</t>
        </is>
      </c>
      <c r="I320" s="20" t="n">
        <v>0.09520160904127957</v>
      </c>
      <c r="J320" s="19">
        <f>IF(F320="","",F320*(1-I320))</f>
        <v>3368564409.539316</v>
      </c>
      <c r="K320" s="19" t="n">
        <v>28605000000</v>
      </c>
      <c r="L320" s="19" t="n">
        <v>20525000000</v>
      </c>
      <c r="M320" s="19" t="n">
        <v>15204000000</v>
      </c>
      <c r="N320" s="19">
        <f>IF(COUNT(K320:M320)&lt;3,"",K320+L320-M320)</f>
        <v>33926000000.0</v>
      </c>
      <c r="O320" s="19">
        <f>N319</f>
        <v>43179000000.0</v>
      </c>
      <c r="P320" s="19">
        <f>IF(N320="","",IF(OR(O320="",O320&lt;=0,N320&lt;=0),N320,(N320+O320)/2))</f>
        <v>38552500000.0</v>
      </c>
      <c r="Q320" s="18" t="inlineStr">
        <is>
          <t>기초·기말 평균</t>
        </is>
      </c>
      <c r="R320" s="20">
        <f>IF(OR(P320="",P320&lt;=0),"",J320/P320)</f>
        <v>0.08737603033627693</v>
      </c>
      <c r="S320" s="20">
        <f>IF(R320="","",R320-0.1)</f>
        <v>-0.012623969663723075</v>
      </c>
      <c r="T320" s="20">
        <f>IF(OR(P320="",E320=0,E320=""),"",P320/E320)</f>
        <v>1.090655765531289</v>
      </c>
      <c r="U320" s="18" t="inlineStr">
        <is>
          <t>—</t>
        </is>
      </c>
      <c r="V320" s="18" t="inlineStr">
        <is>
          <t>—</t>
        </is>
      </c>
      <c r="W320" s="18" t="inlineStr">
        <is>
          <t>OK</t>
        </is>
      </c>
      <c r="X320" s="18" t="inlineStr">
        <is>
          <t>GENERAL ELECTRIC CO</t>
        </is>
      </c>
    </row>
    <row r="321">
      <c r="A321" s="18" t="inlineStr">
        <is>
          <t>제너럴 일렉트릭</t>
        </is>
      </c>
      <c r="B321" s="18" t="inlineStr">
        <is>
          <t>GE</t>
        </is>
      </c>
      <c r="C321" s="18" t="n">
        <v>2024</v>
      </c>
      <c r="D321" s="18" t="inlineStr">
        <is>
          <t>2024-12-31</t>
        </is>
      </c>
      <c r="E321" s="19" t="n">
        <v>38702000000</v>
      </c>
      <c r="F321" s="19" t="n">
        <v>5356000000</v>
      </c>
      <c r="G321" s="18" t="inlineStr">
        <is>
          <t>pretax_less_nonoperating</t>
        </is>
      </c>
      <c r="H321" s="18" t="inlineStr">
        <is>
          <t>LOW</t>
        </is>
      </c>
      <c r="I321" s="20" t="n">
        <v>0.126246719160105</v>
      </c>
      <c r="J321" s="19">
        <f>IF(F321="","",F321*(1-I321))</f>
        <v>4679822572.178477</v>
      </c>
      <c r="K321" s="19" t="n">
        <v>19564000000</v>
      </c>
      <c r="L321" s="19" t="n">
        <v>19273000000</v>
      </c>
      <c r="M321" s="19" t="n">
        <v>13619000000</v>
      </c>
      <c r="N321" s="19">
        <f>IF(COUNT(K321:M321)&lt;3,"",K321+L321-M321)</f>
        <v>25218000000.0</v>
      </c>
      <c r="O321" s="19">
        <f>N320</f>
        <v>33926000000.0</v>
      </c>
      <c r="P321" s="19">
        <f>IF(N321="","",IF(OR(O321="",O321&lt;=0,N321&lt;=0),N321,(N321+O321)/2))</f>
        <v>29572000000.0</v>
      </c>
      <c r="Q321" s="18" t="inlineStr">
        <is>
          <t>기초·기말 평균</t>
        </is>
      </c>
      <c r="R321" s="20">
        <f>IF(OR(P321="",P321&lt;=0),"",J321/P321)</f>
        <v>0.15825181158455556</v>
      </c>
      <c r="S321" s="20">
        <f>IF(R321="","",R321-0.1)</f>
        <v>0.05825181158455556</v>
      </c>
      <c r="T321" s="20">
        <f>IF(OR(P321="",E321=0,E321=""),"",P321/E321)</f>
        <v>0.7640948788176322</v>
      </c>
      <c r="U321" s="18" t="inlineStr">
        <is>
          <t>—</t>
        </is>
      </c>
      <c r="V321" s="18" t="inlineStr">
        <is>
          <t>—</t>
        </is>
      </c>
      <c r="W321" s="18" t="inlineStr">
        <is>
          <t>OK</t>
        </is>
      </c>
      <c r="X321" s="18" t="inlineStr">
        <is>
          <t>GENERAL ELECTRIC CO</t>
        </is>
      </c>
    </row>
    <row r="322">
      <c r="A322" s="18" t="inlineStr">
        <is>
          <t>제너럴 일렉트릭</t>
        </is>
      </c>
      <c r="B322" s="18" t="inlineStr">
        <is>
          <t>GE</t>
        </is>
      </c>
      <c r="C322" s="18" t="n">
        <v>2025</v>
      </c>
      <c r="D322" s="18" t="inlineStr">
        <is>
          <t>2025-12-31</t>
        </is>
      </c>
      <c r="E322" s="19" t="n">
        <v>45855000000</v>
      </c>
      <c r="F322" s="19" t="n">
        <v>8513000000</v>
      </c>
      <c r="G322" s="18" t="inlineStr">
        <is>
          <t>pretax_less_nonoperating</t>
        </is>
      </c>
      <c r="H322" s="18" t="inlineStr">
        <is>
          <t>LOW</t>
        </is>
      </c>
      <c r="I322" s="20" t="n">
        <v>0.1405</v>
      </c>
      <c r="J322" s="19">
        <f>IF(F322="","",F322*(1-I322))</f>
        <v>7316923499.999999</v>
      </c>
      <c r="K322" s="19" t="n">
        <v>18898000000</v>
      </c>
      <c r="L322" s="19" t="n">
        <v>20494000000</v>
      </c>
      <c r="M322" s="19" t="n">
        <v>12392000000</v>
      </c>
      <c r="N322" s="19">
        <f>IF(COUNT(K322:M322)&lt;3,"",K322+L322-M322)</f>
        <v>27000000000.0</v>
      </c>
      <c r="O322" s="19">
        <f>N321</f>
        <v>25218000000.0</v>
      </c>
      <c r="P322" s="19">
        <f>IF(N322="","",IF(OR(O322="",O322&lt;=0,N322&lt;=0),N322,(N322+O322)/2))</f>
        <v>26109000000.0</v>
      </c>
      <c r="Q322" s="18" t="inlineStr">
        <is>
          <t>기초·기말 평균</t>
        </is>
      </c>
      <c r="R322" s="20">
        <f>IF(OR(P322="",P322&lt;=0),"",J322/P322)</f>
        <v>0.2802452602550844</v>
      </c>
      <c r="S322" s="20">
        <f>IF(R322="","",R322-0.1)</f>
        <v>0.1802452602550844</v>
      </c>
      <c r="T322" s="20">
        <f>IF(OR(P322="",E322=0,E322=""),"",P322/E322)</f>
        <v>0.5693817468105986</v>
      </c>
      <c r="U322" s="18" t="inlineStr">
        <is>
          <t>—</t>
        </is>
      </c>
      <c r="V322" s="18" t="inlineStr">
        <is>
          <t>—</t>
        </is>
      </c>
      <c r="W322" s="18" t="inlineStr">
        <is>
          <t>OK</t>
        </is>
      </c>
      <c r="X322" s="18" t="inlineStr">
        <is>
          <t>GENERAL ELECTRIC CO</t>
        </is>
      </c>
    </row>
    <row r="323">
      <c r="A323" s="11" t="inlineStr">
        <is>
          <t>코카콜라</t>
        </is>
      </c>
      <c r="B323" s="11" t="inlineStr">
        <is>
          <t>KO</t>
        </is>
      </c>
      <c r="C323" s="11" t="n">
        <v>2015</v>
      </c>
      <c r="D323" s="11" t="inlineStr">
        <is>
          <t>2015-12-31</t>
        </is>
      </c>
      <c r="E323" s="12" t="n">
        <v>44294000000</v>
      </c>
      <c r="F323" s="12" t="n">
        <v>8728000000</v>
      </c>
      <c r="G323" s="11" t="inlineStr">
        <is>
          <t>reported</t>
        </is>
      </c>
      <c r="H323" s="11" t="inlineStr">
        <is>
          <t>HIGH</t>
        </is>
      </c>
      <c r="I323" s="13" t="n">
        <v>0.233107756376887</v>
      </c>
      <c r="J323" s="12">
        <f>IF(F323="","",F323*(1-I323))</f>
        <v>6693435502.34253</v>
      </c>
      <c r="K323" s="12" t="n">
        <v>25764000000</v>
      </c>
      <c r="L323" s="12" t="n">
        <v>44022000000</v>
      </c>
      <c r="M323" s="12" t="n">
        <v>15631000000</v>
      </c>
      <c r="N323" s="12">
        <f>IF(COUNT(K323:M323)&lt;3,"",K323+L323-M323)</f>
        <v>54155000000.0</v>
      </c>
      <c r="O323" s="11" t="inlineStr">
        <is>
          <t>—</t>
        </is>
      </c>
      <c r="P323" s="12" t="inlineStr">
        <is>
          <t>—</t>
        </is>
      </c>
      <c r="Q323" s="11" t="inlineStr">
        <is>
          <t>—</t>
        </is>
      </c>
      <c r="R323" s="13" t="inlineStr">
        <is>
          <t>—</t>
        </is>
      </c>
      <c r="S323" s="13" t="inlineStr">
        <is>
          <t>—</t>
        </is>
      </c>
      <c r="T323" s="13" t="inlineStr">
        <is>
          <t>—</t>
        </is>
      </c>
      <c r="U323" s="11" t="inlineStr">
        <is>
          <t>—</t>
        </is>
      </c>
      <c r="V323" s="11" t="inlineStr">
        <is>
          <t>—</t>
        </is>
      </c>
      <c r="W323" s="11" t="inlineStr">
        <is>
          <t>다음 해 평균 투하자본의 기초값으로만 사용 (보고 기간 밖 — 자체 비율은 계산하지 않음)</t>
        </is>
      </c>
      <c r="X323" s="11" t="inlineStr">
        <is>
          <t>COCA COLA CO</t>
        </is>
      </c>
    </row>
    <row r="324">
      <c r="A324" t="inlineStr">
        <is>
          <t>코카콜라</t>
        </is>
      </c>
      <c r="B324" t="inlineStr">
        <is>
          <t>KO</t>
        </is>
      </c>
      <c r="C324" t="n">
        <v>2016</v>
      </c>
      <c r="D324" t="inlineStr">
        <is>
          <t>2016-12-31</t>
        </is>
      </c>
      <c r="E324" s="14" t="n">
        <v>41863000000</v>
      </c>
      <c r="F324" s="14" t="n">
        <v>8657000000</v>
      </c>
      <c r="G324" t="inlineStr">
        <is>
          <t>reported</t>
        </is>
      </c>
      <c r="H324" t="inlineStr">
        <is>
          <t>HIGH</t>
        </is>
      </c>
      <c r="I324" s="15" t="n">
        <v>0.1949360865290069</v>
      </c>
      <c r="J324" s="14">
        <f>IF(F324="","",F324*(1-I324))</f>
        <v>6969438298.918387</v>
      </c>
      <c r="K324" s="14" t="n">
        <v>23220000000</v>
      </c>
      <c r="L324" s="14" t="n">
        <v>45541000000</v>
      </c>
      <c r="M324" s="14" t="n">
        <v>18150000000</v>
      </c>
      <c r="N324" s="14">
        <f>IF(COUNT(K324:M324)&lt;3,"",K324+L324-M324)</f>
        <v>50611000000.0</v>
      </c>
      <c r="O324" s="14">
        <f>N323</f>
        <v>54155000000.0</v>
      </c>
      <c r="P324" s="14">
        <f>IF(N324="","",IF(OR(O324="",O324&lt;=0,N324&lt;=0),N324,(N324+O324)/2))</f>
        <v>52383000000.0</v>
      </c>
      <c r="Q324" t="inlineStr">
        <is>
          <t>기초·기말 평균</t>
        </is>
      </c>
      <c r="R324" s="15">
        <f>IF(OR(P324="",P324&lt;=0),"",J324/P324)</f>
        <v>0.13304771202333557</v>
      </c>
      <c r="S324" s="15">
        <f>IF(R324="","",R324-0.1)</f>
        <v>0.03304771202333556</v>
      </c>
      <c r="T324" s="15">
        <f>IF(OR(P324="",E324=0,E324=""),"",P324/E324)</f>
        <v>1.2512958937486562</v>
      </c>
      <c r="U324" t="inlineStr">
        <is>
          <t>—</t>
        </is>
      </c>
      <c r="V324" t="inlineStr">
        <is>
          <t>—</t>
        </is>
      </c>
      <c r="W324" t="inlineStr">
        <is>
          <t>OK</t>
        </is>
      </c>
      <c r="X324" t="inlineStr">
        <is>
          <t>COCA COLA CO</t>
        </is>
      </c>
    </row>
    <row r="325">
      <c r="A325" t="inlineStr">
        <is>
          <t>코카콜라</t>
        </is>
      </c>
      <c r="B325" t="inlineStr">
        <is>
          <t>KO</t>
        </is>
      </c>
      <c r="C325" t="n">
        <v>2017</v>
      </c>
      <c r="D325" t="inlineStr">
        <is>
          <t>2017-12-31</t>
        </is>
      </c>
      <c r="E325" s="14" t="n">
        <v>36212000000</v>
      </c>
      <c r="F325" s="14" t="n">
        <v>7755000000</v>
      </c>
      <c r="G325" t="inlineStr">
        <is>
          <t>reported</t>
        </is>
      </c>
      <c r="H325" t="inlineStr">
        <is>
          <t>HIGH</t>
        </is>
      </c>
      <c r="I325" s="15" t="n">
        <v>0.4</v>
      </c>
      <c r="J325" s="14">
        <f>IF(F325="","",F325*(1-I325))</f>
        <v>4653000000.0</v>
      </c>
      <c r="K325" s="14" t="n">
        <v>18977000000</v>
      </c>
      <c r="L325" s="14" t="n">
        <v>47411000000</v>
      </c>
      <c r="M325" s="14" t="n">
        <v>15358000000</v>
      </c>
      <c r="N325" s="14">
        <f>IF(COUNT(K325:M325)&lt;3,"",K325+L325-M325)</f>
        <v>51030000000.0</v>
      </c>
      <c r="O325" s="14">
        <f>N324</f>
        <v>50611000000.0</v>
      </c>
      <c r="P325" s="14">
        <f>IF(N325="","",IF(OR(O325="",O325&lt;=0,N325&lt;=0),N325,(N325+O325)/2))</f>
        <v>50820500000.0</v>
      </c>
      <c r="Q325" t="inlineStr">
        <is>
          <t>기초·기말 평균</t>
        </is>
      </c>
      <c r="R325" s="15">
        <f>IF(OR(P325="",P325&lt;=0),"",J325/P325)</f>
        <v>0.09155754075619091</v>
      </c>
      <c r="S325" s="15">
        <f>IF(R325="","",R325-0.1)</f>
        <v>-0.008442459243809097</v>
      </c>
      <c r="T325" s="15">
        <f>IF(OR(P325="",E325=0,E325=""),"",P325/E325)</f>
        <v>1.4034159946978901</v>
      </c>
      <c r="U325" t="inlineStr">
        <is>
          <t>—</t>
        </is>
      </c>
      <c r="V325" t="inlineStr">
        <is>
          <t>—</t>
        </is>
      </c>
      <c r="W325" t="inlineStr">
        <is>
          <t>OK</t>
        </is>
      </c>
      <c r="X325" t="inlineStr">
        <is>
          <t>COCA COLA CO</t>
        </is>
      </c>
    </row>
    <row r="326">
      <c r="A326" t="inlineStr">
        <is>
          <t>코카콜라</t>
        </is>
      </c>
      <c r="B326" t="inlineStr">
        <is>
          <t>KO</t>
        </is>
      </c>
      <c r="C326" t="n">
        <v>2018</v>
      </c>
      <c r="D326" t="inlineStr">
        <is>
          <t>2018-12-31</t>
        </is>
      </c>
      <c r="E326" s="14" t="n">
        <v>34300000000</v>
      </c>
      <c r="F326" s="14" t="n">
        <v>9152000000</v>
      </c>
      <c r="G326" t="inlineStr">
        <is>
          <t>reported</t>
        </is>
      </c>
      <c r="H326" t="inlineStr">
        <is>
          <t>HIGH</t>
        </is>
      </c>
      <c r="I326" s="15" t="n">
        <v>0.212644376899696</v>
      </c>
      <c r="J326" s="14">
        <f>IF(F326="","",F326*(1-I326))</f>
        <v>7205878662.613982</v>
      </c>
      <c r="K326" s="14" t="n">
        <v>19058000000</v>
      </c>
      <c r="L326" s="14" t="n">
        <v>43442000000</v>
      </c>
      <c r="M326" s="14" t="n">
        <v>11102000000</v>
      </c>
      <c r="N326" s="14">
        <f>IF(COUNT(K326:M326)&lt;3,"",K326+L326-M326)</f>
        <v>51398000000.0</v>
      </c>
      <c r="O326" s="14">
        <f>N325</f>
        <v>51030000000.0</v>
      </c>
      <c r="P326" s="14">
        <f>IF(N326="","",IF(OR(O326="",O326&lt;=0,N326&lt;=0),N326,(N326+O326)/2))</f>
        <v>51214000000.0</v>
      </c>
      <c r="Q326" t="inlineStr">
        <is>
          <t>기초·기말 평균</t>
        </is>
      </c>
      <c r="R326" s="15">
        <f>IF(OR(P326="",P326&lt;=0),"",J326/P326)</f>
        <v>0.14070134460526385</v>
      </c>
      <c r="S326" s="15">
        <f>IF(R326="","",R326-0.1)</f>
        <v>0.04070134460526384</v>
      </c>
      <c r="T326" s="15">
        <f>IF(OR(P326="",E326=0,E326=""),"",P326/E326)</f>
        <v>1.4931195335276968</v>
      </c>
      <c r="U326" t="inlineStr">
        <is>
          <t>—</t>
        </is>
      </c>
      <c r="V326" t="inlineStr">
        <is>
          <t>—</t>
        </is>
      </c>
      <c r="W326" t="inlineStr">
        <is>
          <t>OK</t>
        </is>
      </c>
      <c r="X326" t="inlineStr">
        <is>
          <t>COCA COLA CO</t>
        </is>
      </c>
    </row>
    <row r="327">
      <c r="A327" t="inlineStr">
        <is>
          <t>코카콜라</t>
        </is>
      </c>
      <c r="B327" t="inlineStr">
        <is>
          <t>KO</t>
        </is>
      </c>
      <c r="C327" t="n">
        <v>2019</v>
      </c>
      <c r="D327" t="inlineStr">
        <is>
          <t>2019-12-31</t>
        </is>
      </c>
      <c r="E327" s="14" t="n">
        <v>37266000000</v>
      </c>
      <c r="F327" s="14" t="n">
        <v>10086000000</v>
      </c>
      <c r="G327" t="inlineStr">
        <is>
          <t>reported</t>
        </is>
      </c>
      <c r="H327" t="inlineStr">
        <is>
          <t>HIGH</t>
        </is>
      </c>
      <c r="I327" s="15" t="n">
        <v>0.166975709252735</v>
      </c>
      <c r="J327" s="14">
        <f>IF(F327="","",F327*(1-I327))</f>
        <v>8401882996.476915</v>
      </c>
      <c r="K327" s="14" t="n">
        <v>21098000000</v>
      </c>
      <c r="L327" s="14" t="n">
        <v>42763000000</v>
      </c>
      <c r="M327" s="14" t="n">
        <v>7947000000</v>
      </c>
      <c r="N327" s="14">
        <f>IF(COUNT(K327:M327)&lt;3,"",K327+L327-M327)</f>
        <v>55914000000.0</v>
      </c>
      <c r="O327" s="14">
        <f>N326</f>
        <v>51398000000.0</v>
      </c>
      <c r="P327" s="14">
        <f>IF(N327="","",IF(OR(O327="",O327&lt;=0,N327&lt;=0),N327,(N327+O327)/2))</f>
        <v>53656000000.0</v>
      </c>
      <c r="Q327" t="inlineStr">
        <is>
          <t>기초·기말 평균</t>
        </is>
      </c>
      <c r="R327" s="15">
        <f>IF(OR(P327="",P327&lt;=0),"",J327/P327)</f>
        <v>0.15658794909193596</v>
      </c>
      <c r="S327" s="15">
        <f>IF(R327="","",R327-0.1)</f>
        <v>0.05658794909193596</v>
      </c>
      <c r="T327" s="15">
        <f>IF(OR(P327="",E327=0,E327=""),"",P327/E327)</f>
        <v>1.439811087854881</v>
      </c>
      <c r="U327" t="inlineStr">
        <is>
          <t>—</t>
        </is>
      </c>
      <c r="V327" t="inlineStr">
        <is>
          <t>—</t>
        </is>
      </c>
      <c r="W327" t="inlineStr">
        <is>
          <t>OK</t>
        </is>
      </c>
      <c r="X327" t="inlineStr">
        <is>
          <t>COCA COLA CO</t>
        </is>
      </c>
    </row>
    <row r="328">
      <c r="A328" t="inlineStr">
        <is>
          <t>코카콜라</t>
        </is>
      </c>
      <c r="B328" t="inlineStr">
        <is>
          <t>KO</t>
        </is>
      </c>
      <c r="C328" t="n">
        <v>2020</v>
      </c>
      <c r="D328" t="inlineStr">
        <is>
          <t>2020-12-31</t>
        </is>
      </c>
      <c r="E328" s="14" t="n">
        <v>33014000000</v>
      </c>
      <c r="F328" s="14" t="n">
        <v>8997000000</v>
      </c>
      <c r="G328" t="inlineStr">
        <is>
          <t>reported</t>
        </is>
      </c>
      <c r="H328" t="inlineStr">
        <is>
          <t>HIGH</t>
        </is>
      </c>
      <c r="I328" s="15" t="n">
        <v>0.2032003282387937</v>
      </c>
      <c r="J328" s="14">
        <f>IF(F328="","",F328*(1-I328))</f>
        <v>7168806646.835572</v>
      </c>
      <c r="K328" s="14" t="n">
        <v>21284000000</v>
      </c>
      <c r="L328" s="14" t="n">
        <v>42793000000</v>
      </c>
      <c r="M328" s="14" t="n">
        <v>8566000000</v>
      </c>
      <c r="N328" s="14">
        <f>IF(COUNT(K328:M328)&lt;3,"",K328+L328-M328)</f>
        <v>55511000000.0</v>
      </c>
      <c r="O328" s="14">
        <f>N327</f>
        <v>55914000000.0</v>
      </c>
      <c r="P328" s="14">
        <f>IF(N328="","",IF(OR(O328="",O328&lt;=0,N328&lt;=0),N328,(N328+O328)/2))</f>
        <v>55712500000.0</v>
      </c>
      <c r="Q328" t="inlineStr">
        <is>
          <t>기초·기말 평균</t>
        </is>
      </c>
      <c r="R328" s="15">
        <f>IF(OR(P328="",P328&lt;=0),"",J328/P328)</f>
        <v>0.12867501273207219</v>
      </c>
      <c r="S328" s="15">
        <f>IF(R328="","",R328-0.1)</f>
        <v>0.02867501273207218</v>
      </c>
      <c r="T328" s="15">
        <f>IF(OR(P328="",E328=0,E328=""),"",P328/E328)</f>
        <v>1.6875416489973951</v>
      </c>
      <c r="U328" t="inlineStr">
        <is>
          <t>—</t>
        </is>
      </c>
      <c r="V328" t="inlineStr">
        <is>
          <t>—</t>
        </is>
      </c>
      <c r="W328" t="inlineStr">
        <is>
          <t>OK</t>
        </is>
      </c>
      <c r="X328" t="inlineStr">
        <is>
          <t>COCA COLA CO</t>
        </is>
      </c>
    </row>
    <row r="329">
      <c r="A329" t="inlineStr">
        <is>
          <t>코카콜라</t>
        </is>
      </c>
      <c r="B329" t="inlineStr">
        <is>
          <t>KO</t>
        </is>
      </c>
      <c r="C329" t="n">
        <v>2021</v>
      </c>
      <c r="D329" t="inlineStr">
        <is>
          <t>2021-12-31</t>
        </is>
      </c>
      <c r="E329" s="14" t="n">
        <v>38655000000</v>
      </c>
      <c r="F329" s="14" t="n">
        <v>10308000000</v>
      </c>
      <c r="G329" t="inlineStr">
        <is>
          <t>reported</t>
        </is>
      </c>
      <c r="H329" t="inlineStr">
        <is>
          <t>HIGH</t>
        </is>
      </c>
      <c r="I329" s="15" t="n">
        <v>0.2109456740442656</v>
      </c>
      <c r="J329" s="14">
        <f>IF(F329="","",F329*(1-I329))</f>
        <v>8133571991.951711</v>
      </c>
      <c r="K329" s="14" t="n">
        <v>24860000000</v>
      </c>
      <c r="L329" s="14" t="n">
        <v>42761000000</v>
      </c>
      <c r="M329" s="14" t="n">
        <v>10926000000</v>
      </c>
      <c r="N329" s="14">
        <f>IF(COUNT(K329:M329)&lt;3,"",K329+L329-M329)</f>
        <v>56695000000.0</v>
      </c>
      <c r="O329" s="14">
        <f>N328</f>
        <v>55511000000.0</v>
      </c>
      <c r="P329" s="14">
        <f>IF(N329="","",IF(OR(O329="",O329&lt;=0,N329&lt;=0),N329,(N329+O329)/2))</f>
        <v>56103000000.0</v>
      </c>
      <c r="Q329" t="inlineStr">
        <is>
          <t>기초·기말 평균</t>
        </is>
      </c>
      <c r="R329" s="15">
        <f>IF(OR(P329="",P329&lt;=0),"",J329/P329)</f>
        <v>0.14497570525554268</v>
      </c>
      <c r="S329" s="15">
        <f>IF(R329="","",R329-0.1)</f>
        <v>0.044975705255542675</v>
      </c>
      <c r="T329" s="15">
        <f>IF(OR(P329="",E329=0,E329=""),"",P329/E329)</f>
        <v>1.4513775708187815</v>
      </c>
      <c r="U329" t="inlineStr">
        <is>
          <t>—</t>
        </is>
      </c>
      <c r="V329" t="inlineStr">
        <is>
          <t>—</t>
        </is>
      </c>
      <c r="W329" t="inlineStr">
        <is>
          <t>OK</t>
        </is>
      </c>
      <c r="X329" t="inlineStr">
        <is>
          <t>COCA COLA CO</t>
        </is>
      </c>
    </row>
    <row r="330">
      <c r="A330" t="inlineStr">
        <is>
          <t>코카콜라</t>
        </is>
      </c>
      <c r="B330" t="inlineStr">
        <is>
          <t>KO</t>
        </is>
      </c>
      <c r="C330" t="n">
        <v>2022</v>
      </c>
      <c r="D330" t="inlineStr">
        <is>
          <t>2022-12-31</t>
        </is>
      </c>
      <c r="E330" s="14" t="n">
        <v>43004000000</v>
      </c>
      <c r="F330" s="14" t="n">
        <v>10909000000</v>
      </c>
      <c r="G330" t="inlineStr">
        <is>
          <t>reported</t>
        </is>
      </c>
      <c r="H330" t="inlineStr">
        <is>
          <t>HIGH</t>
        </is>
      </c>
      <c r="I330" s="15" t="n">
        <v>0.1809857949683382</v>
      </c>
      <c r="J330" s="14">
        <f>IF(F330="","",F330*(1-I330))</f>
        <v>8934625962.6904</v>
      </c>
      <c r="K330" s="14" t="n">
        <v>25826000000</v>
      </c>
      <c r="L330" s="14" t="n">
        <v>39149000000</v>
      </c>
      <c r="M330" s="14" t="n">
        <v>10562000000</v>
      </c>
      <c r="N330" s="14">
        <f>IF(COUNT(K330:M330)&lt;3,"",K330+L330-M330)</f>
        <v>54413000000.0</v>
      </c>
      <c r="O330" s="14">
        <f>N329</f>
        <v>56695000000.0</v>
      </c>
      <c r="P330" s="14">
        <f>IF(N330="","",IF(OR(O330="",O330&lt;=0,N330&lt;=0),N330,(N330+O330)/2))</f>
        <v>55554000000.0</v>
      </c>
      <c r="Q330" t="inlineStr">
        <is>
          <t>기초·기말 평균</t>
        </is>
      </c>
      <c r="R330" s="15">
        <f>IF(OR(P330="",P330&lt;=0),"",J330/P330)</f>
        <v>0.16082777050600136</v>
      </c>
      <c r="S330" s="15">
        <f>IF(R330="","",R330-0.1)</f>
        <v>0.060827770506001355</v>
      </c>
      <c r="T330" s="15">
        <f>IF(OR(P330="",E330=0,E330=""),"",P330/E330)</f>
        <v>1.2918333178308994</v>
      </c>
      <c r="U330" t="inlineStr">
        <is>
          <t>—</t>
        </is>
      </c>
      <c r="V330" t="inlineStr">
        <is>
          <t>—</t>
        </is>
      </c>
      <c r="W330" t="inlineStr">
        <is>
          <t>OK</t>
        </is>
      </c>
      <c r="X330" t="inlineStr">
        <is>
          <t>COCA COLA CO</t>
        </is>
      </c>
    </row>
    <row r="331">
      <c r="A331" t="inlineStr">
        <is>
          <t>코카콜라</t>
        </is>
      </c>
      <c r="B331" t="inlineStr">
        <is>
          <t>KO</t>
        </is>
      </c>
      <c r="C331" t="n">
        <v>2023</v>
      </c>
      <c r="D331" t="inlineStr">
        <is>
          <t>2023-12-31</t>
        </is>
      </c>
      <c r="E331" s="14" t="n">
        <v>45754000000</v>
      </c>
      <c r="F331" s="14" t="n">
        <v>11311000000</v>
      </c>
      <c r="G331" t="inlineStr">
        <is>
          <t>reported</t>
        </is>
      </c>
      <c r="H331" t="inlineStr">
        <is>
          <t>HIGH</t>
        </is>
      </c>
      <c r="I331" s="15" t="n">
        <v>0.1736411365040148</v>
      </c>
      <c r="J331" s="14">
        <f>IF(F331="","",F331*(1-I331))</f>
        <v>9346945105.003088</v>
      </c>
      <c r="K331" s="14" t="n">
        <v>27480000000</v>
      </c>
      <c r="L331" s="14" t="n">
        <v>41716000000</v>
      </c>
      <c r="M331" s="14" t="n">
        <v>12363000000</v>
      </c>
      <c r="N331" s="14">
        <f>IF(COUNT(K331:M331)&lt;3,"",K331+L331-M331)</f>
        <v>56833000000.0</v>
      </c>
      <c r="O331" s="14">
        <f>N330</f>
        <v>54413000000.0</v>
      </c>
      <c r="P331" s="14">
        <f>IF(N331="","",IF(OR(O331="",O331&lt;=0,N331&lt;=0),N331,(N331+O331)/2))</f>
        <v>55623000000.0</v>
      </c>
      <c r="Q331" t="inlineStr">
        <is>
          <t>기초·기말 평균</t>
        </is>
      </c>
      <c r="R331" s="15">
        <f>IF(OR(P331="",P331&lt;=0),"",J331/P331)</f>
        <v>0.16804101010378958</v>
      </c>
      <c r="S331" s="15">
        <f>IF(R331="","",R331-0.1)</f>
        <v>0.06804101010378957</v>
      </c>
      <c r="T331" s="15">
        <f>IF(OR(P331="",E331=0,E331=""),"",P331/E331)</f>
        <v>1.2156969882414652</v>
      </c>
      <c r="U331" t="inlineStr">
        <is>
          <t>—</t>
        </is>
      </c>
      <c r="V331" t="inlineStr">
        <is>
          <t>—</t>
        </is>
      </c>
      <c r="W331" t="inlineStr">
        <is>
          <t>OK</t>
        </is>
      </c>
      <c r="X331" t="inlineStr">
        <is>
          <t>COCA COLA CO</t>
        </is>
      </c>
    </row>
    <row r="332">
      <c r="A332" t="inlineStr">
        <is>
          <t>코카콜라</t>
        </is>
      </c>
      <c r="B332" t="inlineStr">
        <is>
          <t>KO</t>
        </is>
      </c>
      <c r="C332" t="n">
        <v>2024</v>
      </c>
      <c r="D332" t="inlineStr">
        <is>
          <t>2024-12-31</t>
        </is>
      </c>
      <c r="E332" s="14" t="n">
        <v>47061000000</v>
      </c>
      <c r="F332" s="14" t="n">
        <v>9992000000</v>
      </c>
      <c r="G332" t="inlineStr">
        <is>
          <t>reported</t>
        </is>
      </c>
      <c r="H332" t="inlineStr">
        <is>
          <t>HIGH</t>
        </is>
      </c>
      <c r="I332" s="15" t="n">
        <v>0.1862295583065872</v>
      </c>
      <c r="J332" s="14">
        <f>IF(F332="","",F332*(1-I332))</f>
        <v>8131194253.400581</v>
      </c>
      <c r="K332" s="14" t="n">
        <v>26372000000</v>
      </c>
      <c r="L332" s="14" t="n">
        <v>44162000000</v>
      </c>
      <c r="M332" s="14" t="n">
        <v>12848000000</v>
      </c>
      <c r="N332" s="14">
        <f>IF(COUNT(K332:M332)&lt;3,"",K332+L332-M332)</f>
        <v>57686000000.0</v>
      </c>
      <c r="O332" s="14">
        <f>N331</f>
        <v>56833000000.0</v>
      </c>
      <c r="P332" s="14">
        <f>IF(N332="","",IF(OR(O332="",O332&lt;=0,N332&lt;=0),N332,(N332+O332)/2))</f>
        <v>57259500000.0</v>
      </c>
      <c r="Q332" t="inlineStr">
        <is>
          <t>기초·기말 평균</t>
        </is>
      </c>
      <c r="R332" s="15">
        <f>IF(OR(P332="",P332&lt;=0),"",J332/P332)</f>
        <v>0.142006029626535</v>
      </c>
      <c r="S332" s="15">
        <f>IF(R332="","",R332-0.1)</f>
        <v>0.04200602962653499</v>
      </c>
      <c r="T332" s="15">
        <f>IF(OR(P332="",E332=0,E332=""),"",P332/E332)</f>
        <v>1.2167081022502708</v>
      </c>
      <c r="U332" t="inlineStr">
        <is>
          <t>—</t>
        </is>
      </c>
      <c r="V332" t="inlineStr">
        <is>
          <t>—</t>
        </is>
      </c>
      <c r="W332" t="inlineStr">
        <is>
          <t>OK</t>
        </is>
      </c>
      <c r="X332" t="inlineStr">
        <is>
          <t>COCA COLA CO</t>
        </is>
      </c>
    </row>
    <row r="333">
      <c r="A333" t="inlineStr">
        <is>
          <t>코카콜라</t>
        </is>
      </c>
      <c r="B333" t="inlineStr">
        <is>
          <t>KO</t>
        </is>
      </c>
      <c r="C333" t="n">
        <v>2025</v>
      </c>
      <c r="D333" t="inlineStr">
        <is>
          <t>2025-12-31</t>
        </is>
      </c>
      <c r="E333" s="14" t="n">
        <v>47941000000</v>
      </c>
      <c r="F333" s="14" t="n">
        <v>13762000000</v>
      </c>
      <c r="G333" t="inlineStr">
        <is>
          <t>reported</t>
        </is>
      </c>
      <c r="H333" t="inlineStr">
        <is>
          <t>HIGH</t>
        </is>
      </c>
      <c r="I333" s="15" t="n">
        <v>0.1788348543567946</v>
      </c>
      <c r="J333" s="14">
        <f>IF(F333="","",F333*(1-I333))</f>
        <v>11300874734.341793</v>
      </c>
      <c r="K333" s="14" t="n">
        <v>34275000000</v>
      </c>
      <c r="L333" s="14" t="n">
        <v>45436000000</v>
      </c>
      <c r="M333" s="14" t="n">
        <v>13872000000</v>
      </c>
      <c r="N333" s="14">
        <f>IF(COUNT(K333:M333)&lt;3,"",K333+L333-M333)</f>
        <v>65839000000.0</v>
      </c>
      <c r="O333" s="14">
        <f>N332</f>
        <v>57686000000.0</v>
      </c>
      <c r="P333" s="14">
        <f>IF(N333="","",IF(OR(O333="",O333&lt;=0,N333&lt;=0),N333,(N333+O333)/2))</f>
        <v>61762500000.0</v>
      </c>
      <c r="Q333" t="inlineStr">
        <is>
          <t>기초·기말 평균</t>
        </is>
      </c>
      <c r="R333" s="15">
        <f>IF(OR(P333="",P333&lt;=0),"",J333/P333)</f>
        <v>0.18297307807070298</v>
      </c>
      <c r="S333" s="15">
        <f>IF(R333="","",R333-0.1)</f>
        <v>0.08297307807070298</v>
      </c>
      <c r="T333" s="15">
        <f>IF(OR(P333="",E333=0,E333=""),"",P333/E333)</f>
        <v>1.2883022882292818</v>
      </c>
      <c r="U333" t="inlineStr">
        <is>
          <t>—</t>
        </is>
      </c>
      <c r="V333" t="inlineStr">
        <is>
          <t>—</t>
        </is>
      </c>
      <c r="W333" t="inlineStr">
        <is>
          <t>OK</t>
        </is>
      </c>
      <c r="X333" t="inlineStr">
        <is>
          <t>COCA COLA CO</t>
        </is>
      </c>
    </row>
    <row r="334">
      <c r="A334" s="11" t="inlineStr">
        <is>
          <t>유나이티드헬스 그룹</t>
        </is>
      </c>
      <c r="B334" s="11" t="inlineStr">
        <is>
          <t>UNH</t>
        </is>
      </c>
      <c r="C334" s="11" t="n">
        <v>2015</v>
      </c>
      <c r="D334" s="11" t="inlineStr">
        <is>
          <t>2015-12-31</t>
        </is>
      </c>
      <c r="E334" s="12" t="n">
        <v>157107000000</v>
      </c>
      <c r="F334" s="12" t="n">
        <v>11021000000</v>
      </c>
      <c r="G334" s="11" t="inlineStr">
        <is>
          <t>reported</t>
        </is>
      </c>
      <c r="H334" s="11" t="inlineStr">
        <is>
          <t>HIGH</t>
        </is>
      </c>
      <c r="I334" s="13" t="n">
        <v>0.4</v>
      </c>
      <c r="J334" s="12">
        <f>IF(F334="","",F334*(1-I334))</f>
        <v>6612600000.0</v>
      </c>
      <c r="K334" s="12" t="n">
        <v>33725000000</v>
      </c>
      <c r="L334" s="12" t="n">
        <v>31801000000</v>
      </c>
      <c r="M334" s="12" t="n">
        <v>12911000000</v>
      </c>
      <c r="N334" s="12">
        <f>IF(COUNT(K334:M334)&lt;3,"",K334+L334-M334)</f>
        <v>52615000000.0</v>
      </c>
      <c r="O334" s="11" t="inlineStr">
        <is>
          <t>—</t>
        </is>
      </c>
      <c r="P334" s="12" t="inlineStr">
        <is>
          <t>—</t>
        </is>
      </c>
      <c r="Q334" s="11" t="inlineStr">
        <is>
          <t>—</t>
        </is>
      </c>
      <c r="R334" s="11" t="inlineStr">
        <is>
          <t>—</t>
        </is>
      </c>
      <c r="S334" s="11" t="inlineStr">
        <is>
          <t>—</t>
        </is>
      </c>
      <c r="T334" s="13" t="inlineStr">
        <is>
          <t>—</t>
        </is>
      </c>
      <c r="U334" s="11" t="inlineStr">
        <is>
          <t>—</t>
        </is>
      </c>
      <c r="V334" s="11" t="inlineStr">
        <is>
          <t>—</t>
        </is>
      </c>
      <c r="W334" s="11" t="inlineStr">
        <is>
          <t>다음 해 평균 투하자본의 기초값으로만 사용 (보고 기간 밖 — 자체 비율은 계산하지 않음)</t>
        </is>
      </c>
      <c r="X334" s="11" t="inlineStr">
        <is>
          <t>UNITEDHEALTH GROUP INC</t>
        </is>
      </c>
    </row>
    <row r="335">
      <c r="A335" t="inlineStr">
        <is>
          <t>유나이티드헬스 그룹</t>
        </is>
      </c>
      <c r="B335" t="inlineStr">
        <is>
          <t>UNH</t>
        </is>
      </c>
      <c r="C335" t="n">
        <v>2016</v>
      </c>
      <c r="D335" t="inlineStr">
        <is>
          <t>2016-12-31</t>
        </is>
      </c>
      <c r="E335" s="14" t="n">
        <v>184840000000</v>
      </c>
      <c r="F335" s="14" t="n">
        <v>12930000000</v>
      </c>
      <c r="G335" t="inlineStr">
        <is>
          <t>reported</t>
        </is>
      </c>
      <c r="H335" t="inlineStr">
        <is>
          <t>HIGH</t>
        </is>
      </c>
      <c r="I335" s="15" t="n">
        <v>0.4</v>
      </c>
      <c r="J335" s="14">
        <f>IF(F335="","",F335*(1-I335))</f>
        <v>7758000000.0</v>
      </c>
      <c r="K335" s="14" t="n">
        <v>38177000000</v>
      </c>
      <c r="L335" s="14" t="n">
        <v>32770000000</v>
      </c>
      <c r="M335" s="14" t="n">
        <v>13275000000</v>
      </c>
      <c r="N335" s="14">
        <f>IF(COUNT(K335:M335)&lt;3,"",K335+L335-M335)</f>
        <v>57672000000.0</v>
      </c>
      <c r="O335" s="14">
        <f>N334</f>
        <v>52615000000.0</v>
      </c>
      <c r="P335" s="14">
        <f>IF(N335="","",IF(OR(O335="",O335&lt;=0,N335&lt;=0),N335,(N335+O335)/2))</f>
        <v>55143500000.0</v>
      </c>
      <c r="Q335" t="inlineStr">
        <is>
          <t>기초·기말 평균</t>
        </is>
      </c>
      <c r="R335" t="inlineStr">
        <is>
          <t>—</t>
        </is>
      </c>
      <c r="S335" t="inlineStr">
        <is>
          <t>—</t>
        </is>
      </c>
      <c r="T335" s="15">
        <f>IF(OR(P335="",E335=0,E335=""),"",P335/E335)</f>
        <v>0.29833098896342786</v>
      </c>
      <c r="U335" t="inlineStr">
        <is>
          <t>—</t>
        </is>
      </c>
      <c r="V335" t="inlineStr">
        <is>
          <t>—</t>
        </is>
      </c>
      <c r="W335" t="inlineStr">
        <is>
          <t>금융업 — ROIC 정의 부적합</t>
        </is>
      </c>
      <c r="X335" t="inlineStr">
        <is>
          <t>UNITEDHEALTH GROUP INC</t>
        </is>
      </c>
    </row>
    <row r="336">
      <c r="A336" t="inlineStr">
        <is>
          <t>유나이티드헬스 그룹</t>
        </is>
      </c>
      <c r="B336" t="inlineStr">
        <is>
          <t>UNH</t>
        </is>
      </c>
      <c r="C336" t="n">
        <v>2017</v>
      </c>
      <c r="D336" t="inlineStr">
        <is>
          <t>2017-12-31</t>
        </is>
      </c>
      <c r="E336" s="14" t="n">
        <v>201159000000</v>
      </c>
      <c r="F336" s="14" t="n">
        <v>15209000000</v>
      </c>
      <c r="G336" t="inlineStr">
        <is>
          <t>reported</t>
        </is>
      </c>
      <c r="H336" t="inlineStr">
        <is>
          <t>HIGH</t>
        </is>
      </c>
      <c r="I336" s="15" t="n">
        <v>0.2281965342651358</v>
      </c>
      <c r="J336" s="14">
        <f>IF(F336="","",F336*(1-I336))</f>
        <v>11738358910.36155</v>
      </c>
      <c r="K336" s="14" t="n">
        <v>49833000000</v>
      </c>
      <c r="L336" s="14" t="n">
        <v>31067000000</v>
      </c>
      <c r="M336" s="14" t="n">
        <v>15490000000</v>
      </c>
      <c r="N336" s="14">
        <f>IF(COUNT(K336:M336)&lt;3,"",K336+L336-M336)</f>
        <v>65410000000.0</v>
      </c>
      <c r="O336" s="14">
        <f>N335</f>
        <v>57672000000.0</v>
      </c>
      <c r="P336" s="14">
        <f>IF(N336="","",IF(OR(O336="",O336&lt;=0,N336&lt;=0),N336,(N336+O336)/2))</f>
        <v>61541000000.0</v>
      </c>
      <c r="Q336" t="inlineStr">
        <is>
          <t>기초·기말 평균</t>
        </is>
      </c>
      <c r="R336" t="inlineStr">
        <is>
          <t>—</t>
        </is>
      </c>
      <c r="S336" t="inlineStr">
        <is>
          <t>—</t>
        </is>
      </c>
      <c r="T336" s="15">
        <f>IF(OR(P336="",E336=0,E336=""),"",P336/E336)</f>
        <v>0.30593212334521447</v>
      </c>
      <c r="U336" t="inlineStr">
        <is>
          <t>—</t>
        </is>
      </c>
      <c r="V336" t="inlineStr">
        <is>
          <t>—</t>
        </is>
      </c>
      <c r="W336" t="inlineStr">
        <is>
          <t>금융업 — ROIC 정의 부적합</t>
        </is>
      </c>
      <c r="X336" t="inlineStr">
        <is>
          <t>UNITEDHEALTH GROUP INC</t>
        </is>
      </c>
    </row>
    <row r="337">
      <c r="A337" t="inlineStr">
        <is>
          <t>유나이티드헬스 그룹</t>
        </is>
      </c>
      <c r="B337" t="inlineStr">
        <is>
          <t>UNH</t>
        </is>
      </c>
      <c r="C337" t="n">
        <v>2018</v>
      </c>
      <c r="D337" t="inlineStr">
        <is>
          <t>2018-12-31</t>
        </is>
      </c>
      <c r="E337" s="14" t="n">
        <v>226247000000</v>
      </c>
      <c r="F337" s="14" t="n">
        <v>17344000000</v>
      </c>
      <c r="G337" t="inlineStr">
        <is>
          <t>reported</t>
        </is>
      </c>
      <c r="H337" t="inlineStr">
        <is>
          <t>HIGH</t>
        </is>
      </c>
      <c r="I337" s="15" t="n">
        <v>0.2234069242348219</v>
      </c>
      <c r="J337" s="14">
        <f>IF(F337="","",F337*(1-I337))</f>
        <v>13469230306.071249</v>
      </c>
      <c r="K337" s="14" t="n">
        <v>54319000000</v>
      </c>
      <c r="L337" s="14" t="n">
        <v>35234000000</v>
      </c>
      <c r="M337" s="14" t="n">
        <v>14324000000</v>
      </c>
      <c r="N337" s="14">
        <f>IF(COUNT(K337:M337)&lt;3,"",K337+L337-M337)</f>
        <v>75229000000.0</v>
      </c>
      <c r="O337" s="14">
        <f>N336</f>
        <v>65410000000.0</v>
      </c>
      <c r="P337" s="14">
        <f>IF(N337="","",IF(OR(O337="",O337&lt;=0,N337&lt;=0),N337,(N337+O337)/2))</f>
        <v>70319500000.0</v>
      </c>
      <c r="Q337" t="inlineStr">
        <is>
          <t>기초·기말 평균</t>
        </is>
      </c>
      <c r="R337" t="inlineStr">
        <is>
          <t>—</t>
        </is>
      </c>
      <c r="S337" t="inlineStr">
        <is>
          <t>—</t>
        </is>
      </c>
      <c r="T337" s="15">
        <f>IF(OR(P337="",E337=0,E337=""),"",P337/E337)</f>
        <v>0.3108085411077274</v>
      </c>
      <c r="U337" t="inlineStr">
        <is>
          <t>—</t>
        </is>
      </c>
      <c r="V337" t="inlineStr">
        <is>
          <t>—</t>
        </is>
      </c>
      <c r="W337" t="inlineStr">
        <is>
          <t>금융업 — ROIC 정의 부적합</t>
        </is>
      </c>
      <c r="X337" t="inlineStr">
        <is>
          <t>UNITEDHEALTH GROUP INC</t>
        </is>
      </c>
    </row>
    <row r="338">
      <c r="A338" t="inlineStr">
        <is>
          <t>유나이티드헬스 그룹</t>
        </is>
      </c>
      <c r="B338" t="inlineStr">
        <is>
          <t>UNH</t>
        </is>
      </c>
      <c r="C338" t="n">
        <v>2019</v>
      </c>
      <c r="D338" t="inlineStr">
        <is>
          <t>2019-12-31</t>
        </is>
      </c>
      <c r="E338" s="14" t="n">
        <v>242155000000</v>
      </c>
      <c r="F338" s="14" t="n">
        <v>19685000000</v>
      </c>
      <c r="G338" t="inlineStr">
        <is>
          <t>reported</t>
        </is>
      </c>
      <c r="H338" t="inlineStr">
        <is>
          <t>HIGH</t>
        </is>
      </c>
      <c r="I338" s="15" t="n">
        <v>0.2081085590345365</v>
      </c>
      <c r="J338" s="14">
        <f>IF(F338="","",F338*(1-I338))</f>
        <v>15588383015.40515</v>
      </c>
      <c r="K338" s="14" t="n">
        <v>60436000000</v>
      </c>
      <c r="L338" s="14" t="n">
        <v>39474000000</v>
      </c>
      <c r="M338" s="14" t="n">
        <v>14245000000</v>
      </c>
      <c r="N338" s="14">
        <f>IF(COUNT(K338:M338)&lt;3,"",K338+L338-M338)</f>
        <v>85665000000.0</v>
      </c>
      <c r="O338" s="14">
        <f>N337</f>
        <v>75229000000.0</v>
      </c>
      <c r="P338" s="14">
        <f>IF(N338="","",IF(OR(O338="",O338&lt;=0,N338&lt;=0),N338,(N338+O338)/2))</f>
        <v>80447000000.0</v>
      </c>
      <c r="Q338" t="inlineStr">
        <is>
          <t>기초·기말 평균</t>
        </is>
      </c>
      <c r="R338" t="inlineStr">
        <is>
          <t>—</t>
        </is>
      </c>
      <c r="S338" t="inlineStr">
        <is>
          <t>—</t>
        </is>
      </c>
      <c r="T338" s="15">
        <f>IF(OR(P338="",E338=0,E338=""),"",P338/E338)</f>
        <v>0.33221283888418573</v>
      </c>
      <c r="U338" t="inlineStr">
        <is>
          <t>—</t>
        </is>
      </c>
      <c r="V338" t="inlineStr">
        <is>
          <t>—</t>
        </is>
      </c>
      <c r="W338" t="inlineStr">
        <is>
          <t>금융업 — ROIC 정의 부적합</t>
        </is>
      </c>
      <c r="X338" t="inlineStr">
        <is>
          <t>UNITEDHEALTH GROUP INC</t>
        </is>
      </c>
    </row>
    <row r="339">
      <c r="A339" t="inlineStr">
        <is>
          <t>유나이티드헬스 그룹</t>
        </is>
      </c>
      <c r="B339" t="inlineStr">
        <is>
          <t>UNH</t>
        </is>
      </c>
      <c r="C339" t="n">
        <v>2020</v>
      </c>
      <c r="D339" t="inlineStr">
        <is>
          <t>2020-12-31</t>
        </is>
      </c>
      <c r="E339" s="14" t="n">
        <v>257141000000</v>
      </c>
      <c r="F339" s="14" t="n">
        <v>22405000000</v>
      </c>
      <c r="G339" t="inlineStr">
        <is>
          <t>reported</t>
        </is>
      </c>
      <c r="H339" t="inlineStr">
        <is>
          <t>HIGH</t>
        </is>
      </c>
      <c r="I339" s="15" t="n">
        <v>0.2397550862983319</v>
      </c>
      <c r="J339" s="14">
        <f>IF(F339="","",F339*(1-I339))</f>
        <v>17033287291.485874</v>
      </c>
      <c r="K339" s="14" t="n">
        <v>68328000000</v>
      </c>
      <c r="L339" s="14" t="n">
        <v>42280000000</v>
      </c>
      <c r="M339" s="14" t="n">
        <v>19781000000</v>
      </c>
      <c r="N339" s="14">
        <f>IF(COUNT(K339:M339)&lt;3,"",K339+L339-M339)</f>
        <v>90827000000.0</v>
      </c>
      <c r="O339" s="14">
        <f>N338</f>
        <v>85665000000.0</v>
      </c>
      <c r="P339" s="14">
        <f>IF(N339="","",IF(OR(O339="",O339&lt;=0,N339&lt;=0),N339,(N339+O339)/2))</f>
        <v>88246000000.0</v>
      </c>
      <c r="Q339" t="inlineStr">
        <is>
          <t>기초·기말 평균</t>
        </is>
      </c>
      <c r="R339" t="inlineStr">
        <is>
          <t>—</t>
        </is>
      </c>
      <c r="S339" t="inlineStr">
        <is>
          <t>—</t>
        </is>
      </c>
      <c r="T339" s="15">
        <f>IF(OR(P339="",E339=0,E339=""),"",P339/E339)</f>
        <v>0.3431813674209869</v>
      </c>
      <c r="U339" t="inlineStr">
        <is>
          <t>—</t>
        </is>
      </c>
      <c r="V339" t="inlineStr">
        <is>
          <t>—</t>
        </is>
      </c>
      <c r="W339" t="inlineStr">
        <is>
          <t>금융업 — ROIC 정의 부적합</t>
        </is>
      </c>
      <c r="X339" t="inlineStr">
        <is>
          <t>UNITEDHEALTH GROUP INC</t>
        </is>
      </c>
    </row>
    <row r="340">
      <c r="A340" t="inlineStr">
        <is>
          <t>유나이티드헬스 그룹</t>
        </is>
      </c>
      <c r="B340" t="inlineStr">
        <is>
          <t>UNH</t>
        </is>
      </c>
      <c r="C340" t="n">
        <v>2021</v>
      </c>
      <c r="D340" t="inlineStr">
        <is>
          <t>2021-12-31</t>
        </is>
      </c>
      <c r="E340" s="14" t="n">
        <v>287597000000</v>
      </c>
      <c r="F340" s="14" t="n">
        <v>23970000000</v>
      </c>
      <c r="G340" t="inlineStr">
        <is>
          <t>reported</t>
        </is>
      </c>
      <c r="H340" t="inlineStr">
        <is>
          <t>HIGH</t>
        </is>
      </c>
      <c r="I340" s="15" t="n">
        <v>0.2051994621246078</v>
      </c>
      <c r="J340" s="14">
        <f>IF(F340="","",F340*(1-I340))</f>
        <v>19051368892.87315</v>
      </c>
      <c r="K340" s="14" t="n">
        <v>75045000000</v>
      </c>
      <c r="L340" s="14" t="n">
        <v>44632000000</v>
      </c>
      <c r="M340" s="14" t="n">
        <v>23907000000</v>
      </c>
      <c r="N340" s="14">
        <f>IF(COUNT(K340:M340)&lt;3,"",K340+L340-M340)</f>
        <v>95770000000.0</v>
      </c>
      <c r="O340" s="14">
        <f>N339</f>
        <v>90827000000.0</v>
      </c>
      <c r="P340" s="14">
        <f>IF(N340="","",IF(OR(O340="",O340&lt;=0,N340&lt;=0),N340,(N340+O340)/2))</f>
        <v>93298500000.0</v>
      </c>
      <c r="Q340" t="inlineStr">
        <is>
          <t>기초·기말 평균</t>
        </is>
      </c>
      <c r="R340" t="inlineStr">
        <is>
          <t>—</t>
        </is>
      </c>
      <c r="S340" t="inlineStr">
        <is>
          <t>—</t>
        </is>
      </c>
      <c r="T340" s="15">
        <f>IF(OR(P340="",E340=0,E340=""),"",P340/E340)</f>
        <v>0.32440706961477345</v>
      </c>
      <c r="U340" t="inlineStr">
        <is>
          <t>—</t>
        </is>
      </c>
      <c r="V340" t="inlineStr">
        <is>
          <t>—</t>
        </is>
      </c>
      <c r="W340" t="inlineStr">
        <is>
          <t>금융업 — ROIC 정의 부적합</t>
        </is>
      </c>
      <c r="X340" t="inlineStr">
        <is>
          <t>UNITEDHEALTH GROUP INC</t>
        </is>
      </c>
    </row>
    <row r="341">
      <c r="A341" t="inlineStr">
        <is>
          <t>유나이티드헬스 그룹</t>
        </is>
      </c>
      <c r="B341" t="inlineStr">
        <is>
          <t>UNH</t>
        </is>
      </c>
      <c r="C341" t="n">
        <v>2022</v>
      </c>
      <c r="D341" t="inlineStr">
        <is>
          <t>2022-12-31</t>
        </is>
      </c>
      <c r="E341" s="14" t="n">
        <v>324162000000</v>
      </c>
      <c r="F341" s="14" t="n">
        <v>28435000000</v>
      </c>
      <c r="G341" t="inlineStr">
        <is>
          <t>reported</t>
        </is>
      </c>
      <c r="H341" t="inlineStr">
        <is>
          <t>HIGH</t>
        </is>
      </c>
      <c r="I341" s="15" t="n">
        <v>0.2165281099343279</v>
      </c>
      <c r="J341" s="14">
        <f>IF(F341="","",F341*(1-I341))</f>
        <v>22278023194.017387</v>
      </c>
      <c r="K341" s="14" t="n">
        <v>81450000000</v>
      </c>
      <c r="L341" s="14" t="n">
        <v>56756000000</v>
      </c>
      <c r="M341" s="14" t="n">
        <v>27911000000</v>
      </c>
      <c r="N341" s="14">
        <f>IF(COUNT(K341:M341)&lt;3,"",K341+L341-M341)</f>
        <v>110295000000.0</v>
      </c>
      <c r="O341" s="14">
        <f>N340</f>
        <v>95770000000.0</v>
      </c>
      <c r="P341" s="14">
        <f>IF(N341="","",IF(OR(O341="",O341&lt;=0,N341&lt;=0),N341,(N341+O341)/2))</f>
        <v>103032500000.0</v>
      </c>
      <c r="Q341" t="inlineStr">
        <is>
          <t>기초·기말 평균</t>
        </is>
      </c>
      <c r="R341" t="inlineStr">
        <is>
          <t>—</t>
        </is>
      </c>
      <c r="S341" t="inlineStr">
        <is>
          <t>—</t>
        </is>
      </c>
      <c r="T341" s="15">
        <f>IF(OR(P341="",E341=0,E341=""),"",P341/E341)</f>
        <v>0.3178426218989271</v>
      </c>
      <c r="U341" t="inlineStr">
        <is>
          <t>—</t>
        </is>
      </c>
      <c r="V341" t="inlineStr">
        <is>
          <t>—</t>
        </is>
      </c>
      <c r="W341" t="inlineStr">
        <is>
          <t>금융업 — ROIC 정의 부적합</t>
        </is>
      </c>
      <c r="X341" t="inlineStr">
        <is>
          <t>UNITEDHEALTH GROUP INC</t>
        </is>
      </c>
    </row>
    <row r="342">
      <c r="A342" t="inlineStr">
        <is>
          <t>유나이티드헬스 그룹</t>
        </is>
      </c>
      <c r="B342" t="inlineStr">
        <is>
          <t>UNH</t>
        </is>
      </c>
      <c r="C342" t="n">
        <v>2023</v>
      </c>
      <c r="D342" t="inlineStr">
        <is>
          <t>2023-12-31</t>
        </is>
      </c>
      <c r="E342" s="14" t="n">
        <v>371622000000</v>
      </c>
      <c r="F342" s="14" t="n">
        <v>32358000000</v>
      </c>
      <c r="G342" t="inlineStr">
        <is>
          <t>reported</t>
        </is>
      </c>
      <c r="H342" t="inlineStr">
        <is>
          <t>HIGH</t>
        </is>
      </c>
      <c r="I342" s="15" t="n">
        <v>0.2050013740038472</v>
      </c>
      <c r="J342" s="14">
        <f>IF(F342="","",F342*(1-I342))</f>
        <v>25724565539.983513</v>
      </c>
      <c r="K342" s="14" t="n">
        <v>94421000000</v>
      </c>
      <c r="L342" s="14" t="n">
        <v>61473000000</v>
      </c>
      <c r="M342" s="14" t="n">
        <v>29628000000</v>
      </c>
      <c r="N342" s="14">
        <f>IF(COUNT(K342:M342)&lt;3,"",K342+L342-M342)</f>
        <v>126266000000.0</v>
      </c>
      <c r="O342" s="14">
        <f>N341</f>
        <v>110295000000.0</v>
      </c>
      <c r="P342" s="14">
        <f>IF(N342="","",IF(OR(O342="",O342&lt;=0,N342&lt;=0),N342,(N342+O342)/2))</f>
        <v>118280500000.0</v>
      </c>
      <c r="Q342" t="inlineStr">
        <is>
          <t>기초·기말 평균</t>
        </is>
      </c>
      <c r="R342" t="inlineStr">
        <is>
          <t>—</t>
        </is>
      </c>
      <c r="S342" t="inlineStr">
        <is>
          <t>—</t>
        </is>
      </c>
      <c r="T342" s="15">
        <f>IF(OR(P342="",E342=0,E342=""),"",P342/E342)</f>
        <v>0.31828174865858316</v>
      </c>
      <c r="U342" t="inlineStr">
        <is>
          <t>—</t>
        </is>
      </c>
      <c r="V342" t="inlineStr">
        <is>
          <t>—</t>
        </is>
      </c>
      <c r="W342" t="inlineStr">
        <is>
          <t>금융업 — ROIC 정의 부적합</t>
        </is>
      </c>
      <c r="X342" t="inlineStr">
        <is>
          <t>UNITEDHEALTH GROUP INC</t>
        </is>
      </c>
    </row>
    <row r="343">
      <c r="A343" t="inlineStr">
        <is>
          <t>유나이티드헬스 그룹</t>
        </is>
      </c>
      <c r="B343" t="inlineStr">
        <is>
          <t>UNH</t>
        </is>
      </c>
      <c r="C343" t="n">
        <v>2024</v>
      </c>
      <c r="D343" t="inlineStr">
        <is>
          <t>2024-12-31</t>
        </is>
      </c>
      <c r="E343" s="14" t="n">
        <v>400278000000</v>
      </c>
      <c r="F343" s="14" t="n">
        <v>32287000000</v>
      </c>
      <c r="G343" t="inlineStr">
        <is>
          <t>reported</t>
        </is>
      </c>
      <c r="H343" t="inlineStr">
        <is>
          <t>HIGH</t>
        </is>
      </c>
      <c r="I343" s="15" t="n">
        <v>0.2405958846096358</v>
      </c>
      <c r="J343" s="14">
        <f>IF(F343="","",F343*(1-I343))</f>
        <v>24518880673.60869</v>
      </c>
      <c r="K343" s="14" t="n">
        <v>98268000000</v>
      </c>
      <c r="L343" s="14" t="n">
        <v>76180000000</v>
      </c>
      <c r="M343" s="14" t="n">
        <v>29113000000</v>
      </c>
      <c r="N343" s="14">
        <f>IF(COUNT(K343:M343)&lt;3,"",K343+L343-M343)</f>
        <v>145335000000.0</v>
      </c>
      <c r="O343" s="14">
        <f>N342</f>
        <v>126266000000.0</v>
      </c>
      <c r="P343" s="14">
        <f>IF(N343="","",IF(OR(O343="",O343&lt;=0,N343&lt;=0),N343,(N343+O343)/2))</f>
        <v>135800500000.0</v>
      </c>
      <c r="Q343" t="inlineStr">
        <is>
          <t>기초·기말 평균</t>
        </is>
      </c>
      <c r="R343" t="inlineStr">
        <is>
          <t>—</t>
        </is>
      </c>
      <c r="S343" t="inlineStr">
        <is>
          <t>—</t>
        </is>
      </c>
      <c r="T343" s="15">
        <f>IF(OR(P343="",E343=0,E343=""),"",P343/E343)</f>
        <v>0.33926546050494905</v>
      </c>
      <c r="U343" t="inlineStr">
        <is>
          <t>—</t>
        </is>
      </c>
      <c r="V343" t="inlineStr">
        <is>
          <t>—</t>
        </is>
      </c>
      <c r="W343" t="inlineStr">
        <is>
          <t>금융업 — ROIC 정의 부적합</t>
        </is>
      </c>
      <c r="X343" t="inlineStr">
        <is>
          <t>UNITEDHEALTH GROUP INC</t>
        </is>
      </c>
    </row>
    <row r="344">
      <c r="A344" t="inlineStr">
        <is>
          <t>유나이티드헬스 그룹</t>
        </is>
      </c>
      <c r="B344" t="inlineStr">
        <is>
          <t>UNH</t>
        </is>
      </c>
      <c r="C344" t="n">
        <v>2025</v>
      </c>
      <c r="D344" t="inlineStr">
        <is>
          <t>2025-12-31</t>
        </is>
      </c>
      <c r="E344" s="14" t="n">
        <v>447567000000</v>
      </c>
      <c r="F344" s="14" t="n">
        <v>18964000000</v>
      </c>
      <c r="G344" t="inlineStr">
        <is>
          <t>reported</t>
        </is>
      </c>
      <c r="H344" t="inlineStr">
        <is>
          <t>HIGH</t>
        </is>
      </c>
      <c r="I344" s="15" t="n">
        <v>0.1285976729944887</v>
      </c>
      <c r="J344" s="14">
        <f>IF(F344="","",F344*(1-I344))</f>
        <v>16525273729.332518</v>
      </c>
      <c r="K344" s="14" t="n">
        <v>100090000000</v>
      </c>
      <c r="L344" s="14" t="n">
        <v>77681000000</v>
      </c>
      <c r="M344" s="14" t="n">
        <v>28121000000</v>
      </c>
      <c r="N344" s="14">
        <f>IF(COUNT(K344:M344)&lt;3,"",K344+L344-M344)</f>
        <v>149650000000.0</v>
      </c>
      <c r="O344" s="14">
        <f>N343</f>
        <v>145335000000.0</v>
      </c>
      <c r="P344" s="14">
        <f>IF(N344="","",IF(OR(O344="",O344&lt;=0,N344&lt;=0),N344,(N344+O344)/2))</f>
        <v>147492500000.0</v>
      </c>
      <c r="Q344" t="inlineStr">
        <is>
          <t>기초·기말 평균</t>
        </is>
      </c>
      <c r="R344" t="inlineStr">
        <is>
          <t>—</t>
        </is>
      </c>
      <c r="S344" t="inlineStr">
        <is>
          <t>—</t>
        </is>
      </c>
      <c r="T344" s="15">
        <f>IF(OR(P344="",E344=0,E344=""),"",P344/E344)</f>
        <v>0.3295428393961128</v>
      </c>
      <c r="U344" t="inlineStr">
        <is>
          <t>—</t>
        </is>
      </c>
      <c r="V344" t="inlineStr">
        <is>
          <t>—</t>
        </is>
      </c>
      <c r="W344" t="inlineStr">
        <is>
          <t>금융업 — ROIC 정의 부적합</t>
        </is>
      </c>
      <c r="X344" t="inlineStr">
        <is>
          <t>UNITEDHEALTH GROUP INC</t>
        </is>
      </c>
    </row>
    <row r="345">
      <c r="A345" s="11" t="inlineStr">
        <is>
          <t>셰브론</t>
        </is>
      </c>
      <c r="B345" s="11" t="inlineStr">
        <is>
          <t>CVX</t>
        </is>
      </c>
      <c r="C345" s="11" t="n">
        <v>2015</v>
      </c>
      <c r="D345" s="11" t="inlineStr">
        <is>
          <t>2015-12-31</t>
        </is>
      </c>
      <c r="E345" s="12" t="n">
        <v>138477000000</v>
      </c>
      <c r="F345" s="12" t="n">
        <v>4842000000</v>
      </c>
      <c r="G345" s="11" t="inlineStr">
        <is>
          <t>pretax_plus_interest_less_investment_income</t>
        </is>
      </c>
      <c r="H345" s="11" t="inlineStr">
        <is>
          <t>LOW</t>
        </is>
      </c>
      <c r="I345" s="13" t="n">
        <v>0.05</v>
      </c>
      <c r="J345" s="12">
        <f>IF(F345="","",F345*(1-I345))</f>
        <v>4599900000.0</v>
      </c>
      <c r="K345" s="12" t="n">
        <v>153886000000</v>
      </c>
      <c r="L345" s="12" t="n">
        <v>46469000000</v>
      </c>
      <c r="M345" s="12" t="n">
        <v>11332000000</v>
      </c>
      <c r="N345" s="12">
        <f>IF(COUNT(K345:M345)&lt;3,"",K345+L345-M345)</f>
        <v>189023000000.0</v>
      </c>
      <c r="O345" s="11" t="inlineStr">
        <is>
          <t>—</t>
        </is>
      </c>
      <c r="P345" s="12" t="inlineStr">
        <is>
          <t>—</t>
        </is>
      </c>
      <c r="Q345" s="11" t="inlineStr">
        <is>
          <t>—</t>
        </is>
      </c>
      <c r="R345" s="13" t="inlineStr">
        <is>
          <t>—</t>
        </is>
      </c>
      <c r="S345" s="13" t="inlineStr">
        <is>
          <t>—</t>
        </is>
      </c>
      <c r="T345" s="13" t="inlineStr">
        <is>
          <t>—</t>
        </is>
      </c>
      <c r="U345" s="11" t="inlineStr">
        <is>
          <t>—</t>
        </is>
      </c>
      <c r="V345" s="11" t="inlineStr">
        <is>
          <t>—</t>
        </is>
      </c>
      <c r="W345" s="11" t="inlineStr">
        <is>
          <t>다음 해 평균 투하자본의 기초값으로만 사용 (보고 기간 밖 — 자체 비율은 계산하지 않음)</t>
        </is>
      </c>
      <c r="X345" s="11" t="inlineStr">
        <is>
          <t>CHEVRON CORP</t>
        </is>
      </c>
    </row>
    <row r="346">
      <c r="A346" s="18" t="inlineStr">
        <is>
          <t>셰브론</t>
        </is>
      </c>
      <c r="B346" s="18" t="inlineStr">
        <is>
          <t>CVX</t>
        </is>
      </c>
      <c r="C346" s="18" t="n">
        <v>2016</v>
      </c>
      <c r="D346" s="18" t="inlineStr">
        <is>
          <t>2016-12-31</t>
        </is>
      </c>
      <c r="E346" s="19" t="n">
        <v>110215000000</v>
      </c>
      <c r="F346" s="19" t="n">
        <v>-1959000000</v>
      </c>
      <c r="G346" s="18" t="inlineStr">
        <is>
          <t>pretax_plus_interest_less_investment_income</t>
        </is>
      </c>
      <c r="H346" s="18" t="inlineStr">
        <is>
          <t>LOW</t>
        </is>
      </c>
      <c r="I346" s="20" t="n">
        <v>0.21</v>
      </c>
      <c r="J346" s="19">
        <f>IF(F346="","",F346*(1-I346))</f>
        <v>-1547610000.0</v>
      </c>
      <c r="K346" s="19" t="n">
        <v>146722000000</v>
      </c>
      <c r="L346" s="19" t="n">
        <v>55033000000</v>
      </c>
      <c r="M346" s="19" t="n">
        <v>7001000000</v>
      </c>
      <c r="N346" s="19">
        <f>IF(COUNT(K346:M346)&lt;3,"",K346+L346-M346)</f>
        <v>194754000000.0</v>
      </c>
      <c r="O346" s="19">
        <f>N345</f>
        <v>189023000000.0</v>
      </c>
      <c r="P346" s="19">
        <f>IF(N346="","",IF(OR(O346="",O346&lt;=0,N346&lt;=0),N346,(N346+O346)/2))</f>
        <v>191888500000.0</v>
      </c>
      <c r="Q346" s="18" t="inlineStr">
        <is>
          <t>기초·기말 평균</t>
        </is>
      </c>
      <c r="R346" s="20">
        <f>IF(OR(P346="",P346&lt;=0),"",J346/P346)</f>
        <v>-0.008065152419243467</v>
      </c>
      <c r="S346" s="20">
        <f>IF(R346="","",R346-0.1)</f>
        <v>-0.10806515241924347</v>
      </c>
      <c r="T346" s="20">
        <f>IF(OR(P346="",E346=0,E346=""),"",P346/E346)</f>
        <v>1.7410379712380348</v>
      </c>
      <c r="U346" s="18" t="inlineStr">
        <is>
          <t>-1.5% / -0.8%</t>
        </is>
      </c>
      <c r="V346" s="18" t="inlineStr">
        <is>
          <t>일치</t>
        </is>
      </c>
      <c r="W346" s="18" t="inlineStr">
        <is>
          <t>OK</t>
        </is>
      </c>
      <c r="X346" s="18" t="inlineStr">
        <is>
          <t>CHEVRON CORP</t>
        </is>
      </c>
    </row>
    <row r="347">
      <c r="A347" s="18" t="inlineStr">
        <is>
          <t>셰브론</t>
        </is>
      </c>
      <c r="B347" s="18" t="inlineStr">
        <is>
          <t>CVX</t>
        </is>
      </c>
      <c r="C347" s="18" t="n">
        <v>2017</v>
      </c>
      <c r="D347" s="18" t="inlineStr">
        <is>
          <t>2017-12-31</t>
        </is>
      </c>
      <c r="E347" s="19" t="n">
        <v>134674000000</v>
      </c>
      <c r="F347" s="19" t="n">
        <v>9528000000</v>
      </c>
      <c r="G347" s="18" t="inlineStr">
        <is>
          <t>pretax_plus_interest_less_investment_income</t>
        </is>
      </c>
      <c r="H347" s="18" t="inlineStr">
        <is>
          <t>LOW</t>
        </is>
      </c>
      <c r="I347" s="20" t="n">
        <v>0.05</v>
      </c>
      <c r="J347" s="19">
        <f>IF(F347="","",F347*(1-I347))</f>
        <v>9051600000.0</v>
      </c>
      <c r="K347" s="19" t="n">
        <v>149319000000</v>
      </c>
      <c r="L347" s="19" t="n">
        <v>48669000000</v>
      </c>
      <c r="M347" s="19" t="n">
        <v>4822000000</v>
      </c>
      <c r="N347" s="19">
        <f>IF(COUNT(K347:M347)&lt;3,"",K347+L347-M347)</f>
        <v>193166000000.0</v>
      </c>
      <c r="O347" s="19">
        <f>N346</f>
        <v>194754000000.0</v>
      </c>
      <c r="P347" s="19">
        <f>IF(N347="","",IF(OR(O347="",O347&lt;=0,N347&lt;=0),N347,(N347+O347)/2))</f>
        <v>193960000000.0</v>
      </c>
      <c r="Q347" s="18" t="inlineStr">
        <is>
          <t>기초·기말 평균</t>
        </is>
      </c>
      <c r="R347" s="20">
        <f>IF(OR(P347="",P347&lt;=0),"",J347/P347)</f>
        <v>0.04666735409362755</v>
      </c>
      <c r="S347" s="20">
        <f>IF(R347="","",R347-0.1)</f>
        <v>-0.053332645906372454</v>
      </c>
      <c r="T347" s="20">
        <f>IF(OR(P347="",E347=0,E347=""),"",P347/E347)</f>
        <v>1.440218601957319</v>
      </c>
      <c r="U347" s="18" t="inlineStr">
        <is>
          <t>3.2% / 4.7%</t>
        </is>
      </c>
      <c r="V347" s="18" t="inlineStr">
        <is>
          <t>일치</t>
        </is>
      </c>
      <c r="W347" s="18" t="inlineStr">
        <is>
          <t>OK</t>
        </is>
      </c>
      <c r="X347" s="18" t="inlineStr">
        <is>
          <t>CHEVRON CORP</t>
        </is>
      </c>
    </row>
    <row r="348">
      <c r="A348" s="18" t="inlineStr">
        <is>
          <t>셰브론</t>
        </is>
      </c>
      <c r="B348" s="18" t="inlineStr">
        <is>
          <t>CVX</t>
        </is>
      </c>
      <c r="C348" s="18" t="n">
        <v>2018</v>
      </c>
      <c r="D348" s="18" t="inlineStr">
        <is>
          <t>2018-12-31</t>
        </is>
      </c>
      <c r="E348" s="19" t="n">
        <v>158902000000</v>
      </c>
      <c r="F348" s="19" t="n">
        <v>21323000000</v>
      </c>
      <c r="G348" s="18" t="inlineStr">
        <is>
          <t>pretax_plus_interest_less_investment_income</t>
        </is>
      </c>
      <c r="H348" s="18" t="inlineStr">
        <is>
          <t>LOW</t>
        </is>
      </c>
      <c r="I348" s="20" t="n">
        <v>0.2777642770352369</v>
      </c>
      <c r="J348" s="19">
        <f>IF(F348="","",F348*(1-I348))</f>
        <v>15400232320.777645</v>
      </c>
      <c r="K348" s="19" t="n">
        <v>155642000000</v>
      </c>
      <c r="L348" s="19" t="n">
        <v>44359000000</v>
      </c>
      <c r="M348" s="19" t="n">
        <v>9395000000</v>
      </c>
      <c r="N348" s="19">
        <f>IF(COUNT(K348:M348)&lt;3,"",K348+L348-M348)</f>
        <v>190606000000.0</v>
      </c>
      <c r="O348" s="19">
        <f>N347</f>
        <v>193166000000.0</v>
      </c>
      <c r="P348" s="19">
        <f>IF(N348="","",IF(OR(O348="",O348&lt;=0,N348&lt;=0),N348,(N348+O348)/2))</f>
        <v>191886000000.0</v>
      </c>
      <c r="Q348" s="18" t="inlineStr">
        <is>
          <t>기초·기말 평균</t>
        </is>
      </c>
      <c r="R348" s="20">
        <f>IF(OR(P348="",P348&lt;=0),"",J348/P348)</f>
        <v>0.0802571960475368</v>
      </c>
      <c r="S348" s="20">
        <f>IF(R348="","",R348-0.1)</f>
        <v>-0.01974280395246321</v>
      </c>
      <c r="T348" s="20">
        <f>IF(OR(P348="",E348=0,E348=""),"",P348/E348)</f>
        <v>1.2075744798680947</v>
      </c>
      <c r="U348" s="18" t="inlineStr">
        <is>
          <t>—</t>
        </is>
      </c>
      <c r="V348" s="18" t="inlineStr">
        <is>
          <t>—</t>
        </is>
      </c>
      <c r="W348" s="18" t="inlineStr">
        <is>
          <t>OK</t>
        </is>
      </c>
      <c r="X348" s="18" t="inlineStr">
        <is>
          <t>CHEVRON CORP</t>
        </is>
      </c>
    </row>
    <row r="349">
      <c r="A349" s="18" t="inlineStr">
        <is>
          <t>셰브론</t>
        </is>
      </c>
      <c r="B349" s="18" t="inlineStr">
        <is>
          <t>CVX</t>
        </is>
      </c>
      <c r="C349" s="18" t="n">
        <v>2019</v>
      </c>
      <c r="D349" s="18" t="inlineStr">
        <is>
          <t>2019-12-31</t>
        </is>
      </c>
      <c r="E349" s="19" t="n">
        <v>139865000000</v>
      </c>
      <c r="F349" s="19" t="n">
        <v>6334000000</v>
      </c>
      <c r="G349" s="18" t="inlineStr">
        <is>
          <t>pretax_plus_interest_less_investment_income</t>
        </is>
      </c>
      <c r="H349" s="18" t="inlineStr">
        <is>
          <t>LOW</t>
        </is>
      </c>
      <c r="I349" s="20" t="n">
        <v>0.4</v>
      </c>
      <c r="J349" s="19">
        <f>IF(F349="","",F349*(1-I349))</f>
        <v>3800400000.0</v>
      </c>
      <c r="K349" s="19" t="n">
        <v>145208000000</v>
      </c>
      <c r="L349" s="19" t="n">
        <v>36723000000</v>
      </c>
      <c r="M349" s="19" t="n">
        <v>6974000000</v>
      </c>
      <c r="N349" s="19">
        <f>IF(COUNT(K349:M349)&lt;3,"",K349+L349-M349)</f>
        <v>174957000000.0</v>
      </c>
      <c r="O349" s="19">
        <f>N348</f>
        <v>190606000000.0</v>
      </c>
      <c r="P349" s="19">
        <f>IF(N349="","",IF(OR(O349="",O349&lt;=0,N349&lt;=0),N349,(N349+O349)/2))</f>
        <v>182781500000.0</v>
      </c>
      <c r="Q349" s="18" t="inlineStr">
        <is>
          <t>기초·기말 평균</t>
        </is>
      </c>
      <c r="R349" s="20">
        <f>IF(OR(P349="",P349&lt;=0),"",J349/P349)</f>
        <v>0.020792038581585116</v>
      </c>
      <c r="S349" s="20">
        <f>IF(R349="","",R349-0.1)</f>
        <v>-0.0792079614184149</v>
      </c>
      <c r="T349" s="20">
        <f>IF(OR(P349="",E349=0,E349=""),"",P349/E349)</f>
        <v>1.30684231222965</v>
      </c>
      <c r="U349" s="18" t="inlineStr">
        <is>
          <t>—</t>
        </is>
      </c>
      <c r="V349" s="18" t="inlineStr">
        <is>
          <t>—</t>
        </is>
      </c>
      <c r="W349" s="18" t="inlineStr">
        <is>
          <t>OK</t>
        </is>
      </c>
      <c r="X349" s="18" t="inlineStr">
        <is>
          <t>CHEVRON CORP</t>
        </is>
      </c>
    </row>
    <row r="350">
      <c r="A350" s="18" t="inlineStr">
        <is>
          <t>셰브론</t>
        </is>
      </c>
      <c r="B350" s="18" t="inlineStr">
        <is>
          <t>CVX</t>
        </is>
      </c>
      <c r="C350" s="18" t="n">
        <v>2020</v>
      </c>
      <c r="D350" s="18" t="inlineStr">
        <is>
          <t>2020-12-31</t>
        </is>
      </c>
      <c r="E350" s="19" t="n">
        <v>94471000000</v>
      </c>
      <c r="F350" s="19" t="n">
        <v>-6756000000</v>
      </c>
      <c r="G350" s="18" t="inlineStr">
        <is>
          <t>pretax_plus_interest_less_investment_income</t>
        </is>
      </c>
      <c r="H350" s="18" t="inlineStr">
        <is>
          <t>LOW</t>
        </is>
      </c>
      <c r="I350" s="20" t="n">
        <v>0.21</v>
      </c>
      <c r="J350" s="19">
        <f>IF(F350="","",F350*(1-I350))</f>
        <v>-5337240000.0</v>
      </c>
      <c r="K350" s="19" t="n">
        <v>132726000000</v>
      </c>
      <c r="L350" s="19" t="n">
        <v>54140000000</v>
      </c>
      <c r="M350" s="19" t="n">
        <v>5627000000</v>
      </c>
      <c r="N350" s="19">
        <f>IF(COUNT(K350:M350)&lt;3,"",K350+L350-M350)</f>
        <v>181239000000.0</v>
      </c>
      <c r="O350" s="19">
        <f>N349</f>
        <v>174957000000.0</v>
      </c>
      <c r="P350" s="19">
        <f>IF(N350="","",IF(OR(O350="",O350&lt;=0,N350&lt;=0),N350,(N350+O350)/2))</f>
        <v>178098000000.0</v>
      </c>
      <c r="Q350" s="18" t="inlineStr">
        <is>
          <t>기초·기말 평균</t>
        </is>
      </c>
      <c r="R350" s="20">
        <f>IF(OR(P350="",P350&lt;=0),"",J350/P350)</f>
        <v>-0.029967995148738335</v>
      </c>
      <c r="S350" s="20">
        <f>IF(R350="","",R350-0.1)</f>
        <v>-0.12996799514873833</v>
      </c>
      <c r="T350" s="20">
        <f>IF(OR(P350="",E350=0,E350=""),"",P350/E350)</f>
        <v>1.885213451747097</v>
      </c>
      <c r="U350" s="18" t="inlineStr">
        <is>
          <t>—</t>
        </is>
      </c>
      <c r="V350" s="18" t="inlineStr">
        <is>
          <t>—</t>
        </is>
      </c>
      <c r="W350" s="18" t="inlineStr">
        <is>
          <t>OK</t>
        </is>
      </c>
      <c r="X350" s="18" t="inlineStr">
        <is>
          <t>CHEVRON CORP</t>
        </is>
      </c>
    </row>
    <row r="351">
      <c r="A351" s="18" t="inlineStr">
        <is>
          <t>셰브론</t>
        </is>
      </c>
      <c r="B351" s="18" t="inlineStr">
        <is>
          <t>CVX</t>
        </is>
      </c>
      <c r="C351" s="18" t="n">
        <v>2021</v>
      </c>
      <c r="D351" s="18" t="inlineStr">
        <is>
          <t>2021-12-31</t>
        </is>
      </c>
      <c r="E351" s="19" t="n">
        <v>155606000000</v>
      </c>
      <c r="F351" s="19" t="n">
        <v>22351000000</v>
      </c>
      <c r="G351" s="18" t="inlineStr">
        <is>
          <t>pretax_plus_interest_less_investment_income</t>
        </is>
      </c>
      <c r="H351" s="18" t="inlineStr">
        <is>
          <t>LOW</t>
        </is>
      </c>
      <c r="I351" s="20" t="n">
        <v>0.2749664956790979</v>
      </c>
      <c r="J351" s="19">
        <f>IF(F351="","",F351*(1-I351))</f>
        <v>16205223855.076483</v>
      </c>
      <c r="K351" s="19" t="n">
        <v>139940000000</v>
      </c>
      <c r="L351" s="19" t="n">
        <v>39128000000</v>
      </c>
      <c r="M351" s="19" t="n">
        <v>5675000000</v>
      </c>
      <c r="N351" s="19">
        <f>IF(COUNT(K351:M351)&lt;3,"",K351+L351-M351)</f>
        <v>173393000000.0</v>
      </c>
      <c r="O351" s="19">
        <f>N350</f>
        <v>181239000000.0</v>
      </c>
      <c r="P351" s="19">
        <f>IF(N351="","",IF(OR(O351="",O351&lt;=0,N351&lt;=0),N351,(N351+O351)/2))</f>
        <v>177316000000.0</v>
      </c>
      <c r="Q351" s="18" t="inlineStr">
        <is>
          <t>기초·기말 평균</t>
        </is>
      </c>
      <c r="R351" s="20">
        <f>IF(OR(P351="",P351&lt;=0),"",J351/P351)</f>
        <v>0.09139177431859777</v>
      </c>
      <c r="S351" s="20">
        <f>IF(R351="","",R351-0.1)</f>
        <v>-0.008608225681402237</v>
      </c>
      <c r="T351" s="20">
        <f>IF(OR(P351="",E351=0,E351=""),"",P351/E351)</f>
        <v>1.1395190416821974</v>
      </c>
      <c r="U351" s="18" t="inlineStr">
        <is>
          <t>—</t>
        </is>
      </c>
      <c r="V351" s="18" t="inlineStr">
        <is>
          <t>—</t>
        </is>
      </c>
      <c r="W351" s="18" t="inlineStr">
        <is>
          <t>OK</t>
        </is>
      </c>
      <c r="X351" s="18" t="inlineStr">
        <is>
          <t>CHEVRON CORP</t>
        </is>
      </c>
    </row>
    <row r="352">
      <c r="A352" s="18" t="inlineStr">
        <is>
          <t>셰브론</t>
        </is>
      </c>
      <c r="B352" s="18" t="inlineStr">
        <is>
          <t>CVX</t>
        </is>
      </c>
      <c r="C352" s="18" t="n">
        <v>2022</v>
      </c>
      <c r="D352" s="18" t="inlineStr">
        <is>
          <t>2022-12-31</t>
        </is>
      </c>
      <c r="E352" s="19" t="n">
        <v>235717000000</v>
      </c>
      <c r="F352" s="19" t="n">
        <v>50190000000</v>
      </c>
      <c r="G352" s="18" t="inlineStr">
        <is>
          <t>pretax_plus_interest_less_investment_income</t>
        </is>
      </c>
      <c r="H352" s="18" t="inlineStr">
        <is>
          <t>LOW</t>
        </is>
      </c>
      <c r="I352" s="20" t="n">
        <v>0.2831662439102951</v>
      </c>
      <c r="J352" s="19">
        <f>IF(F352="","",F352*(1-I352))</f>
        <v>35977886218.14229</v>
      </c>
      <c r="K352" s="19" t="n">
        <v>160242000000</v>
      </c>
      <c r="L352" s="19" t="n">
        <v>27389000000</v>
      </c>
      <c r="M352" s="19" t="n">
        <v>17901000000</v>
      </c>
      <c r="N352" s="19">
        <f>IF(COUNT(K352:M352)&lt;3,"",K352+L352-M352)</f>
        <v>169730000000.0</v>
      </c>
      <c r="O352" s="19">
        <f>N351</f>
        <v>173393000000.0</v>
      </c>
      <c r="P352" s="19">
        <f>IF(N352="","",IF(OR(O352="",O352&lt;=0,N352&lt;=0),N352,(N352+O352)/2))</f>
        <v>171561500000.0</v>
      </c>
      <c r="Q352" s="18" t="inlineStr">
        <is>
          <t>기초·기말 평균</t>
        </is>
      </c>
      <c r="R352" s="20">
        <f>IF(OR(P352="",P352&lt;=0),"",J352/P352)</f>
        <v>0.20970839155721002</v>
      </c>
      <c r="S352" s="20">
        <f>IF(R352="","",R352-0.1)</f>
        <v>0.10970839155721002</v>
      </c>
      <c r="T352" s="20">
        <f>IF(OR(P352="",E352=0,E352=""),"",P352/E352)</f>
        <v>0.7278282856136808</v>
      </c>
      <c r="U352" s="18" t="inlineStr">
        <is>
          <t>—</t>
        </is>
      </c>
      <c r="V352" s="18" t="inlineStr">
        <is>
          <t>—</t>
        </is>
      </c>
      <c r="W352" s="18" t="inlineStr">
        <is>
          <t>OK</t>
        </is>
      </c>
      <c r="X352" s="18" t="inlineStr">
        <is>
          <t>CHEVRON CORP</t>
        </is>
      </c>
    </row>
    <row r="353">
      <c r="A353" s="18" t="inlineStr">
        <is>
          <t>셰브론</t>
        </is>
      </c>
      <c r="B353" s="18" t="inlineStr">
        <is>
          <t>CVX</t>
        </is>
      </c>
      <c r="C353" s="18" t="n">
        <v>2023</v>
      </c>
      <c r="D353" s="18" t="inlineStr">
        <is>
          <t>2023-12-31</t>
        </is>
      </c>
      <c r="E353" s="19" t="n">
        <v>196913000000</v>
      </c>
      <c r="F353" s="19" t="n">
        <v>30053000000</v>
      </c>
      <c r="G353" s="18" t="inlineStr">
        <is>
          <t>pretax_plus_interest_less_investment_income</t>
        </is>
      </c>
      <c r="H353" s="18" t="inlineStr">
        <is>
          <t>LOW</t>
        </is>
      </c>
      <c r="I353" s="20" t="n">
        <v>0.2762641968631693</v>
      </c>
      <c r="J353" s="19">
        <f>IF(F353="","",F353*(1-I353))</f>
        <v>21750432091.671173</v>
      </c>
      <c r="K353" s="19" t="n">
        <v>161929000000</v>
      </c>
      <c r="L353" s="19" t="n">
        <v>25379000000</v>
      </c>
      <c r="M353" s="19" t="n">
        <v>8223000000</v>
      </c>
      <c r="N353" s="19">
        <f>IF(COUNT(K353:M353)&lt;3,"",K353+L353-M353)</f>
        <v>179085000000.0</v>
      </c>
      <c r="O353" s="19">
        <f>N352</f>
        <v>169730000000.0</v>
      </c>
      <c r="P353" s="19">
        <f>IF(N353="","",IF(OR(O353="",O353&lt;=0,N353&lt;=0),N353,(N353+O353)/2))</f>
        <v>174407500000.0</v>
      </c>
      <c r="Q353" s="18" t="inlineStr">
        <is>
          <t>기초·기말 평균</t>
        </is>
      </c>
      <c r="R353" s="20">
        <f>IF(OR(P353="",P353&lt;=0),"",J353/P353)</f>
        <v>0.12471041722214453</v>
      </c>
      <c r="S353" s="20">
        <f>IF(R353="","",R353-0.1)</f>
        <v>0.024710417222144523</v>
      </c>
      <c r="T353" s="20">
        <f>IF(OR(P353="",E353=0,E353=""),"",P353/E353)</f>
        <v>0.885708409297507</v>
      </c>
      <c r="U353" s="18" t="inlineStr">
        <is>
          <t>—</t>
        </is>
      </c>
      <c r="V353" s="18" t="inlineStr">
        <is>
          <t>—</t>
        </is>
      </c>
      <c r="W353" s="18" t="inlineStr">
        <is>
          <t>OK</t>
        </is>
      </c>
      <c r="X353" s="18" t="inlineStr">
        <is>
          <t>CHEVRON CORP</t>
        </is>
      </c>
    </row>
    <row r="354">
      <c r="A354" s="18" t="inlineStr">
        <is>
          <t>셰브론</t>
        </is>
      </c>
      <c r="B354" s="18" t="inlineStr">
        <is>
          <t>CVX</t>
        </is>
      </c>
      <c r="C354" s="18" t="n">
        <v>2024</v>
      </c>
      <c r="D354" s="18" t="inlineStr">
        <is>
          <t>2024-12-31</t>
        </is>
      </c>
      <c r="E354" s="19" t="n">
        <v>193414000000</v>
      </c>
      <c r="F354" s="19" t="n">
        <v>28100000000</v>
      </c>
      <c r="G354" s="18" t="inlineStr">
        <is>
          <t>pretax_plus_interest_less_investment_income</t>
        </is>
      </c>
      <c r="H354" s="18" t="inlineStr">
        <is>
          <t>LOW</t>
        </is>
      </c>
      <c r="I354" s="20" t="n">
        <v>0.3547226059768778</v>
      </c>
      <c r="J354" s="19">
        <f>IF(F354="","",F354*(1-I354))</f>
        <v>18132294772.049736</v>
      </c>
      <c r="K354" s="19" t="n">
        <v>153157000000</v>
      </c>
      <c r="L354" s="19" t="n">
        <v>32791000000</v>
      </c>
      <c r="M354" s="19" t="n">
        <v>8262000000</v>
      </c>
      <c r="N354" s="19">
        <f>IF(COUNT(K354:M354)&lt;3,"",K354+L354-M354)</f>
        <v>177686000000.0</v>
      </c>
      <c r="O354" s="19">
        <f>N353</f>
        <v>179085000000.0</v>
      </c>
      <c r="P354" s="19">
        <f>IF(N354="","",IF(OR(O354="",O354&lt;=0,N354&lt;=0),N354,(N354+O354)/2))</f>
        <v>178385500000.0</v>
      </c>
      <c r="Q354" s="18" t="inlineStr">
        <is>
          <t>기초·기말 평균</t>
        </is>
      </c>
      <c r="R354" s="20">
        <f>IF(OR(P354="",P354&lt;=0),"",J354/P354)</f>
        <v>0.10164668525216307</v>
      </c>
      <c r="S354" s="20">
        <f>IF(R354="","",R354-0.1)</f>
        <v>0.0016466852521630632</v>
      </c>
      <c r="T354" s="20">
        <f>IF(OR(P354="",E354=0,E354=""),"",P354/E354)</f>
        <v>0.9222987994664296</v>
      </c>
      <c r="U354" s="18" t="inlineStr">
        <is>
          <t>—</t>
        </is>
      </c>
      <c r="V354" s="18" t="inlineStr">
        <is>
          <t>—</t>
        </is>
      </c>
      <c r="W354" s="18" t="inlineStr">
        <is>
          <t>OK</t>
        </is>
      </c>
      <c r="X354" s="18" t="inlineStr">
        <is>
          <t>CHEVRON CORP</t>
        </is>
      </c>
    </row>
    <row r="355">
      <c r="A355" s="18" t="inlineStr">
        <is>
          <t>셰브론</t>
        </is>
      </c>
      <c r="B355" s="18" t="inlineStr">
        <is>
          <t>CVX</t>
        </is>
      </c>
      <c r="C355" s="18" t="n">
        <v>2025</v>
      </c>
      <c r="D355" s="18" t="inlineStr">
        <is>
          <t>2025-12-31</t>
        </is>
      </c>
      <c r="E355" s="19" t="n">
        <v>184432000000</v>
      </c>
      <c r="F355" s="19" t="n">
        <v>20960000000</v>
      </c>
      <c r="G355" s="18" t="inlineStr">
        <is>
          <t>pretax_plus_interest_less_investment_income</t>
        </is>
      </c>
      <c r="H355" s="18" t="inlineStr">
        <is>
          <t>LOW</t>
        </is>
      </c>
      <c r="I355" s="20" t="n">
        <v>0.3676239679886542</v>
      </c>
      <c r="J355" s="19">
        <f>IF(F355="","",F355*(1-I355))</f>
        <v>13254601630.95781</v>
      </c>
      <c r="K355" s="19" t="n">
        <v>192176000000</v>
      </c>
      <c r="L355" s="19" t="n">
        <v>50699000000</v>
      </c>
      <c r="M355" s="19" t="n">
        <v>7285000000</v>
      </c>
      <c r="N355" s="19">
        <f>IF(COUNT(K355:M355)&lt;3,"",K355+L355-M355)</f>
        <v>235590000000.0</v>
      </c>
      <c r="O355" s="19">
        <f>N354</f>
        <v>177686000000.0</v>
      </c>
      <c r="P355" s="19">
        <f>IF(N355="","",IF(OR(O355="",O355&lt;=0,N355&lt;=0),N355,(N355+O355)/2))</f>
        <v>206638000000.0</v>
      </c>
      <c r="Q355" s="18" t="inlineStr">
        <is>
          <t>기초·기말 평균</t>
        </is>
      </c>
      <c r="R355" s="20">
        <f>IF(OR(P355="",P355&lt;=0),"",J355/P355)</f>
        <v>0.06414406658483826</v>
      </c>
      <c r="S355" s="20">
        <f>IF(R355="","",R355-0.1)</f>
        <v>-0.035855933415161745</v>
      </c>
      <c r="T355" s="20">
        <f>IF(OR(P355="",E355=0,E355=""),"",P355/E355)</f>
        <v>1.120402099418756</v>
      </c>
      <c r="U355" s="18" t="inlineStr">
        <is>
          <t>—</t>
        </is>
      </c>
      <c r="V355" s="18" t="inlineStr">
        <is>
          <t>—</t>
        </is>
      </c>
      <c r="W355" s="18" t="inlineStr">
        <is>
          <t>OK</t>
        </is>
      </c>
      <c r="X355" s="18" t="inlineStr">
        <is>
          <t>CHEVRON CORP</t>
        </is>
      </c>
    </row>
    <row r="356">
      <c r="A356" s="11" t="inlineStr">
        <is>
          <t>홈디포</t>
        </is>
      </c>
      <c r="B356" s="11" t="inlineStr">
        <is>
          <t>HD</t>
        </is>
      </c>
      <c r="C356" s="11" t="n">
        <v>2015</v>
      </c>
      <c r="D356" s="11" t="inlineStr">
        <is>
          <t>2016-01-31</t>
        </is>
      </c>
      <c r="E356" s="12" t="n">
        <v>88519000000</v>
      </c>
      <c r="F356" s="12" t="n">
        <v>11774000000</v>
      </c>
      <c r="G356" s="11" t="inlineStr">
        <is>
          <t>reported</t>
        </is>
      </c>
      <c r="H356" s="11" t="inlineStr">
        <is>
          <t>HIGH</t>
        </is>
      </c>
      <c r="I356" s="13" t="n">
        <v>0.3640323019689684</v>
      </c>
      <c r="J356" s="12">
        <f>IF(F356="","",F356*(1-I356))</f>
        <v>7487883676.617366</v>
      </c>
      <c r="K356" s="12" t="n">
        <v>6316000000</v>
      </c>
      <c r="L356" s="12" t="n">
        <v>21216000000</v>
      </c>
      <c r="M356" s="12" t="n">
        <v>2216000000</v>
      </c>
      <c r="N356" s="12">
        <f>IF(COUNT(K356:M356)&lt;3,"",K356+L356-M356)</f>
        <v>25316000000.0</v>
      </c>
      <c r="O356" s="11" t="inlineStr">
        <is>
          <t>—</t>
        </is>
      </c>
      <c r="P356" s="12" t="inlineStr">
        <is>
          <t>—</t>
        </is>
      </c>
      <c r="Q356" s="11" t="inlineStr">
        <is>
          <t>—</t>
        </is>
      </c>
      <c r="R356" s="13" t="inlineStr">
        <is>
          <t>—</t>
        </is>
      </c>
      <c r="S356" s="13" t="inlineStr">
        <is>
          <t>—</t>
        </is>
      </c>
      <c r="T356" s="13" t="inlineStr">
        <is>
          <t>—</t>
        </is>
      </c>
      <c r="U356" s="11" t="inlineStr">
        <is>
          <t>—</t>
        </is>
      </c>
      <c r="V356" s="11" t="inlineStr">
        <is>
          <t>—</t>
        </is>
      </c>
      <c r="W356" s="11" t="inlineStr">
        <is>
          <t>다음 해 평균 투하자본의 기초값으로만 사용 (보고 기간 밖 — 자체 비율은 계산하지 않음)</t>
        </is>
      </c>
      <c r="X356" s="11" t="inlineStr">
        <is>
          <t>HOME DEPOT, INC.</t>
        </is>
      </c>
    </row>
    <row r="357">
      <c r="A357" t="inlineStr">
        <is>
          <t>홈디포</t>
        </is>
      </c>
      <c r="B357" t="inlineStr">
        <is>
          <t>HD</t>
        </is>
      </c>
      <c r="C357" t="n">
        <v>2016</v>
      </c>
      <c r="D357" t="inlineStr">
        <is>
          <t>2017-01-29</t>
        </is>
      </c>
      <c r="E357" s="14" t="n">
        <v>94595000000</v>
      </c>
      <c r="F357" s="14" t="n">
        <v>13427000000</v>
      </c>
      <c r="G357" t="inlineStr">
        <is>
          <t>reported</t>
        </is>
      </c>
      <c r="H357" t="inlineStr">
        <is>
          <t>HIGH</t>
        </is>
      </c>
      <c r="I357" s="15" t="n">
        <v>0.3629813465695301</v>
      </c>
      <c r="J357" s="14">
        <f>IF(F357="","",F357*(1-I357))</f>
        <v>8553249459.61092</v>
      </c>
      <c r="K357" s="14" t="n">
        <v>4333000000</v>
      </c>
      <c r="L357" s="14" t="n">
        <v>23601000000</v>
      </c>
      <c r="M357" s="14" t="n">
        <v>2538000000</v>
      </c>
      <c r="N357" s="14">
        <f>IF(COUNT(K357:M357)&lt;3,"",K357+L357-M357)</f>
        <v>25396000000.0</v>
      </c>
      <c r="O357" s="14">
        <f>N356</f>
        <v>25316000000.0</v>
      </c>
      <c r="P357" s="14">
        <f>IF(N357="","",IF(OR(O357="",O357&lt;=0,N357&lt;=0),N357,(N357+O357)/2))</f>
        <v>25356000000.0</v>
      </c>
      <c r="Q357" t="inlineStr">
        <is>
          <t>기초·기말 평균</t>
        </is>
      </c>
      <c r="R357" s="15">
        <f>IF(OR(P357="",P357&lt;=0),"",J357/P357)</f>
        <v>0.33732644974013726</v>
      </c>
      <c r="S357" s="15">
        <f>IF(R357="","",R357-0.1)</f>
        <v>0.23732644974013725</v>
      </c>
      <c r="T357" s="15">
        <f>IF(OR(P357="",E357=0,E357=""),"",P357/E357)</f>
        <v>0.2680479940800254</v>
      </c>
      <c r="U357" t="inlineStr">
        <is>
          <t>—</t>
        </is>
      </c>
      <c r="V357" t="inlineStr">
        <is>
          <t>—</t>
        </is>
      </c>
      <c r="W357" t="inlineStr">
        <is>
          <t>OK</t>
        </is>
      </c>
      <c r="X357" t="inlineStr">
        <is>
          <t>HOME DEPOT, INC.</t>
        </is>
      </c>
    </row>
    <row r="358">
      <c r="A358" t="inlineStr">
        <is>
          <t>홈디포</t>
        </is>
      </c>
      <c r="B358" t="inlineStr">
        <is>
          <t>HD</t>
        </is>
      </c>
      <c r="C358" t="n">
        <v>2017</v>
      </c>
      <c r="D358" t="inlineStr">
        <is>
          <t>2018-01-28</t>
        </is>
      </c>
      <c r="E358" s="14" t="n">
        <v>100904000000</v>
      </c>
      <c r="F358" s="14" t="n">
        <v>14681000000</v>
      </c>
      <c r="G358" t="inlineStr">
        <is>
          <t>reported</t>
        </is>
      </c>
      <c r="H358" t="inlineStr">
        <is>
          <t>HIGH</t>
        </is>
      </c>
      <c r="I358" s="15" t="n">
        <v>0.3699810191268799</v>
      </c>
      <c r="J358" s="14">
        <f>IF(F358="","",F358*(1-I358))</f>
        <v>9249308658.198275</v>
      </c>
      <c r="K358" s="14" t="n">
        <v>1454000000</v>
      </c>
      <c r="L358" s="14" t="n">
        <v>27028000000</v>
      </c>
      <c r="M358" s="14" t="n">
        <v>3595000000</v>
      </c>
      <c r="N358" s="14">
        <f>IF(COUNT(K358:M358)&lt;3,"",K358+L358-M358)</f>
        <v>24887000000.0</v>
      </c>
      <c r="O358" s="14">
        <f>N357</f>
        <v>25396000000.0</v>
      </c>
      <c r="P358" s="14">
        <f>IF(N358="","",IF(OR(O358="",O358&lt;=0,N358&lt;=0),N358,(N358+O358)/2))</f>
        <v>25141500000.0</v>
      </c>
      <c r="Q358" t="inlineStr">
        <is>
          <t>기초·기말 평균</t>
        </is>
      </c>
      <c r="R358" s="15">
        <f>IF(OR(P358="",P358&lt;=0),"",J358/P358)</f>
        <v>0.3678900884274317</v>
      </c>
      <c r="S358" s="15">
        <f>IF(R358="","",R358-0.1)</f>
        <v>0.26789008842743167</v>
      </c>
      <c r="T358" s="15">
        <f>IF(OR(P358="",E358=0,E358=""),"",P358/E358)</f>
        <v>0.24916257036391026</v>
      </c>
      <c r="U358" t="inlineStr">
        <is>
          <t>—</t>
        </is>
      </c>
      <c r="V358" t="inlineStr">
        <is>
          <t>—</t>
        </is>
      </c>
      <c r="W358" t="inlineStr">
        <is>
          <t>OK</t>
        </is>
      </c>
      <c r="X358" t="inlineStr">
        <is>
          <t>HOME DEPOT, INC.</t>
        </is>
      </c>
    </row>
    <row r="359">
      <c r="A359" t="inlineStr">
        <is>
          <t>홈디포</t>
        </is>
      </c>
      <c r="B359" t="inlineStr">
        <is>
          <t>HD</t>
        </is>
      </c>
      <c r="C359" t="n">
        <v>2018</v>
      </c>
      <c r="D359" t="inlineStr">
        <is>
          <t>2019-02-03</t>
        </is>
      </c>
      <c r="E359" s="14" t="n">
        <v>108203000000</v>
      </c>
      <c r="F359" s="14" t="n">
        <v>15530000000</v>
      </c>
      <c r="G359" t="inlineStr">
        <is>
          <t>reported</t>
        </is>
      </c>
      <c r="H359" t="inlineStr">
        <is>
          <t>HIGH</t>
        </is>
      </c>
      <c r="I359" s="15" t="n">
        <v>0.2359851607584501</v>
      </c>
      <c r="J359" s="14">
        <f>IF(F359="","",F359*(1-I359))</f>
        <v>11865150453.42127</v>
      </c>
      <c r="K359" s="14" t="n">
        <v>-1878000000</v>
      </c>
      <c r="L359" s="14" t="n">
        <v>29202000000</v>
      </c>
      <c r="M359" s="14" t="n">
        <v>1778000000</v>
      </c>
      <c r="N359" s="14">
        <f>IF(COUNT(K359:M359)&lt;3,"",K359+L359-M359)</f>
        <v>25546000000.0</v>
      </c>
      <c r="O359" s="14">
        <f>N358</f>
        <v>24887000000.0</v>
      </c>
      <c r="P359" s="14">
        <f>IF(N359="","",IF(OR(O359="",O359&lt;=0,N359&lt;=0),N359,(N359+O359)/2))</f>
        <v>25216500000.0</v>
      </c>
      <c r="Q359" t="inlineStr">
        <is>
          <t>기초·기말 평균</t>
        </is>
      </c>
      <c r="R359" s="15">
        <f>IF(OR(P359="",P359&lt;=0),"",J359/P359)</f>
        <v>0.47053121779078266</v>
      </c>
      <c r="S359" s="15">
        <f>IF(R359="","",R359-0.1)</f>
        <v>0.3705312177907827</v>
      </c>
      <c r="T359" s="15">
        <f>IF(OR(P359="",E359=0,E359=""),"",P359/E359)</f>
        <v>0.23304806705913883</v>
      </c>
      <c r="U359" t="inlineStr">
        <is>
          <t>—</t>
        </is>
      </c>
      <c r="V359" t="inlineStr">
        <is>
          <t>—</t>
        </is>
      </c>
      <c r="W359" t="inlineStr">
        <is>
          <t>OK</t>
        </is>
      </c>
      <c r="X359" t="inlineStr">
        <is>
          <t>HOME DEPOT, INC.</t>
        </is>
      </c>
    </row>
    <row r="360">
      <c r="A360" t="inlineStr">
        <is>
          <t>홈디포</t>
        </is>
      </c>
      <c r="B360" t="inlineStr">
        <is>
          <t>HD</t>
        </is>
      </c>
      <c r="C360" t="n">
        <v>2019</v>
      </c>
      <c r="D360" t="inlineStr">
        <is>
          <t>2020-02-02</t>
        </is>
      </c>
      <c r="E360" s="14" t="n">
        <v>110225000000</v>
      </c>
      <c r="F360" s="14" t="n">
        <v>15843000000</v>
      </c>
      <c r="G360" t="inlineStr">
        <is>
          <t>reported</t>
        </is>
      </c>
      <c r="H360" t="inlineStr">
        <is>
          <t>HIGH</t>
        </is>
      </c>
      <c r="I360" s="15" t="n">
        <v>0.236017669045192</v>
      </c>
      <c r="J360" s="14">
        <f>IF(F360="","",F360*(1-I360))</f>
        <v>12103772069.317022</v>
      </c>
      <c r="K360" s="14" t="n">
        <v>-3116000000</v>
      </c>
      <c r="L360" s="14" t="n">
        <v>31483000000</v>
      </c>
      <c r="M360" s="14" t="n">
        <v>2133000000</v>
      </c>
      <c r="N360" s="14">
        <f>IF(COUNT(K360:M360)&lt;3,"",K360+L360-M360)</f>
        <v>26234000000.0</v>
      </c>
      <c r="O360" s="14">
        <f>N359</f>
        <v>25546000000.0</v>
      </c>
      <c r="P360" s="14">
        <f>IF(N360="","",IF(OR(O360="",O360&lt;=0,N360&lt;=0),N360,(N360+O360)/2))</f>
        <v>25890000000.0</v>
      </c>
      <c r="Q360" t="inlineStr">
        <is>
          <t>기초·기말 평균</t>
        </is>
      </c>
      <c r="R360" s="15">
        <f>IF(OR(P360="",P360&lt;=0),"",J360/P360)</f>
        <v>0.46750761179285527</v>
      </c>
      <c r="S360" s="15">
        <f>IF(R360="","",R360-0.1)</f>
        <v>0.3675076117928553</v>
      </c>
      <c r="T360" s="15">
        <f>IF(OR(P360="",E360=0,E360=""),"",P360/E360)</f>
        <v>0.23488319346790656</v>
      </c>
      <c r="U360" t="inlineStr">
        <is>
          <t>—</t>
        </is>
      </c>
      <c r="V360" t="inlineStr">
        <is>
          <t>—</t>
        </is>
      </c>
      <c r="W360" t="inlineStr">
        <is>
          <t>OK</t>
        </is>
      </c>
      <c r="X360" t="inlineStr">
        <is>
          <t>HOME DEPOT, INC.</t>
        </is>
      </c>
    </row>
    <row r="361">
      <c r="A361" t="inlineStr">
        <is>
          <t>홈디포</t>
        </is>
      </c>
      <c r="B361" t="inlineStr">
        <is>
          <t>HD</t>
        </is>
      </c>
      <c r="C361" t="n">
        <v>2020</v>
      </c>
      <c r="D361" t="inlineStr">
        <is>
          <t>2021-01-31</t>
        </is>
      </c>
      <c r="E361" s="14" t="n">
        <v>132110000000</v>
      </c>
      <c r="F361" s="14" t="n">
        <v>18278000000</v>
      </c>
      <c r="G361" t="inlineStr">
        <is>
          <t>reported</t>
        </is>
      </c>
      <c r="H361" t="inlineStr">
        <is>
          <t>HIGH</t>
        </is>
      </c>
      <c r="I361" s="15" t="n">
        <v>0.2421957827777123</v>
      </c>
      <c r="J361" s="14">
        <f>IF(F361="","",F361*(1-I361))</f>
        <v>13851145482.388973</v>
      </c>
      <c r="K361" s="14" t="n">
        <v>3299000000</v>
      </c>
      <c r="L361" s="14" t="n">
        <v>37238000000</v>
      </c>
      <c r="M361" s="14" t="n">
        <v>7895000000</v>
      </c>
      <c r="N361" s="14">
        <f>IF(COUNT(K361:M361)&lt;3,"",K361+L361-M361)</f>
        <v>32642000000.0</v>
      </c>
      <c r="O361" s="14">
        <f>N360</f>
        <v>26234000000.0</v>
      </c>
      <c r="P361" s="14">
        <f>IF(N361="","",IF(OR(O361="",O361&lt;=0,N361&lt;=0),N361,(N361+O361)/2))</f>
        <v>29438000000.0</v>
      </c>
      <c r="Q361" t="inlineStr">
        <is>
          <t>기초·기말 평균</t>
        </is>
      </c>
      <c r="R361" s="15">
        <f>IF(OR(P361="",P361&lt;=0),"",J361/P361)</f>
        <v>0.4705192432362583</v>
      </c>
      <c r="S361" s="15">
        <f>IF(R361="","",R361-0.1)</f>
        <v>0.3705192432362583</v>
      </c>
      <c r="T361" s="15">
        <f>IF(OR(P361="",E361=0,E361=""),"",P361/E361)</f>
        <v>0.22282946029823633</v>
      </c>
      <c r="U361" t="inlineStr">
        <is>
          <t>—</t>
        </is>
      </c>
      <c r="V361" t="inlineStr">
        <is>
          <t>—</t>
        </is>
      </c>
      <c r="W361" t="inlineStr">
        <is>
          <t>OK</t>
        </is>
      </c>
      <c r="X361" t="inlineStr">
        <is>
          <t>HOME DEPOT, INC.</t>
        </is>
      </c>
    </row>
    <row r="362">
      <c r="A362" t="inlineStr">
        <is>
          <t>홈디포</t>
        </is>
      </c>
      <c r="B362" t="inlineStr">
        <is>
          <t>HD</t>
        </is>
      </c>
      <c r="C362" t="n">
        <v>2021</v>
      </c>
      <c r="D362" t="inlineStr">
        <is>
          <t>2022-01-30</t>
        </is>
      </c>
      <c r="E362" s="14" t="n">
        <v>151157000000</v>
      </c>
      <c r="F362" s="14" t="n">
        <v>23040000000</v>
      </c>
      <c r="G362" t="inlineStr">
        <is>
          <t>reported</t>
        </is>
      </c>
      <c r="H362" t="inlineStr">
        <is>
          <t>HIGH</t>
        </is>
      </c>
      <c r="I362" s="15" t="n">
        <v>0.244007912775452</v>
      </c>
      <c r="J362" s="14">
        <f>IF(F362="","",F362*(1-I362))</f>
        <v>17418057689.653587</v>
      </c>
      <c r="K362" s="14" t="n">
        <v>-1696000000</v>
      </c>
      <c r="L362" s="14" t="n">
        <v>40086000000</v>
      </c>
      <c r="M362" s="14" t="n">
        <v>2343000000</v>
      </c>
      <c r="N362" s="14">
        <f>IF(COUNT(K362:M362)&lt;3,"",K362+L362-M362)</f>
        <v>36047000000.0</v>
      </c>
      <c r="O362" s="14">
        <f>N361</f>
        <v>32642000000.0</v>
      </c>
      <c r="P362" s="14">
        <f>IF(N362="","",IF(OR(O362="",O362&lt;=0,N362&lt;=0),N362,(N362+O362)/2))</f>
        <v>34344500000.0</v>
      </c>
      <c r="Q362" t="inlineStr">
        <is>
          <t>기초·기말 평균</t>
        </is>
      </c>
      <c r="R362" s="15">
        <f>IF(OR(P362="",P362&lt;=0),"",J362/P362)</f>
        <v>0.5071571194704709</v>
      </c>
      <c r="S362" s="15">
        <f>IF(R362="","",R362-0.1)</f>
        <v>0.40715711947047095</v>
      </c>
      <c r="T362" s="15">
        <f>IF(OR(P362="",E362=0,E362=""),"",P362/E362)</f>
        <v>0.22721078084375848</v>
      </c>
      <c r="U362" t="inlineStr">
        <is>
          <t>—</t>
        </is>
      </c>
      <c r="V362" t="inlineStr">
        <is>
          <t>—</t>
        </is>
      </c>
      <c r="W362" t="inlineStr">
        <is>
          <t>OK</t>
        </is>
      </c>
      <c r="X362" t="inlineStr">
        <is>
          <t>HOME DEPOT, INC.</t>
        </is>
      </c>
    </row>
    <row r="363">
      <c r="A363" t="inlineStr">
        <is>
          <t>홈디포</t>
        </is>
      </c>
      <c r="B363" t="inlineStr">
        <is>
          <t>HD</t>
        </is>
      </c>
      <c r="C363" t="n">
        <v>2022</v>
      </c>
      <c r="D363" t="inlineStr">
        <is>
          <t>2023-01-29</t>
        </is>
      </c>
      <c r="E363" s="14" t="n">
        <v>157403000000</v>
      </c>
      <c r="F363" s="14" t="n">
        <v>24039000000</v>
      </c>
      <c r="G363" t="inlineStr">
        <is>
          <t>reported</t>
        </is>
      </c>
      <c r="H363" t="inlineStr">
        <is>
          <t>HIGH</t>
        </is>
      </c>
      <c r="I363" s="15" t="n">
        <v>0.2389998665302309</v>
      </c>
      <c r="J363" s="14">
        <f>IF(F363="","",F363*(1-I363))</f>
        <v>18293682208.479782</v>
      </c>
      <c r="K363" s="14" t="n">
        <v>1562000000</v>
      </c>
      <c r="L363" s="14" t="n">
        <v>43193000000</v>
      </c>
      <c r="M363" s="14" t="n">
        <v>2757000000</v>
      </c>
      <c r="N363" s="14">
        <f>IF(COUNT(K363:M363)&lt;3,"",K363+L363-M363)</f>
        <v>41998000000.0</v>
      </c>
      <c r="O363" s="14">
        <f>N362</f>
        <v>36047000000.0</v>
      </c>
      <c r="P363" s="14">
        <f>IF(N363="","",IF(OR(O363="",O363&lt;=0,N363&lt;=0),N363,(N363+O363)/2))</f>
        <v>39022500000.0</v>
      </c>
      <c r="Q363" t="inlineStr">
        <is>
          <t>기초·기말 평균</t>
        </is>
      </c>
      <c r="R363" s="15">
        <f>IF(OR(P363="",P363&lt;=0),"",J363/P363)</f>
        <v>0.4687983140106293</v>
      </c>
      <c r="S363" s="15">
        <f>IF(R363="","",R363-0.1)</f>
        <v>0.36879831401062935</v>
      </c>
      <c r="T363" s="15">
        <f>IF(OR(P363="",E363=0,E363=""),"",P363/E363)</f>
        <v>0.2479145886673062</v>
      </c>
      <c r="U363" t="inlineStr">
        <is>
          <t>—</t>
        </is>
      </c>
      <c r="V363" t="inlineStr">
        <is>
          <t>—</t>
        </is>
      </c>
      <c r="W363" t="inlineStr">
        <is>
          <t>OK</t>
        </is>
      </c>
      <c r="X363" t="inlineStr">
        <is>
          <t>HOME DEPOT, INC.</t>
        </is>
      </c>
    </row>
    <row r="364">
      <c r="A364" t="inlineStr">
        <is>
          <t>홈디포</t>
        </is>
      </c>
      <c r="B364" t="inlineStr">
        <is>
          <t>HD</t>
        </is>
      </c>
      <c r="C364" t="n">
        <v>2023</v>
      </c>
      <c r="D364" t="inlineStr">
        <is>
          <t>2024-01-28</t>
        </is>
      </c>
      <c r="E364" s="14" t="n">
        <v>152669000000</v>
      </c>
      <c r="F364" s="14" t="n">
        <v>21689000000</v>
      </c>
      <c r="G364" t="inlineStr">
        <is>
          <t>reported</t>
        </is>
      </c>
      <c r="H364" t="inlineStr">
        <is>
          <t>HIGH</t>
        </is>
      </c>
      <c r="I364" s="15" t="n">
        <v>0.2399618550491869</v>
      </c>
      <c r="J364" s="14">
        <f>IF(F364="","",F364*(1-I364))</f>
        <v>16484467325.838186</v>
      </c>
      <c r="K364" s="14" t="n">
        <v>1044000000</v>
      </c>
      <c r="L364" s="14" t="n">
        <v>44111000000</v>
      </c>
      <c r="M364" s="14" t="n">
        <v>3760000000</v>
      </c>
      <c r="N364" s="14">
        <f>IF(COUNT(K364:M364)&lt;3,"",K364+L364-M364)</f>
        <v>41395000000.0</v>
      </c>
      <c r="O364" s="14">
        <f>N363</f>
        <v>41998000000.0</v>
      </c>
      <c r="P364" s="14">
        <f>IF(N364="","",IF(OR(O364="",O364&lt;=0,N364&lt;=0),N364,(N364+O364)/2))</f>
        <v>41696500000.0</v>
      </c>
      <c r="Q364" t="inlineStr">
        <is>
          <t>기초·기말 평균</t>
        </is>
      </c>
      <c r="R364" s="15">
        <f>IF(OR(P364="",P364&lt;=0),"",J364/P364)</f>
        <v>0.39534414940913953</v>
      </c>
      <c r="S364" s="15">
        <f>IF(R364="","",R364-0.1)</f>
        <v>0.29534414940913956</v>
      </c>
      <c r="T364" s="15">
        <f>IF(OR(P364="",E364=0,E364=""),"",P364/E364)</f>
        <v>0.27311700476193596</v>
      </c>
      <c r="U364" t="inlineStr">
        <is>
          <t>—</t>
        </is>
      </c>
      <c r="V364" t="inlineStr">
        <is>
          <t>—</t>
        </is>
      </c>
      <c r="W364" t="inlineStr">
        <is>
          <t>OK</t>
        </is>
      </c>
      <c r="X364" t="inlineStr">
        <is>
          <t>HOME DEPOT, INC.</t>
        </is>
      </c>
    </row>
    <row r="365">
      <c r="A365" t="inlineStr">
        <is>
          <t>홈디포</t>
        </is>
      </c>
      <c r="B365" t="inlineStr">
        <is>
          <t>HD</t>
        </is>
      </c>
      <c r="C365" t="n">
        <v>2024</v>
      </c>
      <c r="D365" t="inlineStr">
        <is>
          <t>2025-02-02</t>
        </is>
      </c>
      <c r="E365" s="14" t="n">
        <v>159514000000</v>
      </c>
      <c r="F365" s="14" t="n">
        <v>21526000000</v>
      </c>
      <c r="G365" t="inlineStr">
        <is>
          <t>reported</t>
        </is>
      </c>
      <c r="H365" t="inlineStr">
        <is>
          <t>HIGH</t>
        </is>
      </c>
      <c r="I365" s="15" t="n">
        <v>0.2370400906935999</v>
      </c>
      <c r="J365" s="14">
        <f>IF(F365="","",F365*(1-I365))</f>
        <v>16423475007.729568</v>
      </c>
      <c r="K365" s="14" t="n">
        <v>6640000000</v>
      </c>
      <c r="L365" s="14" t="n">
        <v>53383000000</v>
      </c>
      <c r="M365" s="14" t="n">
        <v>1659000000</v>
      </c>
      <c r="N365" s="14">
        <f>IF(COUNT(K365:M365)&lt;3,"",K365+L365-M365)</f>
        <v>58364000000.0</v>
      </c>
      <c r="O365" s="14">
        <f>N364</f>
        <v>41395000000.0</v>
      </c>
      <c r="P365" s="14">
        <f>IF(N365="","",IF(OR(O365="",O365&lt;=0,N365&lt;=0),N365,(N365+O365)/2))</f>
        <v>49879500000.0</v>
      </c>
      <c r="Q365" t="inlineStr">
        <is>
          <t>기초·기말 평균</t>
        </is>
      </c>
      <c r="R365" s="15">
        <f>IF(OR(P365="",P365&lt;=0),"",J365/P365)</f>
        <v>0.3292630240425339</v>
      </c>
      <c r="S365" s="15">
        <f>IF(R365="","",R365-0.1)</f>
        <v>0.22926302404253388</v>
      </c>
      <c r="T365" s="15">
        <f>IF(OR(P365="",E365=0,E365=""),"",P365/E365)</f>
        <v>0.31269669119951854</v>
      </c>
      <c r="U365" t="inlineStr">
        <is>
          <t>—</t>
        </is>
      </c>
      <c r="V365" t="inlineStr">
        <is>
          <t>—</t>
        </is>
      </c>
      <c r="W365" t="inlineStr">
        <is>
          <t>OK</t>
        </is>
      </c>
      <c r="X365" t="inlineStr">
        <is>
          <t>HOME DEPOT, INC.</t>
        </is>
      </c>
    </row>
    <row r="366">
      <c r="A366" t="inlineStr">
        <is>
          <t>홈디포</t>
        </is>
      </c>
      <c r="B366" t="inlineStr">
        <is>
          <t>HD</t>
        </is>
      </c>
      <c r="C366" t="n">
        <v>2025</v>
      </c>
      <c r="D366" t="inlineStr">
        <is>
          <t>2026-02-01</t>
        </is>
      </c>
      <c r="E366" s="14" t="n">
        <v>164683000000</v>
      </c>
      <c r="F366" s="14" t="n">
        <v>20890000000</v>
      </c>
      <c r="G366" t="inlineStr">
        <is>
          <t>reported</t>
        </is>
      </c>
      <c r="H366" t="inlineStr">
        <is>
          <t>HIGH</t>
        </is>
      </c>
      <c r="I366" s="15" t="n">
        <v>0.2390065584345769</v>
      </c>
      <c r="J366" s="14">
        <f>IF(F366="","",F366*(1-I366))</f>
        <v>15897152994.30169</v>
      </c>
      <c r="K366" s="14" t="n">
        <v>12813000000</v>
      </c>
      <c r="L366" s="14" t="n">
        <v>55772000000</v>
      </c>
      <c r="M366" s="14" t="n">
        <v>1389000000</v>
      </c>
      <c r="N366" s="14">
        <f>IF(COUNT(K366:M366)&lt;3,"",K366+L366-M366)</f>
        <v>67196000000.0</v>
      </c>
      <c r="O366" s="14">
        <f>N365</f>
        <v>58364000000.0</v>
      </c>
      <c r="P366" s="14">
        <f>IF(N366="","",IF(OR(O366="",O366&lt;=0,N366&lt;=0),N366,(N366+O366)/2))</f>
        <v>62780000000.0</v>
      </c>
      <c r="Q366" t="inlineStr">
        <is>
          <t>기초·기말 평균</t>
        </is>
      </c>
      <c r="R366" s="15">
        <f>IF(OR(P366="",P366&lt;=0),"",J366/P366)</f>
        <v>0.2532200222093292</v>
      </c>
      <c r="S366" s="15">
        <f>IF(R366="","",R366-0.1)</f>
        <v>0.1532200222093292</v>
      </c>
      <c r="T366" s="15">
        <f>IF(OR(P366="",E366=0,E366=""),"",P366/E366)</f>
        <v>0.3812172476819101</v>
      </c>
      <c r="U366" t="inlineStr">
        <is>
          <t>—</t>
        </is>
      </c>
      <c r="V366" t="inlineStr">
        <is>
          <t>—</t>
        </is>
      </c>
      <c r="W366" t="inlineStr">
        <is>
          <t>OK</t>
        </is>
      </c>
      <c r="X366" t="inlineStr">
        <is>
          <t>HOME DEPOT, INC.</t>
        </is>
      </c>
    </row>
    <row r="367">
      <c r="A367" s="11" t="inlineStr">
        <is>
          <t>프록터앤드갬블</t>
        </is>
      </c>
      <c r="B367" s="11" t="inlineStr">
        <is>
          <t>PG</t>
        </is>
      </c>
      <c r="C367" s="11" t="n">
        <v>2015</v>
      </c>
      <c r="D367" s="11" t="inlineStr">
        <is>
          <t>2015-06-30</t>
        </is>
      </c>
      <c r="E367" s="12" t="n">
        <v>70749000000</v>
      </c>
      <c r="F367" s="12" t="n">
        <v>11049000000</v>
      </c>
      <c r="G367" s="11" t="inlineStr">
        <is>
          <t>reported</t>
        </is>
      </c>
      <c r="H367" s="11" t="inlineStr">
        <is>
          <t>HIGH</t>
        </is>
      </c>
      <c r="I367" s="13" t="n">
        <v>0.3288282852660794</v>
      </c>
      <c r="J367" s="12">
        <f>IF(F367="","",F367*(1-I367))</f>
        <v>7415776276.09509</v>
      </c>
      <c r="K367" s="12" t="n">
        <v>63050000000</v>
      </c>
      <c r="L367" s="12" t="n">
        <v>30345000000</v>
      </c>
      <c r="M367" s="12" t="n">
        <v>11603000000</v>
      </c>
      <c r="N367" s="12">
        <f>IF(COUNT(K367:M367)&lt;3,"",K367+L367-M367)</f>
        <v>81792000000.0</v>
      </c>
      <c r="O367" s="11" t="inlineStr">
        <is>
          <t>—</t>
        </is>
      </c>
      <c r="P367" s="12" t="inlineStr">
        <is>
          <t>—</t>
        </is>
      </c>
      <c r="Q367" s="11" t="inlineStr">
        <is>
          <t>—</t>
        </is>
      </c>
      <c r="R367" s="13" t="inlineStr">
        <is>
          <t>—</t>
        </is>
      </c>
      <c r="S367" s="13" t="inlineStr">
        <is>
          <t>—</t>
        </is>
      </c>
      <c r="T367" s="13" t="inlineStr">
        <is>
          <t>—</t>
        </is>
      </c>
      <c r="U367" s="11" t="inlineStr">
        <is>
          <t>—</t>
        </is>
      </c>
      <c r="V367" s="11" t="inlineStr">
        <is>
          <t>—</t>
        </is>
      </c>
      <c r="W367" s="11" t="inlineStr">
        <is>
          <t>다음 해 평균 투하자본의 기초값으로만 사용 (보고 기간 밖 — 자체 비율은 계산하지 않음)</t>
        </is>
      </c>
      <c r="X367" s="11" t="inlineStr">
        <is>
          <t>PROCTER &amp; GAMBLE Co</t>
        </is>
      </c>
    </row>
    <row r="368">
      <c r="A368" s="11" t="inlineStr">
        <is>
          <t>프록터앤드갬블</t>
        </is>
      </c>
      <c r="B368" s="11" t="inlineStr">
        <is>
          <t>PG</t>
        </is>
      </c>
      <c r="C368" s="11" t="n">
        <v>2016</v>
      </c>
      <c r="D368" s="11" t="inlineStr">
        <is>
          <t>2016-06-30</t>
        </is>
      </c>
      <c r="E368" s="12" t="n">
        <v>65299000000</v>
      </c>
      <c r="F368" s="12" t="n">
        <v>13441000000</v>
      </c>
      <c r="G368" s="11" t="inlineStr">
        <is>
          <t>reported</t>
        </is>
      </c>
      <c r="H368" s="11" t="inlineStr">
        <is>
          <t>HIGH</t>
        </is>
      </c>
      <c r="I368" s="13" t="n">
        <v>0.3333000897576543</v>
      </c>
      <c r="J368" s="12">
        <f>IF(F368="","",F368*(1-I368))</f>
        <v>8961113493.567368</v>
      </c>
      <c r="K368" s="12" t="n">
        <v>57983000000</v>
      </c>
      <c r="L368" s="12" t="n">
        <v>30598000000</v>
      </c>
      <c r="M368" s="12" t="n">
        <v>14344000000</v>
      </c>
      <c r="N368" s="12">
        <f>IF(COUNT(K368:M368)&lt;3,"",K368+L368-M368)</f>
        <v>74237000000.0</v>
      </c>
      <c r="O368" s="12" t="inlineStr">
        <is>
          <t>—</t>
        </is>
      </c>
      <c r="P368" s="12" t="inlineStr">
        <is>
          <t>—</t>
        </is>
      </c>
      <c r="Q368" s="11" t="inlineStr">
        <is>
          <t>—</t>
        </is>
      </c>
      <c r="R368" s="13" t="inlineStr">
        <is>
          <t>—</t>
        </is>
      </c>
      <c r="S368" s="13" t="inlineStr">
        <is>
          <t>—</t>
        </is>
      </c>
      <c r="T368" s="13" t="inlineStr">
        <is>
          <t>—</t>
        </is>
      </c>
      <c r="U368" s="11" t="inlineStr">
        <is>
          <t>—</t>
        </is>
      </c>
      <c r="V368" s="11" t="inlineStr">
        <is>
          <t>—</t>
        </is>
      </c>
      <c r="W368" s="11" t="inlineStr">
        <is>
          <t>다음 해 평균 투하자본의 기초값으로만 사용 (보고 기간 밖 — 자체 비율은 계산하지 않음)</t>
        </is>
      </c>
      <c r="X368" s="11" t="inlineStr">
        <is>
          <t>PROCTER &amp; GAMBLE Co</t>
        </is>
      </c>
    </row>
    <row r="369">
      <c r="A369" t="inlineStr">
        <is>
          <t>프록터앤드갬블</t>
        </is>
      </c>
      <c r="B369" t="inlineStr">
        <is>
          <t>PG</t>
        </is>
      </c>
      <c r="C369" t="n">
        <v>2017</v>
      </c>
      <c r="D369" t="inlineStr">
        <is>
          <t>2017-06-30</t>
        </is>
      </c>
      <c r="E369" s="14" t="n">
        <v>65058000000</v>
      </c>
      <c r="F369" s="14" t="n">
        <v>13766000000</v>
      </c>
      <c r="G369" t="inlineStr">
        <is>
          <t>reported</t>
        </is>
      </c>
      <c r="H369" t="inlineStr">
        <is>
          <t>HIGH</t>
        </is>
      </c>
      <c r="I369" s="15" t="n">
        <v>0.3004708652148322</v>
      </c>
      <c r="J369" s="14">
        <f>IF(F369="","",F369*(1-I369))</f>
        <v>9629718069.45262</v>
      </c>
      <c r="K369" s="14" t="n">
        <v>55778000000</v>
      </c>
      <c r="L369" s="14" t="n">
        <v>31592000000</v>
      </c>
      <c r="M369" s="14" t="n">
        <v>15137000000</v>
      </c>
      <c r="N369" s="14">
        <f>IF(COUNT(K369:M369)&lt;3,"",K369+L369-M369)</f>
        <v>72233000000.0</v>
      </c>
      <c r="O369" s="14">
        <f>N368</f>
        <v>74237000000.0</v>
      </c>
      <c r="P369" s="14">
        <f>IF(N369="","",IF(OR(O369="",O369&lt;=0,N369&lt;=0),N369,(N369+O369)/2))</f>
        <v>73235000000.0</v>
      </c>
      <c r="Q369" t="inlineStr">
        <is>
          <t>기초·기말 평균</t>
        </is>
      </c>
      <c r="R369" s="15">
        <f>IF(OR(P369="",P369&lt;=0),"",J369/P369)</f>
        <v>0.1314906543244708</v>
      </c>
      <c r="S369" s="15">
        <f>IF(R369="","",R369-0.1)</f>
        <v>0.03149065432447079</v>
      </c>
      <c r="T369" s="15">
        <f>IF(OR(P369="",E369=0,E369=""),"",P369/E369)</f>
        <v>1.1256878477666084</v>
      </c>
      <c r="U369" t="inlineStr">
        <is>
          <t>—</t>
        </is>
      </c>
      <c r="V369" t="inlineStr">
        <is>
          <t>—</t>
        </is>
      </c>
      <c r="W369" t="inlineStr">
        <is>
          <t>OK</t>
        </is>
      </c>
      <c r="X369" t="inlineStr">
        <is>
          <t>PROCTER &amp; GAMBLE Co</t>
        </is>
      </c>
    </row>
    <row r="370">
      <c r="A370" t="inlineStr">
        <is>
          <t>프록터앤드갬블</t>
        </is>
      </c>
      <c r="B370" t="inlineStr">
        <is>
          <t>PG</t>
        </is>
      </c>
      <c r="C370" t="n">
        <v>2018</v>
      </c>
      <c r="D370" t="inlineStr">
        <is>
          <t>2018-06-30</t>
        </is>
      </c>
      <c r="E370" s="14" t="n">
        <v>66832000000</v>
      </c>
      <c r="F370" s="14" t="n">
        <v>13363000000</v>
      </c>
      <c r="G370" t="inlineStr">
        <is>
          <t>reported</t>
        </is>
      </c>
      <c r="H370" t="inlineStr">
        <is>
          <t>HIGH</t>
        </is>
      </c>
      <c r="I370" s="15" t="n">
        <v>0.3513842409491938</v>
      </c>
      <c r="J370" s="14">
        <f>IF(F370="","",F370*(1-I370))</f>
        <v>8667452388.195923</v>
      </c>
      <c r="K370" s="14" t="n">
        <v>52883000000</v>
      </c>
      <c r="L370" s="14" t="n">
        <v>31286000000</v>
      </c>
      <c r="M370" s="14" t="n">
        <v>11850000000</v>
      </c>
      <c r="N370" s="14">
        <f>IF(COUNT(K370:M370)&lt;3,"",K370+L370-M370)</f>
        <v>72319000000.0</v>
      </c>
      <c r="O370" s="14">
        <f>N369</f>
        <v>72233000000.0</v>
      </c>
      <c r="P370" s="14">
        <f>IF(N370="","",IF(OR(O370="",O370&lt;=0,N370&lt;=0),N370,(N370+O370)/2))</f>
        <v>72276000000.0</v>
      </c>
      <c r="Q370" t="inlineStr">
        <is>
          <t>기초·기말 평균</t>
        </is>
      </c>
      <c r="R370" s="15">
        <f>IF(OR(P370="",P370&lt;=0),"",J370/P370)</f>
        <v>0.11992158376495549</v>
      </c>
      <c r="S370" s="15">
        <f>IF(R370="","",R370-0.1)</f>
        <v>0.01992158376495548</v>
      </c>
      <c r="T370" s="15">
        <f>IF(OR(P370="",E370=0,E370=""),"",P370/E370)</f>
        <v>1.081457984199186</v>
      </c>
      <c r="U370" t="inlineStr">
        <is>
          <t>—</t>
        </is>
      </c>
      <c r="V370" t="inlineStr">
        <is>
          <t>—</t>
        </is>
      </c>
      <c r="W370" t="inlineStr">
        <is>
          <t>OK</t>
        </is>
      </c>
      <c r="X370" t="inlineStr">
        <is>
          <t>PROCTER &amp; GAMBLE Co</t>
        </is>
      </c>
    </row>
    <row r="371">
      <c r="A371" t="inlineStr">
        <is>
          <t>프록터앤드갬블</t>
        </is>
      </c>
      <c r="B371" t="inlineStr">
        <is>
          <t>PG</t>
        </is>
      </c>
      <c r="C371" t="n">
        <v>2019</v>
      </c>
      <c r="D371" t="inlineStr">
        <is>
          <t>2019-06-30</t>
        </is>
      </c>
      <c r="E371" s="14" t="n">
        <v>67684000000</v>
      </c>
      <c r="F371" s="14" t="n">
        <v>5487000000</v>
      </c>
      <c r="G371" t="inlineStr">
        <is>
          <t>reported</t>
        </is>
      </c>
      <c r="H371" t="inlineStr">
        <is>
          <t>HIGH</t>
        </is>
      </c>
      <c r="I371" s="15" t="n">
        <v>0.4</v>
      </c>
      <c r="J371" s="14">
        <f>IF(F371="","",F371*(1-I371))</f>
        <v>3292200000.0</v>
      </c>
      <c r="K371" s="14" t="n">
        <v>47579000000</v>
      </c>
      <c r="L371" s="14" t="n">
        <v>30092000000</v>
      </c>
      <c r="M371" s="14" t="n">
        <v>10287000000</v>
      </c>
      <c r="N371" s="14">
        <f>IF(COUNT(K371:M371)&lt;3,"",K371+L371-M371)</f>
        <v>67384000000.0</v>
      </c>
      <c r="O371" s="14">
        <f>N370</f>
        <v>72319000000.0</v>
      </c>
      <c r="P371" s="14">
        <f>IF(N371="","",IF(OR(O371="",O371&lt;=0,N371&lt;=0),N371,(N371+O371)/2))</f>
        <v>69851500000.0</v>
      </c>
      <c r="Q371" t="inlineStr">
        <is>
          <t>기초·기말 평균</t>
        </is>
      </c>
      <c r="R371" s="15">
        <f>IF(OR(P371="",P371&lt;=0),"",J371/P371)</f>
        <v>0.04713141450076233</v>
      </c>
      <c r="S371" s="15">
        <f>IF(R371="","",R371-0.1)</f>
        <v>-0.052868585499237675</v>
      </c>
      <c r="T371" s="15">
        <f>IF(OR(P371="",E371=0,E371=""),"",P371/E371)</f>
        <v>1.032023816559305</v>
      </c>
      <c r="U371" t="inlineStr">
        <is>
          <t>—</t>
        </is>
      </c>
      <c r="V371" t="inlineStr">
        <is>
          <t>—</t>
        </is>
      </c>
      <c r="W371" t="inlineStr">
        <is>
          <t>OK</t>
        </is>
      </c>
      <c r="X371" t="inlineStr">
        <is>
          <t>PROCTER &amp; GAMBLE Co</t>
        </is>
      </c>
    </row>
    <row r="372">
      <c r="A372" t="inlineStr">
        <is>
          <t>프록터앤드갬블</t>
        </is>
      </c>
      <c r="B372" t="inlineStr">
        <is>
          <t>PG</t>
        </is>
      </c>
      <c r="C372" t="n">
        <v>2020</v>
      </c>
      <c r="D372" t="inlineStr">
        <is>
          <t>2020-06-30</t>
        </is>
      </c>
      <c r="E372" s="14" t="n">
        <v>70950000000</v>
      </c>
      <c r="F372" s="14" t="n">
        <v>15706000000</v>
      </c>
      <c r="G372" t="inlineStr">
        <is>
          <t>reported</t>
        </is>
      </c>
      <c r="H372" t="inlineStr">
        <is>
          <t>HIGH</t>
        </is>
      </c>
      <c r="I372" s="15" t="n">
        <v>0.2084255514004426</v>
      </c>
      <c r="J372" s="14">
        <f>IF(F372="","",F372*(1-I372))</f>
        <v>12432468289.704649</v>
      </c>
      <c r="K372" s="14" t="n">
        <v>46878000000</v>
      </c>
      <c r="L372" s="14" t="n">
        <v>34720000000</v>
      </c>
      <c r="M372" s="14" t="n">
        <v>16181000000</v>
      </c>
      <c r="N372" s="14">
        <f>IF(COUNT(K372:M372)&lt;3,"",K372+L372-M372)</f>
        <v>65417000000.0</v>
      </c>
      <c r="O372" s="14">
        <f>N371</f>
        <v>67384000000.0</v>
      </c>
      <c r="P372" s="14">
        <f>IF(N372="","",IF(OR(O372="",O372&lt;=0,N372&lt;=0),N372,(N372+O372)/2))</f>
        <v>66400500000.0</v>
      </c>
      <c r="Q372" t="inlineStr">
        <is>
          <t>기초·기말 평균</t>
        </is>
      </c>
      <c r="R372" s="15">
        <f>IF(OR(P372="",P372&lt;=0),"",J372/P372)</f>
        <v>0.187234558319661</v>
      </c>
      <c r="S372" s="15">
        <f>IF(R372="","",R372-0.1)</f>
        <v>0.08723455831966098</v>
      </c>
      <c r="T372" s="15">
        <f>IF(OR(P372="",E372=0,E372=""),"",P372/E372)</f>
        <v>0.935877378435518</v>
      </c>
      <c r="U372" t="inlineStr">
        <is>
          <t>—</t>
        </is>
      </c>
      <c r="V372" t="inlineStr">
        <is>
          <t>—</t>
        </is>
      </c>
      <c r="W372" t="inlineStr">
        <is>
          <t>OK</t>
        </is>
      </c>
      <c r="X372" t="inlineStr">
        <is>
          <t>PROCTER &amp; GAMBLE Co</t>
        </is>
      </c>
    </row>
    <row r="373">
      <c r="A373" t="inlineStr">
        <is>
          <t>프록터앤드갬블</t>
        </is>
      </c>
      <c r="B373" t="inlineStr">
        <is>
          <t>PG</t>
        </is>
      </c>
      <c r="C373" t="n">
        <v>2021</v>
      </c>
      <c r="D373" t="inlineStr">
        <is>
          <t>2021-06-30</t>
        </is>
      </c>
      <c r="E373" s="14" t="n">
        <v>76118000000</v>
      </c>
      <c r="F373" s="14" t="n">
        <v>17986000000</v>
      </c>
      <c r="G373" t="inlineStr">
        <is>
          <t>reported</t>
        </is>
      </c>
      <c r="H373" t="inlineStr">
        <is>
          <t>HIGH</t>
        </is>
      </c>
      <c r="I373" s="15" t="n">
        <v>0.2273550724637681</v>
      </c>
      <c r="J373" s="14">
        <f>IF(F373="","",F373*(1-I373))</f>
        <v>13896791666.666668</v>
      </c>
      <c r="K373" s="14" t="n">
        <v>46654000000</v>
      </c>
      <c r="L373" s="14" t="n">
        <v>31988000000</v>
      </c>
      <c r="M373" s="14" t="n">
        <v>10288000000</v>
      </c>
      <c r="N373" s="14">
        <f>IF(COUNT(K373:M373)&lt;3,"",K373+L373-M373)</f>
        <v>68354000000.0</v>
      </c>
      <c r="O373" s="14">
        <f>N372</f>
        <v>65417000000.0</v>
      </c>
      <c r="P373" s="14">
        <f>IF(N373="","",IF(OR(O373="",O373&lt;=0,N373&lt;=0),N373,(N373+O373)/2))</f>
        <v>66885500000.0</v>
      </c>
      <c r="Q373" t="inlineStr">
        <is>
          <t>기초·기말 평균</t>
        </is>
      </c>
      <c r="R373" s="15">
        <f>IF(OR(P373="",P373&lt;=0),"",J373/P373)</f>
        <v>0.20776987040041067</v>
      </c>
      <c r="S373" s="15">
        <f>IF(R373="","",R373-0.1)</f>
        <v>0.10776987040041067</v>
      </c>
      <c r="T373" s="15">
        <f>IF(OR(P373="",E373=0,E373=""),"",P373/E373)</f>
        <v>0.8787080585406868</v>
      </c>
      <c r="U373" t="inlineStr">
        <is>
          <t>—</t>
        </is>
      </c>
      <c r="V373" t="inlineStr">
        <is>
          <t>—</t>
        </is>
      </c>
      <c r="W373" t="inlineStr">
        <is>
          <t>OK</t>
        </is>
      </c>
      <c r="X373" t="inlineStr">
        <is>
          <t>PROCTER &amp; GAMBLE Co</t>
        </is>
      </c>
    </row>
    <row r="374">
      <c r="A374" t="inlineStr">
        <is>
          <t>프록터앤드갬블</t>
        </is>
      </c>
      <c r="B374" t="inlineStr">
        <is>
          <t>PG</t>
        </is>
      </c>
      <c r="C374" t="n">
        <v>2022</v>
      </c>
      <c r="D374" t="inlineStr">
        <is>
          <t>2022-06-30</t>
        </is>
      </c>
      <c r="E374" s="14" t="n">
        <v>80187000000</v>
      </c>
      <c r="F374" s="14" t="n">
        <v>17813000000</v>
      </c>
      <c r="G374" t="inlineStr">
        <is>
          <t>reported</t>
        </is>
      </c>
      <c r="H374" t="inlineStr">
        <is>
          <t>HIGH</t>
        </is>
      </c>
      <c r="I374" s="15" t="n">
        <v>0.1779383161989442</v>
      </c>
      <c r="J374" s="14">
        <f>IF(F374="","",F374*(1-I374))</f>
        <v>14643384773.548208</v>
      </c>
      <c r="K374" s="14" t="n">
        <v>46854000000</v>
      </c>
      <c r="L374" s="14" t="n">
        <v>31493000000</v>
      </c>
      <c r="M374" s="14" t="n">
        <v>7214000000</v>
      </c>
      <c r="N374" s="14">
        <f>IF(COUNT(K374:M374)&lt;3,"",K374+L374-M374)</f>
        <v>71133000000.0</v>
      </c>
      <c r="O374" s="14">
        <f>N373</f>
        <v>68354000000.0</v>
      </c>
      <c r="P374" s="14">
        <f>IF(N374="","",IF(OR(O374="",O374&lt;=0,N374&lt;=0),N374,(N374+O374)/2))</f>
        <v>69743500000.0</v>
      </c>
      <c r="Q374" t="inlineStr">
        <is>
          <t>기초·기말 평균</t>
        </is>
      </c>
      <c r="R374" s="15">
        <f>IF(OR(P374="",P374&lt;=0),"",J374/P374)</f>
        <v>0.20996056655528053</v>
      </c>
      <c r="S374" s="15">
        <f>IF(R374="","",R374-0.1)</f>
        <v>0.10996056655528053</v>
      </c>
      <c r="T374" s="15">
        <f>IF(OR(P374="",E374=0,E374=""),"",P374/E374)</f>
        <v>0.8697606844002145</v>
      </c>
      <c r="U374" t="inlineStr">
        <is>
          <t>—</t>
        </is>
      </c>
      <c r="V374" t="inlineStr">
        <is>
          <t>—</t>
        </is>
      </c>
      <c r="W374" t="inlineStr">
        <is>
          <t>OK</t>
        </is>
      </c>
      <c r="X374" t="inlineStr">
        <is>
          <t>PROCTER &amp; GAMBLE Co</t>
        </is>
      </c>
    </row>
    <row r="375">
      <c r="A375" t="inlineStr">
        <is>
          <t>프록터앤드갬블</t>
        </is>
      </c>
      <c r="B375" t="inlineStr">
        <is>
          <t>PG</t>
        </is>
      </c>
      <c r="C375" t="n">
        <v>2023</v>
      </c>
      <c r="D375" t="inlineStr">
        <is>
          <t>2023-06-30</t>
        </is>
      </c>
      <c r="E375" s="14" t="n">
        <v>82006000000</v>
      </c>
      <c r="F375" s="14" t="n">
        <v>18134000000</v>
      </c>
      <c r="G375" t="inlineStr">
        <is>
          <t>reported</t>
        </is>
      </c>
      <c r="H375" t="inlineStr">
        <is>
          <t>HIGH</t>
        </is>
      </c>
      <c r="I375" s="15" t="n">
        <v>0.1969705225303765</v>
      </c>
      <c r="J375" s="14">
        <f>IF(F375="","",F375*(1-I375))</f>
        <v>14562136544.434153</v>
      </c>
      <c r="K375" s="14" t="n">
        <v>47065000000</v>
      </c>
      <c r="L375" s="14" t="n">
        <v>34607000000</v>
      </c>
      <c r="M375" s="14" t="n">
        <v>8246000000</v>
      </c>
      <c r="N375" s="14">
        <f>IF(COUNT(K375:M375)&lt;3,"",K375+L375-M375)</f>
        <v>73426000000.0</v>
      </c>
      <c r="O375" s="14">
        <f>N374</f>
        <v>71133000000.0</v>
      </c>
      <c r="P375" s="14">
        <f>IF(N375="","",IF(OR(O375="",O375&lt;=0,N375&lt;=0),N375,(N375+O375)/2))</f>
        <v>72279500000.0</v>
      </c>
      <c r="Q375" t="inlineStr">
        <is>
          <t>기초·기말 평균</t>
        </is>
      </c>
      <c r="R375" s="15">
        <f>IF(OR(P375="",P375&lt;=0),"",J375/P375)</f>
        <v>0.20146980187237257</v>
      </c>
      <c r="S375" s="15">
        <f>IF(R375="","",R375-0.1)</f>
        <v>0.10146980187237256</v>
      </c>
      <c r="T375" s="15">
        <f>IF(OR(P375="",E375=0,E375=""),"",P375/E375)</f>
        <v>0.8813928249152501</v>
      </c>
      <c r="U375" t="inlineStr">
        <is>
          <t>—</t>
        </is>
      </c>
      <c r="V375" t="inlineStr">
        <is>
          <t>—</t>
        </is>
      </c>
      <c r="W375" t="inlineStr">
        <is>
          <t>OK</t>
        </is>
      </c>
      <c r="X375" t="inlineStr">
        <is>
          <t>PROCTER &amp; GAMBLE Co</t>
        </is>
      </c>
    </row>
    <row r="376">
      <c r="A376" t="inlineStr">
        <is>
          <t>프록터앤드갬블</t>
        </is>
      </c>
      <c r="B376" t="inlineStr">
        <is>
          <t>PG</t>
        </is>
      </c>
      <c r="C376" t="n">
        <v>2024</v>
      </c>
      <c r="D376" t="inlineStr">
        <is>
          <t>2024-06-30</t>
        </is>
      </c>
      <c r="E376" s="14" t="n">
        <v>84039000000</v>
      </c>
      <c r="F376" s="14" t="n">
        <v>18545000000</v>
      </c>
      <c r="G376" t="inlineStr">
        <is>
          <t>reported</t>
        </is>
      </c>
      <c r="H376" t="inlineStr">
        <is>
          <t>HIGH</t>
        </is>
      </c>
      <c r="I376" s="15" t="n">
        <v>0.2018549117850861</v>
      </c>
      <c r="J376" s="14">
        <f>IF(F376="","",F376*(1-I376))</f>
        <v>14801600660.94558</v>
      </c>
      <c r="K376" s="14" t="n">
        <v>50559000000</v>
      </c>
      <c r="L376" s="14" t="n">
        <v>32460000000</v>
      </c>
      <c r="M376" s="14" t="n">
        <v>9482000000</v>
      </c>
      <c r="N376" s="14">
        <f>IF(COUNT(K376:M376)&lt;3,"",K376+L376-M376)</f>
        <v>73537000000.0</v>
      </c>
      <c r="O376" s="14">
        <f>N375</f>
        <v>73426000000.0</v>
      </c>
      <c r="P376" s="14">
        <f>IF(N376="","",IF(OR(O376="",O376&lt;=0,N376&lt;=0),N376,(N376+O376)/2))</f>
        <v>73481500000.0</v>
      </c>
      <c r="Q376" t="inlineStr">
        <is>
          <t>기초·기말 평균</t>
        </is>
      </c>
      <c r="R376" s="15">
        <f>IF(OR(P376="",P376&lt;=0),"",J376/P376)</f>
        <v>0.20143302274648148</v>
      </c>
      <c r="S376" s="15">
        <f>IF(R376="","",R376-0.1)</f>
        <v>0.10143302274648147</v>
      </c>
      <c r="T376" s="15">
        <f>IF(OR(P376="",E376=0,E376=""),"",P376/E376)</f>
        <v>0.8743738026392508</v>
      </c>
      <c r="U376" t="inlineStr">
        <is>
          <t>—</t>
        </is>
      </c>
      <c r="V376" t="inlineStr">
        <is>
          <t>—</t>
        </is>
      </c>
      <c r="W376" t="inlineStr">
        <is>
          <t>OK</t>
        </is>
      </c>
      <c r="X376" t="inlineStr">
        <is>
          <t>PROCTER &amp; GAMBLE Co</t>
        </is>
      </c>
    </row>
    <row r="377">
      <c r="A377" t="inlineStr">
        <is>
          <t>프록터앤드갬블</t>
        </is>
      </c>
      <c r="B377" t="inlineStr">
        <is>
          <t>PG</t>
        </is>
      </c>
      <c r="C377" t="n">
        <v>2025</v>
      </c>
      <c r="D377" t="inlineStr">
        <is>
          <t>2025-06-30</t>
        </is>
      </c>
      <c r="E377" s="14" t="n">
        <v>84284000000</v>
      </c>
      <c r="F377" s="14" t="n">
        <v>20451000000</v>
      </c>
      <c r="G377" t="inlineStr">
        <is>
          <t>reported</t>
        </is>
      </c>
      <c r="H377" t="inlineStr">
        <is>
          <t>HIGH</t>
        </is>
      </c>
      <c r="I377" s="15" t="n">
        <v>0.2034015966678237</v>
      </c>
      <c r="J377" s="14">
        <f>IF(F377="","",F377*(1-I377))</f>
        <v>16291233946.546337</v>
      </c>
      <c r="K377" s="14" t="n">
        <v>52284000000</v>
      </c>
      <c r="L377" s="14" t="n">
        <v>34508000000</v>
      </c>
      <c r="M377" s="14" t="n">
        <v>9556000000</v>
      </c>
      <c r="N377" s="14">
        <f>IF(COUNT(K377:M377)&lt;3,"",K377+L377-M377)</f>
        <v>77236000000.0</v>
      </c>
      <c r="O377" s="14">
        <f>N376</f>
        <v>73537000000.0</v>
      </c>
      <c r="P377" s="14">
        <f>IF(N377="","",IF(OR(O377="",O377&lt;=0,N377&lt;=0),N377,(N377+O377)/2))</f>
        <v>75386500000.0</v>
      </c>
      <c r="Q377" t="inlineStr">
        <is>
          <t>기초·기말 평균</t>
        </is>
      </c>
      <c r="R377" s="15">
        <f>IF(OR(P377="",P377&lt;=0),"",J377/P377)</f>
        <v>0.2161028028432987</v>
      </c>
      <c r="S377" s="15">
        <f>IF(R377="","",R377-0.1)</f>
        <v>0.11610280284329869</v>
      </c>
      <c r="T377" s="15">
        <f>IF(OR(P377="",E377=0,E377=""),"",P377/E377)</f>
        <v>0.8944342935788524</v>
      </c>
      <c r="U377" t="inlineStr">
        <is>
          <t>—</t>
        </is>
      </c>
      <c r="V377" t="inlineStr">
        <is>
          <t>—</t>
        </is>
      </c>
      <c r="W377" t="inlineStr">
        <is>
          <t>OK</t>
        </is>
      </c>
      <c r="X377" t="inlineStr">
        <is>
          <t>PROCTER &amp; GAMBLE Co</t>
        </is>
      </c>
    </row>
    <row r="378">
      <c r="A378" t="inlineStr">
        <is>
          <t>프록터앤드갬블</t>
        </is>
      </c>
      <c r="B378" t="inlineStr">
        <is>
          <t>PG</t>
        </is>
      </c>
      <c r="C378" t="n">
        <v>2026</v>
      </c>
      <c r="D378" t="inlineStr">
        <is>
          <t>2026-06-30</t>
        </is>
      </c>
      <c r="E378" s="14" t="n">
        <v>87032000000</v>
      </c>
      <c r="F378" s="14" t="n">
        <v>19748000000</v>
      </c>
      <c r="G378" t="inlineStr">
        <is>
          <t>reported</t>
        </is>
      </c>
      <c r="H378" t="inlineStr">
        <is>
          <t>HIGH</t>
        </is>
      </c>
      <c r="I378" s="15" t="n">
        <v>0.2077342101388821</v>
      </c>
      <c r="J378" s="14">
        <f>IF(F378="","",F378*(1-I378))</f>
        <v>15645664818.177355</v>
      </c>
      <c r="K378" s="14" t="n">
        <v>54311000000</v>
      </c>
      <c r="L378" s="14" t="n">
        <v>34138000000</v>
      </c>
      <c r="M378" s="14" t="n">
        <v>9942000000</v>
      </c>
      <c r="N378" s="14">
        <f>IF(COUNT(K378:M378)&lt;3,"",K378+L378-M378)</f>
        <v>78507000000.0</v>
      </c>
      <c r="O378" s="14">
        <f>N377</f>
        <v>77236000000.0</v>
      </c>
      <c r="P378" s="14">
        <f>IF(N378="","",IF(OR(O378="",O378&lt;=0,N378&lt;=0),N378,(N378+O378)/2))</f>
        <v>77871500000.0</v>
      </c>
      <c r="Q378" t="inlineStr">
        <is>
          <t>기초·기말 평균</t>
        </is>
      </c>
      <c r="R378" s="15">
        <f>IF(OR(P378="",P378&lt;=0),"",J378/P378)</f>
        <v>0.20091644334804587</v>
      </c>
      <c r="S378" s="15">
        <f>IF(R378="","",R378-0.1)</f>
        <v>0.10091644334804586</v>
      </c>
      <c r="T378" s="15">
        <f>IF(OR(P378="",E378=0,E378=""),"",P378/E378)</f>
        <v>0.8947456108098171</v>
      </c>
      <c r="U378" t="inlineStr">
        <is>
          <t>—</t>
        </is>
      </c>
      <c r="V378" t="inlineStr">
        <is>
          <t>—</t>
        </is>
      </c>
      <c r="W378" t="inlineStr">
        <is>
          <t>OK</t>
        </is>
      </c>
      <c r="X378" t="inlineStr">
        <is>
          <t>PROCTER &amp; GAMBLE Co</t>
        </is>
      </c>
    </row>
    <row r="379">
      <c r="A379" s="11" t="inlineStr">
        <is>
          <t>머크</t>
        </is>
      </c>
      <c r="B379" s="11" t="inlineStr">
        <is>
          <t>MRK</t>
        </is>
      </c>
      <c r="C379" s="11" t="n">
        <v>2015</v>
      </c>
      <c r="D379" s="11" t="inlineStr">
        <is>
          <t>2015-12-31</t>
        </is>
      </c>
      <c r="E379" s="12" t="n">
        <v>39498000000</v>
      </c>
      <c r="F379" s="12" t="n">
        <v>6928000000</v>
      </c>
      <c r="G379" s="11" t="inlineStr">
        <is>
          <t>pretax_less_nonoperating</t>
        </is>
      </c>
      <c r="H379" s="11" t="inlineStr">
        <is>
          <t>LOW</t>
        </is>
      </c>
      <c r="I379" s="13" t="n">
        <v>0.1744121458989076</v>
      </c>
      <c r="J379" s="12">
        <f>IF(F379="","",F379*(1-I379))</f>
        <v>5719672653.212368</v>
      </c>
      <c r="K379" s="12" t="n">
        <v>44767000000</v>
      </c>
      <c r="L379" s="12" t="n">
        <v>26412000000</v>
      </c>
      <c r="M379" s="12" t="n">
        <v>13324000000</v>
      </c>
      <c r="N379" s="12">
        <f>IF(COUNT(K379:M379)&lt;3,"",K379+L379-M379)</f>
        <v>57855000000.0</v>
      </c>
      <c r="O379" s="11" t="inlineStr">
        <is>
          <t>—</t>
        </is>
      </c>
      <c r="P379" s="12" t="inlineStr">
        <is>
          <t>—</t>
        </is>
      </c>
      <c r="Q379" s="11" t="inlineStr">
        <is>
          <t>—</t>
        </is>
      </c>
      <c r="R379" s="13" t="inlineStr">
        <is>
          <t>—</t>
        </is>
      </c>
      <c r="S379" s="13" t="inlineStr">
        <is>
          <t>—</t>
        </is>
      </c>
      <c r="T379" s="13" t="inlineStr">
        <is>
          <t>—</t>
        </is>
      </c>
      <c r="U379" s="11" t="inlineStr">
        <is>
          <t>—</t>
        </is>
      </c>
      <c r="V379" s="11" t="inlineStr">
        <is>
          <t>—</t>
        </is>
      </c>
      <c r="W379" s="11" t="inlineStr">
        <is>
          <t>다음 해 평균 투하자본의 기초값으로만 사용 (보고 기간 밖 — 자체 비율은 계산하지 않음)</t>
        </is>
      </c>
      <c r="X379" s="11" t="inlineStr">
        <is>
          <t>Merck &amp; Co., Inc.</t>
        </is>
      </c>
    </row>
    <row r="380">
      <c r="A380" s="18" t="inlineStr">
        <is>
          <t>머크</t>
        </is>
      </c>
      <c r="B380" s="18" t="inlineStr">
        <is>
          <t>MRK</t>
        </is>
      </c>
      <c r="C380" s="18" t="n">
        <v>2016</v>
      </c>
      <c r="D380" s="18" t="inlineStr">
        <is>
          <t>2016-12-31</t>
        </is>
      </c>
      <c r="E380" s="19" t="n">
        <v>39807000000</v>
      </c>
      <c r="F380" s="19" t="n">
        <v>4848000000</v>
      </c>
      <c r="G380" s="18" t="inlineStr">
        <is>
          <t>pretax_less_nonoperating</t>
        </is>
      </c>
      <c r="H380" s="18" t="inlineStr">
        <is>
          <t>LOW</t>
        </is>
      </c>
      <c r="I380" s="20" t="n">
        <v>0.1541103241038849</v>
      </c>
      <c r="J380" s="19">
        <f>IF(F380="","",F380*(1-I380))</f>
        <v>4100873148.7443657</v>
      </c>
      <c r="K380" s="19" t="n">
        <v>40308000000</v>
      </c>
      <c r="L380" s="19" t="n">
        <v>24842000000</v>
      </c>
      <c r="M380" s="19" t="n">
        <v>14315000000</v>
      </c>
      <c r="N380" s="19">
        <f>IF(COUNT(K380:M380)&lt;3,"",K380+L380-M380)</f>
        <v>50835000000.0</v>
      </c>
      <c r="O380" s="19">
        <f>N379</f>
        <v>57855000000.0</v>
      </c>
      <c r="P380" s="19">
        <f>IF(N380="","",IF(OR(O380="",O380&lt;=0,N380&lt;=0),N380,(N380+O380)/2))</f>
        <v>54345000000.0</v>
      </c>
      <c r="Q380" s="18" t="inlineStr">
        <is>
          <t>기초·기말 평균</t>
        </is>
      </c>
      <c r="R380" s="20">
        <f>IF(OR(P380="",P380&lt;=0),"",J380/P380)</f>
        <v>0.07545998985636886</v>
      </c>
      <c r="S380" s="20">
        <f>IF(R380="","",R380-0.1)</f>
        <v>-0.02454001014363115</v>
      </c>
      <c r="T380" s="20">
        <f>IF(OR(P380="",E380=0,E380=""),"",P380/E380)</f>
        <v>1.3652121486170774</v>
      </c>
      <c r="U380" s="18" t="inlineStr">
        <is>
          <t>7.5% / 7.8%</t>
        </is>
      </c>
      <c r="V380" s="18" t="inlineStr">
        <is>
          <t>일치</t>
        </is>
      </c>
      <c r="W380" s="18" t="inlineStr">
        <is>
          <t>OK</t>
        </is>
      </c>
      <c r="X380" s="18" t="inlineStr">
        <is>
          <t>Merck &amp; Co., Inc.</t>
        </is>
      </c>
    </row>
    <row r="381">
      <c r="A381" s="18" t="inlineStr">
        <is>
          <t>머크</t>
        </is>
      </c>
      <c r="B381" s="18" t="inlineStr">
        <is>
          <t>MRK</t>
        </is>
      </c>
      <c r="C381" s="18" t="n">
        <v>2017</v>
      </c>
      <c r="D381" s="18" t="inlineStr">
        <is>
          <t>2017-12-31</t>
        </is>
      </c>
      <c r="E381" s="19" t="n">
        <v>40122000000</v>
      </c>
      <c r="F381" s="19" t="n">
        <v>6021000000</v>
      </c>
      <c r="G381" s="18" t="inlineStr">
        <is>
          <t>pretax_less_nonoperating</t>
        </is>
      </c>
      <c r="H381" s="18" t="inlineStr">
        <is>
          <t>LOW</t>
        </is>
      </c>
      <c r="I381" s="20" t="n">
        <v>0.4</v>
      </c>
      <c r="J381" s="19">
        <f>IF(F381="","",F381*(1-I381))</f>
        <v>3612600000.0</v>
      </c>
      <c r="K381" s="19" t="n">
        <v>34569000000</v>
      </c>
      <c r="L381" s="19" t="n">
        <v>24410000000</v>
      </c>
      <c r="M381" s="19" t="n">
        <v>8492000000</v>
      </c>
      <c r="N381" s="19">
        <f>IF(COUNT(K381:M381)&lt;3,"",K381+L381-M381)</f>
        <v>50487000000.0</v>
      </c>
      <c r="O381" s="19">
        <f>N380</f>
        <v>50835000000.0</v>
      </c>
      <c r="P381" s="19">
        <f>IF(N381="","",IF(OR(O381="",O381&lt;=0,N381&lt;=0),N381,(N381+O381)/2))</f>
        <v>50661000000.0</v>
      </c>
      <c r="Q381" s="18" t="inlineStr">
        <is>
          <t>기초·기말 평균</t>
        </is>
      </c>
      <c r="R381" s="20">
        <f>IF(OR(P381="",P381&lt;=0),"",J381/P381)</f>
        <v>0.07130929117072304</v>
      </c>
      <c r="S381" s="20">
        <f>IF(R381="","",R381-0.1)</f>
        <v>-0.028690708829276962</v>
      </c>
      <c r="T381" s="20">
        <f>IF(OR(P381="",E381=0,E381=""),"",P381/E381)</f>
        <v>1.262673844773441</v>
      </c>
      <c r="U381" s="18" t="inlineStr">
        <is>
          <t>7.1% / 8.2%</t>
        </is>
      </c>
      <c r="V381" s="18" t="inlineStr">
        <is>
          <t>일치</t>
        </is>
      </c>
      <c r="W381" s="18" t="inlineStr">
        <is>
          <t>OK</t>
        </is>
      </c>
      <c r="X381" s="18" t="inlineStr">
        <is>
          <t>Merck &amp; Co., Inc.</t>
        </is>
      </c>
    </row>
    <row r="382">
      <c r="A382" s="18" t="inlineStr">
        <is>
          <t>머크</t>
        </is>
      </c>
      <c r="B382" s="18" t="inlineStr">
        <is>
          <t>MRK</t>
        </is>
      </c>
      <c r="C382" s="18" t="n">
        <v>2018</v>
      </c>
      <c r="D382" s="18" t="inlineStr">
        <is>
          <t>2018-12-31</t>
        </is>
      </c>
      <c r="E382" s="19" t="n">
        <v>42294000000</v>
      </c>
      <c r="F382" s="19" t="n">
        <v>8299000000</v>
      </c>
      <c r="G382" s="18" t="inlineStr">
        <is>
          <t>pretax_less_nonoperating</t>
        </is>
      </c>
      <c r="H382" s="18" t="inlineStr">
        <is>
          <t>LOW</t>
        </is>
      </c>
      <c r="I382" s="20" t="n">
        <v>0.2882427307206069</v>
      </c>
      <c r="J382" s="19">
        <f>IF(F382="","",F382*(1-I382))</f>
        <v>5906873577.749683</v>
      </c>
      <c r="K382" s="19" t="n">
        <v>26882000000</v>
      </c>
      <c r="L382" s="19" t="n">
        <v>25100000000</v>
      </c>
      <c r="M382" s="19" t="n">
        <v>8859000000</v>
      </c>
      <c r="N382" s="19">
        <f>IF(COUNT(K382:M382)&lt;3,"",K382+L382-M382)</f>
        <v>43123000000.0</v>
      </c>
      <c r="O382" s="19">
        <f>N381</f>
        <v>50487000000.0</v>
      </c>
      <c r="P382" s="19">
        <f>IF(N382="","",IF(OR(O382="",O382&lt;=0,N382&lt;=0),N382,(N382+O382)/2))</f>
        <v>46805000000.0</v>
      </c>
      <c r="Q382" s="18" t="inlineStr">
        <is>
          <t>기초·기말 평균</t>
        </is>
      </c>
      <c r="R382" s="20">
        <f>IF(OR(P382="",P382&lt;=0),"",J382/P382)</f>
        <v>0.12620176429333796</v>
      </c>
      <c r="S382" s="20">
        <f>IF(R382="","",R382-0.1)</f>
        <v>0.026201764293337954</v>
      </c>
      <c r="T382" s="20">
        <f>IF(OR(P382="",E382=0,E382=""),"",P382/E382)</f>
        <v>1.1066581548210148</v>
      </c>
      <c r="U382" s="18" t="inlineStr">
        <is>
          <t>12.6% / 13.9%</t>
        </is>
      </c>
      <c r="V382" s="18" t="inlineStr">
        <is>
          <t>일치</t>
        </is>
      </c>
      <c r="W382" s="18" t="inlineStr">
        <is>
          <t>OK</t>
        </is>
      </c>
      <c r="X382" s="18" t="inlineStr">
        <is>
          <t>Merck &amp; Co., Inc.</t>
        </is>
      </c>
    </row>
    <row r="383">
      <c r="A383" s="18" t="inlineStr">
        <is>
          <t>머크</t>
        </is>
      </c>
      <c r="B383" s="18" t="inlineStr">
        <is>
          <t>MRK</t>
        </is>
      </c>
      <c r="C383" s="18" t="n">
        <v>2019</v>
      </c>
      <c r="D383" s="18" t="inlineStr">
        <is>
          <t>2019-12-31</t>
        </is>
      </c>
      <c r="E383" s="19" t="n">
        <v>39121000000</v>
      </c>
      <c r="F383" s="19" t="n">
        <v>7300000000</v>
      </c>
      <c r="G383" s="18" t="inlineStr">
        <is>
          <t>pretax_less_nonoperating</t>
        </is>
      </c>
      <c r="H383" s="18" t="inlineStr">
        <is>
          <t>LOW</t>
        </is>
      </c>
      <c r="I383" s="20" t="n">
        <v>0.2182401338725422</v>
      </c>
      <c r="J383" s="19">
        <f>IF(F383="","",F383*(1-I383))</f>
        <v>5706847022.730442</v>
      </c>
      <c r="K383" s="19" t="n">
        <v>26001000000</v>
      </c>
      <c r="L383" s="19" t="n">
        <v>26300000000</v>
      </c>
      <c r="M383" s="19" t="n">
        <v>10425000000</v>
      </c>
      <c r="N383" s="19">
        <f>IF(COUNT(K383:M383)&lt;3,"",K383+L383-M383)</f>
        <v>41876000000.0</v>
      </c>
      <c r="O383" s="19">
        <f>N382</f>
        <v>43123000000.0</v>
      </c>
      <c r="P383" s="19">
        <f>IF(N383="","",IF(OR(O383="",O383&lt;=0,N383&lt;=0),N383,(N383+O383)/2))</f>
        <v>42499500000.0</v>
      </c>
      <c r="Q383" s="18" t="inlineStr">
        <is>
          <t>기초·기말 평균</t>
        </is>
      </c>
      <c r="R383" s="20">
        <f>IF(OR(P383="",P383&lt;=0),"",J383/P383)</f>
        <v>0.1342803332446368</v>
      </c>
      <c r="S383" s="20">
        <f>IF(R383="","",R383-0.1)</f>
        <v>0.03428033324463681</v>
      </c>
      <c r="T383" s="20">
        <f>IF(OR(P383="",E383=0,E383=""),"",P383/E383)</f>
        <v>1.086360266864344</v>
      </c>
      <c r="U383" s="18" t="inlineStr">
        <is>
          <t>13.4% / 14.3%</t>
        </is>
      </c>
      <c r="V383" s="18" t="inlineStr">
        <is>
          <t>일치</t>
        </is>
      </c>
      <c r="W383" s="18" t="inlineStr">
        <is>
          <t>OK</t>
        </is>
      </c>
      <c r="X383" s="18" t="inlineStr">
        <is>
          <t>Merck &amp; Co., Inc.</t>
        </is>
      </c>
    </row>
    <row r="384">
      <c r="A384" s="18" t="inlineStr">
        <is>
          <t>머크</t>
        </is>
      </c>
      <c r="B384" s="18" t="inlineStr">
        <is>
          <t>MRK</t>
        </is>
      </c>
      <c r="C384" s="18" t="n">
        <v>2020</v>
      </c>
      <c r="D384" s="18" t="inlineStr">
        <is>
          <t>2020-12-31</t>
        </is>
      </c>
      <c r="E384" s="19" t="n">
        <v>41518000000</v>
      </c>
      <c r="F384" s="19" t="n">
        <v>4973000000</v>
      </c>
      <c r="G384" s="18" t="inlineStr">
        <is>
          <t>pretax_less_nonoperating</t>
        </is>
      </c>
      <c r="H384" s="18" t="inlineStr">
        <is>
          <t>LOW</t>
        </is>
      </c>
      <c r="I384" s="20" t="n">
        <v>0.228551935869009</v>
      </c>
      <c r="J384" s="19">
        <f>IF(F384="","",F384*(1-I384))</f>
        <v>3836411222.923418</v>
      </c>
      <c r="K384" s="19" t="n">
        <v>25404000000</v>
      </c>
      <c r="L384" s="19" t="n">
        <v>31800000000</v>
      </c>
      <c r="M384" s="19" t="n">
        <v>8050000000</v>
      </c>
      <c r="N384" s="19">
        <f>IF(COUNT(K384:M384)&lt;3,"",K384+L384-M384)</f>
        <v>49154000000.0</v>
      </c>
      <c r="O384" s="19">
        <f>N383</f>
        <v>41876000000.0</v>
      </c>
      <c r="P384" s="19">
        <f>IF(N384="","",IF(OR(O384="",O384&lt;=0,N384&lt;=0),N384,(N384+O384)/2))</f>
        <v>45515000000.0</v>
      </c>
      <c r="Q384" s="18" t="inlineStr">
        <is>
          <t>기초·기말 평균</t>
        </is>
      </c>
      <c r="R384" s="20">
        <f>IF(OR(P384="",P384&lt;=0),"",J384/P384)</f>
        <v>0.08428894261064304</v>
      </c>
      <c r="S384" s="20">
        <f>IF(R384="","",R384-0.1)</f>
        <v>-0.015711057389356964</v>
      </c>
      <c r="T384" s="20">
        <f>IF(OR(P384="",E384=0,E384=""),"",P384/E384)</f>
        <v>1.0962714967002265</v>
      </c>
      <c r="U384" s="18" t="inlineStr">
        <is>
          <t>8.4% / 11.2%</t>
        </is>
      </c>
      <c r="V384" s="18" t="inlineStr">
        <is>
          <t>불일치</t>
        </is>
      </c>
      <c r="W384" s="18" t="inlineStr">
        <is>
          <t>OK</t>
        </is>
      </c>
      <c r="X384" s="18" t="inlineStr">
        <is>
          <t>Merck &amp; Co., Inc.</t>
        </is>
      </c>
    </row>
    <row r="385">
      <c r="A385" s="18" t="inlineStr">
        <is>
          <t>머크</t>
        </is>
      </c>
      <c r="B385" s="18" t="inlineStr">
        <is>
          <t>MRK</t>
        </is>
      </c>
      <c r="C385" s="18" t="n">
        <v>2021</v>
      </c>
      <c r="D385" s="18" t="inlineStr">
        <is>
          <t>2021-12-31</t>
        </is>
      </c>
      <c r="E385" s="19" t="n">
        <v>48704000000</v>
      </c>
      <c r="F385" s="19" t="n">
        <v>12538000000</v>
      </c>
      <c r="G385" s="18" t="inlineStr">
        <is>
          <t>pretax_less_nonoperating</t>
        </is>
      </c>
      <c r="H385" s="18" t="inlineStr">
        <is>
          <t>LOW</t>
        </is>
      </c>
      <c r="I385" s="20" t="n">
        <v>0.1095900281000072</v>
      </c>
      <c r="J385" s="19">
        <f>IF(F385="","",F385*(1-I385))</f>
        <v>11163960227.68211</v>
      </c>
      <c r="K385" s="19" t="n">
        <v>38257000000</v>
      </c>
      <c r="L385" s="19" t="n">
        <v>33100000000</v>
      </c>
      <c r="M385" s="19" t="n">
        <v>8096000000</v>
      </c>
      <c r="N385" s="19">
        <f>IF(COUNT(K385:M385)&lt;3,"",K385+L385-M385)</f>
        <v>63261000000.0</v>
      </c>
      <c r="O385" s="19">
        <f>N384</f>
        <v>49154000000.0</v>
      </c>
      <c r="P385" s="19">
        <f>IF(N385="","",IF(OR(O385="",O385&lt;=0,N385&lt;=0),N385,(N385+O385)/2))</f>
        <v>56207500000.0</v>
      </c>
      <c r="Q385" s="18" t="inlineStr">
        <is>
          <t>기초·기말 평균</t>
        </is>
      </c>
      <c r="R385" s="20">
        <f>IF(OR(P385="",P385&lt;=0),"",J385/P385)</f>
        <v>0.19862047284939038</v>
      </c>
      <c r="S385" s="20">
        <f>IF(R385="","",R385-0.1)</f>
        <v>0.09862047284939038</v>
      </c>
      <c r="T385" s="20">
        <f>IF(OR(P385="",E385=0,E385=""),"",P385/E385)</f>
        <v>1.1540633212877793</v>
      </c>
      <c r="U385" s="18" t="inlineStr">
        <is>
          <t>19.9% / 23.2%</t>
        </is>
      </c>
      <c r="V385" s="18" t="inlineStr">
        <is>
          <t>일치</t>
        </is>
      </c>
      <c r="W385" s="18" t="inlineStr">
        <is>
          <t>OK</t>
        </is>
      </c>
      <c r="X385" s="18" t="inlineStr">
        <is>
          <t>Merck &amp; Co., Inc.</t>
        </is>
      </c>
    </row>
    <row r="386">
      <c r="A386" s="18" t="inlineStr">
        <is>
          <t>머크</t>
        </is>
      </c>
      <c r="B386" s="18" t="inlineStr">
        <is>
          <t>MRK</t>
        </is>
      </c>
      <c r="C386" s="18" t="n">
        <v>2022</v>
      </c>
      <c r="D386" s="18" t="inlineStr">
        <is>
          <t>2022-12-31</t>
        </is>
      </c>
      <c r="E386" s="19" t="n">
        <v>59283000000</v>
      </c>
      <c r="F386" s="19" t="n">
        <v>17945000000</v>
      </c>
      <c r="G386" s="18" t="inlineStr">
        <is>
          <t>pretax_less_nonoperating</t>
        </is>
      </c>
      <c r="H386" s="18" t="inlineStr">
        <is>
          <t>LOW</t>
        </is>
      </c>
      <c r="I386" s="20" t="n">
        <v>0.1166382875212844</v>
      </c>
      <c r="J386" s="19">
        <f>IF(F386="","",F386*(1-I386))</f>
        <v>15851925930.430552</v>
      </c>
      <c r="K386" s="19" t="n">
        <v>46058000000</v>
      </c>
      <c r="L386" s="19" t="n">
        <v>30700000000</v>
      </c>
      <c r="M386" s="19" t="n">
        <v>13192000000</v>
      </c>
      <c r="N386" s="19">
        <f>IF(COUNT(K386:M386)&lt;3,"",K386+L386-M386)</f>
        <v>63566000000.0</v>
      </c>
      <c r="O386" s="19">
        <f>N385</f>
        <v>63261000000.0</v>
      </c>
      <c r="P386" s="19">
        <f>IF(N386="","",IF(OR(O386="",O386&lt;=0,N386&lt;=0),N386,(N386+O386)/2))</f>
        <v>63413500000.0</v>
      </c>
      <c r="Q386" s="18" t="inlineStr">
        <is>
          <t>기초·기말 평균</t>
        </is>
      </c>
      <c r="R386" s="20">
        <f>IF(OR(P386="",P386&lt;=0),"",J386/P386)</f>
        <v>0.24997714887887518</v>
      </c>
      <c r="S386" s="20">
        <f>IF(R386="","",R386-0.1)</f>
        <v>0.14997714887887517</v>
      </c>
      <c r="T386" s="20">
        <f>IF(OR(P386="",E386=0,E386=""),"",P386/E386)</f>
        <v>1.069674274243881</v>
      </c>
      <c r="U386" s="18" t="inlineStr">
        <is>
          <t>25.0% / 24.0%</t>
        </is>
      </c>
      <c r="V386" s="18" t="inlineStr">
        <is>
          <t>일치</t>
        </is>
      </c>
      <c r="W386" s="18" t="inlineStr">
        <is>
          <t>OK</t>
        </is>
      </c>
      <c r="X386" s="18" t="inlineStr">
        <is>
          <t>Merck &amp; Co., Inc.</t>
        </is>
      </c>
    </row>
    <row r="387">
      <c r="A387" s="18" t="inlineStr">
        <is>
          <t>머크</t>
        </is>
      </c>
      <c r="B387" s="18" t="inlineStr">
        <is>
          <t>MRK</t>
        </is>
      </c>
      <c r="C387" s="18" t="n">
        <v>2023</v>
      </c>
      <c r="D387" s="18" t="inlineStr">
        <is>
          <t>2023-12-31</t>
        </is>
      </c>
      <c r="E387" s="19" t="n">
        <v>60115000000</v>
      </c>
      <c r="F387" s="19" t="n">
        <v>2355000000</v>
      </c>
      <c r="G387" s="18" t="inlineStr">
        <is>
          <t>pretax_less_nonoperating</t>
        </is>
      </c>
      <c r="H387" s="18" t="inlineStr">
        <is>
          <t>LOW</t>
        </is>
      </c>
      <c r="I387" s="20" t="n">
        <v>0.4</v>
      </c>
      <c r="J387" s="19">
        <f>IF(F387="","",F387*(1-I387))</f>
        <v>1413000000.0</v>
      </c>
      <c r="K387" s="19" t="n">
        <v>37635000000</v>
      </c>
      <c r="L387" s="19" t="n">
        <v>35100000000</v>
      </c>
      <c r="M387" s="19" t="n">
        <v>7093000000</v>
      </c>
      <c r="N387" s="19">
        <f>IF(COUNT(K387:M387)&lt;3,"",K387+L387-M387)</f>
        <v>65642000000.0</v>
      </c>
      <c r="O387" s="19">
        <f>N386</f>
        <v>63566000000.0</v>
      </c>
      <c r="P387" s="19">
        <f>IF(N387="","",IF(OR(O387="",O387&lt;=0,N387&lt;=0),N387,(N387+O387)/2))</f>
        <v>64604000000.0</v>
      </c>
      <c r="Q387" s="18" t="inlineStr">
        <is>
          <t>기초·기말 평균</t>
        </is>
      </c>
      <c r="R387" s="20">
        <f>IF(OR(P387="",P387&lt;=0),"",J387/P387)</f>
        <v>0.02187171072998576</v>
      </c>
      <c r="S387" s="20">
        <f>IF(R387="","",R387-0.1)</f>
        <v>-0.07812828927001425</v>
      </c>
      <c r="T387" s="20">
        <f>IF(OR(P387="",E387=0,E387=""),"",P387/E387)</f>
        <v>1.0746735423771105</v>
      </c>
      <c r="U387" s="18" t="inlineStr">
        <is>
          <t>2.2% / 2.5%</t>
        </is>
      </c>
      <c r="V387" s="18" t="inlineStr">
        <is>
          <t>일치</t>
        </is>
      </c>
      <c r="W387" s="18" t="inlineStr">
        <is>
          <t>OK</t>
        </is>
      </c>
      <c r="X387" s="18" t="inlineStr">
        <is>
          <t>Merck &amp; Co., Inc.</t>
        </is>
      </c>
    </row>
    <row r="388">
      <c r="A388" s="18" t="inlineStr">
        <is>
          <t>머크</t>
        </is>
      </c>
      <c r="B388" s="18" t="inlineStr">
        <is>
          <t>MRK</t>
        </is>
      </c>
      <c r="C388" s="18" t="n">
        <v>2024</v>
      </c>
      <c r="D388" s="18" t="inlineStr">
        <is>
          <t>2024-12-31</t>
        </is>
      </c>
      <c r="E388" s="19" t="n">
        <v>64168000000</v>
      </c>
      <c r="F388" s="19" t="n">
        <v>19912000000</v>
      </c>
      <c r="G388" s="18" t="inlineStr">
        <is>
          <t>pretax_less_nonoperating</t>
        </is>
      </c>
      <c r="H388" s="18" t="inlineStr">
        <is>
          <t>LOW</t>
        </is>
      </c>
      <c r="I388" s="20" t="n">
        <v>0.1405999197431782</v>
      </c>
      <c r="J388" s="19">
        <f>IF(F388="","",F388*(1-I388))</f>
        <v>17112374398.073835</v>
      </c>
      <c r="K388" s="19" t="n">
        <v>46372000000</v>
      </c>
      <c r="L388" s="19" t="n">
        <v>37100000000</v>
      </c>
      <c r="M388" s="19" t="n">
        <v>13689000000</v>
      </c>
      <c r="N388" s="19">
        <f>IF(COUNT(K388:M388)&lt;3,"",K388+L388-M388)</f>
        <v>69783000000.0</v>
      </c>
      <c r="O388" s="19">
        <f>N387</f>
        <v>65642000000.0</v>
      </c>
      <c r="P388" s="19">
        <f>IF(N388="","",IF(OR(O388="",O388&lt;=0,N388&lt;=0),N388,(N388+O388)/2))</f>
        <v>67712500000.0</v>
      </c>
      <c r="Q388" s="18" t="inlineStr">
        <is>
          <t>기초·기말 평균</t>
        </is>
      </c>
      <c r="R388" s="20">
        <f>IF(OR(P388="",P388&lt;=0),"",J388/P388)</f>
        <v>0.25272105442974097</v>
      </c>
      <c r="S388" s="20">
        <f>IF(R388="","",R388-0.1)</f>
        <v>0.15272105442974096</v>
      </c>
      <c r="T388" s="20">
        <f>IF(OR(P388="",E388=0,E388=""),"",P388/E388)</f>
        <v>1.0552378132402445</v>
      </c>
      <c r="U388" s="18" t="inlineStr">
        <is>
          <t>25.3% / 26.4%</t>
        </is>
      </c>
      <c r="V388" s="18" t="inlineStr">
        <is>
          <t>일치</t>
        </is>
      </c>
      <c r="W388" s="18" t="inlineStr">
        <is>
          <t>OK</t>
        </is>
      </c>
      <c r="X388" s="18" t="inlineStr">
        <is>
          <t>Merck &amp; Co., Inc.</t>
        </is>
      </c>
    </row>
    <row r="389">
      <c r="A389" s="18" t="inlineStr">
        <is>
          <t>머크</t>
        </is>
      </c>
      <c r="B389" s="18" t="inlineStr">
        <is>
          <t>MRK</t>
        </is>
      </c>
      <c r="C389" s="18" t="n">
        <v>2025</v>
      </c>
      <c r="D389" s="18" t="inlineStr">
        <is>
          <t>2025-12-31</t>
        </is>
      </c>
      <c r="E389" s="19" t="n">
        <v>65011000000</v>
      </c>
      <c r="F389" s="19" t="n">
        <v>21218000000</v>
      </c>
      <c r="G389" s="18" t="inlineStr">
        <is>
          <t>pretax_less_nonoperating</t>
        </is>
      </c>
      <c r="H389" s="18" t="inlineStr">
        <is>
          <t>LOW</t>
        </is>
      </c>
      <c r="I389" s="20" t="n">
        <v>0.1330991598234205</v>
      </c>
      <c r="J389" s="19">
        <f>IF(F389="","",F389*(1-I389))</f>
        <v>18393902026.866665</v>
      </c>
      <c r="K389" s="19" t="n">
        <v>52662000000</v>
      </c>
      <c r="L389" s="19" t="n">
        <v>49300000000</v>
      </c>
      <c r="M389" s="19" t="n">
        <v>14565000000</v>
      </c>
      <c r="N389" s="19">
        <f>IF(COUNT(K389:M389)&lt;3,"",K389+L389-M389)</f>
        <v>87397000000.0</v>
      </c>
      <c r="O389" s="19">
        <f>N388</f>
        <v>69783000000.0</v>
      </c>
      <c r="P389" s="19">
        <f>IF(N389="","",IF(OR(O389="",O389&lt;=0,N389&lt;=0),N389,(N389+O389)/2))</f>
        <v>78590000000.0</v>
      </c>
      <c r="Q389" s="18" t="inlineStr">
        <is>
          <t>기초·기말 평균</t>
        </is>
      </c>
      <c r="R389" s="20">
        <f>IF(OR(P389="",P389&lt;=0),"",J389/P389)</f>
        <v>0.23404888696865586</v>
      </c>
      <c r="S389" s="20">
        <f>IF(R389="","",R389-0.1)</f>
        <v>0.13404888696865586</v>
      </c>
      <c r="T389" s="20">
        <f>IF(OR(P389="",E389=0,E389=""),"",P389/E389)</f>
        <v>1.208872344680131</v>
      </c>
      <c r="U389" s="18" t="inlineStr">
        <is>
          <t>23.4% / 24.4%</t>
        </is>
      </c>
      <c r="V389" s="18" t="inlineStr">
        <is>
          <t>일치</t>
        </is>
      </c>
      <c r="W389" s="18" t="inlineStr">
        <is>
          <t>OK</t>
        </is>
      </c>
      <c r="X389" s="18" t="inlineStr">
        <is>
          <t>Merck &amp; Co., Inc.</t>
        </is>
      </c>
    </row>
    <row r="390">
      <c r="A390" s="11" t="inlineStr">
        <is>
          <t>넷플릭스</t>
        </is>
      </c>
      <c r="B390" s="11" t="inlineStr">
        <is>
          <t>NFLX</t>
        </is>
      </c>
      <c r="C390" s="11" t="n">
        <v>2015</v>
      </c>
      <c r="D390" s="11" t="inlineStr">
        <is>
          <t>2015-12-31</t>
        </is>
      </c>
      <c r="E390" s="12" t="n">
        <v>6779511000</v>
      </c>
      <c r="F390" s="12" t="n">
        <v>305826000</v>
      </c>
      <c r="G390" s="11" t="inlineStr">
        <is>
          <t>reported</t>
        </is>
      </c>
      <c r="H390" s="11" t="inlineStr">
        <is>
          <t>HIGH</t>
        </is>
      </c>
      <c r="I390" s="13" t="n">
        <v>0.1356309687422913</v>
      </c>
      <c r="J390" s="12">
        <f>IF(F390="","",F390*(1-I390))</f>
        <v>264346523.35342002</v>
      </c>
      <c r="K390" s="12" t="n">
        <v>2223426000</v>
      </c>
      <c r="L390" s="12" t="n">
        <v>2371362000</v>
      </c>
      <c r="M390" s="12" t="n">
        <v>2310715000</v>
      </c>
      <c r="N390" s="12">
        <f>IF(COUNT(K390:M390)&lt;3,"",K390+L390-M390)</f>
        <v>2284073000.0</v>
      </c>
      <c r="O390" s="11" t="inlineStr">
        <is>
          <t>—</t>
        </is>
      </c>
      <c r="P390" s="12" t="inlineStr">
        <is>
          <t>—</t>
        </is>
      </c>
      <c r="Q390" s="11" t="inlineStr">
        <is>
          <t>—</t>
        </is>
      </c>
      <c r="R390" s="13" t="inlineStr">
        <is>
          <t>—</t>
        </is>
      </c>
      <c r="S390" s="13" t="inlineStr">
        <is>
          <t>—</t>
        </is>
      </c>
      <c r="T390" s="13" t="inlineStr">
        <is>
          <t>—</t>
        </is>
      </c>
      <c r="U390" s="11" t="inlineStr">
        <is>
          <t>—</t>
        </is>
      </c>
      <c r="V390" s="11" t="inlineStr">
        <is>
          <t>—</t>
        </is>
      </c>
      <c r="W390" s="11" t="inlineStr">
        <is>
          <t>다음 해 평균 투하자본의 기초값으로만 사용 (보고 기간 밖 — 자체 비율은 계산하지 않음)</t>
        </is>
      </c>
      <c r="X390" s="11" t="inlineStr">
        <is>
          <t>NETFLIX INC</t>
        </is>
      </c>
    </row>
    <row r="391">
      <c r="A391" t="inlineStr">
        <is>
          <t>넷플릭스</t>
        </is>
      </c>
      <c r="B391" t="inlineStr">
        <is>
          <t>NFLX</t>
        </is>
      </c>
      <c r="C391" t="n">
        <v>2016</v>
      </c>
      <c r="D391" t="inlineStr">
        <is>
          <t>2016-12-31</t>
        </is>
      </c>
      <c r="E391" s="14" t="n">
        <v>8830669000</v>
      </c>
      <c r="F391" s="14" t="n">
        <v>379793000</v>
      </c>
      <c r="G391" t="inlineStr">
        <is>
          <t>reported</t>
        </is>
      </c>
      <c r="H391" t="inlineStr">
        <is>
          <t>HIGH</t>
        </is>
      </c>
      <c r="I391" s="15" t="n">
        <v>0.2834050524554043</v>
      </c>
      <c r="J391" s="14">
        <f>IF(F391="","",F391*(1-I391))</f>
        <v>272157744.9128046</v>
      </c>
      <c r="K391" s="14" t="n">
        <v>2679800000</v>
      </c>
      <c r="L391" s="14" t="n">
        <v>3364311000</v>
      </c>
      <c r="M391" s="14" t="n">
        <v>1733782000</v>
      </c>
      <c r="N391" s="14">
        <f>IF(COUNT(K391:M391)&lt;3,"",K391+L391-M391)</f>
        <v>4310329000.0</v>
      </c>
      <c r="O391" s="14">
        <f>N390</f>
        <v>2284073000.0</v>
      </c>
      <c r="P391" s="14">
        <f>IF(N391="","",IF(OR(O391="",O391&lt;=0,N391&lt;=0),N391,(N391+O391)/2))</f>
        <v>3297201000.0</v>
      </c>
      <c r="Q391" t="inlineStr">
        <is>
          <t>기초·기말 평균</t>
        </is>
      </c>
      <c r="R391" s="15">
        <f>IF(OR(P391="",P391&lt;=0),"",J391/P391)</f>
        <v>0.08254205458290369</v>
      </c>
      <c r="S391" s="15">
        <f>IF(R391="","",R391-0.1)</f>
        <v>-0.01745794541709632</v>
      </c>
      <c r="T391" s="15">
        <f>IF(OR(P391="",E391=0,E391=""),"",P391/E391)</f>
        <v>0.37338065779614205</v>
      </c>
      <c r="U391" t="inlineStr">
        <is>
          <t>—</t>
        </is>
      </c>
      <c r="V391" t="inlineStr">
        <is>
          <t>—</t>
        </is>
      </c>
      <c r="W391" t="inlineStr">
        <is>
          <t>OK</t>
        </is>
      </c>
      <c r="X391" t="inlineStr">
        <is>
          <t>NETFLIX INC</t>
        </is>
      </c>
    </row>
    <row r="392">
      <c r="A392" t="inlineStr">
        <is>
          <t>넷플릭스</t>
        </is>
      </c>
      <c r="B392" t="inlineStr">
        <is>
          <t>NFLX</t>
        </is>
      </c>
      <c r="C392" t="n">
        <v>2017</v>
      </c>
      <c r="D392" t="inlineStr">
        <is>
          <t>2017-12-31</t>
        </is>
      </c>
      <c r="E392" s="14" t="n">
        <v>11692713000</v>
      </c>
      <c r="F392" s="14" t="n">
        <v>838679000</v>
      </c>
      <c r="G392" t="inlineStr">
        <is>
          <t>reported</t>
        </is>
      </c>
      <c r="H392" t="inlineStr">
        <is>
          <t>HIGH</t>
        </is>
      </c>
      <c r="I392" s="15" t="n">
        <v>0.05</v>
      </c>
      <c r="J392" s="14">
        <f>IF(F392="","",F392*(1-I392))</f>
        <v>796745050.0</v>
      </c>
      <c r="K392" s="14" t="n">
        <v>3581956000</v>
      </c>
      <c r="L392" s="14" t="n">
        <v>6499432000</v>
      </c>
      <c r="M392" s="14" t="n">
        <v>2822795000</v>
      </c>
      <c r="N392" s="14">
        <f>IF(COUNT(K392:M392)&lt;3,"",K392+L392-M392)</f>
        <v>7258593000.0</v>
      </c>
      <c r="O392" s="14">
        <f>N391</f>
        <v>4310329000.0</v>
      </c>
      <c r="P392" s="14">
        <f>IF(N392="","",IF(OR(O392="",O392&lt;=0,N392&lt;=0),N392,(N392+O392)/2))</f>
        <v>5784461000.0</v>
      </c>
      <c r="Q392" t="inlineStr">
        <is>
          <t>기초·기말 평균</t>
        </is>
      </c>
      <c r="R392" s="15">
        <f>IF(OR(P392="",P392&lt;=0),"",J392/P392)</f>
        <v>0.13773885760488316</v>
      </c>
      <c r="S392" s="15">
        <f>IF(R392="","",R392-0.1)</f>
        <v>0.03773885760488316</v>
      </c>
      <c r="T392" s="15">
        <f>IF(OR(P392="",E392=0,E392=""),"",P392/E392)</f>
        <v>0.4947064894178109</v>
      </c>
      <c r="U392" t="inlineStr">
        <is>
          <t>—</t>
        </is>
      </c>
      <c r="V392" t="inlineStr">
        <is>
          <t>—</t>
        </is>
      </c>
      <c r="W392" t="inlineStr">
        <is>
          <t>OK</t>
        </is>
      </c>
      <c r="X392" t="inlineStr">
        <is>
          <t>NETFLIX INC</t>
        </is>
      </c>
    </row>
    <row r="393">
      <c r="A393" t="inlineStr">
        <is>
          <t>넷플릭스</t>
        </is>
      </c>
      <c r="B393" t="inlineStr">
        <is>
          <t>NFLX</t>
        </is>
      </c>
      <c r="C393" t="n">
        <v>2018</v>
      </c>
      <c r="D393" t="inlineStr">
        <is>
          <t>2018-12-31</t>
        </is>
      </c>
      <c r="E393" s="14" t="n">
        <v>15794341000</v>
      </c>
      <c r="F393" s="14" t="n">
        <v>1605226000</v>
      </c>
      <c r="G393" t="inlineStr">
        <is>
          <t>reported</t>
        </is>
      </c>
      <c r="H393" t="inlineStr">
        <is>
          <t>HIGH</t>
        </is>
      </c>
      <c r="I393" s="15" t="n">
        <v>0.05</v>
      </c>
      <c r="J393" s="14">
        <f>IF(F393="","",F393*(1-I393))</f>
        <v>1524964700.0</v>
      </c>
      <c r="K393" s="14" t="n">
        <v>5238765000</v>
      </c>
      <c r="L393" s="14" t="n">
        <v>10360058000</v>
      </c>
      <c r="M393" s="14" t="n">
        <v>3794483000</v>
      </c>
      <c r="N393" s="14">
        <f>IF(COUNT(K393:M393)&lt;3,"",K393+L393-M393)</f>
        <v>11804340000.0</v>
      </c>
      <c r="O393" s="14">
        <f>N392</f>
        <v>7258593000.0</v>
      </c>
      <c r="P393" s="14">
        <f>IF(N393="","",IF(OR(O393="",O393&lt;=0,N393&lt;=0),N393,(N393+O393)/2))</f>
        <v>9531466500.0</v>
      </c>
      <c r="Q393" t="inlineStr">
        <is>
          <t>기초·기말 평균</t>
        </is>
      </c>
      <c r="R393" s="15">
        <f>IF(OR(P393="",P393&lt;=0),"",J393/P393)</f>
        <v>0.15999266219946323</v>
      </c>
      <c r="S393" s="15">
        <f>IF(R393="","",R393-0.1)</f>
        <v>0.059992662199463226</v>
      </c>
      <c r="T393" s="15">
        <f>IF(OR(P393="",E393=0,E393=""),"",P393/E393)</f>
        <v>0.6034735162423047</v>
      </c>
      <c r="U393" t="inlineStr">
        <is>
          <t>—</t>
        </is>
      </c>
      <c r="V393" t="inlineStr">
        <is>
          <t>—</t>
        </is>
      </c>
      <c r="W393" t="inlineStr">
        <is>
          <t>OK</t>
        </is>
      </c>
      <c r="X393" t="inlineStr">
        <is>
          <t>NETFLIX INC</t>
        </is>
      </c>
    </row>
    <row r="394">
      <c r="A394" t="inlineStr">
        <is>
          <t>넷플릭스</t>
        </is>
      </c>
      <c r="B394" t="inlineStr">
        <is>
          <t>NFLX</t>
        </is>
      </c>
      <c r="C394" t="n">
        <v>2019</v>
      </c>
      <c r="D394" t="inlineStr">
        <is>
          <t>2019-12-31</t>
        </is>
      </c>
      <c r="E394" s="14" t="n">
        <v>20156447000</v>
      </c>
      <c r="F394" s="14" t="n">
        <v>2604254000</v>
      </c>
      <c r="G394" t="inlineStr">
        <is>
          <t>reported</t>
        </is>
      </c>
      <c r="H394" t="inlineStr">
        <is>
          <t>HIGH</t>
        </is>
      </c>
      <c r="I394" s="15" t="n">
        <v>0.09471053436787634</v>
      </c>
      <c r="J394" s="14">
        <f>IF(F394="","",F394*(1-I394))</f>
        <v>2357603712.0303206</v>
      </c>
      <c r="K394" s="14" t="n">
        <v>7582157000</v>
      </c>
      <c r="L394" s="14" t="n">
        <v>14759260000</v>
      </c>
      <c r="M394" s="14" t="n">
        <v>5018437000</v>
      </c>
      <c r="N394" s="14">
        <f>IF(COUNT(K394:M394)&lt;3,"",K394+L394-M394)</f>
        <v>17322980000.0</v>
      </c>
      <c r="O394" s="14">
        <f>N393</f>
        <v>11804340000.0</v>
      </c>
      <c r="P394" s="14">
        <f>IF(N394="","",IF(OR(O394="",O394&lt;=0,N394&lt;=0),N394,(N394+O394)/2))</f>
        <v>14563660000.0</v>
      </c>
      <c r="Q394" t="inlineStr">
        <is>
          <t>기초·기말 평균</t>
        </is>
      </c>
      <c r="R394" s="15">
        <f>IF(OR(P394="",P394&lt;=0),"",J394/P394)</f>
        <v>0.16188263884424112</v>
      </c>
      <c r="S394" s="15">
        <f>IF(R394="","",R394-0.1)</f>
        <v>0.06188263884424111</v>
      </c>
      <c r="T394" s="15">
        <f>IF(OR(P394="",E394=0,E394=""),"",P394/E394)</f>
        <v>0.7225311087812252</v>
      </c>
      <c r="U394" t="inlineStr">
        <is>
          <t>—</t>
        </is>
      </c>
      <c r="V394" t="inlineStr">
        <is>
          <t>—</t>
        </is>
      </c>
      <c r="W394" t="inlineStr">
        <is>
          <t>OK</t>
        </is>
      </c>
      <c r="X394" t="inlineStr">
        <is>
          <t>NETFLIX INC</t>
        </is>
      </c>
    </row>
    <row r="395">
      <c r="A395" t="inlineStr">
        <is>
          <t>넷플릭스</t>
        </is>
      </c>
      <c r="B395" t="inlineStr">
        <is>
          <t>NFLX</t>
        </is>
      </c>
      <c r="C395" t="n">
        <v>2020</v>
      </c>
      <c r="D395" t="inlineStr">
        <is>
          <t>2020-12-31</t>
        </is>
      </c>
      <c r="E395" s="14" t="n">
        <v>24996056000</v>
      </c>
      <c r="F395" s="14" t="n">
        <v>4585289000</v>
      </c>
      <c r="G395" t="inlineStr">
        <is>
          <t>reported</t>
        </is>
      </c>
      <c r="H395" t="inlineStr">
        <is>
          <t>HIGH</t>
        </is>
      </c>
      <c r="I395" s="15" t="n">
        <v>0.1368884732487765</v>
      </c>
      <c r="J395" s="14">
        <f>IF(F395="","",F395*(1-I395))</f>
        <v>3957615789.385591</v>
      </c>
      <c r="K395" s="14" t="n">
        <v>11065240000</v>
      </c>
      <c r="L395" s="14" t="n">
        <v>16308973000</v>
      </c>
      <c r="M395" s="14" t="n">
        <v>8205550000</v>
      </c>
      <c r="N395" s="14">
        <f>IF(COUNT(K395:M395)&lt;3,"",K395+L395-M395)</f>
        <v>19168663000.0</v>
      </c>
      <c r="O395" s="14">
        <f>N394</f>
        <v>17322980000.0</v>
      </c>
      <c r="P395" s="14">
        <f>IF(N395="","",IF(OR(O395="",O395&lt;=0,N395&lt;=0),N395,(N395+O395)/2))</f>
        <v>18245821500.0</v>
      </c>
      <c r="Q395" t="inlineStr">
        <is>
          <t>기초·기말 평균</t>
        </is>
      </c>
      <c r="R395" s="15">
        <f>IF(OR(P395="",P395&lt;=0),"",J395/P395)</f>
        <v>0.21690532209720406</v>
      </c>
      <c r="S395" s="15">
        <f>IF(R395="","",R395-0.1)</f>
        <v>0.11690532209720406</v>
      </c>
      <c r="T395" s="15">
        <f>IF(OR(P395="",E395=0,E395=""),"",P395/E395)</f>
        <v>0.7299480165990987</v>
      </c>
      <c r="U395" t="inlineStr">
        <is>
          <t>—</t>
        </is>
      </c>
      <c r="V395" t="inlineStr">
        <is>
          <t>—</t>
        </is>
      </c>
      <c r="W395" t="inlineStr">
        <is>
          <t>OK</t>
        </is>
      </c>
      <c r="X395" t="inlineStr">
        <is>
          <t>NETFLIX INC</t>
        </is>
      </c>
    </row>
    <row r="396">
      <c r="A396" t="inlineStr">
        <is>
          <t>넷플릭스</t>
        </is>
      </c>
      <c r="B396" t="inlineStr">
        <is>
          <t>NFLX</t>
        </is>
      </c>
      <c r="C396" t="n">
        <v>2021</v>
      </c>
      <c r="D396" t="inlineStr">
        <is>
          <t>2021-12-31</t>
        </is>
      </c>
      <c r="E396" s="14" t="n">
        <v>29697844000</v>
      </c>
      <c r="F396" s="14" t="n">
        <v>6194509000</v>
      </c>
      <c r="G396" t="inlineStr">
        <is>
          <t>reported</t>
        </is>
      </c>
      <c r="H396" t="inlineStr">
        <is>
          <t>HIGH</t>
        </is>
      </c>
      <c r="I396" s="15" t="n">
        <v>0.1239490125431007</v>
      </c>
      <c r="J396" s="14">
        <f>IF(F396="","",F396*(1-I396))</f>
        <v>5426705726.260651</v>
      </c>
      <c r="K396" s="14" t="n">
        <v>15849248000</v>
      </c>
      <c r="L396" s="14" t="n">
        <v>15392895000</v>
      </c>
      <c r="M396" s="14" t="n">
        <v>6055111000</v>
      </c>
      <c r="N396" s="14">
        <f>IF(COUNT(K396:M396)&lt;3,"",K396+L396-M396)</f>
        <v>25187032000.0</v>
      </c>
      <c r="O396" s="14">
        <f>N395</f>
        <v>19168663000.0</v>
      </c>
      <c r="P396" s="14">
        <f>IF(N396="","",IF(OR(O396="",O396&lt;=0,N396&lt;=0),N396,(N396+O396)/2))</f>
        <v>22177847500.0</v>
      </c>
      <c r="Q396" t="inlineStr">
        <is>
          <t>기초·기말 평균</t>
        </is>
      </c>
      <c r="R396" s="15">
        <f>IF(OR(P396="",P396&lt;=0),"",J396/P396)</f>
        <v>0.2446903707071054</v>
      </c>
      <c r="S396" s="15">
        <f>IF(R396="","",R396-0.1)</f>
        <v>0.1446903707071054</v>
      </c>
      <c r="T396" s="15">
        <f>IF(OR(P396="",E396=0,E396=""),"",P396/E396)</f>
        <v>0.7467830829739694</v>
      </c>
      <c r="U396" t="inlineStr">
        <is>
          <t>—</t>
        </is>
      </c>
      <c r="V396" t="inlineStr">
        <is>
          <t>—</t>
        </is>
      </c>
      <c r="W396" t="inlineStr">
        <is>
          <t>OK</t>
        </is>
      </c>
      <c r="X396" t="inlineStr">
        <is>
          <t>NETFLIX INC</t>
        </is>
      </c>
    </row>
    <row r="397">
      <c r="A397" t="inlineStr">
        <is>
          <t>넷플릭스</t>
        </is>
      </c>
      <c r="B397" t="inlineStr">
        <is>
          <t>NFLX</t>
        </is>
      </c>
      <c r="C397" t="n">
        <v>2022</v>
      </c>
      <c r="D397" t="inlineStr">
        <is>
          <t>2022-12-31</t>
        </is>
      </c>
      <c r="E397" s="14" t="n">
        <v>31615550000</v>
      </c>
      <c r="F397" s="14" t="n">
        <v>5632831000</v>
      </c>
      <c r="G397" t="inlineStr">
        <is>
          <t>reported</t>
        </is>
      </c>
      <c r="H397" t="inlineStr">
        <is>
          <t>HIGH</t>
        </is>
      </c>
      <c r="I397" s="15" t="n">
        <v>0.1466594629220873</v>
      </c>
      <c r="J397" s="14">
        <f>IF(F397="","",F397*(1-I397))</f>
        <v>4806723030.809116</v>
      </c>
      <c r="K397" s="14" t="n">
        <v>20777401000</v>
      </c>
      <c r="L397" s="14" t="n">
        <v>14353076000</v>
      </c>
      <c r="M397" s="14" t="n">
        <v>6081858000</v>
      </c>
      <c r="N397" s="14">
        <f>IF(COUNT(K397:M397)&lt;3,"",K397+L397-M397)</f>
        <v>29048619000.0</v>
      </c>
      <c r="O397" s="14">
        <f>N396</f>
        <v>25187032000.0</v>
      </c>
      <c r="P397" s="14">
        <f>IF(N397="","",IF(OR(O397="",O397&lt;=0,N397&lt;=0),N397,(N397+O397)/2))</f>
        <v>27117825500.0</v>
      </c>
      <c r="Q397" t="inlineStr">
        <is>
          <t>기초·기말 평균</t>
        </is>
      </c>
      <c r="R397" s="15">
        <f>IF(OR(P397="",P397&lt;=0),"",J397/P397)</f>
        <v>0.17725326209541087</v>
      </c>
      <c r="S397" s="15">
        <f>IF(R397="","",R397-0.1)</f>
        <v>0.07725326209541086</v>
      </c>
      <c r="T397" s="15">
        <f>IF(OR(P397="",E397=0,E397=""),"",P397/E397)</f>
        <v>0.8577369522276221</v>
      </c>
      <c r="U397" t="inlineStr">
        <is>
          <t>—</t>
        </is>
      </c>
      <c r="V397" t="inlineStr">
        <is>
          <t>—</t>
        </is>
      </c>
      <c r="W397" t="inlineStr">
        <is>
          <t>OK</t>
        </is>
      </c>
      <c r="X397" t="inlineStr">
        <is>
          <t>NETFLIX INC</t>
        </is>
      </c>
    </row>
    <row r="398">
      <c r="A398" t="inlineStr">
        <is>
          <t>넷플릭스</t>
        </is>
      </c>
      <c r="B398" t="inlineStr">
        <is>
          <t>NFLX</t>
        </is>
      </c>
      <c r="C398" t="n">
        <v>2023</v>
      </c>
      <c r="D398" t="inlineStr">
        <is>
          <t>2023-12-31</t>
        </is>
      </c>
      <c r="E398" s="14" t="n">
        <v>33723297000</v>
      </c>
      <c r="F398" s="14" t="n">
        <v>6954003000</v>
      </c>
      <c r="G398" t="inlineStr">
        <is>
          <t>reported</t>
        </is>
      </c>
      <c r="H398" t="inlineStr">
        <is>
          <t>HIGH</t>
        </is>
      </c>
      <c r="I398" s="15" t="n">
        <v>0.1285032967227764</v>
      </c>
      <c r="J398" s="14">
        <f>IF(F398="","",F398*(1-I398))</f>
        <v>6060390689.079923</v>
      </c>
      <c r="K398" s="14" t="n">
        <v>20588313000</v>
      </c>
      <c r="L398" s="14" t="n">
        <v>14543261000</v>
      </c>
      <c r="M398" s="14" t="n">
        <v>7139488000</v>
      </c>
      <c r="N398" s="14">
        <f>IF(COUNT(K398:M398)&lt;3,"",K398+L398-M398)</f>
        <v>27992086000.0</v>
      </c>
      <c r="O398" s="14">
        <f>N397</f>
        <v>29048619000.0</v>
      </c>
      <c r="P398" s="14">
        <f>IF(N398="","",IF(OR(O398="",O398&lt;=0,N398&lt;=0),N398,(N398+O398)/2))</f>
        <v>28520352500.0</v>
      </c>
      <c r="Q398" t="inlineStr">
        <is>
          <t>기초·기말 평균</t>
        </is>
      </c>
      <c r="R398" s="15">
        <f>IF(OR(P398="",P398&lt;=0),"",J398/P398)</f>
        <v>0.21249354085227112</v>
      </c>
      <c r="S398" s="15">
        <f>IF(R398="","",R398-0.1)</f>
        <v>0.11249354085227112</v>
      </c>
      <c r="T398" s="15">
        <f>IF(OR(P398="",E398=0,E398=""),"",P398/E398)</f>
        <v>0.845716612465264</v>
      </c>
      <c r="U398" t="inlineStr">
        <is>
          <t>—</t>
        </is>
      </c>
      <c r="V398" t="inlineStr">
        <is>
          <t>—</t>
        </is>
      </c>
      <c r="W398" t="inlineStr">
        <is>
          <t>OK</t>
        </is>
      </c>
      <c r="X398" t="inlineStr">
        <is>
          <t>NETFLIX INC</t>
        </is>
      </c>
    </row>
    <row r="399">
      <c r="A399" t="inlineStr">
        <is>
          <t>넷플릭스</t>
        </is>
      </c>
      <c r="B399" t="inlineStr">
        <is>
          <t>NFLX</t>
        </is>
      </c>
      <c r="C399" t="n">
        <v>2024</v>
      </c>
      <c r="D399" t="inlineStr">
        <is>
          <t>2024-12-31</t>
        </is>
      </c>
      <c r="E399" s="14" t="n">
        <v>39000966000</v>
      </c>
      <c r="F399" s="14" t="n">
        <v>10417614000</v>
      </c>
      <c r="G399" t="inlineStr">
        <is>
          <t>reported</t>
        </is>
      </c>
      <c r="H399" t="inlineStr">
        <is>
          <t>HIGH</t>
        </is>
      </c>
      <c r="I399" s="15" t="n">
        <v>0.1258347542966811</v>
      </c>
      <c r="J399" s="14">
        <f>IF(F399="","",F399*(1-I399))</f>
        <v>9106716101.952335</v>
      </c>
      <c r="K399" s="14" t="n">
        <v>24743567000</v>
      </c>
      <c r="L399" s="14" t="n">
        <v>15582804000</v>
      </c>
      <c r="M399" s="14" t="n">
        <v>9583739000</v>
      </c>
      <c r="N399" s="14">
        <f>IF(COUNT(K399:M399)&lt;3,"",K399+L399-M399)</f>
        <v>30742632000.0</v>
      </c>
      <c r="O399" s="14">
        <f>N398</f>
        <v>27992086000.0</v>
      </c>
      <c r="P399" s="14">
        <f>IF(N399="","",IF(OR(O399="",O399&lt;=0,N399&lt;=0),N399,(N399+O399)/2))</f>
        <v>29367359000.0</v>
      </c>
      <c r="Q399" t="inlineStr">
        <is>
          <t>기초·기말 평균</t>
        </is>
      </c>
      <c r="R399" s="15">
        <f>IF(OR(P399="",P399&lt;=0),"",J399/P399)</f>
        <v>0.3100965293458065</v>
      </c>
      <c r="S399" s="15">
        <f>IF(R399="","",R399-0.1)</f>
        <v>0.2100965293458065</v>
      </c>
      <c r="T399" s="15">
        <f>IF(OR(P399="",E399=0,E399=""),"",P399/E399)</f>
        <v>0.7529905541314028</v>
      </c>
      <c r="U399" t="inlineStr">
        <is>
          <t>—</t>
        </is>
      </c>
      <c r="V399" t="inlineStr">
        <is>
          <t>—</t>
        </is>
      </c>
      <c r="W399" t="inlineStr">
        <is>
          <t>OK</t>
        </is>
      </c>
      <c r="X399" t="inlineStr">
        <is>
          <t>NETFLIX INC</t>
        </is>
      </c>
    </row>
    <row r="400">
      <c r="A400" t="inlineStr">
        <is>
          <t>넷플릭스</t>
        </is>
      </c>
      <c r="B400" t="inlineStr">
        <is>
          <t>NFLX</t>
        </is>
      </c>
      <c r="C400" t="n">
        <v>2025</v>
      </c>
      <c r="D400" t="inlineStr">
        <is>
          <t>2025-12-31</t>
        </is>
      </c>
      <c r="E400" s="14" t="n">
        <v>45183036000</v>
      </c>
      <c r="F400" s="14" t="n">
        <v>13326603000</v>
      </c>
      <c r="G400" t="inlineStr">
        <is>
          <t>reported</t>
        </is>
      </c>
      <c r="H400" t="inlineStr">
        <is>
          <t>HIGH</t>
        </is>
      </c>
      <c r="I400" s="15" t="n">
        <v>0.1368712031988551</v>
      </c>
      <c r="J400" s="14">
        <f>IF(F400="","",F400*(1-I400))</f>
        <v>11502574812.836529</v>
      </c>
      <c r="K400" s="14" t="n">
        <v>26615488000</v>
      </c>
      <c r="L400" s="14" t="n">
        <v>14462836000</v>
      </c>
      <c r="M400" s="14" t="n">
        <v>9062359000</v>
      </c>
      <c r="N400" s="14">
        <f>IF(COUNT(K400:M400)&lt;3,"",K400+L400-M400)</f>
        <v>32015965000.0</v>
      </c>
      <c r="O400" s="14">
        <f>N399</f>
        <v>30742632000.0</v>
      </c>
      <c r="P400" s="14">
        <f>IF(N400="","",IF(OR(O400="",O400&lt;=0,N400&lt;=0),N400,(N400+O400)/2))</f>
        <v>31379298500.0</v>
      </c>
      <c r="Q400" t="inlineStr">
        <is>
          <t>기초·기말 평균</t>
        </is>
      </c>
      <c r="R400" s="15">
        <f>IF(OR(P400="",P400&lt;=0),"",J400/P400)</f>
        <v>0.36656570932701155</v>
      </c>
      <c r="S400" s="15">
        <f>IF(R400="","",R400-0.1)</f>
        <v>0.2665657093270115</v>
      </c>
      <c r="T400" s="15">
        <f>IF(OR(P400="",E400=0,E400=""),"",P400/E400)</f>
        <v>0.6944929176516602</v>
      </c>
      <c r="U400" t="inlineStr">
        <is>
          <t>—</t>
        </is>
      </c>
      <c r="V400" t="inlineStr">
        <is>
          <t>—</t>
        </is>
      </c>
      <c r="W400" t="inlineStr">
        <is>
          <t>OK</t>
        </is>
      </c>
      <c r="X400" t="inlineStr">
        <is>
          <t>NETFLIX INC</t>
        </is>
      </c>
    </row>
    <row r="401">
      <c r="A401" s="11" t="inlineStr">
        <is>
          <t>RTX</t>
        </is>
      </c>
      <c r="B401" s="11" t="inlineStr">
        <is>
          <t>RTX</t>
        </is>
      </c>
      <c r="C401" s="11" t="n">
        <v>2015</v>
      </c>
      <c r="D401" s="11" t="inlineStr">
        <is>
          <t>2015-12-31</t>
        </is>
      </c>
      <c r="E401" s="12" t="n">
        <v>56098000000</v>
      </c>
      <c r="F401" s="12" t="n">
        <v>7291000000</v>
      </c>
      <c r="G401" s="11" t="inlineStr">
        <is>
          <t>reported</t>
        </is>
      </c>
      <c r="H401" s="11" t="inlineStr">
        <is>
          <t>HIGH</t>
        </is>
      </c>
      <c r="I401" s="13" t="n">
        <v>0.3264264728622236</v>
      </c>
      <c r="J401" s="12">
        <f>IF(F401="","",F401*(1-I401))</f>
        <v>4911024586.361527</v>
      </c>
      <c r="K401" s="12" t="n">
        <v>28844000000</v>
      </c>
      <c r="L401" s="12" t="n">
        <v>20425000000</v>
      </c>
      <c r="M401" s="12" t="n">
        <v>7075000000</v>
      </c>
      <c r="N401" s="12">
        <f>IF(COUNT(K401:M401)&lt;3,"",K401+L401-M401)</f>
        <v>42194000000.0</v>
      </c>
      <c r="O401" s="11" t="inlineStr">
        <is>
          <t>—</t>
        </is>
      </c>
      <c r="P401" s="12" t="inlineStr">
        <is>
          <t>—</t>
        </is>
      </c>
      <c r="Q401" s="11" t="inlineStr">
        <is>
          <t>—</t>
        </is>
      </c>
      <c r="R401" s="13" t="inlineStr">
        <is>
          <t>—</t>
        </is>
      </c>
      <c r="S401" s="13" t="inlineStr">
        <is>
          <t>—</t>
        </is>
      </c>
      <c r="T401" s="13" t="inlineStr">
        <is>
          <t>—</t>
        </is>
      </c>
      <c r="U401" s="11" t="inlineStr">
        <is>
          <t>—</t>
        </is>
      </c>
      <c r="V401" s="11" t="inlineStr">
        <is>
          <t>—</t>
        </is>
      </c>
      <c r="W401" s="11" t="inlineStr">
        <is>
          <t>다음 해 평균 투하자본의 기초값으로만 사용 (보고 기간 밖 — 자체 비율은 계산하지 않음)</t>
        </is>
      </c>
      <c r="X401" s="11" t="inlineStr">
        <is>
          <t>RTX Corp</t>
        </is>
      </c>
    </row>
    <row r="402">
      <c r="A402" t="inlineStr">
        <is>
          <t>RTX</t>
        </is>
      </c>
      <c r="B402" t="inlineStr">
        <is>
          <t>RTX</t>
        </is>
      </c>
      <c r="C402" t="n">
        <v>2016</v>
      </c>
      <c r="D402" t="inlineStr">
        <is>
          <t>2016-12-31</t>
        </is>
      </c>
      <c r="E402" s="14" t="n">
        <v>57244000000</v>
      </c>
      <c r="F402" s="14" t="n">
        <v>8221000000</v>
      </c>
      <c r="G402" t="inlineStr">
        <is>
          <t>reported</t>
        </is>
      </c>
      <c r="H402" t="inlineStr">
        <is>
          <t>HIGH</t>
        </is>
      </c>
      <c r="I402" s="15" t="n">
        <v>0.2379083134725922</v>
      </c>
      <c r="J402" s="14">
        <f>IF(F402="","",F402*(1-I402))</f>
        <v>6265155754.941819</v>
      </c>
      <c r="K402" s="14" t="n">
        <v>29169000000</v>
      </c>
      <c r="L402" s="14" t="n">
        <v>23901000000</v>
      </c>
      <c r="M402" s="14" t="n">
        <v>7157000000</v>
      </c>
      <c r="N402" s="14">
        <f>IF(COUNT(K402:M402)&lt;3,"",K402+L402-M402)</f>
        <v>45913000000.0</v>
      </c>
      <c r="O402" s="14">
        <f>N401</f>
        <v>42194000000.0</v>
      </c>
      <c r="P402" s="14">
        <f>IF(N402="","",IF(OR(O402="",O402&lt;=0,N402&lt;=0),N402,(N402+O402)/2))</f>
        <v>44053500000.0</v>
      </c>
      <c r="Q402" t="inlineStr">
        <is>
          <t>기초·기말 평균</t>
        </is>
      </c>
      <c r="R402" s="15">
        <f>IF(OR(P402="",P402&lt;=0),"",J402/P402)</f>
        <v>0.1422169806018096</v>
      </c>
      <c r="S402" s="15">
        <f>IF(R402="","",R402-0.1)</f>
        <v>0.04221698060180959</v>
      </c>
      <c r="T402" s="15">
        <f>IF(OR(P402="",E402=0,E402=""),"",P402/E402)</f>
        <v>0.7695741038362099</v>
      </c>
      <c r="U402" t="inlineStr">
        <is>
          <t>—</t>
        </is>
      </c>
      <c r="V402" t="inlineStr">
        <is>
          <t>—</t>
        </is>
      </c>
      <c r="W402" t="inlineStr">
        <is>
          <t>OK</t>
        </is>
      </c>
      <c r="X402" t="inlineStr">
        <is>
          <t>RTX Corp</t>
        </is>
      </c>
    </row>
    <row r="403">
      <c r="A403" t="inlineStr">
        <is>
          <t>RTX</t>
        </is>
      </c>
      <c r="B403" t="inlineStr">
        <is>
          <t>RTX</t>
        </is>
      </c>
      <c r="C403" t="n">
        <v>2017</v>
      </c>
      <c r="D403" t="inlineStr">
        <is>
          <t>2017-12-31</t>
        </is>
      </c>
      <c r="E403" s="14" t="n">
        <v>59837000000</v>
      </c>
      <c r="F403" s="14" t="n">
        <v>8138000000</v>
      </c>
      <c r="G403" t="inlineStr">
        <is>
          <t>reported</t>
        </is>
      </c>
      <c r="H403" t="inlineStr">
        <is>
          <t>HIGH</t>
        </is>
      </c>
      <c r="I403" s="15" t="n">
        <v>0.3662243977843617</v>
      </c>
      <c r="J403" s="14">
        <f>IF(F403="","",F403*(1-I403))</f>
        <v>5157665850.830864</v>
      </c>
      <c r="K403" s="14" t="n">
        <v>31421000000</v>
      </c>
      <c r="L403" s="14" t="n">
        <v>27485000000</v>
      </c>
      <c r="M403" s="14" t="n">
        <v>8985000000</v>
      </c>
      <c r="N403" s="14">
        <f>IF(COUNT(K403:M403)&lt;3,"",K403+L403-M403)</f>
        <v>49921000000.0</v>
      </c>
      <c r="O403" s="14">
        <f>N402</f>
        <v>45913000000.0</v>
      </c>
      <c r="P403" s="14">
        <f>IF(N403="","",IF(OR(O403="",O403&lt;=0,N403&lt;=0),N403,(N403+O403)/2))</f>
        <v>47917000000.0</v>
      </c>
      <c r="Q403" t="inlineStr">
        <is>
          <t>기초·기말 평균</t>
        </is>
      </c>
      <c r="R403" s="15">
        <f>IF(OR(P403="",P403&lt;=0),"",J403/P403)</f>
        <v>0.10763749506085239</v>
      </c>
      <c r="S403" s="15">
        <f>IF(R403="","",R403-0.1)</f>
        <v>0.007637495060852387</v>
      </c>
      <c r="T403" s="15">
        <f>IF(OR(P403="",E403=0,E403=""),"",P403/E403)</f>
        <v>0.8007921520129686</v>
      </c>
      <c r="U403" t="inlineStr">
        <is>
          <t>—</t>
        </is>
      </c>
      <c r="V403" t="inlineStr">
        <is>
          <t>—</t>
        </is>
      </c>
      <c r="W403" t="inlineStr">
        <is>
          <t>OK</t>
        </is>
      </c>
      <c r="X403" t="inlineStr">
        <is>
          <t>RTX Corp</t>
        </is>
      </c>
    </row>
    <row r="404">
      <c r="A404" t="inlineStr">
        <is>
          <t>RTX</t>
        </is>
      </c>
      <c r="B404" t="inlineStr">
        <is>
          <t>RTX</t>
        </is>
      </c>
      <c r="C404" t="n">
        <v>2018</v>
      </c>
      <c r="D404" t="inlineStr">
        <is>
          <t>2018-12-31</t>
        </is>
      </c>
      <c r="E404" s="14" t="n">
        <v>34701000000</v>
      </c>
      <c r="F404" s="14" t="n">
        <v>2877000000</v>
      </c>
      <c r="G404" t="inlineStr">
        <is>
          <t>reported</t>
        </is>
      </c>
      <c r="H404" t="inlineStr">
        <is>
          <t>HIGH</t>
        </is>
      </c>
      <c r="I404" s="15" t="n">
        <v>0.4</v>
      </c>
      <c r="J404" s="14">
        <f>IF(F404="","",F404*(1-I404))</f>
        <v>1726200000.0</v>
      </c>
      <c r="K404" s="14" t="n">
        <v>40610000000</v>
      </c>
      <c r="L404" s="14" t="n">
        <v>45537000000</v>
      </c>
      <c r="M404" s="14" t="n">
        <v>3693000000</v>
      </c>
      <c r="N404" s="14">
        <f>IF(COUNT(K404:M404)&lt;3,"",K404+L404-M404)</f>
        <v>82454000000.0</v>
      </c>
      <c r="O404" s="14">
        <f>N403</f>
        <v>49921000000.0</v>
      </c>
      <c r="P404" s="14">
        <f>IF(N404="","",IF(OR(O404="",O404&lt;=0,N404&lt;=0),N404,(N404+O404)/2))</f>
        <v>66187500000.0</v>
      </c>
      <c r="Q404" t="inlineStr">
        <is>
          <t>기초·기말 평균</t>
        </is>
      </c>
      <c r="R404" s="15">
        <f>IF(OR(P404="",P404&lt;=0),"",J404/P404)</f>
        <v>0.02608045325779037</v>
      </c>
      <c r="S404" s="15">
        <f>IF(R404="","",R404-0.1)</f>
        <v>-0.07391954674220963</v>
      </c>
      <c r="T404" s="15">
        <f>IF(OR(P404="",E404=0,E404=""),"",P404/E404)</f>
        <v>1.9073657819659375</v>
      </c>
      <c r="U404" t="inlineStr">
        <is>
          <t>—</t>
        </is>
      </c>
      <c r="V404" t="inlineStr">
        <is>
          <t>—</t>
        </is>
      </c>
      <c r="W404" t="inlineStr">
        <is>
          <t>OK</t>
        </is>
      </c>
      <c r="X404" t="inlineStr">
        <is>
          <t>RTX Corp</t>
        </is>
      </c>
    </row>
    <row r="405">
      <c r="A405" t="inlineStr">
        <is>
          <t>RTX</t>
        </is>
      </c>
      <c r="B405" t="inlineStr">
        <is>
          <t>RTX</t>
        </is>
      </c>
      <c r="C405" t="n">
        <v>2019</v>
      </c>
      <c r="D405" t="inlineStr">
        <is>
          <t>2019-12-31</t>
        </is>
      </c>
      <c r="E405" s="14" t="n">
        <v>45349000000</v>
      </c>
      <c r="F405" s="14" t="n">
        <v>4914000000</v>
      </c>
      <c r="G405" t="inlineStr">
        <is>
          <t>reported</t>
        </is>
      </c>
      <c r="H405" t="inlineStr">
        <is>
          <t>HIGH</t>
        </is>
      </c>
      <c r="I405" s="15" t="n">
        <v>0.1013969171483622</v>
      </c>
      <c r="J405" s="14">
        <f>IF(F405="","",F405*(1-I405))</f>
        <v>4415735549.132948</v>
      </c>
      <c r="K405" s="14" t="n">
        <v>44231000000</v>
      </c>
      <c r="L405" s="14" t="n">
        <v>43252000000</v>
      </c>
      <c r="M405" s="14" t="n">
        <v>4937000000</v>
      </c>
      <c r="N405" s="14">
        <f>IF(COUNT(K405:M405)&lt;3,"",K405+L405-M405)</f>
        <v>82546000000.0</v>
      </c>
      <c r="O405" s="14">
        <f>N404</f>
        <v>82454000000.0</v>
      </c>
      <c r="P405" s="14">
        <f>IF(N405="","",IF(OR(O405="",O405&lt;=0,N405&lt;=0),N405,(N405+O405)/2))</f>
        <v>82500000000.0</v>
      </c>
      <c r="Q405" t="inlineStr">
        <is>
          <t>기초·기말 평균</t>
        </is>
      </c>
      <c r="R405" s="15">
        <f>IF(OR(P405="",P405&lt;=0),"",J405/P405)</f>
        <v>0.05352406726221755</v>
      </c>
      <c r="S405" s="15">
        <f>IF(R405="","",R405-0.1)</f>
        <v>-0.04647593273778246</v>
      </c>
      <c r="T405" s="15">
        <f>IF(OR(P405="",E405=0,E405=""),"",P405/E405)</f>
        <v>1.8192242386822202</v>
      </c>
      <c r="U405" t="inlineStr">
        <is>
          <t>—</t>
        </is>
      </c>
      <c r="V405" t="inlineStr">
        <is>
          <t>—</t>
        </is>
      </c>
      <c r="W405" t="inlineStr">
        <is>
          <t>OK</t>
        </is>
      </c>
      <c r="X405" t="inlineStr">
        <is>
          <t>RTX Corp</t>
        </is>
      </c>
    </row>
    <row r="406">
      <c r="A406" t="inlineStr">
        <is>
          <t>RTX</t>
        </is>
      </c>
      <c r="B406" t="inlineStr">
        <is>
          <t>RTX</t>
        </is>
      </c>
      <c r="C406" t="n">
        <v>2020</v>
      </c>
      <c r="D406" t="inlineStr">
        <is>
          <t>2020-12-31</t>
        </is>
      </c>
      <c r="E406" s="14" t="n">
        <v>56587000000</v>
      </c>
      <c r="F406" s="14" t="n">
        <v>-1889000000</v>
      </c>
      <c r="G406" t="inlineStr">
        <is>
          <t>reported</t>
        </is>
      </c>
      <c r="H406" t="inlineStr">
        <is>
          <t>HIGH</t>
        </is>
      </c>
      <c r="I406" s="15" t="n">
        <v>0.21</v>
      </c>
      <c r="J406" s="14">
        <f>IF(F406="","",F406*(1-I406))</f>
        <v>-1492310000.0</v>
      </c>
      <c r="K406" s="14" t="n">
        <v>73852000000</v>
      </c>
      <c r="L406" s="14" t="n">
        <v>31823000000</v>
      </c>
      <c r="M406" s="14" t="n">
        <v>9683000000</v>
      </c>
      <c r="N406" s="14">
        <f>IF(COUNT(K406:M406)&lt;3,"",K406+L406-M406)</f>
        <v>95992000000.0</v>
      </c>
      <c r="O406" s="14">
        <f>N405</f>
        <v>82546000000.0</v>
      </c>
      <c r="P406" s="14">
        <f>IF(N406="","",IF(OR(O406="",O406&lt;=0,N406&lt;=0),N406,(N406+O406)/2))</f>
        <v>89269000000.0</v>
      </c>
      <c r="Q406" t="inlineStr">
        <is>
          <t>기초·기말 평균</t>
        </is>
      </c>
      <c r="R406" s="15">
        <f>IF(OR(P406="",P406&lt;=0),"",J406/P406)</f>
        <v>-0.016717001422666324</v>
      </c>
      <c r="S406" s="15">
        <f>IF(R406="","",R406-0.1)</f>
        <v>-0.11671700142266633</v>
      </c>
      <c r="T406" s="15">
        <f>IF(OR(P406="",E406=0,E406=""),"",P406/E406)</f>
        <v>1.577553148249598</v>
      </c>
      <c r="U406" t="inlineStr">
        <is>
          <t>—</t>
        </is>
      </c>
      <c r="V406" t="inlineStr">
        <is>
          <t>—</t>
        </is>
      </c>
      <c r="W406" t="inlineStr">
        <is>
          <t>OK</t>
        </is>
      </c>
      <c r="X406" t="inlineStr">
        <is>
          <t>RTX Corp</t>
        </is>
      </c>
    </row>
    <row r="407">
      <c r="A407" t="inlineStr">
        <is>
          <t>RTX</t>
        </is>
      </c>
      <c r="B407" t="inlineStr">
        <is>
          <t>RTX</t>
        </is>
      </c>
      <c r="C407" t="n">
        <v>2021</v>
      </c>
      <c r="D407" t="inlineStr">
        <is>
          <t>2021-12-31</t>
        </is>
      </c>
      <c r="E407" s="14" t="n">
        <v>64388000000</v>
      </c>
      <c r="F407" s="14" t="n">
        <v>5136000000</v>
      </c>
      <c r="G407" t="inlineStr">
        <is>
          <t>reported</t>
        </is>
      </c>
      <c r="H407" t="inlineStr">
        <is>
          <t>HIGH</t>
        </is>
      </c>
      <c r="I407" s="15" t="n">
        <v>0.188686631434723</v>
      </c>
      <c r="J407" s="14">
        <f>IF(F407="","",F407*(1-I407))</f>
        <v>4166905460.951263</v>
      </c>
      <c r="K407" s="14" t="n">
        <v>74664000000</v>
      </c>
      <c r="L407" s="14" t="n">
        <v>31485000000</v>
      </c>
      <c r="M407" s="14" t="n">
        <v>8797000000</v>
      </c>
      <c r="N407" s="14">
        <f>IF(COUNT(K407:M407)&lt;3,"",K407+L407-M407)</f>
        <v>97352000000.0</v>
      </c>
      <c r="O407" s="14">
        <f>N406</f>
        <v>95992000000.0</v>
      </c>
      <c r="P407" s="14">
        <f>IF(N407="","",IF(OR(O407="",O407&lt;=0,N407&lt;=0),N407,(N407+O407)/2))</f>
        <v>96672000000.0</v>
      </c>
      <c r="Q407" t="inlineStr">
        <is>
          <t>기초·기말 평균</t>
        </is>
      </c>
      <c r="R407" s="15">
        <f>IF(OR(P407="",P407&lt;=0),"",J407/P407)</f>
        <v>0.04310354043519595</v>
      </c>
      <c r="S407" s="15">
        <f>IF(R407="","",R407-0.1)</f>
        <v>-0.056896459564804054</v>
      </c>
      <c r="T407" s="15">
        <f>IF(OR(P407="",E407=0,E407=""),"",P407/E407)</f>
        <v>1.5013977759831025</v>
      </c>
      <c r="U407" t="inlineStr">
        <is>
          <t>—</t>
        </is>
      </c>
      <c r="V407" t="inlineStr">
        <is>
          <t>—</t>
        </is>
      </c>
      <c r="W407" t="inlineStr">
        <is>
          <t>OK</t>
        </is>
      </c>
      <c r="X407" t="inlineStr">
        <is>
          <t>RTX Corp</t>
        </is>
      </c>
    </row>
    <row r="408">
      <c r="A408" t="inlineStr">
        <is>
          <t>RTX</t>
        </is>
      </c>
      <c r="B408" t="inlineStr">
        <is>
          <t>RTX</t>
        </is>
      </c>
      <c r="C408" t="n">
        <v>2022</v>
      </c>
      <c r="D408" t="inlineStr">
        <is>
          <t>2022-12-31</t>
        </is>
      </c>
      <c r="E408" s="14" t="n">
        <v>67074000000</v>
      </c>
      <c r="F408" s="14" t="n">
        <v>5504000000</v>
      </c>
      <c r="G408" t="inlineStr">
        <is>
          <t>reported</t>
        </is>
      </c>
      <c r="H408" t="inlineStr">
        <is>
          <t>HIGH</t>
        </is>
      </c>
      <c r="I408" s="15" t="n">
        <v>0.1291482752983489</v>
      </c>
      <c r="J408" s="14">
        <f>IF(F408="","",F408*(1-I408))</f>
        <v>4793167892.757888</v>
      </c>
      <c r="K408" s="14" t="n">
        <v>74178000000</v>
      </c>
      <c r="L408" s="14" t="n">
        <v>31914000000</v>
      </c>
      <c r="M408" s="14" t="n">
        <v>6994000000</v>
      </c>
      <c r="N408" s="14">
        <f>IF(COUNT(K408:M408)&lt;3,"",K408+L408-M408)</f>
        <v>99098000000.0</v>
      </c>
      <c r="O408" s="14">
        <f>N407</f>
        <v>97352000000.0</v>
      </c>
      <c r="P408" s="14">
        <f>IF(N408="","",IF(OR(O408="",O408&lt;=0,N408&lt;=0),N408,(N408+O408)/2))</f>
        <v>98225000000.0</v>
      </c>
      <c r="Q408" t="inlineStr">
        <is>
          <t>기초·기말 평균</t>
        </is>
      </c>
      <c r="R408" s="15">
        <f>IF(OR(P408="",P408&lt;=0),"",J408/P408)</f>
        <v>0.048797840598196876</v>
      </c>
      <c r="S408" s="15">
        <f>IF(R408="","",R408-0.1)</f>
        <v>-0.05120215940180313</v>
      </c>
      <c r="T408" s="15">
        <f>IF(OR(P408="",E408=0,E408=""),"",P408/E408)</f>
        <v>1.4644273488982318</v>
      </c>
      <c r="U408" t="inlineStr">
        <is>
          <t>—</t>
        </is>
      </c>
      <c r="V408" t="inlineStr">
        <is>
          <t>—</t>
        </is>
      </c>
      <c r="W408" t="inlineStr">
        <is>
          <t>OK</t>
        </is>
      </c>
      <c r="X408" t="inlineStr">
        <is>
          <t>RTX Corp</t>
        </is>
      </c>
    </row>
    <row r="409">
      <c r="A409" t="inlineStr">
        <is>
          <t>RTX</t>
        </is>
      </c>
      <c r="B409" t="inlineStr">
        <is>
          <t>RTX</t>
        </is>
      </c>
      <c r="C409" t="n">
        <v>2023</v>
      </c>
      <c r="D409" t="inlineStr">
        <is>
          <t>2023-12-31</t>
        </is>
      </c>
      <c r="E409" s="14" t="n">
        <v>68920000000</v>
      </c>
      <c r="F409" s="14" t="n">
        <v>3561000000</v>
      </c>
      <c r="G409" t="inlineStr">
        <is>
          <t>reported</t>
        </is>
      </c>
      <c r="H409" t="inlineStr">
        <is>
          <t>HIGH</t>
        </is>
      </c>
      <c r="I409" s="15" t="n">
        <v>0.118873826903024</v>
      </c>
      <c r="J409" s="14">
        <f>IF(F409="","",F409*(1-I409))</f>
        <v>3137690302.398331</v>
      </c>
      <c r="K409" s="14" t="n">
        <v>61410000000</v>
      </c>
      <c r="L409" s="14" t="n">
        <v>43827000000</v>
      </c>
      <c r="M409" s="14" t="n">
        <v>7332000000</v>
      </c>
      <c r="N409" s="14">
        <f>IF(COUNT(K409:M409)&lt;3,"",K409+L409-M409)</f>
        <v>97905000000.0</v>
      </c>
      <c r="O409" s="14">
        <f>N408</f>
        <v>99098000000.0</v>
      </c>
      <c r="P409" s="14">
        <f>IF(N409="","",IF(OR(O409="",O409&lt;=0,N409&lt;=0),N409,(N409+O409)/2))</f>
        <v>98501500000.0</v>
      </c>
      <c r="Q409" t="inlineStr">
        <is>
          <t>기초·기말 평균</t>
        </is>
      </c>
      <c r="R409" s="15">
        <f>IF(OR(P409="",P409&lt;=0),"",J409/P409)</f>
        <v>0.031854238792285716</v>
      </c>
      <c r="S409" s="15">
        <f>IF(R409="","",R409-0.1)</f>
        <v>-0.06814576120771429</v>
      </c>
      <c r="T409" s="15">
        <f>IF(OR(P409="",E409=0,E409=""),"",P409/E409)</f>
        <v>1.429215031921068</v>
      </c>
      <c r="U409" t="inlineStr">
        <is>
          <t>—</t>
        </is>
      </c>
      <c r="V409" t="inlineStr">
        <is>
          <t>—</t>
        </is>
      </c>
      <c r="W409" t="inlineStr">
        <is>
          <t>OK</t>
        </is>
      </c>
      <c r="X409" t="inlineStr">
        <is>
          <t>RTX Corp</t>
        </is>
      </c>
    </row>
    <row r="410">
      <c r="A410" t="inlineStr">
        <is>
          <t>RTX</t>
        </is>
      </c>
      <c r="B410" t="inlineStr">
        <is>
          <t>RTX</t>
        </is>
      </c>
      <c r="C410" t="n">
        <v>2024</v>
      </c>
      <c r="D410" t="inlineStr">
        <is>
          <t>2024-12-31</t>
        </is>
      </c>
      <c r="E410" s="14" t="n">
        <v>80738000000</v>
      </c>
      <c r="F410" s="14" t="n">
        <v>6538000000</v>
      </c>
      <c r="G410" t="inlineStr">
        <is>
          <t>reported</t>
        </is>
      </c>
      <c r="H410" t="inlineStr">
        <is>
          <t>HIGH</t>
        </is>
      </c>
      <c r="I410" s="15" t="n">
        <v>0.1906683887633193</v>
      </c>
      <c r="J410" s="14">
        <f>IF(F410="","",F410*(1-I410))</f>
        <v>5291410074.265419</v>
      </c>
      <c r="K410" s="14" t="n">
        <v>61923000000</v>
      </c>
      <c r="L410" s="14" t="n">
        <v>41261000000</v>
      </c>
      <c r="M410" s="14" t="n">
        <v>6364000000</v>
      </c>
      <c r="N410" s="14">
        <f>IF(COUNT(K410:M410)&lt;3,"",K410+L410-M410)</f>
        <v>96820000000.0</v>
      </c>
      <c r="O410" s="14">
        <f>N409</f>
        <v>97905000000.0</v>
      </c>
      <c r="P410" s="14">
        <f>IF(N410="","",IF(OR(O410="",O410&lt;=0,N410&lt;=0),N410,(N410+O410)/2))</f>
        <v>97362500000.0</v>
      </c>
      <c r="Q410" t="inlineStr">
        <is>
          <t>기초·기말 평균</t>
        </is>
      </c>
      <c r="R410" s="15">
        <f>IF(OR(P410="",P410&lt;=0),"",J410/P410)</f>
        <v>0.05434751649008005</v>
      </c>
      <c r="S410" s="15">
        <f>IF(R410="","",R410-0.1)</f>
        <v>-0.045652483509919954</v>
      </c>
      <c r="T410" s="15">
        <f>IF(OR(P410="",E410=0,E410=""),"",P410/E410)</f>
        <v>1.2059067601377293</v>
      </c>
      <c r="U410" t="inlineStr">
        <is>
          <t>—</t>
        </is>
      </c>
      <c r="V410" t="inlineStr">
        <is>
          <t>—</t>
        </is>
      </c>
      <c r="W410" t="inlineStr">
        <is>
          <t>OK</t>
        </is>
      </c>
      <c r="X410" t="inlineStr">
        <is>
          <t>RTX Corp</t>
        </is>
      </c>
    </row>
    <row r="411">
      <c r="A411" t="inlineStr">
        <is>
          <t>RTX</t>
        </is>
      </c>
      <c r="B411" t="inlineStr">
        <is>
          <t>RTX</t>
        </is>
      </c>
      <c r="C411" t="n">
        <v>2025</v>
      </c>
      <c r="D411" t="inlineStr">
        <is>
          <t>2025-12-31</t>
        </is>
      </c>
      <c r="E411" s="14" t="n">
        <v>88603000000</v>
      </c>
      <c r="F411" s="14" t="n">
        <v>9300000000</v>
      </c>
      <c r="G411" t="inlineStr">
        <is>
          <t>reported</t>
        </is>
      </c>
      <c r="H411" t="inlineStr">
        <is>
          <t>HIGH</t>
        </is>
      </c>
      <c r="I411" s="15" t="n">
        <v>0.1905416237260964</v>
      </c>
      <c r="J411" s="14">
        <f>IF(F411="","",F411*(1-I411))</f>
        <v>7527962899.347303</v>
      </c>
      <c r="K411" s="14" t="n">
        <v>67102000000</v>
      </c>
      <c r="L411" s="14" t="n">
        <v>37904000000</v>
      </c>
      <c r="M411" s="14" t="n">
        <v>8185000000</v>
      </c>
      <c r="N411" s="14">
        <f>IF(COUNT(K411:M411)&lt;3,"",K411+L411-M411)</f>
        <v>96821000000.0</v>
      </c>
      <c r="O411" s="14">
        <f>N410</f>
        <v>96820000000.0</v>
      </c>
      <c r="P411" s="14">
        <f>IF(N411="","",IF(OR(O411="",O411&lt;=0,N411&lt;=0),N411,(N411+O411)/2))</f>
        <v>96820500000.0</v>
      </c>
      <c r="Q411" t="inlineStr">
        <is>
          <t>기초·기말 평균</t>
        </is>
      </c>
      <c r="R411" s="15">
        <f>IF(OR(P411="",P411&lt;=0),"",J411/P411)</f>
        <v>0.07775174574958096</v>
      </c>
      <c r="S411" s="15">
        <f>IF(R411="","",R411-0.1)</f>
        <v>-0.02224825425041904</v>
      </c>
      <c r="T411" s="15">
        <f>IF(OR(P411="",E411=0,E411=""),"",P411/E411)</f>
        <v>1.092745166642213</v>
      </c>
      <c r="U411" t="inlineStr">
        <is>
          <t>—</t>
        </is>
      </c>
      <c r="V411" t="inlineStr">
        <is>
          <t>—</t>
        </is>
      </c>
      <c r="W411" t="inlineStr">
        <is>
          <t>OK</t>
        </is>
      </c>
      <c r="X411" t="inlineStr">
        <is>
          <t>RTX Corp</t>
        </is>
      </c>
    </row>
    <row r="412">
      <c r="A412" s="11" t="inlineStr">
        <is>
          <t>팔로알토 네트웍스</t>
        </is>
      </c>
      <c r="B412" s="11" t="inlineStr">
        <is>
          <t>PANW</t>
        </is>
      </c>
      <c r="C412" s="11" t="n">
        <v>2015</v>
      </c>
      <c r="D412" s="11" t="inlineStr">
        <is>
          <t>2015-07-31</t>
        </is>
      </c>
      <c r="E412" s="12" t="n">
        <v>928100000</v>
      </c>
      <c r="F412" s="12" t="n">
        <v>-99800000</v>
      </c>
      <c r="G412" s="11" t="inlineStr">
        <is>
          <t>reported</t>
        </is>
      </c>
      <c r="H412" s="11" t="inlineStr">
        <is>
          <t>HIGH</t>
        </is>
      </c>
      <c r="I412" s="13" t="n">
        <v>0.21</v>
      </c>
      <c r="J412" s="12">
        <f>IF(F412="","",F412*(1-I412))</f>
        <v>-78842000.0</v>
      </c>
      <c r="K412" s="12" t="n">
        <v>559700000</v>
      </c>
      <c r="L412" s="12" t="n">
        <v>487100000</v>
      </c>
      <c r="M412" s="12" t="n">
        <v>789000000</v>
      </c>
      <c r="N412" s="12">
        <f>IF(COUNT(K412:M412)&lt;3,"",K412+L412-M412)</f>
        <v>257800000.0</v>
      </c>
      <c r="O412" s="11" t="inlineStr">
        <is>
          <t>—</t>
        </is>
      </c>
      <c r="P412" s="12" t="inlineStr">
        <is>
          <t>—</t>
        </is>
      </c>
      <c r="Q412" s="11" t="inlineStr">
        <is>
          <t>—</t>
        </is>
      </c>
      <c r="R412" s="13" t="inlineStr">
        <is>
          <t>—</t>
        </is>
      </c>
      <c r="S412" s="13" t="inlineStr">
        <is>
          <t>—</t>
        </is>
      </c>
      <c r="T412" s="13" t="inlineStr">
        <is>
          <t>—</t>
        </is>
      </c>
      <c r="U412" s="11" t="inlineStr">
        <is>
          <t>—</t>
        </is>
      </c>
      <c r="V412" s="11" t="inlineStr">
        <is>
          <t>—</t>
        </is>
      </c>
      <c r="W412" s="11" t="inlineStr">
        <is>
          <t>다음 해 평균 투하자본의 기초값으로만 사용 (보고 기간 밖 — 자체 비율은 계산하지 않음)</t>
        </is>
      </c>
      <c r="X412" s="11" t="inlineStr">
        <is>
          <t>Palo Alto Networks Inc</t>
        </is>
      </c>
    </row>
    <row r="413">
      <c r="A413" s="11" t="inlineStr">
        <is>
          <t>팔로알토 네트웍스</t>
        </is>
      </c>
      <c r="B413" s="11" t="inlineStr">
        <is>
          <t>PANW</t>
        </is>
      </c>
      <c r="C413" s="11" t="n">
        <v>2016</v>
      </c>
      <c r="D413" s="11" t="inlineStr">
        <is>
          <t>2016-07-31</t>
        </is>
      </c>
      <c r="E413" s="12" t="n">
        <v>1378500000</v>
      </c>
      <c r="F413" s="12" t="n">
        <v>-157300000</v>
      </c>
      <c r="G413" s="11" t="inlineStr">
        <is>
          <t>reported</t>
        </is>
      </c>
      <c r="H413" s="11" t="inlineStr">
        <is>
          <t>HIGH</t>
        </is>
      </c>
      <c r="I413" s="13" t="n">
        <v>0.21</v>
      </c>
      <c r="J413" s="12">
        <f>IF(F413="","",F413*(1-I413))</f>
        <v>-124267000.0</v>
      </c>
      <c r="K413" s="12" t="n">
        <v>1049500000</v>
      </c>
      <c r="L413" s="12" t="n">
        <v>500200000</v>
      </c>
      <c r="M413" s="12" t="n">
        <v>1285600000</v>
      </c>
      <c r="N413" s="12">
        <f>IF(COUNT(K413:M413)&lt;3,"",K413+L413-M413)</f>
        <v>264100000.0</v>
      </c>
      <c r="O413" s="12" t="inlineStr">
        <is>
          <t>—</t>
        </is>
      </c>
      <c r="P413" s="12" t="inlineStr">
        <is>
          <t>—</t>
        </is>
      </c>
      <c r="Q413" s="11" t="inlineStr">
        <is>
          <t>—</t>
        </is>
      </c>
      <c r="R413" s="13" t="inlineStr">
        <is>
          <t>—</t>
        </is>
      </c>
      <c r="S413" s="13" t="inlineStr">
        <is>
          <t>—</t>
        </is>
      </c>
      <c r="T413" s="13" t="inlineStr">
        <is>
          <t>—</t>
        </is>
      </c>
      <c r="U413" s="11" t="inlineStr">
        <is>
          <t>—</t>
        </is>
      </c>
      <c r="V413" s="11" t="inlineStr">
        <is>
          <t>—</t>
        </is>
      </c>
      <c r="W413" s="11" t="inlineStr">
        <is>
          <t>다음 해 평균 투하자본의 기초값으로만 사용 (보고 기간 밖 — 자체 비율은 계산하지 않음)</t>
        </is>
      </c>
      <c r="X413" s="11" t="inlineStr">
        <is>
          <t>Palo Alto Networks Inc</t>
        </is>
      </c>
    </row>
    <row r="414">
      <c r="A414" s="9" t="inlineStr">
        <is>
          <t>팔로알토 네트웍스</t>
        </is>
      </c>
      <c r="B414" s="9" t="inlineStr">
        <is>
          <t>PANW</t>
        </is>
      </c>
      <c r="C414" s="9" t="n">
        <v>2017</v>
      </c>
      <c r="D414" s="9" t="inlineStr">
        <is>
          <t>2017-07-31</t>
        </is>
      </c>
      <c r="E414" s="16" t="n">
        <v>1755100000</v>
      </c>
      <c r="F414" s="16" t="n">
        <v>-165800000</v>
      </c>
      <c r="G414" s="9" t="inlineStr">
        <is>
          <t>reported</t>
        </is>
      </c>
      <c r="H414" s="9" t="inlineStr">
        <is>
          <t>HIGH</t>
        </is>
      </c>
      <c r="I414" s="17" t="n">
        <v>0.21</v>
      </c>
      <c r="J414" s="16">
        <f>IF(F414="","",F414*(1-I414))</f>
        <v>-130982000.0</v>
      </c>
      <c r="K414" s="16" t="n">
        <v>927800000</v>
      </c>
      <c r="L414" s="16" t="n">
        <v>524700000</v>
      </c>
      <c r="M414" s="16" t="n">
        <v>1375000000</v>
      </c>
      <c r="N414" s="16">
        <f>IF(COUNT(K414:M414)&lt;3,"",K414+L414-M414)</f>
        <v>77500000.0</v>
      </c>
      <c r="O414" s="16">
        <f>N413</f>
        <v>264100000.0</v>
      </c>
      <c r="P414" s="16">
        <f>IF(N414="","",IF(OR(O414="",O414&lt;=0,N414&lt;=0),N414,(N414+O414)/2))</f>
        <v>170800000.0</v>
      </c>
      <c r="Q414" s="9" t="inlineStr">
        <is>
          <t>기초·기말 평균</t>
        </is>
      </c>
      <c r="R414" s="17">
        <f>IF(OR(P414="",P414&lt;=0),"",J414/P414)</f>
        <v>-0.7668735362997658</v>
      </c>
      <c r="S414" s="17">
        <f>IF(R414="","",R414-0.1)</f>
        <v>-0.8668735362997658</v>
      </c>
      <c r="T414" s="17">
        <f>IF(OR(P414="",E414=0,E414=""),"",P414/E414)</f>
        <v>0.09731639222836305</v>
      </c>
      <c r="U414" s="9" t="inlineStr">
        <is>
          <t>—</t>
        </is>
      </c>
      <c r="V414" s="9" t="inlineStr">
        <is>
          <t>—</t>
        </is>
      </c>
      <c r="W414" s="9" t="inlineStr">
        <is>
          <t>투하자본이 매출의 9.7% — 분모가 작아 비율이 민감 (판정은 유효)</t>
        </is>
      </c>
      <c r="X414" s="9" t="inlineStr">
        <is>
          <t>Palo Alto Networks Inc</t>
        </is>
      </c>
    </row>
    <row r="415">
      <c r="A415" t="inlineStr">
        <is>
          <t>팔로알토 네트웍스</t>
        </is>
      </c>
      <c r="B415" t="inlineStr">
        <is>
          <t>PANW</t>
        </is>
      </c>
      <c r="C415" t="n">
        <v>2018</v>
      </c>
      <c r="D415" t="inlineStr">
        <is>
          <t>2018-07-31</t>
        </is>
      </c>
      <c r="E415" s="14" t="n">
        <v>2273600000</v>
      </c>
      <c r="F415" s="14" t="n">
        <v>-104200000</v>
      </c>
      <c r="G415" t="inlineStr">
        <is>
          <t>reported</t>
        </is>
      </c>
      <c r="H415" t="inlineStr">
        <is>
          <t>HIGH</t>
        </is>
      </c>
      <c r="I415" s="15" t="n">
        <v>0.21</v>
      </c>
      <c r="J415" s="14">
        <f>IF(F415="","",F415*(1-I415))</f>
        <v>-82318000.0</v>
      </c>
      <c r="K415" s="14" t="n">
        <v>1160300000</v>
      </c>
      <c r="L415" s="14" t="n">
        <v>1920100000</v>
      </c>
      <c r="M415" s="14" t="n">
        <v>3403400000</v>
      </c>
      <c r="N415" s="14">
        <f>IF(COUNT(K415:M415)&lt;3,"",K415+L415-M415)</f>
        <v>-323000000.0</v>
      </c>
      <c r="O415" s="14">
        <f>N414</f>
        <v>77500000.0</v>
      </c>
      <c r="P415" s="14">
        <f>IF(N415="","",IF(OR(O415="",O415&lt;=0,N415&lt;=0),N415,(N415+O415)/2))</f>
        <v>-323000000.0</v>
      </c>
      <c r="Q415" t="inlineStr">
        <is>
          <t>기말 단독 (기초 또는 기말 자본이 0 이하)</t>
        </is>
      </c>
      <c r="R415" t="inlineStr">
        <is>
          <t>—</t>
        </is>
      </c>
      <c r="S415" t="inlineStr">
        <is>
          <t>—</t>
        </is>
      </c>
      <c r="T415" s="15">
        <f>IF(OR(P415="",E415=0,E415=""),"",P415/E415)</f>
        <v>-0.14206544686840253</v>
      </c>
      <c r="U415" t="inlineStr">
        <is>
          <t>—</t>
        </is>
      </c>
      <c r="V415" t="inlineStr">
        <is>
          <t>—</t>
        </is>
      </c>
      <c r="W415" t="inlineStr">
        <is>
          <t>투하자본이 0 이하 — 현금이 자기자본+차입금을 넘어 비율이 성립하지 않음</t>
        </is>
      </c>
      <c r="X415" t="inlineStr">
        <is>
          <t>Palo Alto Networks Inc</t>
        </is>
      </c>
    </row>
    <row r="416">
      <c r="A416" s="9" t="inlineStr">
        <is>
          <t>팔로알토 네트웍스</t>
        </is>
      </c>
      <c r="B416" s="9" t="inlineStr">
        <is>
          <t>PANW</t>
        </is>
      </c>
      <c r="C416" s="9" t="n">
        <v>2019</v>
      </c>
      <c r="D416" s="9" t="inlineStr">
        <is>
          <t>2019-07-31</t>
        </is>
      </c>
      <c r="E416" s="16" t="n">
        <v>2899600000</v>
      </c>
      <c r="F416" s="16" t="n">
        <v>-54100000</v>
      </c>
      <c r="G416" s="9" t="inlineStr">
        <is>
          <t>reported</t>
        </is>
      </c>
      <c r="H416" s="9" t="inlineStr">
        <is>
          <t>HIGH</t>
        </is>
      </c>
      <c r="I416" s="17" t="n">
        <v>0.21</v>
      </c>
      <c r="J416" s="16">
        <f>IF(F416="","",F416*(1-I416))</f>
        <v>-42739000.0</v>
      </c>
      <c r="K416" s="16" t="n">
        <v>1586300000</v>
      </c>
      <c r="L416" s="16" t="n">
        <v>1430000000</v>
      </c>
      <c r="M416" s="16" t="n">
        <v>2803100000</v>
      </c>
      <c r="N416" s="16">
        <f>IF(COUNT(K416:M416)&lt;3,"",K416+L416-M416)</f>
        <v>213200000.0</v>
      </c>
      <c r="O416" s="16">
        <f>N415</f>
        <v>-323000000.0</v>
      </c>
      <c r="P416" s="16">
        <f>IF(N416="","",IF(OR(O416="",O416&lt;=0,N416&lt;=0),N416,(N416+O416)/2))</f>
        <v>213200000.0</v>
      </c>
      <c r="Q416" s="9" t="inlineStr">
        <is>
          <t>기말 단독 (기초 또는 기말 자본이 0 이하)</t>
        </is>
      </c>
      <c r="R416" s="17">
        <f>IF(OR(P416="",P416&lt;=0),"",J416/P416)</f>
        <v>-0.2004643527204503</v>
      </c>
      <c r="S416" s="17">
        <f>IF(R416="","",R416-0.1)</f>
        <v>-0.3004643527204503</v>
      </c>
      <c r="T416" s="17">
        <f>IF(OR(P416="",E416=0,E416=""),"",P416/E416)</f>
        <v>0.07352738308732239</v>
      </c>
      <c r="U416" s="9" t="inlineStr">
        <is>
          <t>—</t>
        </is>
      </c>
      <c r="V416" s="9" t="inlineStr">
        <is>
          <t>—</t>
        </is>
      </c>
      <c r="W416" s="9" t="inlineStr">
        <is>
          <t>투하자본이 매출의 7.4% — 분모가 작아 비율이 민감 (판정은 유효)</t>
        </is>
      </c>
      <c r="X416" s="9" t="inlineStr">
        <is>
          <t>Palo Alto Networks Inc</t>
        </is>
      </c>
    </row>
    <row r="417">
      <c r="A417" s="9" t="inlineStr">
        <is>
          <t>팔로알토 네트웍스</t>
        </is>
      </c>
      <c r="B417" s="9" t="inlineStr">
        <is>
          <t>PANW</t>
        </is>
      </c>
      <c r="C417" s="9" t="n">
        <v>2020</v>
      </c>
      <c r="D417" s="9" t="inlineStr">
        <is>
          <t>2020-07-31</t>
        </is>
      </c>
      <c r="E417" s="16" t="n">
        <v>3408400000</v>
      </c>
      <c r="F417" s="16" t="n">
        <v>-179000000</v>
      </c>
      <c r="G417" s="9" t="inlineStr">
        <is>
          <t>reported</t>
        </is>
      </c>
      <c r="H417" s="9" t="inlineStr">
        <is>
          <t>HIGH</t>
        </is>
      </c>
      <c r="I417" s="17" t="n">
        <v>0.21</v>
      </c>
      <c r="J417" s="16">
        <f>IF(F417="","",F417*(1-I417))</f>
        <v>-141410000.0</v>
      </c>
      <c r="K417" s="16" t="n">
        <v>1101800000</v>
      </c>
      <c r="L417" s="16" t="n">
        <v>3084100000</v>
      </c>
      <c r="M417" s="16" t="n">
        <v>3747800000</v>
      </c>
      <c r="N417" s="16">
        <f>IF(COUNT(K417:M417)&lt;3,"",K417+L417-M417)</f>
        <v>438100000.0</v>
      </c>
      <c r="O417" s="16">
        <f>N416</f>
        <v>213200000.0</v>
      </c>
      <c r="P417" s="16">
        <f>IF(N417="","",IF(OR(O417="",O417&lt;=0,N417&lt;=0),N417,(N417+O417)/2))</f>
        <v>325650000.0</v>
      </c>
      <c r="Q417" s="9" t="inlineStr">
        <is>
          <t>기초·기말 평균</t>
        </is>
      </c>
      <c r="R417" s="17">
        <f>IF(OR(P417="",P417&lt;=0),"",J417/P417)</f>
        <v>-0.4342392138799324</v>
      </c>
      <c r="S417" s="17">
        <f>IF(R417="","",R417-0.1)</f>
        <v>-0.5342392138799325</v>
      </c>
      <c r="T417" s="17">
        <f>IF(OR(P417="",E417=0,E417=""),"",P417/E417)</f>
        <v>0.09554336345499355</v>
      </c>
      <c r="U417" s="9" t="inlineStr">
        <is>
          <t>—</t>
        </is>
      </c>
      <c r="V417" s="9" t="inlineStr">
        <is>
          <t>—</t>
        </is>
      </c>
      <c r="W417" s="9" t="inlineStr">
        <is>
          <t>투하자본이 매출의 9.6% — 분모가 작아 비율이 민감 (판정은 유효)</t>
        </is>
      </c>
      <c r="X417" s="9" t="inlineStr">
        <is>
          <t>Palo Alto Networks Inc</t>
        </is>
      </c>
    </row>
    <row r="418">
      <c r="A418" t="inlineStr">
        <is>
          <t>팔로알토 네트웍스</t>
        </is>
      </c>
      <c r="B418" t="inlineStr">
        <is>
          <t>PANW</t>
        </is>
      </c>
      <c r="C418" t="n">
        <v>2021</v>
      </c>
      <c r="D418" t="inlineStr">
        <is>
          <t>2021-07-31</t>
        </is>
      </c>
      <c r="E418" s="14" t="n">
        <v>4256100000</v>
      </c>
      <c r="F418" s="14" t="n">
        <v>-304100000</v>
      </c>
      <c r="G418" t="inlineStr">
        <is>
          <t>reported</t>
        </is>
      </c>
      <c r="H418" t="inlineStr">
        <is>
          <t>HIGH</t>
        </is>
      </c>
      <c r="I418" s="15" t="n">
        <v>0.21</v>
      </c>
      <c r="J418" s="14">
        <f>IF(F418="","",F418*(1-I418))</f>
        <v>-240239000.0</v>
      </c>
      <c r="K418" s="14" t="n">
        <v>634500000</v>
      </c>
      <c r="L418" s="14" t="n">
        <v>3226000000</v>
      </c>
      <c r="M418" s="14" t="n">
        <v>2901100000</v>
      </c>
      <c r="N418" s="14">
        <f>IF(COUNT(K418:M418)&lt;3,"",K418+L418-M418)</f>
        <v>959400000.0</v>
      </c>
      <c r="O418" s="14">
        <f>N417</f>
        <v>438100000.0</v>
      </c>
      <c r="P418" s="14">
        <f>IF(N418="","",IF(OR(O418="",O418&lt;=0,N418&lt;=0),N418,(N418+O418)/2))</f>
        <v>698750000.0</v>
      </c>
      <c r="Q418" t="inlineStr">
        <is>
          <t>기초·기말 평균</t>
        </is>
      </c>
      <c r="R418" s="15">
        <f>IF(OR(P418="",P418&lt;=0),"",J418/P418)</f>
        <v>-0.34381252236135956</v>
      </c>
      <c r="S418" s="15">
        <f>IF(R418="","",R418-0.1)</f>
        <v>-0.4438125223613596</v>
      </c>
      <c r="T418" s="15">
        <f>IF(OR(P418="",E418=0,E418=""),"",P418/E418)</f>
        <v>0.1641761236813045</v>
      </c>
      <c r="U418" t="inlineStr">
        <is>
          <t>—</t>
        </is>
      </c>
      <c r="V418" t="inlineStr">
        <is>
          <t>—</t>
        </is>
      </c>
      <c r="W418" t="inlineStr">
        <is>
          <t>OK</t>
        </is>
      </c>
      <c r="X418" t="inlineStr">
        <is>
          <t>Palo Alto Networks Inc</t>
        </is>
      </c>
    </row>
    <row r="419">
      <c r="A419" t="inlineStr">
        <is>
          <t>팔로알토 네트웍스</t>
        </is>
      </c>
      <c r="B419" t="inlineStr">
        <is>
          <t>PANW</t>
        </is>
      </c>
      <c r="C419" t="n">
        <v>2022</v>
      </c>
      <c r="D419" t="inlineStr">
        <is>
          <t>2022-07-31</t>
        </is>
      </c>
      <c r="E419" s="14" t="n">
        <v>5501500000</v>
      </c>
      <c r="F419" s="14" t="n">
        <v>-188800000</v>
      </c>
      <c r="G419" t="inlineStr">
        <is>
          <t>reported</t>
        </is>
      </c>
      <c r="H419" t="inlineStr">
        <is>
          <t>HIGH</t>
        </is>
      </c>
      <c r="I419" s="15" t="n">
        <v>0.21</v>
      </c>
      <c r="J419" s="14">
        <f>IF(F419="","",F419*(1-I419))</f>
        <v>-149152000.0</v>
      </c>
      <c r="K419" s="14" t="n">
        <v>210000000</v>
      </c>
      <c r="L419" s="14" t="n">
        <v>3676800000</v>
      </c>
      <c r="M419" s="14" t="n">
        <v>3634500000</v>
      </c>
      <c r="N419" s="14">
        <f>IF(COUNT(K419:M419)&lt;3,"",K419+L419-M419)</f>
        <v>252300000.0</v>
      </c>
      <c r="O419" s="14">
        <f>N418</f>
        <v>959400000.0</v>
      </c>
      <c r="P419" s="14">
        <f>IF(N419="","",IF(OR(O419="",O419&lt;=0,N419&lt;=0),N419,(N419+O419)/2))</f>
        <v>605850000.0</v>
      </c>
      <c r="Q419" t="inlineStr">
        <is>
          <t>기초·기말 평균</t>
        </is>
      </c>
      <c r="R419" s="15">
        <f>IF(OR(P419="",P419&lt;=0),"",J419/P419)</f>
        <v>-0.24618634975654038</v>
      </c>
      <c r="S419" s="15">
        <f>IF(R419="","",R419-0.1)</f>
        <v>-0.3461863497565404</v>
      </c>
      <c r="T419" s="15">
        <f>IF(OR(P419="",E419=0,E419=""),"",P419/E419)</f>
        <v>0.11012451149686449</v>
      </c>
      <c r="U419" t="inlineStr">
        <is>
          <t>—</t>
        </is>
      </c>
      <c r="V419" t="inlineStr">
        <is>
          <t>—</t>
        </is>
      </c>
      <c r="W419" t="inlineStr">
        <is>
          <t>OK</t>
        </is>
      </c>
      <c r="X419" t="inlineStr">
        <is>
          <t>Palo Alto Networks Inc</t>
        </is>
      </c>
    </row>
    <row r="420">
      <c r="A420" t="inlineStr">
        <is>
          <t>팔로알토 네트웍스</t>
        </is>
      </c>
      <c r="B420" t="inlineStr">
        <is>
          <t>PANW</t>
        </is>
      </c>
      <c r="C420" t="n">
        <v>2023</v>
      </c>
      <c r="D420" t="inlineStr">
        <is>
          <t>2023-07-31</t>
        </is>
      </c>
      <c r="E420" s="14" t="n">
        <v>6892700000</v>
      </c>
      <c r="F420" s="14" t="n">
        <v>387300000</v>
      </c>
      <c r="G420" t="inlineStr">
        <is>
          <t>reported</t>
        </is>
      </c>
      <c r="H420" t="inlineStr">
        <is>
          <t>HIGH</t>
        </is>
      </c>
      <c r="I420" s="15" t="n">
        <v>0.2235564188592619</v>
      </c>
      <c r="J420" s="14">
        <f>IF(F420="","",F420*(1-I420))</f>
        <v>300716598.97580785</v>
      </c>
      <c r="K420" s="14" t="n">
        <v>1748400000</v>
      </c>
      <c r="L420" s="14" t="n">
        <v>1991500000</v>
      </c>
      <c r="M420" s="14" t="n">
        <v>2390000000</v>
      </c>
      <c r="N420" s="14">
        <f>IF(COUNT(K420:M420)&lt;3,"",K420+L420-M420)</f>
        <v>1349900000.0</v>
      </c>
      <c r="O420" s="14">
        <f>N419</f>
        <v>252300000.0</v>
      </c>
      <c r="P420" s="14">
        <f>IF(N420="","",IF(OR(O420="",O420&lt;=0,N420&lt;=0),N420,(N420+O420)/2))</f>
        <v>801100000.0</v>
      </c>
      <c r="Q420" t="inlineStr">
        <is>
          <t>기초·기말 평균</t>
        </is>
      </c>
      <c r="R420" s="15">
        <f>IF(OR(P420="",P420&lt;=0),"",J420/P420)</f>
        <v>0.3753796017673297</v>
      </c>
      <c r="S420" s="15">
        <f>IF(R420="","",R420-0.1)</f>
        <v>0.2753796017673297</v>
      </c>
      <c r="T420" s="15">
        <f>IF(OR(P420="",E420=0,E420=""),"",P420/E420)</f>
        <v>0.11622441133372989</v>
      </c>
      <c r="U420" t="inlineStr">
        <is>
          <t>—</t>
        </is>
      </c>
      <c r="V420" t="inlineStr">
        <is>
          <t>—</t>
        </is>
      </c>
      <c r="W420" t="inlineStr">
        <is>
          <t>OK</t>
        </is>
      </c>
      <c r="X420" t="inlineStr">
        <is>
          <t>Palo Alto Networks Inc</t>
        </is>
      </c>
    </row>
    <row r="421">
      <c r="A421" t="inlineStr">
        <is>
          <t>팔로알토 네트웍스</t>
        </is>
      </c>
      <c r="B421" t="inlineStr">
        <is>
          <t>PANW</t>
        </is>
      </c>
      <c r="C421" t="n">
        <v>2024</v>
      </c>
      <c r="D421" t="inlineStr">
        <is>
          <t>2024-07-31</t>
        </is>
      </c>
      <c r="E421" s="14" t="n">
        <v>8027000000</v>
      </c>
      <c r="F421" s="14" t="n">
        <v>684000000</v>
      </c>
      <c r="G421" t="inlineStr">
        <is>
          <t>reported</t>
        </is>
      </c>
      <c r="H421" t="inlineStr">
        <is>
          <t>HIGH</t>
        </is>
      </c>
      <c r="I421" s="15" t="n">
        <v>0.05</v>
      </c>
      <c r="J421" s="14">
        <f>IF(F421="","",F421*(1-I421))</f>
        <v>649800000.0</v>
      </c>
      <c r="K421" s="14" t="n">
        <v>5169000000</v>
      </c>
      <c r="L421" s="14" t="n">
        <v>0</v>
      </c>
      <c r="M421" s="14" t="n">
        <v>2578600000</v>
      </c>
      <c r="N421" s="14">
        <f>IF(COUNT(K421:M421)&lt;3,"",K421+L421-M421)</f>
        <v>2590400000.0</v>
      </c>
      <c r="O421" s="14">
        <f>N420</f>
        <v>1349900000.0</v>
      </c>
      <c r="P421" s="14">
        <f>IF(N421="","",IF(OR(O421="",O421&lt;=0,N421&lt;=0),N421,(N421+O421)/2))</f>
        <v>1970150000.0</v>
      </c>
      <c r="Q421" t="inlineStr">
        <is>
          <t>기초·기말 평균</t>
        </is>
      </c>
      <c r="R421" s="15">
        <f>IF(OR(P421="",P421&lt;=0),"",J421/P421)</f>
        <v>0.32982260233992333</v>
      </c>
      <c r="S421" s="15">
        <f>IF(R421="","",R421-0.1)</f>
        <v>0.22982260233992333</v>
      </c>
      <c r="T421" s="15">
        <f>IF(OR(P421="",E421=0,E421=""),"",P421/E421)</f>
        <v>0.2454403886881774</v>
      </c>
      <c r="U421" t="inlineStr">
        <is>
          <t>—</t>
        </is>
      </c>
      <c r="V421" t="inlineStr">
        <is>
          <t>—</t>
        </is>
      </c>
      <c r="W421" t="inlineStr">
        <is>
          <t>OK</t>
        </is>
      </c>
      <c r="X421" t="inlineStr">
        <is>
          <t>Palo Alto Networks Inc</t>
        </is>
      </c>
    </row>
    <row r="422">
      <c r="A422" t="inlineStr">
        <is>
          <t>팔로알토 네트웍스</t>
        </is>
      </c>
      <c r="B422" t="inlineStr">
        <is>
          <t>PANW</t>
        </is>
      </c>
      <c r="C422" t="n">
        <v>2025</v>
      </c>
      <c r="D422" t="inlineStr">
        <is>
          <t>2025-07-31</t>
        </is>
      </c>
      <c r="E422" s="14" t="n">
        <v>9221000000</v>
      </c>
      <c r="F422" s="14" t="n">
        <v>1243000000</v>
      </c>
      <c r="G422" t="inlineStr">
        <is>
          <t>reported</t>
        </is>
      </c>
      <c r="H422" t="inlineStr">
        <is>
          <t>HIGH</t>
        </is>
      </c>
      <c r="I422" s="15" t="n">
        <v>0.2894736842105263</v>
      </c>
      <c r="J422" s="14">
        <f>IF(F422="","",F422*(1-I422))</f>
        <v>883184210.5263158</v>
      </c>
      <c r="K422" s="14" t="n">
        <v>7824000000</v>
      </c>
      <c r="L422" s="14" t="n">
        <v>0</v>
      </c>
      <c r="M422" s="14" t="n">
        <v>2904000000</v>
      </c>
      <c r="N422" s="14">
        <f>IF(COUNT(K422:M422)&lt;3,"",K422+L422-M422)</f>
        <v>4920000000.0</v>
      </c>
      <c r="O422" s="14">
        <f>N421</f>
        <v>2590400000.0</v>
      </c>
      <c r="P422" s="14">
        <f>IF(N422="","",IF(OR(O422="",O422&lt;=0,N422&lt;=0),N422,(N422+O422)/2))</f>
        <v>3755200000.0</v>
      </c>
      <c r="Q422" t="inlineStr">
        <is>
          <t>기초·기말 평균</t>
        </is>
      </c>
      <c r="R422" s="15">
        <f>IF(OR(P422="",P422&lt;=0),"",J422/P422)</f>
        <v>0.23518965981207812</v>
      </c>
      <c r="S422" s="15">
        <f>IF(R422="","",R422-0.1)</f>
        <v>0.13518965981207812</v>
      </c>
      <c r="T422" s="15">
        <f>IF(OR(P422="",E422=0,E422=""),"",P422/E422)</f>
        <v>0.4072443335863789</v>
      </c>
      <c r="U422" t="inlineStr">
        <is>
          <t>—</t>
        </is>
      </c>
      <c r="V422" t="inlineStr">
        <is>
          <t>—</t>
        </is>
      </c>
      <c r="W422" t="inlineStr">
        <is>
          <t>OK</t>
        </is>
      </c>
      <c r="X422" t="inlineStr">
        <is>
          <t>Palo Alto Networks Inc</t>
        </is>
      </c>
    </row>
    <row r="423">
      <c r="A423" t="inlineStr">
        <is>
          <t>팔로알토 네트웍스</t>
        </is>
      </c>
      <c r="B423" t="inlineStr">
        <is>
          <t>PANW</t>
        </is>
      </c>
      <c r="C423" t="n">
        <v>2026</v>
      </c>
      <c r="D423" t="inlineStr">
        <is>
          <t>2026-07-31</t>
        </is>
      </c>
      <c r="E423" s="14" t="n">
        <v>11480000000</v>
      </c>
      <c r="F423" s="14" t="n">
        <v>695000000</v>
      </c>
      <c r="G423" t="inlineStr">
        <is>
          <t>reported</t>
        </is>
      </c>
      <c r="H423" t="inlineStr">
        <is>
          <t>HIGH</t>
        </is>
      </c>
      <c r="I423" s="15" t="n">
        <v>0.4</v>
      </c>
      <c r="J423" s="14">
        <f>IF(F423="","",F423*(1-I423))</f>
        <v>417000000.0</v>
      </c>
      <c r="K423" s="14" t="n">
        <v>27492000000</v>
      </c>
      <c r="L423" s="14" t="n">
        <v>0</v>
      </c>
      <c r="M423" s="14" t="n">
        <v>3071000000</v>
      </c>
      <c r="N423" s="14">
        <f>IF(COUNT(K423:M423)&lt;3,"",K423+L423-M423)</f>
        <v>24421000000.0</v>
      </c>
      <c r="O423" s="14">
        <f>N422</f>
        <v>4920000000.0</v>
      </c>
      <c r="P423" s="14">
        <f>IF(N423="","",IF(OR(O423="",O423&lt;=0,N423&lt;=0),N423,(N423+O423)/2))</f>
        <v>14670500000.0</v>
      </c>
      <c r="Q423" t="inlineStr">
        <is>
          <t>기초·기말 평균</t>
        </is>
      </c>
      <c r="R423" s="15">
        <f>IF(OR(P423="",P423&lt;=0),"",J423/P423)</f>
        <v>0.028424389080126785</v>
      </c>
      <c r="S423" s="15">
        <f>IF(R423="","",R423-0.1)</f>
        <v>-0.07157561091987322</v>
      </c>
      <c r="T423" s="15">
        <f>IF(OR(P423="",E423=0,E423=""),"",P423/E423)</f>
        <v>1.2779181184668988</v>
      </c>
      <c r="U423" t="inlineStr">
        <is>
          <t>—</t>
        </is>
      </c>
      <c r="V423" t="inlineStr">
        <is>
          <t>—</t>
        </is>
      </c>
      <c r="W423" t="inlineStr">
        <is>
          <t>OK</t>
        </is>
      </c>
      <c r="X423" t="inlineStr">
        <is>
          <t>Palo Alto Networks Inc</t>
        </is>
      </c>
    </row>
    <row r="424">
      <c r="A424" s="11" t="inlineStr">
        <is>
          <t>필립모리스 인터내셔널</t>
        </is>
      </c>
      <c r="B424" s="11" t="inlineStr">
        <is>
          <t>PM</t>
        </is>
      </c>
      <c r="C424" s="11" t="n">
        <v>2015</v>
      </c>
      <c r="D424" s="11" t="inlineStr">
        <is>
          <t>2015-12-31</t>
        </is>
      </c>
      <c r="E424" s="12" t="n">
        <v>73908000000</v>
      </c>
      <c r="F424" s="12" t="n">
        <v>10623000000</v>
      </c>
      <c r="G424" s="11" t="inlineStr">
        <is>
          <t>reported</t>
        </is>
      </c>
      <c r="H424" s="11" t="inlineStr">
        <is>
          <t>HIGH</t>
        </is>
      </c>
      <c r="I424" s="13" t="n">
        <v>0.2795631825273011</v>
      </c>
      <c r="J424" s="12">
        <f>IF(F424="","",F424*(1-I424))</f>
        <v>7653200312.012481</v>
      </c>
      <c r="K424" s="12" t="n">
        <v>-11476000000</v>
      </c>
      <c r="L424" s="12" t="n">
        <v>28480000000</v>
      </c>
      <c r="M424" s="12" t="n">
        <v>3417000000</v>
      </c>
      <c r="N424" s="12">
        <f>IF(COUNT(K424:M424)&lt;3,"",K424+L424-M424)</f>
        <v>13587000000.0</v>
      </c>
      <c r="O424" s="11" t="inlineStr">
        <is>
          <t>—</t>
        </is>
      </c>
      <c r="P424" s="12" t="inlineStr">
        <is>
          <t>—</t>
        </is>
      </c>
      <c r="Q424" s="11" t="inlineStr">
        <is>
          <t>—</t>
        </is>
      </c>
      <c r="R424" s="13" t="inlineStr">
        <is>
          <t>—</t>
        </is>
      </c>
      <c r="S424" s="13" t="inlineStr">
        <is>
          <t>—</t>
        </is>
      </c>
      <c r="T424" s="13" t="inlineStr">
        <is>
          <t>—</t>
        </is>
      </c>
      <c r="U424" s="11" t="inlineStr">
        <is>
          <t>—</t>
        </is>
      </c>
      <c r="V424" s="11" t="inlineStr">
        <is>
          <t>—</t>
        </is>
      </c>
      <c r="W424" s="11" t="inlineStr">
        <is>
          <t>다음 해 평균 투하자본의 기초값으로만 사용 (보고 기간 밖 — 자체 비율은 계산하지 않음)</t>
        </is>
      </c>
      <c r="X424" s="11" t="inlineStr">
        <is>
          <t>Philip Morris International Inc.</t>
        </is>
      </c>
    </row>
    <row r="425">
      <c r="A425" t="inlineStr">
        <is>
          <t>필립모리스 인터내셔널</t>
        </is>
      </c>
      <c r="B425" t="inlineStr">
        <is>
          <t>PM</t>
        </is>
      </c>
      <c r="C425" t="n">
        <v>2016</v>
      </c>
      <c r="D425" t="inlineStr">
        <is>
          <t>2016-12-31</t>
        </is>
      </c>
      <c r="E425" s="14" t="n">
        <v>26685000000</v>
      </c>
      <c r="F425" s="14" t="n">
        <v>10903000000</v>
      </c>
      <c r="G425" t="inlineStr">
        <is>
          <t>reported</t>
        </is>
      </c>
      <c r="H425" t="inlineStr">
        <is>
          <t>HIGH</t>
        </is>
      </c>
      <c r="I425" s="15" t="n">
        <v>0.2789197904070939</v>
      </c>
      <c r="J425" s="14">
        <f>IF(F425="","",F425*(1-I425))</f>
        <v>7861937525.191455</v>
      </c>
      <c r="K425" s="14" t="n">
        <v>-10900000000</v>
      </c>
      <c r="L425" s="14" t="n">
        <v>29067000000</v>
      </c>
      <c r="M425" s="14" t="n">
        <v>4239000000</v>
      </c>
      <c r="N425" s="14">
        <f>IF(COUNT(K425:M425)&lt;3,"",K425+L425-M425)</f>
        <v>13928000000.0</v>
      </c>
      <c r="O425" s="14">
        <f>N424</f>
        <v>13587000000.0</v>
      </c>
      <c r="P425" s="14">
        <f>IF(N425="","",IF(OR(O425="",O425&lt;=0,N425&lt;=0),N425,(N425+O425)/2))</f>
        <v>13757500000.0</v>
      </c>
      <c r="Q425" t="inlineStr">
        <is>
          <t>기초·기말 평균</t>
        </is>
      </c>
      <c r="R425" s="15">
        <f>IF(OR(P425="",P425&lt;=0),"",J425/P425)</f>
        <v>0.5714655660687955</v>
      </c>
      <c r="S425" s="15">
        <f>IF(R425="","",R425-0.1)</f>
        <v>0.4714655660687955</v>
      </c>
      <c r="T425" s="15">
        <f>IF(OR(P425="",E425=0,E425=""),"",P425/E425)</f>
        <v>0.5155518081319093</v>
      </c>
      <c r="U425" t="inlineStr">
        <is>
          <t>—</t>
        </is>
      </c>
      <c r="V425" t="inlineStr">
        <is>
          <t>—</t>
        </is>
      </c>
      <c r="W425" t="inlineStr">
        <is>
          <t>OK</t>
        </is>
      </c>
      <c r="X425" t="inlineStr">
        <is>
          <t>Philip Morris International Inc.</t>
        </is>
      </c>
    </row>
    <row r="426">
      <c r="A426" t="inlineStr">
        <is>
          <t>필립모리스 인터내셔널</t>
        </is>
      </c>
      <c r="B426" t="inlineStr">
        <is>
          <t>PM</t>
        </is>
      </c>
      <c r="C426" t="n">
        <v>2017</v>
      </c>
      <c r="D426" t="inlineStr">
        <is>
          <t>2017-12-31</t>
        </is>
      </c>
      <c r="E426" s="14" t="n">
        <v>28748000000</v>
      </c>
      <c r="F426" s="14" t="n">
        <v>11581000000</v>
      </c>
      <c r="G426" t="inlineStr">
        <is>
          <t>reported</t>
        </is>
      </c>
      <c r="H426" t="inlineStr">
        <is>
          <t>HIGH</t>
        </is>
      </c>
      <c r="I426" s="15" t="n">
        <v>0.4</v>
      </c>
      <c r="J426" s="14">
        <f>IF(F426="","",F426*(1-I426))</f>
        <v>6948600000.0</v>
      </c>
      <c r="K426" s="14" t="n">
        <v>-10230000000</v>
      </c>
      <c r="L426" s="14" t="n">
        <v>34339000000</v>
      </c>
      <c r="M426" s="14" t="n">
        <v>8447000000</v>
      </c>
      <c r="N426" s="14">
        <f>IF(COUNT(K426:M426)&lt;3,"",K426+L426-M426)</f>
        <v>15662000000.0</v>
      </c>
      <c r="O426" s="14">
        <f>N425</f>
        <v>13928000000.0</v>
      </c>
      <c r="P426" s="14">
        <f>IF(N426="","",IF(OR(O426="",O426&lt;=0,N426&lt;=0),N426,(N426+O426)/2))</f>
        <v>14795000000.0</v>
      </c>
      <c r="Q426" t="inlineStr">
        <is>
          <t>기초·기말 평균</t>
        </is>
      </c>
      <c r="R426" s="15">
        <f>IF(OR(P426="",P426&lt;=0),"",J426/P426)</f>
        <v>0.4696586684690774</v>
      </c>
      <c r="S426" s="15">
        <f>IF(R426="","",R426-0.1)</f>
        <v>0.36965866846907736</v>
      </c>
      <c r="T426" s="15">
        <f>IF(OR(P426="",E426=0,E426=""),"",P426/E426)</f>
        <v>0.5146444970084876</v>
      </c>
      <c r="U426" t="inlineStr">
        <is>
          <t>—</t>
        </is>
      </c>
      <c r="V426" t="inlineStr">
        <is>
          <t>—</t>
        </is>
      </c>
      <c r="W426" t="inlineStr">
        <is>
          <t>OK</t>
        </is>
      </c>
      <c r="X426" t="inlineStr">
        <is>
          <t>Philip Morris International Inc.</t>
        </is>
      </c>
    </row>
    <row r="427">
      <c r="A427" t="inlineStr">
        <is>
          <t>필립모리스 인터내셔널</t>
        </is>
      </c>
      <c r="B427" t="inlineStr">
        <is>
          <t>PM</t>
        </is>
      </c>
      <c r="C427" t="n">
        <v>2018</v>
      </c>
      <c r="D427" t="inlineStr">
        <is>
          <t>2018-12-31</t>
        </is>
      </c>
      <c r="E427" s="14" t="n">
        <v>29625000000</v>
      </c>
      <c r="F427" s="14" t="n">
        <v>11377000000</v>
      </c>
      <c r="G427" t="inlineStr">
        <is>
          <t>reported</t>
        </is>
      </c>
      <c r="H427" t="inlineStr">
        <is>
          <t>HIGH</t>
        </is>
      </c>
      <c r="I427" s="15" t="n">
        <v>0.2291256676974979</v>
      </c>
      <c r="J427" s="14">
        <f>IF(F427="","",F427*(1-I427))</f>
        <v>8770237278.605566</v>
      </c>
      <c r="K427" s="14" t="n">
        <v>-10739000000</v>
      </c>
      <c r="L427" s="14" t="n">
        <v>31759000000</v>
      </c>
      <c r="M427" s="14" t="n">
        <v>6593000000</v>
      </c>
      <c r="N427" s="14">
        <f>IF(COUNT(K427:M427)&lt;3,"",K427+L427-M427)</f>
        <v>14427000000.0</v>
      </c>
      <c r="O427" s="14">
        <f>N426</f>
        <v>15662000000.0</v>
      </c>
      <c r="P427" s="14">
        <f>IF(N427="","",IF(OR(O427="",O427&lt;=0,N427&lt;=0),N427,(N427+O427)/2))</f>
        <v>15044500000.0</v>
      </c>
      <c r="Q427" t="inlineStr">
        <is>
          <t>기초·기말 평균</t>
        </is>
      </c>
      <c r="R427" s="15">
        <f>IF(OR(P427="",P427&lt;=0),"",J427/P427)</f>
        <v>0.5829530578354593</v>
      </c>
      <c r="S427" s="15">
        <f>IF(R427="","",R427-0.1)</f>
        <v>0.4829530578354593</v>
      </c>
      <c r="T427" s="15">
        <f>IF(OR(P427="",E427=0,E427=""),"",P427/E427)</f>
        <v>0.5078312236286919</v>
      </c>
      <c r="U427" t="inlineStr">
        <is>
          <t>—</t>
        </is>
      </c>
      <c r="V427" t="inlineStr">
        <is>
          <t>—</t>
        </is>
      </c>
      <c r="W427" t="inlineStr">
        <is>
          <t>OK</t>
        </is>
      </c>
      <c r="X427" t="inlineStr">
        <is>
          <t>Philip Morris International Inc.</t>
        </is>
      </c>
    </row>
    <row r="428">
      <c r="A428" t="inlineStr">
        <is>
          <t>필립모리스 인터내셔널</t>
        </is>
      </c>
      <c r="B428" t="inlineStr">
        <is>
          <t>PM</t>
        </is>
      </c>
      <c r="C428" t="n">
        <v>2019</v>
      </c>
      <c r="D428" t="inlineStr">
        <is>
          <t>2019-12-31</t>
        </is>
      </c>
      <c r="E428" s="14" t="n">
        <v>29805000000</v>
      </c>
      <c r="F428" s="14" t="n">
        <v>10531000000</v>
      </c>
      <c r="G428" t="inlineStr">
        <is>
          <t>reported</t>
        </is>
      </c>
      <c r="H428" t="inlineStr">
        <is>
          <t>HIGH</t>
        </is>
      </c>
      <c r="I428" s="15" t="n">
        <v>0.232273095623987</v>
      </c>
      <c r="J428" s="14">
        <f>IF(F428="","",F428*(1-I428))</f>
        <v>8084932029.983792</v>
      </c>
      <c r="K428" s="14" t="n">
        <v>-9599000000</v>
      </c>
      <c r="L428" s="14" t="n">
        <v>31045000000</v>
      </c>
      <c r="M428" s="14" t="n">
        <v>6861000000</v>
      </c>
      <c r="N428" s="14">
        <f>IF(COUNT(K428:M428)&lt;3,"",K428+L428-M428)</f>
        <v>14585000000.0</v>
      </c>
      <c r="O428" s="14">
        <f>N427</f>
        <v>14427000000.0</v>
      </c>
      <c r="P428" s="14">
        <f>IF(N428="","",IF(OR(O428="",O428&lt;=0,N428&lt;=0),N428,(N428+O428)/2))</f>
        <v>14506000000.0</v>
      </c>
      <c r="Q428" t="inlineStr">
        <is>
          <t>기초·기말 평균</t>
        </is>
      </c>
      <c r="R428" s="15">
        <f>IF(OR(P428="",P428&lt;=0),"",J428/P428)</f>
        <v>0.5573508913541839</v>
      </c>
      <c r="S428" s="15">
        <f>IF(R428="","",R428-0.1)</f>
        <v>0.45735089135418394</v>
      </c>
      <c r="T428" s="15">
        <f>IF(OR(P428="",E428=0,E428=""),"",P428/E428)</f>
        <v>0.48669686294245934</v>
      </c>
      <c r="U428" t="inlineStr">
        <is>
          <t>—</t>
        </is>
      </c>
      <c r="V428" t="inlineStr">
        <is>
          <t>—</t>
        </is>
      </c>
      <c r="W428" t="inlineStr">
        <is>
          <t>OK</t>
        </is>
      </c>
      <c r="X428" t="inlineStr">
        <is>
          <t>Philip Morris International Inc.</t>
        </is>
      </c>
    </row>
    <row r="429">
      <c r="A429" t="inlineStr">
        <is>
          <t>필립모리스 인터내셔널</t>
        </is>
      </c>
      <c r="B429" t="inlineStr">
        <is>
          <t>PM</t>
        </is>
      </c>
      <c r="C429" t="n">
        <v>2020</v>
      </c>
      <c r="D429" t="inlineStr">
        <is>
          <t>2020-12-31</t>
        </is>
      </c>
      <c r="E429" s="14" t="n">
        <v>28694000000</v>
      </c>
      <c r="F429" s="14" t="n">
        <v>11668000000</v>
      </c>
      <c r="G429" t="inlineStr">
        <is>
          <t>reported</t>
        </is>
      </c>
      <c r="H429" t="inlineStr">
        <is>
          <t>HIGH</t>
        </is>
      </c>
      <c r="I429" s="15" t="n">
        <v>0.2170181685383</v>
      </c>
      <c r="J429" s="14">
        <f>IF(F429="","",F429*(1-I429))</f>
        <v>9135832009.495115</v>
      </c>
      <c r="K429" s="14" t="n">
        <v>-10631000000</v>
      </c>
      <c r="L429" s="14" t="n">
        <v>31536000000</v>
      </c>
      <c r="M429" s="14" t="n">
        <v>7280000000</v>
      </c>
      <c r="N429" s="14">
        <f>IF(COUNT(K429:M429)&lt;3,"",K429+L429-M429)</f>
        <v>13625000000.0</v>
      </c>
      <c r="O429" s="14">
        <f>N428</f>
        <v>14585000000.0</v>
      </c>
      <c r="P429" s="14">
        <f>IF(N429="","",IF(OR(O429="",O429&lt;=0,N429&lt;=0),N429,(N429+O429)/2))</f>
        <v>14105000000.0</v>
      </c>
      <c r="Q429" t="inlineStr">
        <is>
          <t>기초·기말 평균</t>
        </is>
      </c>
      <c r="R429" s="15">
        <f>IF(OR(P429="",P429&lt;=0),"",J429/P429)</f>
        <v>0.6477016667490333</v>
      </c>
      <c r="S429" s="15">
        <f>IF(R429="","",R429-0.1)</f>
        <v>0.5477016667490333</v>
      </c>
      <c r="T429" s="15">
        <f>IF(OR(P429="",E429=0,E429=""),"",P429/E429)</f>
        <v>0.49156618108315325</v>
      </c>
      <c r="U429" t="inlineStr">
        <is>
          <t>—</t>
        </is>
      </c>
      <c r="V429" t="inlineStr">
        <is>
          <t>—</t>
        </is>
      </c>
      <c r="W429" t="inlineStr">
        <is>
          <t>OK</t>
        </is>
      </c>
      <c r="X429" t="inlineStr">
        <is>
          <t>Philip Morris International Inc.</t>
        </is>
      </c>
    </row>
    <row r="430">
      <c r="A430" t="inlineStr">
        <is>
          <t>필립모리스 인터내셔널</t>
        </is>
      </c>
      <c r="B430" t="inlineStr">
        <is>
          <t>PM</t>
        </is>
      </c>
      <c r="C430" t="n">
        <v>2021</v>
      </c>
      <c r="D430" t="inlineStr">
        <is>
          <t>2021-12-31</t>
        </is>
      </c>
      <c r="E430" s="14" t="n">
        <v>31405000000</v>
      </c>
      <c r="F430" s="14" t="n">
        <v>12975000000</v>
      </c>
      <c r="G430" t="inlineStr">
        <is>
          <t>reported</t>
        </is>
      </c>
      <c r="H430" t="inlineStr">
        <is>
          <t>HIGH</t>
        </is>
      </c>
      <c r="I430" s="15" t="n">
        <v>0.2183616742969261</v>
      </c>
      <c r="J430" s="14">
        <f>IF(F430="","",F430*(1-I430))</f>
        <v>10141757275.997383</v>
      </c>
      <c r="K430" s="14" t="n">
        <v>-8208000000</v>
      </c>
      <c r="L430" s="14" t="n">
        <v>27806000000</v>
      </c>
      <c r="M430" s="14" t="n">
        <v>4496000000</v>
      </c>
      <c r="N430" s="14">
        <f>IF(COUNT(K430:M430)&lt;3,"",K430+L430-M430)</f>
        <v>15102000000.0</v>
      </c>
      <c r="O430" s="14">
        <f>N429</f>
        <v>13625000000.0</v>
      </c>
      <c r="P430" s="14">
        <f>IF(N430="","",IF(OR(O430="",O430&lt;=0,N430&lt;=0),N430,(N430+O430)/2))</f>
        <v>14363500000.0</v>
      </c>
      <c r="Q430" t="inlineStr">
        <is>
          <t>기초·기말 평균</t>
        </is>
      </c>
      <c r="R430" s="15">
        <f>IF(OR(P430="",P430&lt;=0),"",J430/P430)</f>
        <v>0.7060784123644922</v>
      </c>
      <c r="S430" s="15">
        <f>IF(R430="","",R430-0.1)</f>
        <v>0.6060784123644922</v>
      </c>
      <c r="T430" s="15">
        <f>IF(OR(P430="",E430=0,E430=""),"",P430/E430)</f>
        <v>0.45736347715331954</v>
      </c>
      <c r="U430" t="inlineStr">
        <is>
          <t>—</t>
        </is>
      </c>
      <c r="V430" t="inlineStr">
        <is>
          <t>—</t>
        </is>
      </c>
      <c r="W430" t="inlineStr">
        <is>
          <t>OK</t>
        </is>
      </c>
      <c r="X430" t="inlineStr">
        <is>
          <t>Philip Morris International Inc.</t>
        </is>
      </c>
    </row>
    <row r="431">
      <c r="A431" t="inlineStr">
        <is>
          <t>필립모리스 인터내셔널</t>
        </is>
      </c>
      <c r="B431" t="inlineStr">
        <is>
          <t>PM</t>
        </is>
      </c>
      <c r="C431" t="n">
        <v>2022</v>
      </c>
      <c r="D431" t="inlineStr">
        <is>
          <t>2022-12-31</t>
        </is>
      </c>
      <c r="E431" s="14" t="n">
        <v>31762000000</v>
      </c>
      <c r="F431" s="14" t="n">
        <v>12246000000</v>
      </c>
      <c r="G431" t="inlineStr">
        <is>
          <t>reported</t>
        </is>
      </c>
      <c r="H431" t="inlineStr">
        <is>
          <t>HIGH</t>
        </is>
      </c>
      <c r="I431" s="15" t="n">
        <v>0.1928829293450232</v>
      </c>
      <c r="J431" s="14">
        <f>IF(F431="","",F431*(1-I431))</f>
        <v>9883955647.240847</v>
      </c>
      <c r="K431" s="14" t="n">
        <v>-6311000000</v>
      </c>
      <c r="L431" s="14" t="n">
        <v>43123000000</v>
      </c>
      <c r="M431" s="14" t="n">
        <v>3207000000</v>
      </c>
      <c r="N431" s="14">
        <f>IF(COUNT(K431:M431)&lt;3,"",K431+L431-M431)</f>
        <v>33605000000.0</v>
      </c>
      <c r="O431" s="14">
        <f>N430</f>
        <v>15102000000.0</v>
      </c>
      <c r="P431" s="14">
        <f>IF(N431="","",IF(OR(O431="",O431&lt;=0,N431&lt;=0),N431,(N431+O431)/2))</f>
        <v>24353500000.0</v>
      </c>
      <c r="Q431" t="inlineStr">
        <is>
          <t>기초·기말 평균</t>
        </is>
      </c>
      <c r="R431" s="15">
        <f>IF(OR(P431="",P431&lt;=0),"",J431/P431)</f>
        <v>0.4058535999852525</v>
      </c>
      <c r="S431" s="15">
        <f>IF(R431="","",R431-0.1)</f>
        <v>0.3058535999852525</v>
      </c>
      <c r="T431" s="15">
        <f>IF(OR(P431="",E431=0,E431=""),"",P431/E431)</f>
        <v>0.7667495749637933</v>
      </c>
      <c r="U431" t="inlineStr">
        <is>
          <t>—</t>
        </is>
      </c>
      <c r="V431" t="inlineStr">
        <is>
          <t>—</t>
        </is>
      </c>
      <c r="W431" t="inlineStr">
        <is>
          <t>OK</t>
        </is>
      </c>
      <c r="X431" t="inlineStr">
        <is>
          <t>Philip Morris International Inc.</t>
        </is>
      </c>
    </row>
    <row r="432">
      <c r="A432" t="inlineStr">
        <is>
          <t>필립모리스 인터내셔널</t>
        </is>
      </c>
      <c r="B432" t="inlineStr">
        <is>
          <t>PM</t>
        </is>
      </c>
      <c r="C432" t="n">
        <v>2023</v>
      </c>
      <c r="D432" t="inlineStr">
        <is>
          <t>2023-12-31</t>
        </is>
      </c>
      <c r="E432" s="14" t="n">
        <v>35174000000</v>
      </c>
      <c r="F432" s="14" t="n">
        <v>11556000000</v>
      </c>
      <c r="G432" t="inlineStr">
        <is>
          <t>reported</t>
        </is>
      </c>
      <c r="H432" t="inlineStr">
        <is>
          <t>HIGH</t>
        </is>
      </c>
      <c r="I432" s="15" t="n">
        <v>0.2238277511961722</v>
      </c>
      <c r="J432" s="14">
        <f>IF(F432="","",F432*(1-I432))</f>
        <v>8969446507.177034</v>
      </c>
      <c r="K432" s="14" t="n">
        <v>-9446000000</v>
      </c>
      <c r="L432" s="14" t="n">
        <v>47909000000</v>
      </c>
      <c r="M432" s="14" t="n">
        <v>3060000000</v>
      </c>
      <c r="N432" s="14">
        <f>IF(COUNT(K432:M432)&lt;3,"",K432+L432-M432)</f>
        <v>35403000000.0</v>
      </c>
      <c r="O432" s="14">
        <f>N431</f>
        <v>33605000000.0</v>
      </c>
      <c r="P432" s="14">
        <f>IF(N432="","",IF(OR(O432="",O432&lt;=0,N432&lt;=0),N432,(N432+O432)/2))</f>
        <v>34504000000.0</v>
      </c>
      <c r="Q432" t="inlineStr">
        <is>
          <t>기초·기말 평균</t>
        </is>
      </c>
      <c r="R432" s="15">
        <f>IF(OR(P432="",P432&lt;=0),"",J432/P432)</f>
        <v>0.2599538171567654</v>
      </c>
      <c r="S432" s="15">
        <f>IF(R432="","",R432-0.1)</f>
        <v>0.1599538171567654</v>
      </c>
      <c r="T432" s="15">
        <f>IF(OR(P432="",E432=0,E432=""),"",P432/E432)</f>
        <v>0.9809518394268494</v>
      </c>
      <c r="U432" t="inlineStr">
        <is>
          <t>—</t>
        </is>
      </c>
      <c r="V432" t="inlineStr">
        <is>
          <t>—</t>
        </is>
      </c>
      <c r="W432" t="inlineStr">
        <is>
          <t>OK</t>
        </is>
      </c>
      <c r="X432" t="inlineStr">
        <is>
          <t>Philip Morris International Inc.</t>
        </is>
      </c>
    </row>
    <row r="433">
      <c r="A433" t="inlineStr">
        <is>
          <t>필립모리스 인터내셔널</t>
        </is>
      </c>
      <c r="B433" t="inlineStr">
        <is>
          <t>PM</t>
        </is>
      </c>
      <c r="C433" t="n">
        <v>2024</v>
      </c>
      <c r="D433" t="inlineStr">
        <is>
          <t>2024-12-31</t>
        </is>
      </c>
      <c r="E433" s="14" t="n">
        <v>37878000000</v>
      </c>
      <c r="F433" s="14" t="n">
        <v>13402000000</v>
      </c>
      <c r="G433" t="inlineStr">
        <is>
          <t>reported</t>
        </is>
      </c>
      <c r="H433" t="inlineStr">
        <is>
          <t>HIGH</t>
        </is>
      </c>
      <c r="I433" s="15" t="n">
        <v>0.2473153537175178</v>
      </c>
      <c r="J433" s="14">
        <f>IF(F433="","",F433*(1-I433))</f>
        <v>10087479629.477827</v>
      </c>
      <c r="K433" s="14" t="n">
        <v>-9870000000</v>
      </c>
      <c r="L433" s="14" t="n">
        <v>45695000000</v>
      </c>
      <c r="M433" s="14" t="n">
        <v>4216000000</v>
      </c>
      <c r="N433" s="14">
        <f>IF(COUNT(K433:M433)&lt;3,"",K433+L433-M433)</f>
        <v>31609000000.0</v>
      </c>
      <c r="O433" s="14">
        <f>N432</f>
        <v>35403000000.0</v>
      </c>
      <c r="P433" s="14">
        <f>IF(N433="","",IF(OR(O433="",O433&lt;=0,N433&lt;=0),N433,(N433+O433)/2))</f>
        <v>33506000000.0</v>
      </c>
      <c r="Q433" t="inlineStr">
        <is>
          <t>기초·기말 평균</t>
        </is>
      </c>
      <c r="R433" s="15">
        <f>IF(OR(P433="",P433&lt;=0),"",J433/P433)</f>
        <v>0.30106487284300804</v>
      </c>
      <c r="S433" s="15">
        <f>IF(R433="","",R433-0.1)</f>
        <v>0.20106487284300803</v>
      </c>
      <c r="T433" s="15">
        <f>IF(OR(P433="",E433=0,E433=""),"",P433/E433)</f>
        <v>0.8845767991974233</v>
      </c>
      <c r="U433" t="inlineStr">
        <is>
          <t>—</t>
        </is>
      </c>
      <c r="V433" t="inlineStr">
        <is>
          <t>—</t>
        </is>
      </c>
      <c r="W433" t="inlineStr">
        <is>
          <t>OK</t>
        </is>
      </c>
      <c r="X433" t="inlineStr">
        <is>
          <t>Philip Morris International Inc.</t>
        </is>
      </c>
    </row>
    <row r="434">
      <c r="A434" t="inlineStr">
        <is>
          <t>필립모리스 인터내셔널</t>
        </is>
      </c>
      <c r="B434" t="inlineStr">
        <is>
          <t>PM</t>
        </is>
      </c>
      <c r="C434" t="n">
        <v>2025</v>
      </c>
      <c r="D434" t="inlineStr">
        <is>
          <t>2025-12-31</t>
        </is>
      </c>
      <c r="E434" s="14" t="n">
        <v>40648000000</v>
      </c>
      <c r="F434" s="14" t="n">
        <v>14892000000</v>
      </c>
      <c r="G434" t="inlineStr">
        <is>
          <t>reported</t>
        </is>
      </c>
      <c r="H434" t="inlineStr">
        <is>
          <t>HIGH</t>
        </is>
      </c>
      <c r="I434" s="15" t="n">
        <v>0.1971902017291066</v>
      </c>
      <c r="J434" s="14">
        <f>IF(F434="","",F434*(1-I434))</f>
        <v>11955443515.850143</v>
      </c>
      <c r="K434" s="14" t="n">
        <v>-8028000000</v>
      </c>
      <c r="L434" s="14" t="n">
        <v>48835000000</v>
      </c>
      <c r="M434" s="14" t="n">
        <v>4872000000</v>
      </c>
      <c r="N434" s="14">
        <f>IF(COUNT(K434:M434)&lt;3,"",K434+L434-M434)</f>
        <v>35935000000.0</v>
      </c>
      <c r="O434" s="14">
        <f>N433</f>
        <v>31609000000.0</v>
      </c>
      <c r="P434" s="14">
        <f>IF(N434="","",IF(OR(O434="",O434&lt;=0,N434&lt;=0),N434,(N434+O434)/2))</f>
        <v>33772000000.0</v>
      </c>
      <c r="Q434" t="inlineStr">
        <is>
          <t>기초·기말 평균</t>
        </is>
      </c>
      <c r="R434" s="15">
        <f>IF(OR(P434="",P434&lt;=0),"",J434/P434)</f>
        <v>0.35400460487534474</v>
      </c>
      <c r="S434" s="15">
        <f>IF(R434="","",R434-0.1)</f>
        <v>0.2540046048753447</v>
      </c>
      <c r="T434" s="15">
        <f>IF(OR(P434="",E434=0,E434=""),"",P434/E434)</f>
        <v>0.8308403857508364</v>
      </c>
      <c r="U434" t="inlineStr">
        <is>
          <t>—</t>
        </is>
      </c>
      <c r="V434" t="inlineStr">
        <is>
          <t>—</t>
        </is>
      </c>
      <c r="W434" t="inlineStr">
        <is>
          <t>OK</t>
        </is>
      </c>
      <c r="X434" t="inlineStr">
        <is>
          <t>Philip Morris International Inc.</t>
        </is>
      </c>
    </row>
    <row r="435">
      <c r="A435" s="11" t="inlineStr">
        <is>
          <t>델 테크놀로지스</t>
        </is>
      </c>
      <c r="B435" s="11" t="inlineStr">
        <is>
          <t>DELL</t>
        </is>
      </c>
      <c r="C435" s="11" t="n">
        <v>2015</v>
      </c>
      <c r="D435" s="11" t="inlineStr">
        <is>
          <t>2016-01-29</t>
        </is>
      </c>
      <c r="E435" s="12" t="n">
        <v>50911000000</v>
      </c>
      <c r="F435" s="12" t="n">
        <v>-514000000</v>
      </c>
      <c r="G435" s="11" t="inlineStr">
        <is>
          <t>reported</t>
        </is>
      </c>
      <c r="H435" s="11" t="inlineStr">
        <is>
          <t>HIGH</t>
        </is>
      </c>
      <c r="I435" s="13" t="n">
        <v>0.21</v>
      </c>
      <c r="J435" s="12">
        <f>IF(F435="","",F435*(1-I435))</f>
        <v>-406060000.0</v>
      </c>
      <c r="K435" s="12" t="n">
        <v>1466000000</v>
      </c>
      <c r="L435" s="12" t="n">
        <v>13631000000</v>
      </c>
      <c r="M435" s="12" t="n">
        <v>6322000000</v>
      </c>
      <c r="N435" s="12">
        <f>IF(COUNT(K435:M435)&lt;3,"",K435+L435-M435)</f>
        <v>8775000000.0</v>
      </c>
      <c r="O435" s="11" t="inlineStr">
        <is>
          <t>—</t>
        </is>
      </c>
      <c r="P435" s="12" t="inlineStr">
        <is>
          <t>—</t>
        </is>
      </c>
      <c r="Q435" s="11" t="inlineStr">
        <is>
          <t>—</t>
        </is>
      </c>
      <c r="R435" s="13" t="inlineStr">
        <is>
          <t>—</t>
        </is>
      </c>
      <c r="S435" s="13" t="inlineStr">
        <is>
          <t>—</t>
        </is>
      </c>
      <c r="T435" s="13" t="inlineStr">
        <is>
          <t>—</t>
        </is>
      </c>
      <c r="U435" s="11" t="inlineStr">
        <is>
          <t>—</t>
        </is>
      </c>
      <c r="V435" s="11" t="inlineStr">
        <is>
          <t>—</t>
        </is>
      </c>
      <c r="W435" s="11" t="inlineStr">
        <is>
          <t>다음 해 평균 투하자본의 기초값으로만 사용 (보고 기간 밖 — 자체 비율은 계산하지 않음)</t>
        </is>
      </c>
      <c r="X435" s="11" t="inlineStr">
        <is>
          <t>Dell Technologies Inc.</t>
        </is>
      </c>
    </row>
    <row r="436">
      <c r="A436" t="inlineStr">
        <is>
          <t>델 테크놀로지스</t>
        </is>
      </c>
      <c r="B436" t="inlineStr">
        <is>
          <t>DELL</t>
        </is>
      </c>
      <c r="C436" t="n">
        <v>2016</v>
      </c>
      <c r="D436" t="inlineStr">
        <is>
          <t>2017-02-03</t>
        </is>
      </c>
      <c r="E436" s="14" t="n">
        <v>61642000000</v>
      </c>
      <c r="F436" s="14" t="n">
        <v>-3252000000</v>
      </c>
      <c r="G436" t="inlineStr">
        <is>
          <t>reported</t>
        </is>
      </c>
      <c r="H436" t="inlineStr">
        <is>
          <t>HIGH</t>
        </is>
      </c>
      <c r="I436" s="15" t="n">
        <v>0.21</v>
      </c>
      <c r="J436" s="14">
        <f>IF(F436="","",F436*(1-I436))</f>
        <v>-2569080000.0</v>
      </c>
      <c r="K436" s="14" t="n">
        <v>20578000000</v>
      </c>
      <c r="L436" s="14" t="n">
        <v>49390000000</v>
      </c>
      <c r="M436" s="14" t="n">
        <v>11449000000</v>
      </c>
      <c r="N436" s="14">
        <f>IF(COUNT(K436:M436)&lt;3,"",K436+L436-M436)</f>
        <v>58519000000.0</v>
      </c>
      <c r="O436" s="14">
        <f>N435</f>
        <v>8775000000.0</v>
      </c>
      <c r="P436" s="14">
        <f>IF(N436="","",IF(OR(O436="",O436&lt;=0,N436&lt;=0),N436,(N436+O436)/2))</f>
        <v>33647000000.0</v>
      </c>
      <c r="Q436" t="inlineStr">
        <is>
          <t>기초·기말 평균</t>
        </is>
      </c>
      <c r="R436" s="15">
        <f>IF(OR(P436="",P436&lt;=0),"",J436/P436)</f>
        <v>-0.07635390970963236</v>
      </c>
      <c r="S436" s="15">
        <f>IF(R436="","",R436-0.1)</f>
        <v>-0.17635390970963238</v>
      </c>
      <c r="T436" s="15">
        <f>IF(OR(P436="",E436=0,E436=""),"",P436/E436)</f>
        <v>0.5458453651730962</v>
      </c>
      <c r="U436" t="inlineStr">
        <is>
          <t>—</t>
        </is>
      </c>
      <c r="V436" t="inlineStr">
        <is>
          <t>—</t>
        </is>
      </c>
      <c r="W436" t="inlineStr">
        <is>
          <t>OK</t>
        </is>
      </c>
      <c r="X436" t="inlineStr">
        <is>
          <t>Dell Technologies Inc.</t>
        </is>
      </c>
    </row>
    <row r="437">
      <c r="A437" t="inlineStr">
        <is>
          <t>델 테크놀로지스</t>
        </is>
      </c>
      <c r="B437" t="inlineStr">
        <is>
          <t>DELL</t>
        </is>
      </c>
      <c r="C437" t="n">
        <v>2017</v>
      </c>
      <c r="D437" t="inlineStr">
        <is>
          <t>2018-02-02</t>
        </is>
      </c>
      <c r="E437" s="14" t="n">
        <v>79040000000</v>
      </c>
      <c r="F437" s="14" t="n">
        <v>-2416000000</v>
      </c>
      <c r="G437" t="inlineStr">
        <is>
          <t>reported</t>
        </is>
      </c>
      <c r="H437" t="inlineStr">
        <is>
          <t>HIGH</t>
        </is>
      </c>
      <c r="I437" s="15" t="n">
        <v>0.21</v>
      </c>
      <c r="J437" s="14">
        <f>IF(F437="","",F437*(1-I437))</f>
        <v>-1908640000.0</v>
      </c>
      <c r="K437" s="14" t="n">
        <v>17485000000</v>
      </c>
      <c r="L437" s="14" t="n">
        <v>51871000000</v>
      </c>
      <c r="M437" s="14" t="n">
        <v>16129000000</v>
      </c>
      <c r="N437" s="14">
        <f>IF(COUNT(K437:M437)&lt;3,"",K437+L437-M437)</f>
        <v>53227000000.0</v>
      </c>
      <c r="O437" s="14">
        <f>N436</f>
        <v>58519000000.0</v>
      </c>
      <c r="P437" s="14">
        <f>IF(N437="","",IF(OR(O437="",O437&lt;=0,N437&lt;=0),N437,(N437+O437)/2))</f>
        <v>55873000000.0</v>
      </c>
      <c r="Q437" t="inlineStr">
        <is>
          <t>기초·기말 평균</t>
        </is>
      </c>
      <c r="R437" s="15">
        <f>IF(OR(P437="",P437&lt;=0),"",J437/P437)</f>
        <v>-0.03416032788645679</v>
      </c>
      <c r="S437" s="15">
        <f>IF(R437="","",R437-0.1)</f>
        <v>-0.1341603278864568</v>
      </c>
      <c r="T437" s="15">
        <f>IF(OR(P437="",E437=0,E437=""),"",P437/E437)</f>
        <v>0.7068952429149797</v>
      </c>
      <c r="U437" t="inlineStr">
        <is>
          <t>—</t>
        </is>
      </c>
      <c r="V437" t="inlineStr">
        <is>
          <t>—</t>
        </is>
      </c>
      <c r="W437" t="inlineStr">
        <is>
          <t>OK</t>
        </is>
      </c>
      <c r="X437" t="inlineStr">
        <is>
          <t>Dell Technologies Inc.</t>
        </is>
      </c>
    </row>
    <row r="438">
      <c r="A438" t="inlineStr">
        <is>
          <t>델 테크놀로지스</t>
        </is>
      </c>
      <c r="B438" t="inlineStr">
        <is>
          <t>DELL</t>
        </is>
      </c>
      <c r="C438" t="n">
        <v>2018</v>
      </c>
      <c r="D438" t="inlineStr">
        <is>
          <t>2019-02-01</t>
        </is>
      </c>
      <c r="E438" s="14" t="n">
        <v>90621000000</v>
      </c>
      <c r="F438" s="14" t="n">
        <v>-191000000</v>
      </c>
      <c r="G438" t="inlineStr">
        <is>
          <t>reported</t>
        </is>
      </c>
      <c r="H438" t="inlineStr">
        <is>
          <t>HIGH</t>
        </is>
      </c>
      <c r="I438" s="15" t="n">
        <v>0.21</v>
      </c>
      <c r="J438" s="14">
        <f>IF(F438="","",F438*(1-I438))</f>
        <v>-150890000.0</v>
      </c>
      <c r="K438" s="14" t="n">
        <v>-942000000</v>
      </c>
      <c r="L438" s="14" t="n">
        <v>53521000000</v>
      </c>
      <c r="M438" s="14" t="n">
        <v>9676000000</v>
      </c>
      <c r="N438" s="14">
        <f>IF(COUNT(K438:M438)&lt;3,"",K438+L438-M438)</f>
        <v>42903000000.0</v>
      </c>
      <c r="O438" s="14">
        <f>N437</f>
        <v>53227000000.0</v>
      </c>
      <c r="P438" s="14">
        <f>IF(N438="","",IF(OR(O438="",O438&lt;=0,N438&lt;=0),N438,(N438+O438)/2))</f>
        <v>48065000000.0</v>
      </c>
      <c r="Q438" t="inlineStr">
        <is>
          <t>기초·기말 평균</t>
        </is>
      </c>
      <c r="R438" s="15">
        <f>IF(OR(P438="",P438&lt;=0),"",J438/P438)</f>
        <v>-0.0031392905440549256</v>
      </c>
      <c r="S438" s="15">
        <f>IF(R438="","",R438-0.1)</f>
        <v>-0.10313929054405493</v>
      </c>
      <c r="T438" s="15">
        <f>IF(OR(P438="",E438=0,E438=""),"",P438/E438)</f>
        <v>0.5303958243674204</v>
      </c>
      <c r="U438" t="inlineStr">
        <is>
          <t>—</t>
        </is>
      </c>
      <c r="V438" t="inlineStr">
        <is>
          <t>—</t>
        </is>
      </c>
      <c r="W438" t="inlineStr">
        <is>
          <t>OK</t>
        </is>
      </c>
      <c r="X438" t="inlineStr">
        <is>
          <t>Dell Technologies Inc.</t>
        </is>
      </c>
    </row>
    <row r="439">
      <c r="A439" s="18" t="inlineStr">
        <is>
          <t>델 테크놀로지스</t>
        </is>
      </c>
      <c r="B439" s="18" t="inlineStr">
        <is>
          <t>DELL</t>
        </is>
      </c>
      <c r="C439" s="18" t="n">
        <v>2019</v>
      </c>
      <c r="D439" s="18" t="inlineStr">
        <is>
          <t>2020-01-31</t>
        </is>
      </c>
      <c r="E439" s="19" t="n">
        <v>84815000000</v>
      </c>
      <c r="F439" s="19" t="n">
        <v>2366000000</v>
      </c>
      <c r="G439" s="18" t="inlineStr">
        <is>
          <t>reported</t>
        </is>
      </c>
      <c r="H439" s="18" t="inlineStr">
        <is>
          <t>LOW</t>
        </is>
      </c>
      <c r="I439" s="20" t="n">
        <v>0.21</v>
      </c>
      <c r="J439" s="19">
        <f>IF(F439="","",F439*(1-I439))</f>
        <v>1869140000.0</v>
      </c>
      <c r="K439" s="19" t="n">
        <v>3155000000</v>
      </c>
      <c r="L439" s="19" t="n">
        <v>52056000000</v>
      </c>
      <c r="M439" s="19" t="n">
        <v>9302000000</v>
      </c>
      <c r="N439" s="19">
        <f>IF(COUNT(K439:M439)&lt;3,"",K439+L439-M439)</f>
        <v>45909000000.0</v>
      </c>
      <c r="O439" s="19">
        <f>N438</f>
        <v>42903000000.0</v>
      </c>
      <c r="P439" s="19">
        <f>IF(N439="","",IF(OR(O439="",O439&lt;=0,N439&lt;=0),N439,(N439+O439)/2))</f>
        <v>44406000000.0</v>
      </c>
      <c r="Q439" s="18" t="inlineStr">
        <is>
          <t>기초·기말 평균</t>
        </is>
      </c>
      <c r="R439" s="18" t="inlineStr">
        <is>
          <t>—</t>
        </is>
      </c>
      <c r="S439" s="18" t="inlineStr">
        <is>
          <t>—</t>
        </is>
      </c>
      <c r="T439" s="20">
        <f>IF(OR(P439="",E439=0,E439=""),"",P439/E439)</f>
        <v>0.523563048988976</v>
      </c>
      <c r="U439" s="18" t="inlineStr">
        <is>
          <t>—</t>
        </is>
      </c>
      <c r="V439" s="18" t="inlineStr">
        <is>
          <t>—</t>
        </is>
      </c>
      <c r="W439" s="18" t="inlineStr">
        <is>
          <t>현금성자산 태그 누락 의심 — 투하자본 과대</t>
        </is>
      </c>
      <c r="X439" s="18" t="inlineStr">
        <is>
          <t>Dell Technologies Inc.</t>
        </is>
      </c>
    </row>
    <row r="440">
      <c r="A440" t="inlineStr">
        <is>
          <t>델 테크놀로지스</t>
        </is>
      </c>
      <c r="B440" t="inlineStr">
        <is>
          <t>DELL</t>
        </is>
      </c>
      <c r="C440" t="n">
        <v>2020</v>
      </c>
      <c r="D440" t="inlineStr">
        <is>
          <t>2021-01-29</t>
        </is>
      </c>
      <c r="E440" s="14" t="n">
        <v>86670000000</v>
      </c>
      <c r="F440" s="14" t="n">
        <v>3685000000</v>
      </c>
      <c r="G440" t="inlineStr">
        <is>
          <t>reported</t>
        </is>
      </c>
      <c r="H440" t="inlineStr">
        <is>
          <t>HIGH</t>
        </is>
      </c>
      <c r="I440" s="15" t="n">
        <v>0.05</v>
      </c>
      <c r="J440" s="14">
        <f>IF(F440="","",F440*(1-I440))</f>
        <v>3500750000.0</v>
      </c>
      <c r="K440" s="14" t="n">
        <v>7553000000</v>
      </c>
      <c r="L440" s="14" t="n">
        <v>39222000000</v>
      </c>
      <c r="M440" s="14" t="n">
        <v>10808000000</v>
      </c>
      <c r="N440" s="14">
        <f>IF(COUNT(K440:M440)&lt;3,"",K440+L440-M440)</f>
        <v>35967000000.0</v>
      </c>
      <c r="O440" s="14">
        <f>N439</f>
        <v>45909000000.0</v>
      </c>
      <c r="P440" s="14">
        <f>IF(N440="","",IF(OR(O440="",O440&lt;=0,N440&lt;=0),N440,(N440+O440)/2))</f>
        <v>40938000000.0</v>
      </c>
      <c r="Q440" t="inlineStr">
        <is>
          <t>기초·기말 평균</t>
        </is>
      </c>
      <c r="R440" s="15">
        <f>IF(OR(P440="",P440&lt;=0),"",J440/P440)</f>
        <v>0.08551345937759539</v>
      </c>
      <c r="S440" s="15">
        <f>IF(R440="","",R440-0.1)</f>
        <v>-0.01448654062240462</v>
      </c>
      <c r="T440" s="15">
        <f>IF(OR(P440="",E440=0,E440=""),"",P440/E440)</f>
        <v>0.47234337140879196</v>
      </c>
      <c r="U440" t="inlineStr">
        <is>
          <t>—</t>
        </is>
      </c>
      <c r="V440" t="inlineStr">
        <is>
          <t>—</t>
        </is>
      </c>
      <c r="W440" t="inlineStr">
        <is>
          <t>OK</t>
        </is>
      </c>
      <c r="X440" t="inlineStr">
        <is>
          <t>Dell Technologies Inc.</t>
        </is>
      </c>
    </row>
    <row r="441">
      <c r="A441" t="inlineStr">
        <is>
          <t>델 테크놀로지스</t>
        </is>
      </c>
      <c r="B441" t="inlineStr">
        <is>
          <t>DELL</t>
        </is>
      </c>
      <c r="C441" t="n">
        <v>2021</v>
      </c>
      <c r="D441" t="inlineStr">
        <is>
          <t>2022-01-28</t>
        </is>
      </c>
      <c r="E441" s="14" t="n">
        <v>101197000000</v>
      </c>
      <c r="F441" s="14" t="n">
        <v>4659000000</v>
      </c>
      <c r="G441" t="inlineStr">
        <is>
          <t>reported</t>
        </is>
      </c>
      <c r="H441" t="inlineStr">
        <is>
          <t>HIGH</t>
        </is>
      </c>
      <c r="I441" s="15" t="n">
        <v>0.1656255276042546</v>
      </c>
      <c r="J441" s="14">
        <f>IF(F441="","",F441*(1-I441))</f>
        <v>3887350666.8917775</v>
      </c>
      <c r="K441" s="14" t="n">
        <v>-1580000000</v>
      </c>
      <c r="L441" s="14" t="n">
        <v>26954000000</v>
      </c>
      <c r="M441" s="14" t="n">
        <v>11277000000</v>
      </c>
      <c r="N441" s="14">
        <f>IF(COUNT(K441:M441)&lt;3,"",K441+L441-M441)</f>
        <v>14097000000.0</v>
      </c>
      <c r="O441" s="14">
        <f>N440</f>
        <v>35967000000.0</v>
      </c>
      <c r="P441" s="14">
        <f>IF(N441="","",IF(OR(O441="",O441&lt;=0,N441&lt;=0),N441,(N441+O441)/2))</f>
        <v>25032000000.0</v>
      </c>
      <c r="Q441" t="inlineStr">
        <is>
          <t>기초·기말 평균</t>
        </is>
      </c>
      <c r="R441" s="15">
        <f>IF(OR(P441="",P441&lt;=0),"",J441/P441)</f>
        <v>0.1552952487572618</v>
      </c>
      <c r="S441" s="15">
        <f>IF(R441="","",R441-0.1)</f>
        <v>0.0552952487572618</v>
      </c>
      <c r="T441" s="15">
        <f>IF(OR(P441="",E441=0,E441=""),"",P441/E441)</f>
        <v>0.24735911143610978</v>
      </c>
      <c r="U441" t="inlineStr">
        <is>
          <t>—</t>
        </is>
      </c>
      <c r="V441" t="inlineStr">
        <is>
          <t>—</t>
        </is>
      </c>
      <c r="W441" t="inlineStr">
        <is>
          <t>OK</t>
        </is>
      </c>
      <c r="X441" t="inlineStr">
        <is>
          <t>Dell Technologies Inc.</t>
        </is>
      </c>
    </row>
    <row r="442">
      <c r="A442" t="inlineStr">
        <is>
          <t>델 테크놀로지스</t>
        </is>
      </c>
      <c r="B442" t="inlineStr">
        <is>
          <t>DELL</t>
        </is>
      </c>
      <c r="C442" t="n">
        <v>2022</v>
      </c>
      <c r="D442" t="inlineStr">
        <is>
          <t>2023-02-03</t>
        </is>
      </c>
      <c r="E442" s="14" t="n">
        <v>102301000000</v>
      </c>
      <c r="F442" s="14" t="n">
        <v>5771000000</v>
      </c>
      <c r="G442" t="inlineStr">
        <is>
          <t>reported</t>
        </is>
      </c>
      <c r="H442" t="inlineStr">
        <is>
          <t>HIGH</t>
        </is>
      </c>
      <c r="I442" s="15" t="n">
        <v>0.2489922480620155</v>
      </c>
      <c r="J442" s="14">
        <f>IF(F442="","",F442*(1-I442))</f>
        <v>4334065736.434109</v>
      </c>
      <c r="K442" s="14" t="n">
        <v>-3025000000</v>
      </c>
      <c r="L442" s="14" t="n">
        <v>29588000000</v>
      </c>
      <c r="M442" s="14" t="n">
        <v>10207000000</v>
      </c>
      <c r="N442" s="14">
        <f>IF(COUNT(K442:M442)&lt;3,"",K442+L442-M442)</f>
        <v>16356000000.0</v>
      </c>
      <c r="O442" s="14">
        <f>N441</f>
        <v>14097000000.0</v>
      </c>
      <c r="P442" s="14">
        <f>IF(N442="","",IF(OR(O442="",O442&lt;=0,N442&lt;=0),N442,(N442+O442)/2))</f>
        <v>15226500000.0</v>
      </c>
      <c r="Q442" t="inlineStr">
        <is>
          <t>기초·기말 평균</t>
        </is>
      </c>
      <c r="R442" s="15">
        <f>IF(OR(P442="",P442&lt;=0),"",J442/P442)</f>
        <v>0.28463965694244303</v>
      </c>
      <c r="S442" s="15">
        <f>IF(R442="","",R442-0.1)</f>
        <v>0.18463965694244303</v>
      </c>
      <c r="T442" s="15">
        <f>IF(OR(P442="",E442=0,E442=""),"",P442/E442)</f>
        <v>0.14884018729044682</v>
      </c>
      <c r="U442" t="inlineStr">
        <is>
          <t>—</t>
        </is>
      </c>
      <c r="V442" t="inlineStr">
        <is>
          <t>—</t>
        </is>
      </c>
      <c r="W442" t="inlineStr">
        <is>
          <t>OK</t>
        </is>
      </c>
      <c r="X442" t="inlineStr">
        <is>
          <t>Dell Technologies Inc.</t>
        </is>
      </c>
    </row>
    <row r="443">
      <c r="A443" t="inlineStr">
        <is>
          <t>델 테크놀로지스</t>
        </is>
      </c>
      <c r="B443" t="inlineStr">
        <is>
          <t>DELL</t>
        </is>
      </c>
      <c r="C443" t="n">
        <v>2023</v>
      </c>
      <c r="D443" t="inlineStr">
        <is>
          <t>2024-02-02</t>
        </is>
      </c>
      <c r="E443" s="14" t="n">
        <v>88425000000</v>
      </c>
      <c r="F443" s="14" t="n">
        <v>5411000000</v>
      </c>
      <c r="G443" t="inlineStr">
        <is>
          <t>reported</t>
        </is>
      </c>
      <c r="H443" t="inlineStr">
        <is>
          <t>HIGH</t>
        </is>
      </c>
      <c r="I443" s="15" t="n">
        <v>0.1749449473941767</v>
      </c>
      <c r="J443" s="14">
        <f>IF(F443="","",F443*(1-I443))</f>
        <v>4464372889.65011</v>
      </c>
      <c r="K443" s="14" t="n">
        <v>-2132000000</v>
      </c>
      <c r="L443" s="14" t="n">
        <v>25994000000</v>
      </c>
      <c r="M443" s="14" t="n">
        <v>8966000000</v>
      </c>
      <c r="N443" s="14">
        <f>IF(COUNT(K443:M443)&lt;3,"",K443+L443-M443)</f>
        <v>14896000000.0</v>
      </c>
      <c r="O443" s="14">
        <f>N442</f>
        <v>16356000000.0</v>
      </c>
      <c r="P443" s="14">
        <f>IF(N443="","",IF(OR(O443="",O443&lt;=0,N443&lt;=0),N443,(N443+O443)/2))</f>
        <v>15626000000.0</v>
      </c>
      <c r="Q443" t="inlineStr">
        <is>
          <t>기초·기말 평균</t>
        </is>
      </c>
      <c r="R443" s="15">
        <f>IF(OR(P443="",P443&lt;=0),"",J443/P443)</f>
        <v>0.2857015800364847</v>
      </c>
      <c r="S443" s="15">
        <f>IF(R443="","",R443-0.1)</f>
        <v>0.1857015800364847</v>
      </c>
      <c r="T443" s="15">
        <f>IF(OR(P443="",E443=0,E443=""),"",P443/E443)</f>
        <v>0.17671472999717275</v>
      </c>
      <c r="U443" t="inlineStr">
        <is>
          <t>—</t>
        </is>
      </c>
      <c r="V443" t="inlineStr">
        <is>
          <t>—</t>
        </is>
      </c>
      <c r="W443" t="inlineStr">
        <is>
          <t>OK</t>
        </is>
      </c>
      <c r="X443" t="inlineStr">
        <is>
          <t>Dell Technologies Inc.</t>
        </is>
      </c>
    </row>
    <row r="444">
      <c r="A444" t="inlineStr">
        <is>
          <t>델 테크놀로지스</t>
        </is>
      </c>
      <c r="B444" t="inlineStr">
        <is>
          <t>DELL</t>
        </is>
      </c>
      <c r="C444" t="n">
        <v>2024</v>
      </c>
      <c r="D444" t="inlineStr">
        <is>
          <t>2025-01-31</t>
        </is>
      </c>
      <c r="E444" s="14" t="n">
        <v>95567000000</v>
      </c>
      <c r="F444" s="14" t="n">
        <v>6237000000</v>
      </c>
      <c r="G444" t="inlineStr">
        <is>
          <t>reported</t>
        </is>
      </c>
      <c r="H444" t="inlineStr">
        <is>
          <t>HIGH</t>
        </is>
      </c>
      <c r="I444" s="15" t="n">
        <v>0.09350237717908082</v>
      </c>
      <c r="J444" s="14">
        <f>IF(F444="","",F444*(1-I444))</f>
        <v>5653825673.534073</v>
      </c>
      <c r="K444" s="14" t="n">
        <v>-1387000000</v>
      </c>
      <c r="L444" s="14" t="n">
        <v>24567000000</v>
      </c>
      <c r="M444" s="14" t="n">
        <v>5133000000</v>
      </c>
      <c r="N444" s="14">
        <f>IF(COUNT(K444:M444)&lt;3,"",K444+L444-M444)</f>
        <v>18047000000.0</v>
      </c>
      <c r="O444" s="14">
        <f>N443</f>
        <v>14896000000.0</v>
      </c>
      <c r="P444" s="14">
        <f>IF(N444="","",IF(OR(O444="",O444&lt;=0,N444&lt;=0),N444,(N444+O444)/2))</f>
        <v>16471500000.0</v>
      </c>
      <c r="Q444" t="inlineStr">
        <is>
          <t>기초·기말 평균</t>
        </is>
      </c>
      <c r="R444" s="15">
        <f>IF(OR(P444="",P444&lt;=0),"",J444/P444)</f>
        <v>0.34324898603855586</v>
      </c>
      <c r="S444" s="15">
        <f>IF(R444="","",R444-0.1)</f>
        <v>0.24324898603855585</v>
      </c>
      <c r="T444" s="15">
        <f>IF(OR(P444="",E444=0,E444=""),"",P444/E444)</f>
        <v>0.1723555202109515</v>
      </c>
      <c r="U444" t="inlineStr">
        <is>
          <t>—</t>
        </is>
      </c>
      <c r="V444" t="inlineStr">
        <is>
          <t>—</t>
        </is>
      </c>
      <c r="W444" t="inlineStr">
        <is>
          <t>OK</t>
        </is>
      </c>
      <c r="X444" t="inlineStr">
        <is>
          <t>Dell Technologies Inc.</t>
        </is>
      </c>
    </row>
    <row r="445">
      <c r="A445" t="inlineStr">
        <is>
          <t>델 테크놀로지스</t>
        </is>
      </c>
      <c r="B445" t="inlineStr">
        <is>
          <t>DELL</t>
        </is>
      </c>
      <c r="C445" t="n">
        <v>2025</v>
      </c>
      <c r="D445" t="inlineStr">
        <is>
          <t>2026-01-30</t>
        </is>
      </c>
      <c r="E445" s="14" t="n">
        <v>113538000000</v>
      </c>
      <c r="F445" s="14" t="n">
        <v>8149000000</v>
      </c>
      <c r="G445" t="inlineStr">
        <is>
          <t>reported</t>
        </is>
      </c>
      <c r="H445" t="inlineStr">
        <is>
          <t>HIGH</t>
        </is>
      </c>
      <c r="I445" s="15" t="n">
        <v>0.1827068704392124</v>
      </c>
      <c r="J445" s="14">
        <f>IF(F445="","",F445*(1-I445))</f>
        <v>6660121712.790858</v>
      </c>
      <c r="K445" s="14" t="n">
        <v>-2470000000</v>
      </c>
      <c r="L445" s="14" t="n">
        <v>31503000000</v>
      </c>
      <c r="M445" s="14" t="n">
        <v>13228000000</v>
      </c>
      <c r="N445" s="14">
        <f>IF(COUNT(K445:M445)&lt;3,"",K445+L445-M445)</f>
        <v>15805000000.0</v>
      </c>
      <c r="O445" s="14">
        <f>N444</f>
        <v>18047000000.0</v>
      </c>
      <c r="P445" s="14">
        <f>IF(N445="","",IF(OR(O445="",O445&lt;=0,N445&lt;=0),N445,(N445+O445)/2))</f>
        <v>16926000000.0</v>
      </c>
      <c r="Q445" t="inlineStr">
        <is>
          <t>기초·기말 평균</t>
        </is>
      </c>
      <c r="R445" s="15">
        <f>IF(OR(P445="",P445&lt;=0),"",J445/P445)</f>
        <v>0.39348468112908297</v>
      </c>
      <c r="S445" s="15">
        <f>IF(R445="","",R445-0.1)</f>
        <v>0.293484681129083</v>
      </c>
      <c r="T445" s="15">
        <f>IF(OR(P445="",E445=0,E445=""),"",P445/E445)</f>
        <v>0.14907784177984462</v>
      </c>
      <c r="U445" t="inlineStr">
        <is>
          <t>—</t>
        </is>
      </c>
      <c r="V445" t="inlineStr">
        <is>
          <t>—</t>
        </is>
      </c>
      <c r="W445" t="inlineStr">
        <is>
          <t>OK</t>
        </is>
      </c>
      <c r="X445" t="inlineStr">
        <is>
          <t>Dell Technologies Inc.</t>
        </is>
      </c>
    </row>
    <row r="446">
      <c r="A446" s="18" t="inlineStr">
        <is>
          <t>웰스파고</t>
        </is>
      </c>
      <c r="B446" s="18" t="inlineStr">
        <is>
          <t>WFC</t>
        </is>
      </c>
      <c r="C446" s="18" t="n">
        <v>2016</v>
      </c>
      <c r="D446" s="18" t="inlineStr">
        <is>
          <t>2016-12-31</t>
        </is>
      </c>
      <c r="E446" s="19" t="n">
        <v>88267000000</v>
      </c>
      <c r="F446" s="19" t="n">
        <v>38029000000</v>
      </c>
      <c r="G446" s="18" t="inlineStr">
        <is>
          <t>pretax_plus_interest_less_investment_income</t>
        </is>
      </c>
      <c r="H446" s="18" t="inlineStr">
        <is>
          <t>LOW</t>
        </is>
      </c>
      <c r="I446" s="20" t="n">
        <v>0.3136674968866749</v>
      </c>
      <c r="J446" s="19">
        <f>IF(F446="","",F446*(1-I446))</f>
        <v>26100538760.896645</v>
      </c>
      <c r="K446" s="19" t="n">
        <v>200497000000</v>
      </c>
      <c r="L446" s="19" t="n">
        <v>351858000000</v>
      </c>
      <c r="M446" s="19" t="n">
        <v>228552000000</v>
      </c>
      <c r="N446" s="19">
        <f>IF(COUNT(K446:M446)&lt;3,"",K446+L446-M446)</f>
        <v>323803000000.0</v>
      </c>
      <c r="O446" s="18" t="inlineStr">
        <is>
          <t>—</t>
        </is>
      </c>
      <c r="P446" s="19">
        <f>N446</f>
        <v>323803000000.0</v>
      </c>
      <c r="Q446" s="18" t="inlineStr">
        <is>
          <t>기말 (직전연도 없음)</t>
        </is>
      </c>
      <c r="R446" s="18" t="inlineStr">
        <is>
          <t>—</t>
        </is>
      </c>
      <c r="S446" s="18" t="inlineStr">
        <is>
          <t>—</t>
        </is>
      </c>
      <c r="T446" s="20">
        <f>IF(OR(P446="",E446=0,E446=""),"",P446/E446)</f>
        <v>3.668449137276672</v>
      </c>
      <c r="U446" s="18" t="inlineStr">
        <is>
          <t>—</t>
        </is>
      </c>
      <c r="V446" s="18" t="inlineStr">
        <is>
          <t>—</t>
        </is>
      </c>
      <c r="W446" s="18" t="inlineStr">
        <is>
          <t>금융업 — ROIC 정의 부적합</t>
        </is>
      </c>
      <c r="X446" s="18" t="inlineStr">
        <is>
          <t>WELLS FARGO &amp; COMPANY/MN</t>
        </is>
      </c>
    </row>
    <row r="447">
      <c r="A447" s="18" t="inlineStr">
        <is>
          <t>웰스파고</t>
        </is>
      </c>
      <c r="B447" s="18" t="inlineStr">
        <is>
          <t>WFC</t>
        </is>
      </c>
      <c r="C447" s="18" t="n">
        <v>2017</v>
      </c>
      <c r="D447" s="18" t="inlineStr">
        <is>
          <t>2017-12-31</t>
        </is>
      </c>
      <c r="E447" s="19" t="n">
        <v>88389000000</v>
      </c>
      <c r="F447" s="19" t="n">
        <v>36729000000</v>
      </c>
      <c r="G447" s="18" t="inlineStr">
        <is>
          <t>pretax_plus_interest_less_investment_income</t>
        </is>
      </c>
      <c r="H447" s="18" t="inlineStr">
        <is>
          <t>LOW</t>
        </is>
      </c>
      <c r="I447" s="20" t="n">
        <v>0.1796033166526647</v>
      </c>
      <c r="J447" s="19">
        <f>IF(F447="","",F447*(1-I447))</f>
        <v>30132349782.664276</v>
      </c>
      <c r="K447" s="19" t="n">
        <v>208079000000</v>
      </c>
      <c r="L447" s="19" t="n">
        <v>328276000000</v>
      </c>
      <c r="M447" s="19" t="n">
        <v>216973000000</v>
      </c>
      <c r="N447" s="19">
        <f>IF(COUNT(K447:M447)&lt;3,"",K447+L447-M447)</f>
        <v>319382000000.0</v>
      </c>
      <c r="O447" s="19">
        <f>N446</f>
        <v>323803000000.0</v>
      </c>
      <c r="P447" s="19">
        <f>IF(N447="","",IF(OR(O447="",O447&lt;=0,N447&lt;=0),N447,(N447+O447)/2))</f>
        <v>321592500000.0</v>
      </c>
      <c r="Q447" s="18" t="inlineStr">
        <is>
          <t>기초·기말 평균</t>
        </is>
      </c>
      <c r="R447" s="18" t="inlineStr">
        <is>
          <t>—</t>
        </is>
      </c>
      <c r="S447" s="18" t="inlineStr">
        <is>
          <t>—</t>
        </is>
      </c>
      <c r="T447" s="20">
        <f>IF(OR(P447="",E447=0,E447=""),"",P447/E447)</f>
        <v>3.638376947357703</v>
      </c>
      <c r="U447" s="18" t="inlineStr">
        <is>
          <t>—</t>
        </is>
      </c>
      <c r="V447" s="18" t="inlineStr">
        <is>
          <t>—</t>
        </is>
      </c>
      <c r="W447" s="18" t="inlineStr">
        <is>
          <t>금융업 — ROIC 정의 부적합</t>
        </is>
      </c>
      <c r="X447" s="18" t="inlineStr">
        <is>
          <t>WELLS FARGO &amp; COMPANY/MN</t>
        </is>
      </c>
    </row>
    <row r="448">
      <c r="A448" s="18" t="inlineStr">
        <is>
          <t>웰스파고</t>
        </is>
      </c>
      <c r="B448" s="18" t="inlineStr">
        <is>
          <t>WFC</t>
        </is>
      </c>
      <c r="C448" s="18" t="n">
        <v>2018</v>
      </c>
      <c r="D448" s="18" t="inlineStr">
        <is>
          <t>2018-12-31</t>
        </is>
      </c>
      <c r="E448" s="19" t="n">
        <v>86408000000</v>
      </c>
      <c r="F448" s="19" t="n">
        <v>43190000000</v>
      </c>
      <c r="G448" s="18" t="inlineStr">
        <is>
          <t>pretax_plus_interest_less_investment_income</t>
        </is>
      </c>
      <c r="H448" s="18" t="inlineStr">
        <is>
          <t>LOW</t>
        </is>
      </c>
      <c r="I448" s="20" t="n">
        <v>0.1984021304926764</v>
      </c>
      <c r="J448" s="19">
        <f>IF(F448="","",F448*(1-I448))</f>
        <v>34621011984.02131</v>
      </c>
      <c r="K448" s="19" t="n">
        <v>197066000000</v>
      </c>
      <c r="L448" s="19" t="n">
        <v>334831000000</v>
      </c>
      <c r="M448" s="19" t="n">
        <v>173287000000</v>
      </c>
      <c r="N448" s="19">
        <f>IF(COUNT(K448:M448)&lt;3,"",K448+L448-M448)</f>
        <v>358610000000.0</v>
      </c>
      <c r="O448" s="19">
        <f>N447</f>
        <v>319382000000.0</v>
      </c>
      <c r="P448" s="19">
        <f>IF(N448="","",IF(OR(O448="",O448&lt;=0,N448&lt;=0),N448,(N448+O448)/2))</f>
        <v>338996000000.0</v>
      </c>
      <c r="Q448" s="18" t="inlineStr">
        <is>
          <t>기초·기말 평균</t>
        </is>
      </c>
      <c r="R448" s="18" t="inlineStr">
        <is>
          <t>—</t>
        </is>
      </c>
      <c r="S448" s="18" t="inlineStr">
        <is>
          <t>—</t>
        </is>
      </c>
      <c r="T448" s="20">
        <f>IF(OR(P448="",E448=0,E448=""),"",P448/E448)</f>
        <v>3.923201555411536</v>
      </c>
      <c r="U448" s="18" t="inlineStr">
        <is>
          <t>—</t>
        </is>
      </c>
      <c r="V448" s="18" t="inlineStr">
        <is>
          <t>—</t>
        </is>
      </c>
      <c r="W448" s="18" t="inlineStr">
        <is>
          <t>금융업 — ROIC 정의 부적합</t>
        </is>
      </c>
      <c r="X448" s="18" t="inlineStr">
        <is>
          <t>WELLS FARGO &amp; COMPANY/MN</t>
        </is>
      </c>
    </row>
    <row r="449">
      <c r="A449" s="18" t="inlineStr">
        <is>
          <t>웰스파고</t>
        </is>
      </c>
      <c r="B449" s="18" t="inlineStr">
        <is>
          <t>WFC</t>
        </is>
      </c>
      <c r="C449" s="18" t="n">
        <v>2019</v>
      </c>
      <c r="D449" s="18" t="inlineStr">
        <is>
          <t>2019-12-31</t>
        </is>
      </c>
      <c r="E449" s="19" t="n">
        <v>85063000000</v>
      </c>
      <c r="F449" s="19" t="n">
        <v>44819000000</v>
      </c>
      <c r="G449" s="18" t="inlineStr">
        <is>
          <t>pretax_plus_interest_less_investment_income</t>
        </is>
      </c>
      <c r="H449" s="18" t="inlineStr">
        <is>
          <t>LOW</t>
        </is>
      </c>
      <c r="I449" s="20" t="n">
        <v>0.2218585127276928</v>
      </c>
      <c r="J449" s="19">
        <f>IF(F449="","",F449*(1-I449))</f>
        <v>34875523318.05753</v>
      </c>
      <c r="K449" s="19" t="n">
        <v>187702000000</v>
      </c>
      <c r="L449" s="19" t="n">
        <v>332703000000</v>
      </c>
      <c r="M449" s="19" t="n">
        <v>141250000000</v>
      </c>
      <c r="N449" s="19">
        <f>IF(COUNT(K449:M449)&lt;3,"",K449+L449-M449)</f>
        <v>379155000000.0</v>
      </c>
      <c r="O449" s="19">
        <f>N448</f>
        <v>358610000000.0</v>
      </c>
      <c r="P449" s="19">
        <f>IF(N449="","",IF(OR(O449="",O449&lt;=0,N449&lt;=0),N449,(N449+O449)/2))</f>
        <v>368882500000.0</v>
      </c>
      <c r="Q449" s="18" t="inlineStr">
        <is>
          <t>기초·기말 평균</t>
        </is>
      </c>
      <c r="R449" s="18" t="inlineStr">
        <is>
          <t>—</t>
        </is>
      </c>
      <c r="S449" s="18" t="inlineStr">
        <is>
          <t>—</t>
        </is>
      </c>
      <c r="T449" s="20">
        <f>IF(OR(P449="",E449=0,E449=""),"",P449/E449)</f>
        <v>4.3365799466277934</v>
      </c>
      <c r="U449" s="18" t="inlineStr">
        <is>
          <t>—</t>
        </is>
      </c>
      <c r="V449" s="18" t="inlineStr">
        <is>
          <t>—</t>
        </is>
      </c>
      <c r="W449" s="18" t="inlineStr">
        <is>
          <t>금융업 — ROIC 정의 부적합</t>
        </is>
      </c>
      <c r="X449" s="18" t="inlineStr">
        <is>
          <t>WELLS FARGO &amp; COMPANY/MN</t>
        </is>
      </c>
    </row>
    <row r="450">
      <c r="A450" t="inlineStr">
        <is>
          <t>GE 버노바</t>
        </is>
      </c>
      <c r="B450" t="inlineStr">
        <is>
          <t>GEV</t>
        </is>
      </c>
      <c r="C450" t="n">
        <v>2022</v>
      </c>
      <c r="D450" t="inlineStr">
        <is>
          <t>2022-12-31</t>
        </is>
      </c>
      <c r="E450" s="14" t="n">
        <v>29654000000</v>
      </c>
      <c r="F450" s="14" t="n">
        <v>-2881000000</v>
      </c>
      <c r="G450" t="inlineStr">
        <is>
          <t>reported</t>
        </is>
      </c>
      <c r="H450" t="inlineStr">
        <is>
          <t>HIGH</t>
        </is>
      </c>
      <c r="I450" s="15" t="n">
        <v>0.21</v>
      </c>
      <c r="J450" s="14">
        <f>IF(F450="","",F450*(1-I450))</f>
        <v>-2275990000.0</v>
      </c>
      <c r="K450" s="14" t="n">
        <v>11607000000</v>
      </c>
      <c r="L450" s="14" t="n">
        <v>0</v>
      </c>
      <c r="M450" s="14" t="n">
        <v>2067000000</v>
      </c>
      <c r="N450" s="14">
        <f>IF(COUNT(K450:M450)&lt;3,"",K450+L450-M450)</f>
        <v>9540000000.0</v>
      </c>
      <c r="O450" t="inlineStr">
        <is>
          <t>—</t>
        </is>
      </c>
      <c r="P450" s="14">
        <f>N450</f>
        <v>9540000000.0</v>
      </c>
      <c r="Q450" t="inlineStr">
        <is>
          <t>기말 (직전연도 없음)</t>
        </is>
      </c>
      <c r="R450" s="15">
        <f>IF(OR(P450="",P450&lt;=0),"",J450/P450)</f>
        <v>-0.23857337526205452</v>
      </c>
      <c r="S450" s="15">
        <f>IF(R450="","",R450-0.1)</f>
        <v>-0.33857337526205455</v>
      </c>
      <c r="T450" s="15">
        <f>IF(OR(P450="",E450=0,E450=""),"",P450/E450)</f>
        <v>0.32171039320159167</v>
      </c>
      <c r="U450" t="inlineStr">
        <is>
          <t>—</t>
        </is>
      </c>
      <c r="V450" t="inlineStr">
        <is>
          <t>—</t>
        </is>
      </c>
      <c r="W450" t="inlineStr">
        <is>
          <t>OK</t>
        </is>
      </c>
      <c r="X450" t="inlineStr">
        <is>
          <t>GE Vernova Inc.</t>
        </is>
      </c>
    </row>
    <row r="451">
      <c r="A451" t="inlineStr">
        <is>
          <t>GE 버노바</t>
        </is>
      </c>
      <c r="B451" t="inlineStr">
        <is>
          <t>GEV</t>
        </is>
      </c>
      <c r="C451" t="n">
        <v>2023</v>
      </c>
      <c r="D451" t="inlineStr">
        <is>
          <t>2023-12-31</t>
        </is>
      </c>
      <c r="E451" s="14" t="n">
        <v>33239000000</v>
      </c>
      <c r="F451" s="14" t="n">
        <v>-923000000</v>
      </c>
      <c r="G451" t="inlineStr">
        <is>
          <t>reported</t>
        </is>
      </c>
      <c r="H451" t="inlineStr">
        <is>
          <t>HIGH</t>
        </is>
      </c>
      <c r="I451" s="15" t="n">
        <v>0.21</v>
      </c>
      <c r="J451" s="14">
        <f>IF(F451="","",F451*(1-I451))</f>
        <v>-729170000.0</v>
      </c>
      <c r="K451" s="14" t="n">
        <v>8380000000</v>
      </c>
      <c r="L451" s="14" t="n">
        <v>145000000</v>
      </c>
      <c r="M451" s="14" t="n">
        <v>1551000000</v>
      </c>
      <c r="N451" s="14">
        <f>IF(COUNT(K451:M451)&lt;3,"",K451+L451-M451)</f>
        <v>6974000000.0</v>
      </c>
      <c r="O451" s="14">
        <f>N450</f>
        <v>9540000000.0</v>
      </c>
      <c r="P451" s="14">
        <f>IF(N451="","",IF(OR(O451="",O451&lt;=0,N451&lt;=0),N451,(N451+O451)/2))</f>
        <v>8257000000.0</v>
      </c>
      <c r="Q451" t="inlineStr">
        <is>
          <t>기초·기말 평균</t>
        </is>
      </c>
      <c r="R451" s="15">
        <f>IF(OR(P451="",P451&lt;=0),"",J451/P451)</f>
        <v>-0.08830931330991885</v>
      </c>
      <c r="S451" s="15">
        <f>IF(R451="","",R451-0.1)</f>
        <v>-0.18830931330991885</v>
      </c>
      <c r="T451" s="15">
        <f>IF(OR(P451="",E451=0,E451=""),"",P451/E451)</f>
        <v>0.2484130088149463</v>
      </c>
      <c r="U451" t="inlineStr">
        <is>
          <t>—</t>
        </is>
      </c>
      <c r="V451" t="inlineStr">
        <is>
          <t>—</t>
        </is>
      </c>
      <c r="W451" t="inlineStr">
        <is>
          <t>OK</t>
        </is>
      </c>
      <c r="X451" t="inlineStr">
        <is>
          <t>GE Vernova Inc.</t>
        </is>
      </c>
    </row>
    <row r="452">
      <c r="A452" t="inlineStr">
        <is>
          <t>GE 버노바</t>
        </is>
      </c>
      <c r="B452" t="inlineStr">
        <is>
          <t>GEV</t>
        </is>
      </c>
      <c r="C452" t="n">
        <v>2024</v>
      </c>
      <c r="D452" t="inlineStr">
        <is>
          <t>2024-12-31</t>
        </is>
      </c>
      <c r="E452" s="14" t="n">
        <v>34935000000</v>
      </c>
      <c r="F452" s="14" t="n">
        <v>471000000</v>
      </c>
      <c r="G452" t="inlineStr">
        <is>
          <t>reported</t>
        </is>
      </c>
      <c r="H452" t="inlineStr">
        <is>
          <t>HIGH</t>
        </is>
      </c>
      <c r="I452" s="15" t="n">
        <v>0.3759007205764612</v>
      </c>
      <c r="J452" s="14">
        <f>IF(F452="","",F452*(1-I452))</f>
        <v>293950760.6084868</v>
      </c>
      <c r="K452" s="14" t="n">
        <v>10593000000</v>
      </c>
      <c r="L452" s="14" t="n">
        <v>60000000</v>
      </c>
      <c r="M452" s="14" t="n">
        <v>8205000000</v>
      </c>
      <c r="N452" s="14">
        <f>IF(COUNT(K452:M452)&lt;3,"",K452+L452-M452)</f>
        <v>2448000000.0</v>
      </c>
      <c r="O452" s="14">
        <f>N451</f>
        <v>6974000000.0</v>
      </c>
      <c r="P452" s="14">
        <f>IF(N452="","",IF(OR(O452="",O452&lt;=0,N452&lt;=0),N452,(N452+O452)/2))</f>
        <v>4711000000.0</v>
      </c>
      <c r="Q452" t="inlineStr">
        <is>
          <t>기초·기말 평균</t>
        </is>
      </c>
      <c r="R452" s="15">
        <f>IF(OR(P452="",P452&lt;=0),"",J452/P452)</f>
        <v>0.06239668023954294</v>
      </c>
      <c r="S452" s="15">
        <f>IF(R452="","",R452-0.1)</f>
        <v>-0.03760331976045707</v>
      </c>
      <c r="T452" s="15">
        <f>IF(OR(P452="",E452=0,E452=""),"",P452/E452)</f>
        <v>0.13485043652497494</v>
      </c>
      <c r="U452" t="inlineStr">
        <is>
          <t>—</t>
        </is>
      </c>
      <c r="V452" t="inlineStr">
        <is>
          <t>—</t>
        </is>
      </c>
      <c r="W452" t="inlineStr">
        <is>
          <t>OK</t>
        </is>
      </c>
      <c r="X452" t="inlineStr">
        <is>
          <t>GE Vernova Inc.</t>
        </is>
      </c>
    </row>
    <row r="453">
      <c r="A453" s="9" t="inlineStr">
        <is>
          <t>GE 버노바</t>
        </is>
      </c>
      <c r="B453" s="9" t="inlineStr">
        <is>
          <t>GEV</t>
        </is>
      </c>
      <c r="C453" s="9" t="n">
        <v>2025</v>
      </c>
      <c r="D453" s="9" t="inlineStr">
        <is>
          <t>2025-12-31</t>
        </is>
      </c>
      <c r="E453" s="16" t="n">
        <v>38068000000</v>
      </c>
      <c r="F453" s="16" t="n">
        <v>1388000000</v>
      </c>
      <c r="G453" s="9" t="inlineStr">
        <is>
          <t>reported</t>
        </is>
      </c>
      <c r="H453" s="9" t="inlineStr">
        <is>
          <t>HIGH</t>
        </is>
      </c>
      <c r="I453" s="17" t="n">
        <v>0.05</v>
      </c>
      <c r="J453" s="16">
        <f>IF(F453="","",F453*(1-I453))</f>
        <v>1318600000.0</v>
      </c>
      <c r="K453" s="16" t="n">
        <v>12296000000</v>
      </c>
      <c r="L453" s="16" t="n">
        <v>352000000</v>
      </c>
      <c r="M453" s="16" t="n">
        <v>8848000000</v>
      </c>
      <c r="N453" s="16">
        <f>IF(COUNT(K453:M453)&lt;3,"",K453+L453-M453)</f>
        <v>3800000000.0</v>
      </c>
      <c r="O453" s="16">
        <f>N452</f>
        <v>2448000000.0</v>
      </c>
      <c r="P453" s="16">
        <f>IF(N453="","",IF(OR(O453="",O453&lt;=0,N453&lt;=0),N453,(N453+O453)/2))</f>
        <v>3124000000.0</v>
      </c>
      <c r="Q453" s="9" t="inlineStr">
        <is>
          <t>기초·기말 평균</t>
        </is>
      </c>
      <c r="R453" s="17">
        <f>IF(OR(P453="",P453&lt;=0),"",J453/P453)</f>
        <v>0.42208706786171574</v>
      </c>
      <c r="S453" s="17">
        <f>IF(R453="","",R453-0.1)</f>
        <v>0.3220870678617157</v>
      </c>
      <c r="T453" s="17">
        <f>IF(OR(P453="",E453=0,E453=""),"",P453/E453)</f>
        <v>0.08206367552800252</v>
      </c>
      <c r="U453" s="9" t="inlineStr">
        <is>
          <t>—</t>
        </is>
      </c>
      <c r="V453" s="9" t="inlineStr">
        <is>
          <t>—</t>
        </is>
      </c>
      <c r="W453" s="9" t="inlineStr">
        <is>
          <t>투하자본이 매출의 8.2% — 분모가 작아 비율이 민감 (판정은 유효)</t>
        </is>
      </c>
      <c r="X453" s="9" t="inlineStr">
        <is>
          <t>GE Vernova Inc.</t>
        </is>
      </c>
    </row>
    <row r="454">
      <c r="A454" s="11" t="inlineStr">
        <is>
          <t>텍사스 인스트루먼츠</t>
        </is>
      </c>
      <c r="B454" s="11" t="inlineStr">
        <is>
          <t>TXN</t>
        </is>
      </c>
      <c r="C454" s="11" t="n">
        <v>2015</v>
      </c>
      <c r="D454" s="11" t="inlineStr">
        <is>
          <t>2015-12-31</t>
        </is>
      </c>
      <c r="E454" s="12" t="n">
        <v>13000000000</v>
      </c>
      <c r="F454" s="12" t="n">
        <v>4322000000</v>
      </c>
      <c r="G454" s="11" t="inlineStr">
        <is>
          <t>reported</t>
        </is>
      </c>
      <c r="H454" s="11" t="inlineStr">
        <is>
          <t>HIGH</t>
        </is>
      </c>
      <c r="I454" s="13" t="n">
        <v>0.2917457305502846</v>
      </c>
      <c r="J454" s="12">
        <f>IF(F454="","",F454*(1-I454))</f>
        <v>3061074952.56167</v>
      </c>
      <c r="K454" s="12" t="n">
        <v>9946000000</v>
      </c>
      <c r="L454" s="12" t="n">
        <v>4120000000</v>
      </c>
      <c r="M454" s="12" t="n">
        <v>3218000000</v>
      </c>
      <c r="N454" s="12">
        <f>IF(COUNT(K454:M454)&lt;3,"",K454+L454-M454)</f>
        <v>10848000000.0</v>
      </c>
      <c r="O454" s="11" t="inlineStr">
        <is>
          <t>—</t>
        </is>
      </c>
      <c r="P454" s="12" t="inlineStr">
        <is>
          <t>—</t>
        </is>
      </c>
      <c r="Q454" s="11" t="inlineStr">
        <is>
          <t>—</t>
        </is>
      </c>
      <c r="R454" s="13" t="inlineStr">
        <is>
          <t>—</t>
        </is>
      </c>
      <c r="S454" s="13" t="inlineStr">
        <is>
          <t>—</t>
        </is>
      </c>
      <c r="T454" s="13" t="inlineStr">
        <is>
          <t>—</t>
        </is>
      </c>
      <c r="U454" s="11" t="inlineStr">
        <is>
          <t>—</t>
        </is>
      </c>
      <c r="V454" s="11" t="inlineStr">
        <is>
          <t>—</t>
        </is>
      </c>
      <c r="W454" s="11" t="inlineStr">
        <is>
          <t>다음 해 평균 투하자본의 기초값으로만 사용 (보고 기간 밖 — 자체 비율은 계산하지 않음)</t>
        </is>
      </c>
      <c r="X454" s="11" t="inlineStr">
        <is>
          <t>TEXAS INSTRUMENTS INC</t>
        </is>
      </c>
    </row>
    <row r="455">
      <c r="A455" t="inlineStr">
        <is>
          <t>텍사스 인스트루먼츠</t>
        </is>
      </c>
      <c r="B455" t="inlineStr">
        <is>
          <t>TXN</t>
        </is>
      </c>
      <c r="C455" t="n">
        <v>2016</v>
      </c>
      <c r="D455" t="inlineStr">
        <is>
          <t>2016-12-31</t>
        </is>
      </c>
      <c r="E455" s="14" t="n">
        <v>13370000000</v>
      </c>
      <c r="F455" s="14" t="n">
        <v>4855000000</v>
      </c>
      <c r="G455" t="inlineStr">
        <is>
          <t>reported</t>
        </is>
      </c>
      <c r="H455" t="inlineStr">
        <is>
          <t>HIGH</t>
        </is>
      </c>
      <c r="I455" s="15" t="n">
        <v>0.2707910750507099</v>
      </c>
      <c r="J455" s="14">
        <f>IF(F455="","",F455*(1-I455))</f>
        <v>3540309330.6288037</v>
      </c>
      <c r="K455" s="14" t="n">
        <v>10473000000</v>
      </c>
      <c r="L455" s="14" t="n">
        <v>3609000000</v>
      </c>
      <c r="M455" s="14" t="n">
        <v>3490000000</v>
      </c>
      <c r="N455" s="14">
        <f>IF(COUNT(K455:M455)&lt;3,"",K455+L455-M455)</f>
        <v>10592000000.0</v>
      </c>
      <c r="O455" s="14">
        <f>N454</f>
        <v>10848000000.0</v>
      </c>
      <c r="P455" s="14">
        <f>IF(N455="","",IF(OR(O455="",O455&lt;=0,N455&lt;=0),N455,(N455+O455)/2))</f>
        <v>10720000000.0</v>
      </c>
      <c r="Q455" t="inlineStr">
        <is>
          <t>기초·기말 평균</t>
        </is>
      </c>
      <c r="R455" s="15">
        <f>IF(OR(P455="",P455&lt;=0),"",J455/P455)</f>
        <v>0.33025273606611977</v>
      </c>
      <c r="S455" s="15">
        <f>IF(R455="","",R455-0.1)</f>
        <v>0.23025273606611976</v>
      </c>
      <c r="T455" s="15">
        <f>IF(OR(P455="",E455=0,E455=""),"",P455/E455)</f>
        <v>0.8017950635751683</v>
      </c>
      <c r="U455" t="inlineStr">
        <is>
          <t>—</t>
        </is>
      </c>
      <c r="V455" t="inlineStr">
        <is>
          <t>—</t>
        </is>
      </c>
      <c r="W455" t="inlineStr">
        <is>
          <t>OK</t>
        </is>
      </c>
      <c r="X455" t="inlineStr">
        <is>
          <t>TEXAS INSTRUMENTS INC</t>
        </is>
      </c>
    </row>
    <row r="456">
      <c r="A456" t="inlineStr">
        <is>
          <t>텍사스 인스트루먼츠</t>
        </is>
      </c>
      <c r="B456" t="inlineStr">
        <is>
          <t>TXN</t>
        </is>
      </c>
      <c r="C456" t="n">
        <v>2017</v>
      </c>
      <c r="D456" t="inlineStr">
        <is>
          <t>2017-12-31</t>
        </is>
      </c>
      <c r="E456" s="14" t="n">
        <v>14961000000</v>
      </c>
      <c r="F456" s="14" t="n">
        <v>6083000000</v>
      </c>
      <c r="G456" t="inlineStr">
        <is>
          <t>reported</t>
        </is>
      </c>
      <c r="H456" t="inlineStr">
        <is>
          <t>HIGH</t>
        </is>
      </c>
      <c r="I456" s="15" t="n">
        <v>0.3944078947368421</v>
      </c>
      <c r="J456" s="14">
        <f>IF(F456="","",F456*(1-I456))</f>
        <v>3683816776.315789</v>
      </c>
      <c r="K456" s="14" t="n">
        <v>10337000000</v>
      </c>
      <c r="L456" s="14" t="n">
        <v>4077000000</v>
      </c>
      <c r="M456" s="14" t="n">
        <v>4469000000</v>
      </c>
      <c r="N456" s="14">
        <f>IF(COUNT(K456:M456)&lt;3,"",K456+L456-M456)</f>
        <v>9945000000.0</v>
      </c>
      <c r="O456" s="14">
        <f>N455</f>
        <v>10592000000.0</v>
      </c>
      <c r="P456" s="14">
        <f>IF(N456="","",IF(OR(O456="",O456&lt;=0,N456&lt;=0),N456,(N456+O456)/2))</f>
        <v>10268500000.0</v>
      </c>
      <c r="Q456" t="inlineStr">
        <is>
          <t>기초·기말 평균</t>
        </is>
      </c>
      <c r="R456" s="15">
        <f>IF(OR(P456="",P456&lt;=0),"",J456/P456)</f>
        <v>0.3587492600005638</v>
      </c>
      <c r="S456" s="15">
        <f>IF(R456="","",R456-0.1)</f>
        <v>0.25874926000056375</v>
      </c>
      <c r="T456" s="15">
        <f>IF(OR(P456="",E456=0,E456=""),"",P456/E456)</f>
        <v>0.686351179733975</v>
      </c>
      <c r="U456" t="inlineStr">
        <is>
          <t>—</t>
        </is>
      </c>
      <c r="V456" t="inlineStr">
        <is>
          <t>—</t>
        </is>
      </c>
      <c r="W456" t="inlineStr">
        <is>
          <t>OK</t>
        </is>
      </c>
      <c r="X456" t="inlineStr">
        <is>
          <t>TEXAS INSTRUMENTS INC</t>
        </is>
      </c>
    </row>
    <row r="457">
      <c r="A457" t="inlineStr">
        <is>
          <t>텍사스 인스트루먼츠</t>
        </is>
      </c>
      <c r="B457" t="inlineStr">
        <is>
          <t>TXN</t>
        </is>
      </c>
      <c r="C457" t="n">
        <v>2018</v>
      </c>
      <c r="D457" t="inlineStr">
        <is>
          <t>2018-12-31</t>
        </is>
      </c>
      <c r="E457" s="14" t="n">
        <v>15784000000</v>
      </c>
      <c r="F457" s="14" t="n">
        <v>6713000000</v>
      </c>
      <c r="G457" t="inlineStr">
        <is>
          <t>reported</t>
        </is>
      </c>
      <c r="H457" t="inlineStr">
        <is>
          <t>HIGH</t>
        </is>
      </c>
      <c r="I457" s="15" t="n">
        <v>0.1654202811845648</v>
      </c>
      <c r="J457" s="14">
        <f>IF(F457="","",F457*(1-I457))</f>
        <v>5602533652.408016</v>
      </c>
      <c r="K457" s="14" t="n">
        <v>8994000000</v>
      </c>
      <c r="L457" s="14" t="n">
        <v>5068000000</v>
      </c>
      <c r="M457" s="14" t="n">
        <v>4233000000</v>
      </c>
      <c r="N457" s="14">
        <f>IF(COUNT(K457:M457)&lt;3,"",K457+L457-M457)</f>
        <v>9829000000.0</v>
      </c>
      <c r="O457" s="14">
        <f>N456</f>
        <v>9945000000.0</v>
      </c>
      <c r="P457" s="14">
        <f>IF(N457="","",IF(OR(O457="",O457&lt;=0,N457&lt;=0),N457,(N457+O457)/2))</f>
        <v>9887000000.0</v>
      </c>
      <c r="Q457" t="inlineStr">
        <is>
          <t>기초·기말 평균</t>
        </is>
      </c>
      <c r="R457" s="15">
        <f>IF(OR(P457="",P457&lt;=0),"",J457/P457)</f>
        <v>0.5666565846473163</v>
      </c>
      <c r="S457" s="15">
        <f>IF(R457="","",R457-0.1)</f>
        <v>0.4666565846473163</v>
      </c>
      <c r="T457" s="15">
        <f>IF(OR(P457="",E457=0,E457=""),"",P457/E457)</f>
        <v>0.6263938165230614</v>
      </c>
      <c r="U457" t="inlineStr">
        <is>
          <t>—</t>
        </is>
      </c>
      <c r="V457" t="inlineStr">
        <is>
          <t>—</t>
        </is>
      </c>
      <c r="W457" t="inlineStr">
        <is>
          <t>OK</t>
        </is>
      </c>
      <c r="X457" t="inlineStr">
        <is>
          <t>TEXAS INSTRUMENTS INC</t>
        </is>
      </c>
    </row>
    <row r="458">
      <c r="A458" t="inlineStr">
        <is>
          <t>텍사스 인스트루먼츠</t>
        </is>
      </c>
      <c r="B458" t="inlineStr">
        <is>
          <t>TXN</t>
        </is>
      </c>
      <c r="C458" t="n">
        <v>2019</v>
      </c>
      <c r="D458" t="inlineStr">
        <is>
          <t>2019-12-31</t>
        </is>
      </c>
      <c r="E458" s="14" t="n">
        <v>14383000000</v>
      </c>
      <c r="F458" s="14" t="n">
        <v>5723000000</v>
      </c>
      <c r="G458" t="inlineStr">
        <is>
          <t>reported</t>
        </is>
      </c>
      <c r="H458" t="inlineStr">
        <is>
          <t>HIGH</t>
        </is>
      </c>
      <c r="I458" s="15" t="n">
        <v>0.124127094972067</v>
      </c>
      <c r="J458" s="14">
        <f>IF(F458="","",F458*(1-I458))</f>
        <v>5012620635.474861</v>
      </c>
      <c r="K458" s="14" t="n">
        <v>8907000000</v>
      </c>
      <c r="L458" s="14" t="n">
        <v>5803000000</v>
      </c>
      <c r="M458" s="14" t="n">
        <v>5387000000</v>
      </c>
      <c r="N458" s="14">
        <f>IF(COUNT(K458:M458)&lt;3,"",K458+L458-M458)</f>
        <v>9323000000.0</v>
      </c>
      <c r="O458" s="14">
        <f>N457</f>
        <v>9829000000.0</v>
      </c>
      <c r="P458" s="14">
        <f>IF(N458="","",IF(OR(O458="",O458&lt;=0,N458&lt;=0),N458,(N458+O458)/2))</f>
        <v>9576000000.0</v>
      </c>
      <c r="Q458" t="inlineStr">
        <is>
          <t>기초·기말 평균</t>
        </is>
      </c>
      <c r="R458" s="15">
        <f>IF(OR(P458="",P458&lt;=0),"",J458/P458)</f>
        <v>0.5234566244230222</v>
      </c>
      <c r="S458" s="15">
        <f>IF(R458="","",R458-0.1)</f>
        <v>0.42345662442302223</v>
      </c>
      <c r="T458" s="15">
        <f>IF(OR(P458="",E458=0,E458=""),"",P458/E458)</f>
        <v>0.665785997357992</v>
      </c>
      <c r="U458" t="inlineStr">
        <is>
          <t>—</t>
        </is>
      </c>
      <c r="V458" t="inlineStr">
        <is>
          <t>—</t>
        </is>
      </c>
      <c r="W458" t="inlineStr">
        <is>
          <t>OK</t>
        </is>
      </c>
      <c r="X458" t="inlineStr">
        <is>
          <t>TEXAS INSTRUMENTS INC</t>
        </is>
      </c>
    </row>
    <row r="459">
      <c r="A459" t="inlineStr">
        <is>
          <t>텍사스 인스트루먼츠</t>
        </is>
      </c>
      <c r="B459" t="inlineStr">
        <is>
          <t>TXN</t>
        </is>
      </c>
      <c r="C459" t="n">
        <v>2020</v>
      </c>
      <c r="D459" t="inlineStr">
        <is>
          <t>2020-12-31</t>
        </is>
      </c>
      <c r="E459" s="14" t="n">
        <v>14461000000</v>
      </c>
      <c r="F459" s="14" t="n">
        <v>5894000000</v>
      </c>
      <c r="G459" t="inlineStr">
        <is>
          <t>reported</t>
        </is>
      </c>
      <c r="H459" t="inlineStr">
        <is>
          <t>HIGH</t>
        </is>
      </c>
      <c r="I459" s="15" t="n">
        <v>0.07013461858068805</v>
      </c>
      <c r="J459" s="14">
        <f>IF(F459="","",F459*(1-I459))</f>
        <v>5480626558.085424</v>
      </c>
      <c r="K459" s="14" t="n">
        <v>9187000000</v>
      </c>
      <c r="L459" s="14" t="n">
        <v>6798000000</v>
      </c>
      <c r="M459" s="14" t="n">
        <v>6568000000</v>
      </c>
      <c r="N459" s="14">
        <f>IF(COUNT(K459:M459)&lt;3,"",K459+L459-M459)</f>
        <v>9417000000.0</v>
      </c>
      <c r="O459" s="14">
        <f>N458</f>
        <v>9323000000.0</v>
      </c>
      <c r="P459" s="14">
        <f>IF(N459="","",IF(OR(O459="",O459&lt;=0,N459&lt;=0),N459,(N459+O459)/2))</f>
        <v>9370000000.0</v>
      </c>
      <c r="Q459" t="inlineStr">
        <is>
          <t>기초·기말 평균</t>
        </is>
      </c>
      <c r="R459" s="15">
        <f>IF(OR(P459="",P459&lt;=0),"",J459/P459)</f>
        <v>0.5849121193260859</v>
      </c>
      <c r="S459" s="15">
        <f>IF(R459="","",R459-0.1)</f>
        <v>0.4849121193260859</v>
      </c>
      <c r="T459" s="15">
        <f>IF(OR(P459="",E459=0,E459=""),"",P459/E459)</f>
        <v>0.6479496577000208</v>
      </c>
      <c r="U459" t="inlineStr">
        <is>
          <t>—</t>
        </is>
      </c>
      <c r="V459" t="inlineStr">
        <is>
          <t>—</t>
        </is>
      </c>
      <c r="W459" t="inlineStr">
        <is>
          <t>OK</t>
        </is>
      </c>
      <c r="X459" t="inlineStr">
        <is>
          <t>TEXAS INSTRUMENTS INC</t>
        </is>
      </c>
    </row>
    <row r="460">
      <c r="A460" t="inlineStr">
        <is>
          <t>텍사스 인스트루먼츠</t>
        </is>
      </c>
      <c r="B460" t="inlineStr">
        <is>
          <t>TXN</t>
        </is>
      </c>
      <c r="C460" t="n">
        <v>2021</v>
      </c>
      <c r="D460" t="inlineStr">
        <is>
          <t>2021-12-31</t>
        </is>
      </c>
      <c r="E460" s="14" t="n">
        <v>18344000000</v>
      </c>
      <c r="F460" s="14" t="n">
        <v>8960000000</v>
      </c>
      <c r="G460" t="inlineStr">
        <is>
          <t>reported</t>
        </is>
      </c>
      <c r="H460" t="inlineStr">
        <is>
          <t>HIGH</t>
        </is>
      </c>
      <c r="I460" s="15" t="n">
        <v>0.1289382217737415</v>
      </c>
      <c r="J460" s="14">
        <f>IF(F460="","",F460*(1-I460))</f>
        <v>7804713532.907276</v>
      </c>
      <c r="K460" s="14" t="n">
        <v>13333000000</v>
      </c>
      <c r="L460" s="14" t="n">
        <v>7741000000</v>
      </c>
      <c r="M460" s="14" t="n">
        <v>9739000000</v>
      </c>
      <c r="N460" s="14">
        <f>IF(COUNT(K460:M460)&lt;3,"",K460+L460-M460)</f>
        <v>11335000000.0</v>
      </c>
      <c r="O460" s="14">
        <f>N459</f>
        <v>9417000000.0</v>
      </c>
      <c r="P460" s="14">
        <f>IF(N460="","",IF(OR(O460="",O460&lt;=0,N460&lt;=0),N460,(N460+O460)/2))</f>
        <v>10376000000.0</v>
      </c>
      <c r="Q460" t="inlineStr">
        <is>
          <t>기초·기말 평균</t>
        </is>
      </c>
      <c r="R460" s="15">
        <f>IF(OR(P460="",P460&lt;=0),"",J460/P460)</f>
        <v>0.7521890451915262</v>
      </c>
      <c r="S460" s="15">
        <f>IF(R460="","",R460-0.1)</f>
        <v>0.6521890451915262</v>
      </c>
      <c r="T460" s="15">
        <f>IF(OR(P460="",E460=0,E460=""),"",P460/E460)</f>
        <v>0.5656345399040559</v>
      </c>
      <c r="U460" t="inlineStr">
        <is>
          <t>—</t>
        </is>
      </c>
      <c r="V460" t="inlineStr">
        <is>
          <t>—</t>
        </is>
      </c>
      <c r="W460" t="inlineStr">
        <is>
          <t>OK</t>
        </is>
      </c>
      <c r="X460" t="inlineStr">
        <is>
          <t>TEXAS INSTRUMENTS INC</t>
        </is>
      </c>
    </row>
    <row r="461">
      <c r="A461" t="inlineStr">
        <is>
          <t>텍사스 인스트루먼츠</t>
        </is>
      </c>
      <c r="B461" t="inlineStr">
        <is>
          <t>TXN</t>
        </is>
      </c>
      <c r="C461" t="n">
        <v>2022</v>
      </c>
      <c r="D461" t="inlineStr">
        <is>
          <t>2022-12-31</t>
        </is>
      </c>
      <c r="E461" s="14" t="n">
        <v>20028000000</v>
      </c>
      <c r="F461" s="14" t="n">
        <v>10140000000</v>
      </c>
      <c r="G461" t="inlineStr">
        <is>
          <t>reported</t>
        </is>
      </c>
      <c r="H461" t="inlineStr">
        <is>
          <t>HIGH</t>
        </is>
      </c>
      <c r="I461" s="15" t="n">
        <v>0.1278907496012759</v>
      </c>
      <c r="J461" s="14">
        <f>IF(F461="","",F461*(1-I461))</f>
        <v>8843187799.043062</v>
      </c>
      <c r="K461" s="14" t="n">
        <v>14577000000</v>
      </c>
      <c r="L461" s="14" t="n">
        <v>8735000000</v>
      </c>
      <c r="M461" s="14" t="n">
        <v>9067000000</v>
      </c>
      <c r="N461" s="14">
        <f>IF(COUNT(K461:M461)&lt;3,"",K461+L461-M461)</f>
        <v>14245000000.0</v>
      </c>
      <c r="O461" s="14">
        <f>N460</f>
        <v>11335000000.0</v>
      </c>
      <c r="P461" s="14">
        <f>IF(N461="","",IF(OR(O461="",O461&lt;=0,N461&lt;=0),N461,(N461+O461)/2))</f>
        <v>12790000000.0</v>
      </c>
      <c r="Q461" t="inlineStr">
        <is>
          <t>기초·기말 평균</t>
        </is>
      </c>
      <c r="R461" s="15">
        <f>IF(OR(P461="",P461&lt;=0),"",J461/P461)</f>
        <v>0.6914142141550479</v>
      </c>
      <c r="S461" s="15">
        <f>IF(R461="","",R461-0.1)</f>
        <v>0.5914142141550479</v>
      </c>
      <c r="T461" s="15">
        <f>IF(OR(P461="",E461=0,E461=""),"",P461/E461)</f>
        <v>0.6386059516676653</v>
      </c>
      <c r="U461" t="inlineStr">
        <is>
          <t>—</t>
        </is>
      </c>
      <c r="V461" t="inlineStr">
        <is>
          <t>—</t>
        </is>
      </c>
      <c r="W461" t="inlineStr">
        <is>
          <t>OK</t>
        </is>
      </c>
      <c r="X461" t="inlineStr">
        <is>
          <t>TEXAS INSTRUMENTS INC</t>
        </is>
      </c>
    </row>
    <row r="462">
      <c r="A462" t="inlineStr">
        <is>
          <t>텍사스 인스트루먼츠</t>
        </is>
      </c>
      <c r="B462" t="inlineStr">
        <is>
          <t>TXN</t>
        </is>
      </c>
      <c r="C462" t="n">
        <v>2023</v>
      </c>
      <c r="D462" t="inlineStr">
        <is>
          <t>2023-12-31</t>
        </is>
      </c>
      <c r="E462" s="14" t="n">
        <v>17519000000</v>
      </c>
      <c r="F462" s="14" t="n">
        <v>7331000000</v>
      </c>
      <c r="G462" t="inlineStr">
        <is>
          <t>reported</t>
        </is>
      </c>
      <c r="H462" t="inlineStr">
        <is>
          <t>HIGH</t>
        </is>
      </c>
      <c r="I462" s="15" t="n">
        <v>0.1224049609059046</v>
      </c>
      <c r="J462" s="14">
        <f>IF(F462="","",F462*(1-I462))</f>
        <v>6433649231.598813</v>
      </c>
      <c r="K462" s="14" t="n">
        <v>16897000000</v>
      </c>
      <c r="L462" s="14" t="n">
        <v>11223000000</v>
      </c>
      <c r="M462" s="14" t="n">
        <v>8575000000</v>
      </c>
      <c r="N462" s="14">
        <f>IF(COUNT(K462:M462)&lt;3,"",K462+L462-M462)</f>
        <v>19545000000.0</v>
      </c>
      <c r="O462" s="14">
        <f>N461</f>
        <v>14245000000.0</v>
      </c>
      <c r="P462" s="14">
        <f>IF(N462="","",IF(OR(O462="",O462&lt;=0,N462&lt;=0),N462,(N462+O462)/2))</f>
        <v>16895000000.0</v>
      </c>
      <c r="Q462" t="inlineStr">
        <is>
          <t>기초·기말 평균</t>
        </is>
      </c>
      <c r="R462" s="15">
        <f>IF(OR(P462="",P462&lt;=0),"",J462/P462)</f>
        <v>0.38080196694873114</v>
      </c>
      <c r="S462" s="15">
        <f>IF(R462="","",R462-0.1)</f>
        <v>0.28080196694873116</v>
      </c>
      <c r="T462" s="15">
        <f>IF(OR(P462="",E462=0,E462=""),"",P462/E462)</f>
        <v>0.9643815286260631</v>
      </c>
      <c r="U462" t="inlineStr">
        <is>
          <t>—</t>
        </is>
      </c>
      <c r="V462" t="inlineStr">
        <is>
          <t>—</t>
        </is>
      </c>
      <c r="W462" t="inlineStr">
        <is>
          <t>OK</t>
        </is>
      </c>
      <c r="X462" t="inlineStr">
        <is>
          <t>TEXAS INSTRUMENTS INC</t>
        </is>
      </c>
    </row>
    <row r="463">
      <c r="A463" t="inlineStr">
        <is>
          <t>텍사스 인스트루먼츠</t>
        </is>
      </c>
      <c r="B463" t="inlineStr">
        <is>
          <t>TXN</t>
        </is>
      </c>
      <c r="C463" t="n">
        <v>2024</v>
      </c>
      <c r="D463" t="inlineStr">
        <is>
          <t>2024-12-31</t>
        </is>
      </c>
      <c r="E463" s="14" t="n">
        <v>15641000000</v>
      </c>
      <c r="F463" s="14" t="n">
        <v>5465000000</v>
      </c>
      <c r="G463" t="inlineStr">
        <is>
          <t>reported</t>
        </is>
      </c>
      <c r="H463" t="inlineStr">
        <is>
          <t>HIGH</t>
        </is>
      </c>
      <c r="I463" s="15" t="n">
        <v>0.1199339812947002</v>
      </c>
      <c r="J463" s="14">
        <f>IF(F463="","",F463*(1-I463))</f>
        <v>4809560792.224463</v>
      </c>
      <c r="K463" s="14" t="n">
        <v>16903000000</v>
      </c>
      <c r="L463" s="14" t="n">
        <v>13596000000</v>
      </c>
      <c r="M463" s="14" t="n">
        <v>7580000000</v>
      </c>
      <c r="N463" s="14">
        <f>IF(COUNT(K463:M463)&lt;3,"",K463+L463-M463)</f>
        <v>22919000000.0</v>
      </c>
      <c r="O463" s="14">
        <f>N462</f>
        <v>19545000000.0</v>
      </c>
      <c r="P463" s="14">
        <f>IF(N463="","",IF(OR(O463="",O463&lt;=0,N463&lt;=0),N463,(N463+O463)/2))</f>
        <v>21232000000.0</v>
      </c>
      <c r="Q463" t="inlineStr">
        <is>
          <t>기초·기말 평균</t>
        </is>
      </c>
      <c r="R463" s="15">
        <f>IF(OR(P463="",P463&lt;=0),"",J463/P463)</f>
        <v>0.22652415185684172</v>
      </c>
      <c r="S463" s="15">
        <f>IF(R463="","",R463-0.1)</f>
        <v>0.1265241518568417</v>
      </c>
      <c r="T463" s="15">
        <f>IF(OR(P463="",E463=0,E463=""),"",P463/E463)</f>
        <v>1.357457963045841</v>
      </c>
      <c r="U463" t="inlineStr">
        <is>
          <t>—</t>
        </is>
      </c>
      <c r="V463" t="inlineStr">
        <is>
          <t>—</t>
        </is>
      </c>
      <c r="W463" t="inlineStr">
        <is>
          <t>OK</t>
        </is>
      </c>
      <c r="X463" t="inlineStr">
        <is>
          <t>TEXAS INSTRUMENTS INC</t>
        </is>
      </c>
    </row>
    <row r="464">
      <c r="A464" t="inlineStr">
        <is>
          <t>텍사스 인스트루먼츠</t>
        </is>
      </c>
      <c r="B464" t="inlineStr">
        <is>
          <t>TXN</t>
        </is>
      </c>
      <c r="C464" t="n">
        <v>2025</v>
      </c>
      <c r="D464" t="inlineStr">
        <is>
          <t>2025-12-31</t>
        </is>
      </c>
      <c r="E464" s="14" t="n">
        <v>17682000000</v>
      </c>
      <c r="F464" s="14" t="n">
        <v>6023000000</v>
      </c>
      <c r="G464" t="inlineStr">
        <is>
          <t>reported</t>
        </is>
      </c>
      <c r="H464" t="inlineStr">
        <is>
          <t>HIGH</t>
        </is>
      </c>
      <c r="I464" s="15" t="n">
        <v>0.1241681260945709</v>
      </c>
      <c r="J464" s="14">
        <f>IF(F464="","",F464*(1-I464))</f>
        <v>5275135376.5324</v>
      </c>
      <c r="K464" s="14" t="n">
        <v>16273000000</v>
      </c>
      <c r="L464" s="14" t="n">
        <v>14048000000</v>
      </c>
      <c r="M464" s="14" t="n">
        <v>4881000000</v>
      </c>
      <c r="N464" s="14">
        <f>IF(COUNT(K464:M464)&lt;3,"",K464+L464-M464)</f>
        <v>25440000000.0</v>
      </c>
      <c r="O464" s="14">
        <f>N463</f>
        <v>22919000000.0</v>
      </c>
      <c r="P464" s="14">
        <f>IF(N464="","",IF(OR(O464="",O464&lt;=0,N464&lt;=0),N464,(N464+O464)/2))</f>
        <v>24179500000.0</v>
      </c>
      <c r="Q464" t="inlineStr">
        <is>
          <t>기초·기말 평균</t>
        </is>
      </c>
      <c r="R464" s="15">
        <f>IF(OR(P464="",P464&lt;=0),"",J464/P464)</f>
        <v>0.21816561039444157</v>
      </c>
      <c r="S464" s="15">
        <f>IF(R464="","",R464-0.1)</f>
        <v>0.11816561039444157</v>
      </c>
      <c r="T464" s="15">
        <f>IF(OR(P464="",E464=0,E464=""),"",P464/E464)</f>
        <v>1.3674640877728763</v>
      </c>
      <c r="U464" t="inlineStr">
        <is>
          <t>—</t>
        </is>
      </c>
      <c r="V464" t="inlineStr">
        <is>
          <t>—</t>
        </is>
      </c>
      <c r="W464" t="inlineStr">
        <is>
          <t>OK</t>
        </is>
      </c>
      <c r="X464" t="inlineStr">
        <is>
          <t>TEXAS INSTRUMENTS INC</t>
        </is>
      </c>
    </row>
    <row r="465">
      <c r="A465" s="11" t="inlineStr">
        <is>
          <t>KLA</t>
        </is>
      </c>
      <c r="B465" s="11" t="inlineStr">
        <is>
          <t>KLAC</t>
        </is>
      </c>
      <c r="C465" s="11" t="n">
        <v>2015</v>
      </c>
      <c r="D465" s="11" t="inlineStr">
        <is>
          <t>2015-06-30</t>
        </is>
      </c>
      <c r="E465" s="12" t="n">
        <v>2814049000</v>
      </c>
      <c r="F465" s="12" t="n">
        <v>436562000</v>
      </c>
      <c r="G465" s="11" t="inlineStr">
        <is>
          <t>pretax_less_nonoperating</t>
        </is>
      </c>
      <c r="H465" s="11" t="inlineStr">
        <is>
          <t>LOW</t>
        </is>
      </c>
      <c r="I465" s="13" t="n">
        <v>0.1565725552886111</v>
      </c>
      <c r="J465" s="12">
        <f>IF(F465="","",F465*(1-I465))</f>
        <v>368208372.1180934</v>
      </c>
      <c r="K465" s="12" t="n">
        <v>421439000</v>
      </c>
      <c r="L465" s="12" t="n">
        <v>3190416000</v>
      </c>
      <c r="M465" s="12" t="n">
        <v>2387111000</v>
      </c>
      <c r="N465" s="12">
        <f>IF(COUNT(K465:M465)&lt;3,"",K465+L465-M465)</f>
        <v>1224744000.0</v>
      </c>
      <c r="O465" s="11" t="inlineStr">
        <is>
          <t>—</t>
        </is>
      </c>
      <c r="P465" s="12" t="inlineStr">
        <is>
          <t>—</t>
        </is>
      </c>
      <c r="Q465" s="11" t="inlineStr">
        <is>
          <t>—</t>
        </is>
      </c>
      <c r="R465" s="13" t="inlineStr">
        <is>
          <t>—</t>
        </is>
      </c>
      <c r="S465" s="13" t="inlineStr">
        <is>
          <t>—</t>
        </is>
      </c>
      <c r="T465" s="13" t="inlineStr">
        <is>
          <t>—</t>
        </is>
      </c>
      <c r="U465" s="11" t="inlineStr">
        <is>
          <t>—</t>
        </is>
      </c>
      <c r="V465" s="11" t="inlineStr">
        <is>
          <t>—</t>
        </is>
      </c>
      <c r="W465" s="11" t="inlineStr">
        <is>
          <t>다음 해 평균 투하자본의 기초값으로만 사용 (보고 기간 밖 — 자체 비율은 계산하지 않음)</t>
        </is>
      </c>
      <c r="X465" s="11" t="inlineStr">
        <is>
          <t>KLA CORP</t>
        </is>
      </c>
    </row>
    <row r="466">
      <c r="A466" s="11" t="inlineStr">
        <is>
          <t>KLA</t>
        </is>
      </c>
      <c r="B466" s="11" t="inlineStr">
        <is>
          <t>KLAC</t>
        </is>
      </c>
      <c r="C466" s="11" t="n">
        <v>2016</v>
      </c>
      <c r="D466" s="11" t="inlineStr">
        <is>
          <t>2016-06-30</t>
        </is>
      </c>
      <c r="E466" s="12" t="n">
        <v>2984493000</v>
      </c>
      <c r="F466" s="12" t="n">
        <v>943945000</v>
      </c>
      <c r="G466" s="11" t="inlineStr">
        <is>
          <t>verified_line_build</t>
        </is>
      </c>
      <c r="H466" s="11" t="inlineStr">
        <is>
          <t>HIGH</t>
        </is>
      </c>
      <c r="I466" s="13" t="n">
        <v>0.1791790182150381</v>
      </c>
      <c r="J466" s="12">
        <f>IF(F466="","",F466*(1-I466))</f>
        <v>774809861.6510059</v>
      </c>
      <c r="K466" s="12" t="n">
        <v>689114000</v>
      </c>
      <c r="L466" s="12" t="n">
        <v>3057936000</v>
      </c>
      <c r="M466" s="12" t="n">
        <v>2491294000</v>
      </c>
      <c r="N466" s="12">
        <f>IF(COUNT(K466:M466)&lt;3,"",K466+L466-M466)</f>
        <v>1255756000.0</v>
      </c>
      <c r="O466" s="12" t="inlineStr">
        <is>
          <t>—</t>
        </is>
      </c>
      <c r="P466" s="12" t="inlineStr">
        <is>
          <t>—</t>
        </is>
      </c>
      <c r="Q466" s="11" t="inlineStr">
        <is>
          <t>—</t>
        </is>
      </c>
      <c r="R466" s="13" t="inlineStr">
        <is>
          <t>—</t>
        </is>
      </c>
      <c r="S466" s="13" t="inlineStr">
        <is>
          <t>—</t>
        </is>
      </c>
      <c r="T466" s="13" t="inlineStr">
        <is>
          <t>—</t>
        </is>
      </c>
      <c r="U466" s="11" t="inlineStr">
        <is>
          <t>—</t>
        </is>
      </c>
      <c r="V466" s="11" t="inlineStr">
        <is>
          <t>—</t>
        </is>
      </c>
      <c r="W466" s="11" t="inlineStr">
        <is>
          <t>다음 해 평균 투하자본의 기초값으로만 사용 (보고 기간 밖 — 자체 비율은 계산하지 않음)</t>
        </is>
      </c>
      <c r="X466" s="11" t="inlineStr">
        <is>
          <t>KLA CORP</t>
        </is>
      </c>
    </row>
    <row r="467">
      <c r="A467" t="inlineStr">
        <is>
          <t>KLA</t>
        </is>
      </c>
      <c r="B467" t="inlineStr">
        <is>
          <t>KLAC</t>
        </is>
      </c>
      <c r="C467" t="n">
        <v>2017</v>
      </c>
      <c r="D467" t="inlineStr">
        <is>
          <t>2017-06-30</t>
        </is>
      </c>
      <c r="E467" s="14" t="n">
        <v>3480014000</v>
      </c>
      <c r="F467" s="14" t="n">
        <v>1275900000</v>
      </c>
      <c r="G467" t="inlineStr">
        <is>
          <t>verified_line_build</t>
        </is>
      </c>
      <c r="H467" t="inlineStr">
        <is>
          <t>HIGH</t>
        </is>
      </c>
      <c r="I467" s="15" t="n">
        <v>0.2106719306948415</v>
      </c>
      <c r="J467" s="14">
        <f>IF(F467="","",F467*(1-I467))</f>
        <v>1007103683.6264517</v>
      </c>
      <c r="K467" s="14" t="n">
        <v>1326417000</v>
      </c>
      <c r="L467" s="14" t="n">
        <v>2930457000</v>
      </c>
      <c r="M467" s="14" t="n">
        <v>3016740000</v>
      </c>
      <c r="N467" s="14">
        <f>IF(COUNT(K467:M467)&lt;3,"",K467+L467-M467)</f>
        <v>1240134000.0</v>
      </c>
      <c r="O467" s="14">
        <f>N466</f>
        <v>1255756000.0</v>
      </c>
      <c r="P467" s="14">
        <f>IF(N467="","",IF(OR(O467="",O467&lt;=0,N467&lt;=0),N467,(N467+O467)/2))</f>
        <v>1247945000.0</v>
      </c>
      <c r="Q467" t="inlineStr">
        <is>
          <t>기초·기말 평균</t>
        </is>
      </c>
      <c r="R467" s="15">
        <f>IF(OR(P467="",P467&lt;=0),"",J467/P467)</f>
        <v>0.8070096707999566</v>
      </c>
      <c r="S467" s="15">
        <f>IF(R467="","",R467-0.1)</f>
        <v>0.7070096707999566</v>
      </c>
      <c r="T467" s="15">
        <f>IF(OR(P467="",E467=0,E467=""),"",P467/E467)</f>
        <v>0.35860344239994435</v>
      </c>
      <c r="U467" t="inlineStr">
        <is>
          <t>—</t>
        </is>
      </c>
      <c r="V467" t="inlineStr">
        <is>
          <t>—</t>
        </is>
      </c>
      <c r="W467" t="inlineStr">
        <is>
          <t>OK</t>
        </is>
      </c>
      <c r="X467" t="inlineStr">
        <is>
          <t>KLA CORP</t>
        </is>
      </c>
    </row>
    <row r="468">
      <c r="A468" t="inlineStr">
        <is>
          <t>KLA</t>
        </is>
      </c>
      <c r="B468" t="inlineStr">
        <is>
          <t>KLAC</t>
        </is>
      </c>
      <c r="C468" t="n">
        <v>2018</v>
      </c>
      <c r="D468" t="inlineStr">
        <is>
          <t>2018-06-30</t>
        </is>
      </c>
      <c r="E468" s="14" t="n">
        <v>4036701000</v>
      </c>
      <c r="F468" s="14" t="n">
        <v>1535195000</v>
      </c>
      <c r="G468" t="inlineStr">
        <is>
          <t>verified_line_build</t>
        </is>
      </c>
      <c r="H468" t="inlineStr">
        <is>
          <t>HIGH</t>
        </is>
      </c>
      <c r="I468" s="15" t="n">
        <v>0.4</v>
      </c>
      <c r="J468" s="14">
        <f>IF(F468="","",F468*(1-I468))</f>
        <v>921117000.0</v>
      </c>
      <c r="K468" s="14" t="n">
        <v>1620511000</v>
      </c>
      <c r="L468" s="14" t="n">
        <v>2237402000</v>
      </c>
      <c r="M468" s="14" t="n">
        <v>2880318000</v>
      </c>
      <c r="N468" s="14">
        <f>IF(COUNT(K468:M468)&lt;3,"",K468+L468-M468)</f>
        <v>977595000.0</v>
      </c>
      <c r="O468" s="14">
        <f>N467</f>
        <v>1240134000.0</v>
      </c>
      <c r="P468" s="14">
        <f>IF(N468="","",IF(OR(O468="",O468&lt;=0,N468&lt;=0),N468,(N468+O468)/2))</f>
        <v>1108864500.0</v>
      </c>
      <c r="Q468" t="inlineStr">
        <is>
          <t>기초·기말 평균</t>
        </is>
      </c>
      <c r="R468" s="15">
        <f>IF(OR(P468="",P468&lt;=0),"",J468/P468)</f>
        <v>0.830684903340309</v>
      </c>
      <c r="S468" s="15">
        <f>IF(R468="","",R468-0.1)</f>
        <v>0.730684903340309</v>
      </c>
      <c r="T468" s="15">
        <f>IF(OR(P468="",E468=0,E468=""),"",P468/E468)</f>
        <v>0.27469572306693013</v>
      </c>
      <c r="U468" t="inlineStr">
        <is>
          <t>—</t>
        </is>
      </c>
      <c r="V468" t="inlineStr">
        <is>
          <t>—</t>
        </is>
      </c>
      <c r="W468" t="inlineStr">
        <is>
          <t>OK</t>
        </is>
      </c>
      <c r="X468" t="inlineStr">
        <is>
          <t>KLA CORP</t>
        </is>
      </c>
    </row>
    <row r="469">
      <c r="A469" t="inlineStr">
        <is>
          <t>KLA</t>
        </is>
      </c>
      <c r="B469" t="inlineStr">
        <is>
          <t>KLAC</t>
        </is>
      </c>
      <c r="C469" t="n">
        <v>2019</v>
      </c>
      <c r="D469" t="inlineStr">
        <is>
          <t>2019-06-30</t>
        </is>
      </c>
      <c r="E469" s="14" t="n">
        <v>4568904000</v>
      </c>
      <c r="F469" s="14" t="n">
        <v>1301981000</v>
      </c>
      <c r="G469" t="inlineStr">
        <is>
          <t>verified_line_build</t>
        </is>
      </c>
      <c r="H469" t="inlineStr">
        <is>
          <t>HIGH</t>
        </is>
      </c>
      <c r="I469" s="15" t="n">
        <v>0.09351265322307521</v>
      </c>
      <c r="J469" s="14">
        <f>IF(F469="","",F469*(1-I469))</f>
        <v>1180229302.2439673</v>
      </c>
      <c r="K469" s="14" t="n">
        <v>2677693000</v>
      </c>
      <c r="L469" s="14" t="n">
        <v>3423382000</v>
      </c>
      <c r="M469" s="14" t="n">
        <v>1739385000</v>
      </c>
      <c r="N469" s="14">
        <f>IF(COUNT(K469:M469)&lt;3,"",K469+L469-M469)</f>
        <v>4361690000.0</v>
      </c>
      <c r="O469" s="14">
        <f>N468</f>
        <v>977595000.0</v>
      </c>
      <c r="P469" s="14">
        <f>IF(N469="","",IF(OR(O469="",O469&lt;=0,N469&lt;=0),N469,(N469+O469)/2))</f>
        <v>2669642500.0</v>
      </c>
      <c r="Q469" t="inlineStr">
        <is>
          <t>기초·기말 평균</t>
        </is>
      </c>
      <c r="R469" s="15">
        <f>IF(OR(P469="",P469&lt;=0),"",J469/P469)</f>
        <v>0.4420926405853845</v>
      </c>
      <c r="S469" s="15">
        <f>IF(R469="","",R469-0.1)</f>
        <v>0.34209264058538447</v>
      </c>
      <c r="T469" s="15">
        <f>IF(OR(P469="",E469=0,E469=""),"",P469/E469)</f>
        <v>0.5843069804049286</v>
      </c>
      <c r="U469" t="inlineStr">
        <is>
          <t>—</t>
        </is>
      </c>
      <c r="V469" t="inlineStr">
        <is>
          <t>—</t>
        </is>
      </c>
      <c r="W469" t="inlineStr">
        <is>
          <t>OK</t>
        </is>
      </c>
      <c r="X469" t="inlineStr">
        <is>
          <t>KLA CORP</t>
        </is>
      </c>
    </row>
    <row r="470">
      <c r="A470" s="18" t="inlineStr">
        <is>
          <t>KLA</t>
        </is>
      </c>
      <c r="B470" s="18" t="inlineStr">
        <is>
          <t>KLAC</t>
        </is>
      </c>
      <c r="C470" s="18" t="n">
        <v>2020</v>
      </c>
      <c r="D470" s="18" t="inlineStr">
        <is>
          <t>2020-06-30</t>
        </is>
      </c>
      <c r="E470" s="19" t="n">
        <v>5806424000</v>
      </c>
      <c r="F470" s="19" t="n">
        <v>1319389000</v>
      </c>
      <c r="G470" s="18" t="inlineStr">
        <is>
          <t>pretax_less_nonoperating</t>
        </is>
      </c>
      <c r="H470" s="18" t="inlineStr">
        <is>
          <t>LOW</t>
        </is>
      </c>
      <c r="I470" s="20" t="n">
        <v>0.07722727310700678</v>
      </c>
      <c r="J470" s="19">
        <f>IF(F470="","",F470*(1-I470))</f>
        <v>1217496185.3626194</v>
      </c>
      <c r="K470" s="19" t="n">
        <v>2681010000</v>
      </c>
      <c r="L470" s="19" t="n">
        <v>3469670000</v>
      </c>
      <c r="M470" s="19" t="n">
        <v>1980472000</v>
      </c>
      <c r="N470" s="19">
        <f>IF(COUNT(K470:M470)&lt;3,"",K470+L470-M470)</f>
        <v>4170208000.0</v>
      </c>
      <c r="O470" s="19">
        <f>N469</f>
        <v>4361690000.0</v>
      </c>
      <c r="P470" s="19">
        <f>IF(N470="","",IF(OR(O470="",O470&lt;=0,N470&lt;=0),N470,(N470+O470)/2))</f>
        <v>4265949000.0</v>
      </c>
      <c r="Q470" s="18" t="inlineStr">
        <is>
          <t>기초·기말 평균</t>
        </is>
      </c>
      <c r="R470" s="20">
        <f>IF(OR(P470="",P470&lt;=0),"",J470/P470)</f>
        <v>0.2853986733930995</v>
      </c>
      <c r="S470" s="20">
        <f>IF(R470="","",R470-0.1)</f>
        <v>0.18539867339309948</v>
      </c>
      <c r="T470" s="20">
        <f>IF(OR(P470="",E470=0,E470=""),"",P470/E470)</f>
        <v>0.734694710548179</v>
      </c>
      <c r="U470" s="18" t="inlineStr">
        <is>
          <t>28.5% / 31.5%</t>
        </is>
      </c>
      <c r="V470" s="18" t="inlineStr">
        <is>
          <t>일치</t>
        </is>
      </c>
      <c r="W470" s="18" t="inlineStr">
        <is>
          <t>OK</t>
        </is>
      </c>
      <c r="X470" s="18" t="inlineStr">
        <is>
          <t>KLA CORP</t>
        </is>
      </c>
    </row>
    <row r="471">
      <c r="A471" s="18" t="inlineStr">
        <is>
          <t>KLA</t>
        </is>
      </c>
      <c r="B471" s="18" t="inlineStr">
        <is>
          <t>KLAC</t>
        </is>
      </c>
      <c r="C471" s="18" t="n">
        <v>2021</v>
      </c>
      <c r="D471" s="18" t="inlineStr">
        <is>
          <t>2021-06-30</t>
        </is>
      </c>
      <c r="E471" s="19" t="n">
        <v>6918734000</v>
      </c>
      <c r="F471" s="19" t="n">
        <v>2331152000</v>
      </c>
      <c r="G471" s="18" t="inlineStr">
        <is>
          <t>pretax_less_nonoperating</t>
        </is>
      </c>
      <c r="H471" s="18" t="inlineStr">
        <is>
          <t>LOW</t>
        </is>
      </c>
      <c r="I471" s="20" t="n">
        <v>0.1199349786100471</v>
      </c>
      <c r="J471" s="19">
        <f>IF(F471="","",F471*(1-I471))</f>
        <v>2051565334.7432315</v>
      </c>
      <c r="K471" s="19" t="n">
        <v>3375642000</v>
      </c>
      <c r="L471" s="19" t="n">
        <v>3442767000</v>
      </c>
      <c r="M471" s="19" t="n">
        <v>1434610000</v>
      </c>
      <c r="N471" s="19">
        <f>IF(COUNT(K471:M471)&lt;3,"",K471+L471-M471)</f>
        <v>5383799000.0</v>
      </c>
      <c r="O471" s="19">
        <f>N470</f>
        <v>4170208000.0</v>
      </c>
      <c r="P471" s="19">
        <f>IF(N471="","",IF(OR(O471="",O471&lt;=0,N471&lt;=0),N471,(N471+O471)/2))</f>
        <v>4777003500.0</v>
      </c>
      <c r="Q471" s="18" t="inlineStr">
        <is>
          <t>기초·기말 평균</t>
        </is>
      </c>
      <c r="R471" s="20">
        <f>IF(OR(P471="",P471&lt;=0),"",J471/P471)</f>
        <v>0.4294669942660146</v>
      </c>
      <c r="S471" s="20">
        <f>IF(R471="","",R471-0.1)</f>
        <v>0.32946699426601456</v>
      </c>
      <c r="T471" s="20">
        <f>IF(OR(P471="",E471=0,E471=""),"",P471/E471)</f>
        <v>0.69044474032388</v>
      </c>
      <c r="U471" s="18" t="inlineStr">
        <is>
          <t>42.9% / 46.2%</t>
        </is>
      </c>
      <c r="V471" s="18" t="inlineStr">
        <is>
          <t>일치</t>
        </is>
      </c>
      <c r="W471" s="18" t="inlineStr">
        <is>
          <t>OK</t>
        </is>
      </c>
      <c r="X471" s="18" t="inlineStr">
        <is>
          <t>KLA CORP</t>
        </is>
      </c>
    </row>
    <row r="472">
      <c r="A472" s="18" t="inlineStr">
        <is>
          <t>KLA</t>
        </is>
      </c>
      <c r="B472" s="18" t="inlineStr">
        <is>
          <t>KLAC</t>
        </is>
      </c>
      <c r="C472" s="18" t="n">
        <v>2022</v>
      </c>
      <c r="D472" s="18" t="inlineStr">
        <is>
          <t>2022-06-30</t>
        </is>
      </c>
      <c r="E472" s="19" t="n">
        <v>9211883000</v>
      </c>
      <c r="F472" s="19" t="n">
        <v>3493842000</v>
      </c>
      <c r="G472" s="18" t="inlineStr">
        <is>
          <t>pretax_less_nonoperating</t>
        </is>
      </c>
      <c r="H472" s="18" t="inlineStr">
        <is>
          <t>LOW</t>
        </is>
      </c>
      <c r="I472" s="20" t="n">
        <v>0.05</v>
      </c>
      <c r="J472" s="19">
        <f>IF(F472="","",F472*(1-I472))</f>
        <v>3319149900.0</v>
      </c>
      <c r="K472" s="19" t="n">
        <v>1399090000</v>
      </c>
      <c r="L472" s="19" t="n">
        <v>6660718000</v>
      </c>
      <c r="M472" s="19" t="n">
        <v>1584908000</v>
      </c>
      <c r="N472" s="19">
        <f>IF(COUNT(K472:M472)&lt;3,"",K472+L472-M472)</f>
        <v>6474900000.0</v>
      </c>
      <c r="O472" s="19">
        <f>N471</f>
        <v>5383799000.0</v>
      </c>
      <c r="P472" s="19">
        <f>IF(N472="","",IF(OR(O472="",O472&lt;=0,N472&lt;=0),N472,(N472+O472)/2))</f>
        <v>5929349500.0</v>
      </c>
      <c r="Q472" s="18" t="inlineStr">
        <is>
          <t>기초·기말 평균</t>
        </is>
      </c>
      <c r="R472" s="20">
        <f>IF(OR(P472="",P472&lt;=0),"",J472/P472)</f>
        <v>0.559783143159296</v>
      </c>
      <c r="S472" s="20">
        <f>IF(R472="","",R472-0.1)</f>
        <v>0.459783143159296</v>
      </c>
      <c r="T472" s="20">
        <f>IF(OR(P472="",E472=0,E472=""),"",P472/E472)</f>
        <v>0.6436631359733944</v>
      </c>
      <c r="U472" s="18" t="inlineStr">
        <is>
          <t>56.0% / 58.3%</t>
        </is>
      </c>
      <c r="V472" s="18" t="inlineStr">
        <is>
          <t>일치</t>
        </is>
      </c>
      <c r="W472" s="18" t="inlineStr">
        <is>
          <t>OK</t>
        </is>
      </c>
      <c r="X472" s="18" t="inlineStr">
        <is>
          <t>KLA CORP</t>
        </is>
      </c>
    </row>
    <row r="473">
      <c r="A473" s="18" t="inlineStr">
        <is>
          <t>KLA</t>
        </is>
      </c>
      <c r="B473" s="18" t="inlineStr">
        <is>
          <t>KLAC</t>
        </is>
      </c>
      <c r="C473" s="18" t="n">
        <v>2023</v>
      </c>
      <c r="D473" s="18" t="inlineStr">
        <is>
          <t>2023-06-30</t>
        </is>
      </c>
      <c r="E473" s="19" t="n">
        <v>10496056000</v>
      </c>
      <c r="F473" s="19" t="n">
        <v>3684470000</v>
      </c>
      <c r="G473" s="18" t="inlineStr">
        <is>
          <t>pretax_less_nonoperating</t>
        </is>
      </c>
      <c r="H473" s="18" t="inlineStr">
        <is>
          <t>LOW</t>
        </is>
      </c>
      <c r="I473" s="20" t="n">
        <v>0.1060487861521856</v>
      </c>
      <c r="J473" s="19">
        <f>IF(F473="","",F473*(1-I473))</f>
        <v>3293736428.8858566</v>
      </c>
      <c r="K473" s="19" t="n">
        <v>2919753000</v>
      </c>
      <c r="L473" s="19" t="n">
        <v>5890736000</v>
      </c>
      <c r="M473" s="19" t="n">
        <v>1927865000</v>
      </c>
      <c r="N473" s="19">
        <f>IF(COUNT(K473:M473)&lt;3,"",K473+L473-M473)</f>
        <v>6882624000.0</v>
      </c>
      <c r="O473" s="19">
        <f>N472</f>
        <v>6474900000.0</v>
      </c>
      <c r="P473" s="19">
        <f>IF(N473="","",IF(OR(O473="",O473&lt;=0,N473&lt;=0),N473,(N473+O473)/2))</f>
        <v>6678762000.0</v>
      </c>
      <c r="Q473" s="18" t="inlineStr">
        <is>
          <t>기초·기말 평균</t>
        </is>
      </c>
      <c r="R473" s="20">
        <f>IF(OR(P473="",P473&lt;=0),"",J473/P473)</f>
        <v>0.4931657137783704</v>
      </c>
      <c r="S473" s="20">
        <f>IF(R473="","",R473-0.1)</f>
        <v>0.3931657137783704</v>
      </c>
      <c r="T473" s="20">
        <f>IF(OR(P473="",E473=0,E473=""),"",P473/E473)</f>
        <v>0.6363115821790585</v>
      </c>
      <c r="U473" s="18" t="inlineStr">
        <is>
          <t>49.3% / 53.7%</t>
        </is>
      </c>
      <c r="V473" s="18" t="inlineStr">
        <is>
          <t>일치</t>
        </is>
      </c>
      <c r="W473" s="18" t="inlineStr">
        <is>
          <t>OK</t>
        </is>
      </c>
      <c r="X473" s="18" t="inlineStr">
        <is>
          <t>KLA CORP</t>
        </is>
      </c>
    </row>
    <row r="474">
      <c r="A474" t="inlineStr">
        <is>
          <t>KLA</t>
        </is>
      </c>
      <c r="B474" t="inlineStr">
        <is>
          <t>KLAC</t>
        </is>
      </c>
      <c r="C474" t="n">
        <v>2024</v>
      </c>
      <c r="D474" t="inlineStr">
        <is>
          <t>2024-06-30</t>
        </is>
      </c>
      <c r="E474" s="14" t="n">
        <v>9812247000</v>
      </c>
      <c r="F474" s="14" t="n">
        <v>3085310000</v>
      </c>
      <c r="G474" t="inlineStr">
        <is>
          <t>verified_line_build</t>
        </is>
      </c>
      <c r="H474" t="inlineStr">
        <is>
          <t>HIGH</t>
        </is>
      </c>
      <c r="I474" s="15" t="n">
        <v>0.1342105659128184</v>
      </c>
      <c r="J474" s="14">
        <f>IF(F474="","",F474*(1-I474))</f>
        <v>2671228798.883522</v>
      </c>
      <c r="K474" s="14" t="n">
        <v>3368328000</v>
      </c>
      <c r="L474" s="14" t="n">
        <v>6630135000</v>
      </c>
      <c r="M474" s="14" t="n">
        <v>1977129000</v>
      </c>
      <c r="N474" s="14">
        <f>IF(COUNT(K474:M474)&lt;3,"",K474+L474-M474)</f>
        <v>8021334000.0</v>
      </c>
      <c r="O474" s="14">
        <f>N473</f>
        <v>6882624000.0</v>
      </c>
      <c r="P474" s="14">
        <f>IF(N474="","",IF(OR(O474="",O474&lt;=0,N474&lt;=0),N474,(N474+O474)/2))</f>
        <v>7451979000.0</v>
      </c>
      <c r="Q474" t="inlineStr">
        <is>
          <t>기초·기말 평균</t>
        </is>
      </c>
      <c r="R474" s="15">
        <f>IF(OR(P474="",P474&lt;=0),"",J474/P474)</f>
        <v>0.3584589810147777</v>
      </c>
      <c r="S474" s="15">
        <f>IF(R474="","",R474-0.1)</f>
        <v>0.2584589810147777</v>
      </c>
      <c r="T474" s="15">
        <f>IF(OR(P474="",E474=0,E474=""),"",P474/E474)</f>
        <v>0.7594569317303163</v>
      </c>
      <c r="U474" t="inlineStr">
        <is>
          <t>—</t>
        </is>
      </c>
      <c r="V474" t="inlineStr">
        <is>
          <t>—</t>
        </is>
      </c>
      <c r="W474" t="inlineStr">
        <is>
          <t>OK</t>
        </is>
      </c>
      <c r="X474" t="inlineStr">
        <is>
          <t>KLA CORP</t>
        </is>
      </c>
    </row>
    <row r="475">
      <c r="A475" t="inlineStr">
        <is>
          <t>KLA</t>
        </is>
      </c>
      <c r="B475" t="inlineStr">
        <is>
          <t>KLAC</t>
        </is>
      </c>
      <c r="C475" t="n">
        <v>2025</v>
      </c>
      <c r="D475" t="inlineStr">
        <is>
          <t>2025-06-30</t>
        </is>
      </c>
      <c r="E475" s="14" t="n">
        <v>12156162000</v>
      </c>
      <c r="F475" s="14" t="n">
        <v>4547027000</v>
      </c>
      <c r="G475" t="inlineStr">
        <is>
          <t>verified_line_build</t>
        </is>
      </c>
      <c r="H475" t="inlineStr">
        <is>
          <t>HIGH</t>
        </is>
      </c>
      <c r="I475" s="15" t="n">
        <v>0.1254842340790553</v>
      </c>
      <c r="J475" s="14">
        <f>IF(F475="","",F475*(1-I475))</f>
        <v>3976446799.5682154</v>
      </c>
      <c r="K475" s="14" t="n">
        <v>4692453000</v>
      </c>
      <c r="L475" s="14" t="n">
        <v>5884257000</v>
      </c>
      <c r="M475" s="14" t="n">
        <v>2078908000</v>
      </c>
      <c r="N475" s="14">
        <f>IF(COUNT(K475:M475)&lt;3,"",K475+L475-M475)</f>
        <v>8497802000.0</v>
      </c>
      <c r="O475" s="14">
        <f>N474</f>
        <v>8021334000.0</v>
      </c>
      <c r="P475" s="14">
        <f>IF(N475="","",IF(OR(O475="",O475&lt;=0,N475&lt;=0),N475,(N475+O475)/2))</f>
        <v>8259568000.0</v>
      </c>
      <c r="Q475" t="inlineStr">
        <is>
          <t>기초·기말 평균</t>
        </is>
      </c>
      <c r="R475" s="15">
        <f>IF(OR(P475="",P475&lt;=0),"",J475/P475)</f>
        <v>0.48143520333850576</v>
      </c>
      <c r="S475" s="15">
        <f>IF(R475="","",R475-0.1)</f>
        <v>0.3814352033385058</v>
      </c>
      <c r="T475" s="15">
        <f>IF(OR(P475="",E475=0,E475=""),"",P475/E475)</f>
        <v>0.6794552425346092</v>
      </c>
      <c r="U475" t="inlineStr">
        <is>
          <t>—</t>
        </is>
      </c>
      <c r="V475" t="inlineStr">
        <is>
          <t>—</t>
        </is>
      </c>
      <c r="W475" t="inlineStr">
        <is>
          <t>OK</t>
        </is>
      </c>
      <c r="X475" t="inlineStr">
        <is>
          <t>KLA CORP</t>
        </is>
      </c>
    </row>
    <row r="476">
      <c r="A476" t="inlineStr">
        <is>
          <t>KLA</t>
        </is>
      </c>
      <c r="B476" t="inlineStr">
        <is>
          <t>KLAC</t>
        </is>
      </c>
      <c r="C476" t="n">
        <v>2026</v>
      </c>
      <c r="D476" t="inlineStr">
        <is>
          <t>2026-06-30</t>
        </is>
      </c>
      <c r="E476" s="14" t="n">
        <v>13579476000</v>
      </c>
      <c r="F476" s="14" t="n">
        <v>5468780000</v>
      </c>
      <c r="G476" t="inlineStr">
        <is>
          <t>verified_line_build</t>
        </is>
      </c>
      <c r="H476" t="inlineStr">
        <is>
          <t>HIGH</t>
        </is>
      </c>
      <c r="I476" s="15" t="n">
        <v>0.1382740582508685</v>
      </c>
      <c r="J476" s="14">
        <f>IF(F476="","",F476*(1-I476))</f>
        <v>4712589595.718816</v>
      </c>
      <c r="K476" s="14" t="n">
        <v>6349820000</v>
      </c>
      <c r="L476" s="14" t="n">
        <v>5887415000</v>
      </c>
      <c r="M476" s="14" t="n">
        <v>1649842000</v>
      </c>
      <c r="N476" s="14">
        <f>IF(COUNT(K476:M476)&lt;3,"",K476+L476-M476)</f>
        <v>10587393000.0</v>
      </c>
      <c r="O476" s="14">
        <f>N475</f>
        <v>8497802000.0</v>
      </c>
      <c r="P476" s="14">
        <f>IF(N476="","",IF(OR(O476="",O476&lt;=0,N476&lt;=0),N476,(N476+O476)/2))</f>
        <v>9542597500.0</v>
      </c>
      <c r="Q476" t="inlineStr">
        <is>
          <t>기초·기말 평균</t>
        </is>
      </c>
      <c r="R476" s="15">
        <f>IF(OR(P476="",P476&lt;=0),"",J476/P476)</f>
        <v>0.4938476757212924</v>
      </c>
      <c r="S476" s="15">
        <f>IF(R476="","",R476-0.1)</f>
        <v>0.3938476757212924</v>
      </c>
      <c r="T476" s="15">
        <f>IF(OR(P476="",E476=0,E476=""),"",P476/E476)</f>
        <v>0.7027220711609196</v>
      </c>
      <c r="U476" t="inlineStr">
        <is>
          <t>—</t>
        </is>
      </c>
      <c r="V476" t="inlineStr">
        <is>
          <t>—</t>
        </is>
      </c>
      <c r="W476" t="inlineStr">
        <is>
          <t>OK</t>
        </is>
      </c>
      <c r="X476" t="inlineStr">
        <is>
          <t>KLA CORP</t>
        </is>
      </c>
    </row>
    <row r="477">
      <c r="A477" s="11" t="inlineStr">
        <is>
          <t>아리스타 네트웍스</t>
        </is>
      </c>
      <c r="B477" s="11" t="inlineStr">
        <is>
          <t>ANET</t>
        </is>
      </c>
      <c r="C477" s="11" t="n">
        <v>2015</v>
      </c>
      <c r="D477" s="11" t="inlineStr">
        <is>
          <t>2015-12-31</t>
        </is>
      </c>
      <c r="E477" s="12" t="n">
        <v>837591000</v>
      </c>
      <c r="F477" s="12" t="n">
        <v>149308000</v>
      </c>
      <c r="G477" s="11" t="inlineStr">
        <is>
          <t>reported</t>
        </is>
      </c>
      <c r="H477" s="11" t="inlineStr">
        <is>
          <t>HIGH</t>
        </is>
      </c>
      <c r="I477" s="13" t="n">
        <v>0.1705853748741516</v>
      </c>
      <c r="J477" s="12">
        <f>IF(F477="","",F477*(1-I477))</f>
        <v>123838238.84829018</v>
      </c>
      <c r="K477" s="12" t="n">
        <v>788152000</v>
      </c>
      <c r="L477" s="12" t="n">
        <v>0</v>
      </c>
      <c r="M477" s="12" t="n">
        <v>687326000</v>
      </c>
      <c r="N477" s="12">
        <f>IF(COUNT(K477:M477)&lt;3,"",K477+L477-M477)</f>
        <v>100826000.0</v>
      </c>
      <c r="O477" s="11" t="inlineStr">
        <is>
          <t>—</t>
        </is>
      </c>
      <c r="P477" s="12" t="inlineStr">
        <is>
          <t>—</t>
        </is>
      </c>
      <c r="Q477" s="11" t="inlineStr">
        <is>
          <t>—</t>
        </is>
      </c>
      <c r="R477" s="13" t="inlineStr">
        <is>
          <t>—</t>
        </is>
      </c>
      <c r="S477" s="13" t="inlineStr">
        <is>
          <t>—</t>
        </is>
      </c>
      <c r="T477" s="13" t="inlineStr">
        <is>
          <t>—</t>
        </is>
      </c>
      <c r="U477" s="11" t="inlineStr">
        <is>
          <t>—</t>
        </is>
      </c>
      <c r="V477" s="11" t="inlineStr">
        <is>
          <t>—</t>
        </is>
      </c>
      <c r="W477" s="11" t="inlineStr">
        <is>
          <t>다음 해 평균 투하자본의 기초값으로만 사용 (보고 기간 밖 — 자체 비율은 계산하지 않음)</t>
        </is>
      </c>
      <c r="X477" s="11" t="inlineStr">
        <is>
          <t>Arista Networks, Inc.</t>
        </is>
      </c>
    </row>
    <row r="478">
      <c r="A478" t="inlineStr">
        <is>
          <t>아리스타 네트웍스</t>
        </is>
      </c>
      <c r="B478" t="inlineStr">
        <is>
          <t>ANET</t>
        </is>
      </c>
      <c r="C478" t="n">
        <v>2016</v>
      </c>
      <c r="D478" t="inlineStr">
        <is>
          <t>2016-12-31</t>
        </is>
      </c>
      <c r="E478" s="14" t="n">
        <v>1129167000</v>
      </c>
      <c r="F478" s="14" t="n">
        <v>243409000</v>
      </c>
      <c r="G478" t="inlineStr">
        <is>
          <t>reported</t>
        </is>
      </c>
      <c r="H478" t="inlineStr">
        <is>
          <t>HIGH</t>
        </is>
      </c>
      <c r="I478" s="15" t="n">
        <v>0.2395954174837445</v>
      </c>
      <c r="J478" s="14">
        <f>IF(F478="","",F478*(1-I478))</f>
        <v>185089319.02569926</v>
      </c>
      <c r="K478" s="14" t="n">
        <v>1107820000</v>
      </c>
      <c r="L478" s="14" t="n">
        <v>0</v>
      </c>
      <c r="M478" s="14" t="n">
        <v>867833000</v>
      </c>
      <c r="N478" s="14">
        <f>IF(COUNT(K478:M478)&lt;3,"",K478+L478-M478)</f>
        <v>239987000.0</v>
      </c>
      <c r="O478" s="14">
        <f>N477</f>
        <v>100826000.0</v>
      </c>
      <c r="P478" s="14">
        <f>IF(N478="","",IF(OR(O478="",O478&lt;=0,N478&lt;=0),N478,(N478+O478)/2))</f>
        <v>170406500.0</v>
      </c>
      <c r="Q478" t="inlineStr">
        <is>
          <t>기초·기말 평균</t>
        </is>
      </c>
      <c r="R478" s="15">
        <f>IF(OR(P478="",P478&lt;=0),"",J478/P478)</f>
        <v>1.0861634915669254</v>
      </c>
      <c r="S478" s="15">
        <f>IF(R478="","",R478-0.1)</f>
        <v>0.9861634915669254</v>
      </c>
      <c r="T478" s="15">
        <f>IF(OR(P478="",E478=0,E478=""),"",P478/E478)</f>
        <v>0.15091346098495617</v>
      </c>
      <c r="U478" t="inlineStr">
        <is>
          <t>—</t>
        </is>
      </c>
      <c r="V478" t="inlineStr">
        <is>
          <t>—</t>
        </is>
      </c>
      <c r="W478" t="inlineStr">
        <is>
          <t>OK</t>
        </is>
      </c>
      <c r="X478" t="inlineStr">
        <is>
          <t>Arista Networks, Inc.</t>
        </is>
      </c>
    </row>
    <row r="479">
      <c r="A479" t="inlineStr">
        <is>
          <t>아리스타 네트웍스</t>
        </is>
      </c>
      <c r="B479" t="inlineStr">
        <is>
          <t>ANET</t>
        </is>
      </c>
      <c r="C479" t="n">
        <v>2017</v>
      </c>
      <c r="D479" t="inlineStr">
        <is>
          <t>2017-12-31</t>
        </is>
      </c>
      <c r="E479" s="14" t="n">
        <v>1646186000</v>
      </c>
      <c r="F479" s="14" t="n">
        <v>470272000</v>
      </c>
      <c r="G479" t="inlineStr">
        <is>
          <t>reported</t>
        </is>
      </c>
      <c r="H479" t="inlineStr">
        <is>
          <t>HIGH</t>
        </is>
      </c>
      <c r="I479" s="15" t="n">
        <v>0.1086001348049541</v>
      </c>
      <c r="J479" s="14">
        <f>IF(F479="","",F479*(1-I479))</f>
        <v>419200397.4050046</v>
      </c>
      <c r="K479" s="14" t="n">
        <v>1661914000</v>
      </c>
      <c r="L479" s="14" t="n">
        <v>0</v>
      </c>
      <c r="M479" s="14" t="n">
        <v>1535555000</v>
      </c>
      <c r="N479" s="14">
        <f>IF(COUNT(K479:M479)&lt;3,"",K479+L479-M479)</f>
        <v>126359000.0</v>
      </c>
      <c r="O479" s="14">
        <f>N478</f>
        <v>239987000.0</v>
      </c>
      <c r="P479" s="14">
        <f>IF(N479="","",IF(OR(O479="",O479&lt;=0,N479&lt;=0),N479,(N479+O479)/2))</f>
        <v>183173000.0</v>
      </c>
      <c r="Q479" t="inlineStr">
        <is>
          <t>기초·기말 평균</t>
        </is>
      </c>
      <c r="R479" s="15">
        <f>IF(OR(P479="",P479&lt;=0),"",J479/P479)</f>
        <v>2.2885490623891327</v>
      </c>
      <c r="S479" s="15">
        <f>IF(R479="","",R479-0.1)</f>
        <v>2.1885490623891326</v>
      </c>
      <c r="T479" s="15">
        <f>IF(OR(P479="",E479=0,E479=""),"",P479/E479)</f>
        <v>0.11127114432998458</v>
      </c>
      <c r="U479" t="inlineStr">
        <is>
          <t>—</t>
        </is>
      </c>
      <c r="V479" t="inlineStr">
        <is>
          <t>—</t>
        </is>
      </c>
      <c r="W479" t="inlineStr">
        <is>
          <t>OK</t>
        </is>
      </c>
      <c r="X479" t="inlineStr">
        <is>
          <t>Arista Networks, Inc.</t>
        </is>
      </c>
    </row>
    <row r="480">
      <c r="A480" s="9" t="inlineStr">
        <is>
          <t>아리스타 네트웍스</t>
        </is>
      </c>
      <c r="B480" s="9" t="inlineStr">
        <is>
          <t>ANET</t>
        </is>
      </c>
      <c r="C480" s="9" t="n">
        <v>2018</v>
      </c>
      <c r="D480" s="9" t="inlineStr">
        <is>
          <t>2018-12-31</t>
        </is>
      </c>
      <c r="E480" s="16" t="n">
        <v>2151369000</v>
      </c>
      <c r="F480" s="16" t="n">
        <v>273347000</v>
      </c>
      <c r="G480" s="9" t="inlineStr">
        <is>
          <t>reported</t>
        </is>
      </c>
      <c r="H480" s="9" t="inlineStr">
        <is>
          <t>HIGH</t>
        </is>
      </c>
      <c r="I480" s="17" t="n">
        <v>0.05</v>
      </c>
      <c r="J480" s="16">
        <f>IF(F480="","",F480*(1-I480))</f>
        <v>259679650.0</v>
      </c>
      <c r="K480" s="16" t="n">
        <v>2143389000</v>
      </c>
      <c r="L480" s="16" t="n">
        <v>0</v>
      </c>
      <c r="M480" s="16" t="n">
        <v>1956147000</v>
      </c>
      <c r="N480" s="16">
        <f>IF(COUNT(K480:M480)&lt;3,"",K480+L480-M480)</f>
        <v>187242000.0</v>
      </c>
      <c r="O480" s="16">
        <f>N479</f>
        <v>126359000.0</v>
      </c>
      <c r="P480" s="16">
        <f>IF(N480="","",IF(OR(O480="",O480&lt;=0,N480&lt;=0),N480,(N480+O480)/2))</f>
        <v>156800500.0</v>
      </c>
      <c r="Q480" s="9" t="inlineStr">
        <is>
          <t>기초·기말 평균</t>
        </is>
      </c>
      <c r="R480" s="17">
        <f>IF(OR(P480="",P480&lt;=0),"",J480/P480)</f>
        <v>1.6561149358579852</v>
      </c>
      <c r="S480" s="17">
        <f>IF(R480="","",R480-0.1)</f>
        <v>1.556114935857985</v>
      </c>
      <c r="T480" s="17">
        <f>IF(OR(P480="",E480=0,E480=""),"",P480/E480)</f>
        <v>0.07288405661697273</v>
      </c>
      <c r="U480" s="9" t="inlineStr">
        <is>
          <t>—</t>
        </is>
      </c>
      <c r="V480" s="9" t="inlineStr">
        <is>
          <t>—</t>
        </is>
      </c>
      <c r="W480" s="9" t="inlineStr">
        <is>
          <t>투하자본이 매출의 7.3% — 분모가 작아 비율이 민감 (판정은 유효)</t>
        </is>
      </c>
      <c r="X480" s="9" t="inlineStr">
        <is>
          <t>Arista Networks, Inc.</t>
        </is>
      </c>
    </row>
    <row r="481">
      <c r="A481" s="9" t="inlineStr">
        <is>
          <t>아리스타 네트웍스</t>
        </is>
      </c>
      <c r="B481" s="9" t="inlineStr">
        <is>
          <t>ANET</t>
        </is>
      </c>
      <c r="C481" s="9" t="n">
        <v>2019</v>
      </c>
      <c r="D481" s="9" t="inlineStr">
        <is>
          <t>2019-12-31</t>
        </is>
      </c>
      <c r="E481" s="16" t="n">
        <v>2410706000</v>
      </c>
      <c r="F481" s="16" t="n">
        <v>805774000</v>
      </c>
      <c r="G481" s="9" t="inlineStr">
        <is>
          <t>reported</t>
        </is>
      </c>
      <c r="H481" s="9" t="inlineStr">
        <is>
          <t>HIGH</t>
        </is>
      </c>
      <c r="I481" s="17" t="n">
        <v>0.05</v>
      </c>
      <c r="J481" s="16">
        <f>IF(F481="","",F481*(1-I481))</f>
        <v>765485300.0</v>
      </c>
      <c r="K481" s="16" t="n">
        <v>2894686000</v>
      </c>
      <c r="L481" s="16" t="n">
        <v>0</v>
      </c>
      <c r="M481" s="16" t="n">
        <v>2724368000</v>
      </c>
      <c r="N481" s="16">
        <f>IF(COUNT(K481:M481)&lt;3,"",K481+L481-M481)</f>
        <v>170318000.0</v>
      </c>
      <c r="O481" s="16">
        <f>N480</f>
        <v>187242000.0</v>
      </c>
      <c r="P481" s="16">
        <f>IF(N481="","",IF(OR(O481="",O481&lt;=0,N481&lt;=0),N481,(N481+O481)/2))</f>
        <v>178780000.0</v>
      </c>
      <c r="Q481" s="9" t="inlineStr">
        <is>
          <t>기초·기말 평균</t>
        </is>
      </c>
      <c r="R481" s="17">
        <f>IF(OR(P481="",P481&lt;=0),"",J481/P481)</f>
        <v>4.281716634970355</v>
      </c>
      <c r="S481" s="17">
        <f>IF(R481="","",R481-0.1)</f>
        <v>4.181716634970355</v>
      </c>
      <c r="T481" s="17">
        <f>IF(OR(P481="",E481=0,E481=""),"",P481/E481)</f>
        <v>0.0741608474861721</v>
      </c>
      <c r="U481" s="9" t="inlineStr">
        <is>
          <t>—</t>
        </is>
      </c>
      <c r="V481" s="9" t="inlineStr">
        <is>
          <t>—</t>
        </is>
      </c>
      <c r="W481" s="9" t="inlineStr">
        <is>
          <t>투하자본이 매출의 7.4% — 분모가 작아 비율이 민감 (판정은 유효)</t>
        </is>
      </c>
      <c r="X481" s="9" t="inlineStr">
        <is>
          <t>Arista Networks, Inc.</t>
        </is>
      </c>
    </row>
    <row r="482">
      <c r="A482" t="inlineStr">
        <is>
          <t>아리스타 네트웍스</t>
        </is>
      </c>
      <c r="B482" t="inlineStr">
        <is>
          <t>ANET</t>
        </is>
      </c>
      <c r="C482" t="n">
        <v>2020</v>
      </c>
      <c r="D482" t="inlineStr">
        <is>
          <t>2020-12-31</t>
        </is>
      </c>
      <c r="E482" s="14" t="n">
        <v>2317512000</v>
      </c>
      <c r="F482" s="14" t="n">
        <v>699684000</v>
      </c>
      <c r="G482" t="inlineStr">
        <is>
          <t>reported</t>
        </is>
      </c>
      <c r="H482" t="inlineStr">
        <is>
          <t>HIGH</t>
        </is>
      </c>
      <c r="I482" s="15" t="n">
        <v>0.1411709613284195</v>
      </c>
      <c r="J482" s="14">
        <f>IF(F482="","",F482*(1-I482))</f>
        <v>600908937.0938861</v>
      </c>
      <c r="K482" s="14" t="n">
        <v>3320291000</v>
      </c>
      <c r="L482" s="14" t="n">
        <v>0</v>
      </c>
      <c r="M482" s="14" t="n">
        <v>2872868000</v>
      </c>
      <c r="N482" s="14">
        <f>IF(COUNT(K482:M482)&lt;3,"",K482+L482-M482)</f>
        <v>447423000.0</v>
      </c>
      <c r="O482" s="14">
        <f>N481</f>
        <v>170318000.0</v>
      </c>
      <c r="P482" s="14">
        <f>IF(N482="","",IF(OR(O482="",O482&lt;=0,N482&lt;=0),N482,(N482+O482)/2))</f>
        <v>308870500.0</v>
      </c>
      <c r="Q482" t="inlineStr">
        <is>
          <t>기초·기말 평균</t>
        </is>
      </c>
      <c r="R482" s="15">
        <f>IF(OR(P482="",P482&lt;=0),"",J482/P482)</f>
        <v>1.9455044657676475</v>
      </c>
      <c r="S482" s="15">
        <f>IF(R482="","",R482-0.1)</f>
        <v>1.8455044657676474</v>
      </c>
      <c r="T482" s="15">
        <f>IF(OR(P482="",E482=0,E482=""),"",P482/E482)</f>
        <v>0.1332767640469607</v>
      </c>
      <c r="U482" t="inlineStr">
        <is>
          <t>—</t>
        </is>
      </c>
      <c r="V482" t="inlineStr">
        <is>
          <t>—</t>
        </is>
      </c>
      <c r="W482" t="inlineStr">
        <is>
          <t>OK</t>
        </is>
      </c>
      <c r="X482" t="inlineStr">
        <is>
          <t>Arista Networks, Inc.</t>
        </is>
      </c>
    </row>
    <row r="483">
      <c r="A483" t="inlineStr">
        <is>
          <t>아리스타 네트웍스</t>
        </is>
      </c>
      <c r="B483" t="inlineStr">
        <is>
          <t>ANET</t>
        </is>
      </c>
      <c r="C483" t="n">
        <v>2021</v>
      </c>
      <c r="D483" t="inlineStr">
        <is>
          <t>2021-12-31</t>
        </is>
      </c>
      <c r="E483" s="14" t="n">
        <v>2948037000</v>
      </c>
      <c r="F483" s="14" t="n">
        <v>924739000</v>
      </c>
      <c r="G483" t="inlineStr">
        <is>
          <t>reported</t>
        </is>
      </c>
      <c r="H483" t="inlineStr">
        <is>
          <t>HIGH</t>
        </is>
      </c>
      <c r="I483" s="15" t="n">
        <v>0.09670966903324707</v>
      </c>
      <c r="J483" s="14">
        <f>IF(F483="","",F483*(1-I483))</f>
        <v>835307797.3678641</v>
      </c>
      <c r="K483" s="14" t="n">
        <v>3978600000</v>
      </c>
      <c r="L483" s="14" t="n">
        <v>0</v>
      </c>
      <c r="M483" s="14" t="n">
        <v>3408315000</v>
      </c>
      <c r="N483" s="14">
        <f>IF(COUNT(K483:M483)&lt;3,"",K483+L483-M483)</f>
        <v>570285000.0</v>
      </c>
      <c r="O483" s="14">
        <f>N482</f>
        <v>447423000.0</v>
      </c>
      <c r="P483" s="14">
        <f>IF(N483="","",IF(OR(O483="",O483&lt;=0,N483&lt;=0),N483,(N483+O483)/2))</f>
        <v>508854000.0</v>
      </c>
      <c r="Q483" t="inlineStr">
        <is>
          <t>기초·기말 평균</t>
        </is>
      </c>
      <c r="R483" s="15">
        <f>IF(OR(P483="",P483&lt;=0),"",J483/P483)</f>
        <v>1.6415470790597384</v>
      </c>
      <c r="S483" s="15">
        <f>IF(R483="","",R483-0.1)</f>
        <v>1.5415470790597383</v>
      </c>
      <c r="T483" s="15">
        <f>IF(OR(P483="",E483=0,E483=""),"",P483/E483)</f>
        <v>0.17260773864100076</v>
      </c>
      <c r="U483" t="inlineStr">
        <is>
          <t>—</t>
        </is>
      </c>
      <c r="V483" t="inlineStr">
        <is>
          <t>—</t>
        </is>
      </c>
      <c r="W483" t="inlineStr">
        <is>
          <t>OK</t>
        </is>
      </c>
      <c r="X483" t="inlineStr">
        <is>
          <t>Arista Networks, Inc.</t>
        </is>
      </c>
    </row>
    <row r="484">
      <c r="A484" t="inlineStr">
        <is>
          <t>아리스타 네트웍스</t>
        </is>
      </c>
      <c r="B484" t="inlineStr">
        <is>
          <t>ANET</t>
        </is>
      </c>
      <c r="C484" t="n">
        <v>2022</v>
      </c>
      <c r="D484" t="inlineStr">
        <is>
          <t>2022-12-31</t>
        </is>
      </c>
      <c r="E484" s="14" t="n">
        <v>4381310000</v>
      </c>
      <c r="F484" s="14" t="n">
        <v>1527106000</v>
      </c>
      <c r="G484" t="inlineStr">
        <is>
          <t>reported</t>
        </is>
      </c>
      <c r="H484" t="inlineStr">
        <is>
          <t>HIGH</t>
        </is>
      </c>
      <c r="I484" s="15" t="n">
        <v>0.1449934125513024</v>
      </c>
      <c r="J484" s="14">
        <f>IF(F484="","",F484*(1-I484))</f>
        <v>1305685689.732431</v>
      </c>
      <c r="K484" s="14" t="n">
        <v>4885800000</v>
      </c>
      <c r="L484" s="14" t="n">
        <v>0</v>
      </c>
      <c r="M484" s="14" t="n">
        <v>3023729000</v>
      </c>
      <c r="N484" s="14">
        <f>IF(COUNT(K484:M484)&lt;3,"",K484+L484-M484)</f>
        <v>1862071000.0</v>
      </c>
      <c r="O484" s="14">
        <f>N483</f>
        <v>570285000.0</v>
      </c>
      <c r="P484" s="14">
        <f>IF(N484="","",IF(OR(O484="",O484&lt;=0,N484&lt;=0),N484,(N484+O484)/2))</f>
        <v>1216178000.0</v>
      </c>
      <c r="Q484" t="inlineStr">
        <is>
          <t>기초·기말 평균</t>
        </is>
      </c>
      <c r="R484" s="15">
        <f>IF(OR(P484="",P484&lt;=0),"",J484/P484)</f>
        <v>1.0735975241555356</v>
      </c>
      <c r="S484" s="15">
        <f>IF(R484="","",R484-0.1)</f>
        <v>0.9735975241555356</v>
      </c>
      <c r="T484" s="15">
        <f>IF(OR(P484="",E484=0,E484=""),"",P484/E484)</f>
        <v>0.27758318858971404</v>
      </c>
      <c r="U484" t="inlineStr">
        <is>
          <t>—</t>
        </is>
      </c>
      <c r="V484" t="inlineStr">
        <is>
          <t>—</t>
        </is>
      </c>
      <c r="W484" t="inlineStr">
        <is>
          <t>OK</t>
        </is>
      </c>
      <c r="X484" t="inlineStr">
        <is>
          <t>Arista Networks, Inc.</t>
        </is>
      </c>
    </row>
    <row r="485">
      <c r="A485" t="inlineStr">
        <is>
          <t>아리스타 네트웍스</t>
        </is>
      </c>
      <c r="B485" t="inlineStr">
        <is>
          <t>ANET</t>
        </is>
      </c>
      <c r="C485" t="n">
        <v>2023</v>
      </c>
      <c r="D485" t="inlineStr">
        <is>
          <t>2023-12-31</t>
        </is>
      </c>
      <c r="E485" s="14" t="n">
        <v>5860200000</v>
      </c>
      <c r="F485" s="14" t="n">
        <v>2257300000</v>
      </c>
      <c r="G485" t="inlineStr">
        <is>
          <t>reported</t>
        </is>
      </c>
      <c r="H485" t="inlineStr">
        <is>
          <t>HIGH</t>
        </is>
      </c>
      <c r="I485" s="15" t="n">
        <v>0.1381915772089183</v>
      </c>
      <c r="J485" s="14">
        <f>IF(F485="","",F485*(1-I485))</f>
        <v>1945360152.7663088</v>
      </c>
      <c r="K485" s="14" t="n">
        <v>7219000000</v>
      </c>
      <c r="L485" s="14" t="n">
        <v>0</v>
      </c>
      <c r="M485" s="14" t="n">
        <v>5007968000</v>
      </c>
      <c r="N485" s="14">
        <f>IF(COUNT(K485:M485)&lt;3,"",K485+L485-M485)</f>
        <v>2211032000.0</v>
      </c>
      <c r="O485" s="14">
        <f>N484</f>
        <v>1862071000.0</v>
      </c>
      <c r="P485" s="14">
        <f>IF(N485="","",IF(OR(O485="",O485&lt;=0,N485&lt;=0),N485,(N485+O485)/2))</f>
        <v>2036551500.0</v>
      </c>
      <c r="Q485" t="inlineStr">
        <is>
          <t>기초·기말 평균</t>
        </is>
      </c>
      <c r="R485" s="15">
        <f>IF(OR(P485="",P485&lt;=0),"",J485/P485)</f>
        <v>0.9552226657495815</v>
      </c>
      <c r="S485" s="15">
        <f>IF(R485="","",R485-0.1)</f>
        <v>0.8552226657495815</v>
      </c>
      <c r="T485" s="15">
        <f>IF(OR(P485="",E485=0,E485=""),"",P485/E485)</f>
        <v>0.34752252482850415</v>
      </c>
      <c r="U485" t="inlineStr">
        <is>
          <t>—</t>
        </is>
      </c>
      <c r="V485" t="inlineStr">
        <is>
          <t>—</t>
        </is>
      </c>
      <c r="W485" t="inlineStr">
        <is>
          <t>OK</t>
        </is>
      </c>
      <c r="X485" t="inlineStr">
        <is>
          <t>Arista Networks, Inc.</t>
        </is>
      </c>
    </row>
    <row r="486">
      <c r="A486" t="inlineStr">
        <is>
          <t>아리스타 네트웍스</t>
        </is>
      </c>
      <c r="B486" t="inlineStr">
        <is>
          <t>ANET</t>
        </is>
      </c>
      <c r="C486" t="n">
        <v>2024</v>
      </c>
      <c r="D486" t="inlineStr">
        <is>
          <t>2024-12-31</t>
        </is>
      </c>
      <c r="E486" s="14" t="n">
        <v>7003100000</v>
      </c>
      <c r="F486" s="14" t="n">
        <v>2944600000</v>
      </c>
      <c r="G486" t="inlineStr">
        <is>
          <t>reported</t>
        </is>
      </c>
      <c r="H486" t="inlineStr">
        <is>
          <t>HIGH</t>
        </is>
      </c>
      <c r="I486" s="15" t="n">
        <v>0.1264892346329362</v>
      </c>
      <c r="J486" s="14">
        <f>IF(F486="","",F486*(1-I486))</f>
        <v>2572139799.699856</v>
      </c>
      <c r="K486" s="14" t="n">
        <v>9994800000</v>
      </c>
      <c r="L486" s="14" t="n">
        <v>0</v>
      </c>
      <c r="M486" s="14" t="n">
        <v>8303500000</v>
      </c>
      <c r="N486" s="14">
        <f>IF(COUNT(K486:M486)&lt;3,"",K486+L486-M486)</f>
        <v>1691300000.0</v>
      </c>
      <c r="O486" s="14">
        <f>N485</f>
        <v>2211032000.0</v>
      </c>
      <c r="P486" s="14">
        <f>IF(N486="","",IF(OR(O486="",O486&lt;=0,N486&lt;=0),N486,(N486+O486)/2))</f>
        <v>1951166000.0</v>
      </c>
      <c r="Q486" t="inlineStr">
        <is>
          <t>기초·기말 평균</t>
        </is>
      </c>
      <c r="R486" s="15">
        <f>IF(OR(P486="",P486&lt;=0),"",J486/P486)</f>
        <v>1.3182578005663566</v>
      </c>
      <c r="S486" s="15">
        <f>IF(R486="","",R486-0.1)</f>
        <v>1.2182578005663565</v>
      </c>
      <c r="T486" s="15">
        <f>IF(OR(P486="",E486=0,E486=""),"",P486/E486)</f>
        <v>0.2786146135282946</v>
      </c>
      <c r="U486" t="inlineStr">
        <is>
          <t>—</t>
        </is>
      </c>
      <c r="V486" t="inlineStr">
        <is>
          <t>—</t>
        </is>
      </c>
      <c r="W486" t="inlineStr">
        <is>
          <t>OK</t>
        </is>
      </c>
      <c r="X486" t="inlineStr">
        <is>
          <t>Arista Networks, Inc.</t>
        </is>
      </c>
    </row>
    <row r="487">
      <c r="A487" t="inlineStr">
        <is>
          <t>아리스타 네트웍스</t>
        </is>
      </c>
      <c r="B487" t="inlineStr">
        <is>
          <t>ANET</t>
        </is>
      </c>
      <c r="C487" t="n">
        <v>2025</v>
      </c>
      <c r="D487" t="inlineStr">
        <is>
          <t>2025-12-31</t>
        </is>
      </c>
      <c r="E487" s="14" t="n">
        <v>9005700000</v>
      </c>
      <c r="F487" s="14" t="n">
        <v>3856100000</v>
      </c>
      <c r="G487" t="inlineStr">
        <is>
          <t>reported</t>
        </is>
      </c>
      <c r="H487" t="inlineStr">
        <is>
          <t>HIGH</t>
        </is>
      </c>
      <c r="I487" s="15" t="n">
        <v>0.1737299103466127</v>
      </c>
      <c r="J487" s="14">
        <f>IF(F487="","",F487*(1-I487))</f>
        <v>3186180092.7124267</v>
      </c>
      <c r="K487" s="14" t="n">
        <v>12370500000</v>
      </c>
      <c r="L487" s="14" t="n">
        <v>0</v>
      </c>
      <c r="M487" s="14" t="n">
        <v>10743000000</v>
      </c>
      <c r="N487" s="14">
        <f>IF(COUNT(K487:M487)&lt;3,"",K487+L487-M487)</f>
        <v>1627500000.0</v>
      </c>
      <c r="O487" s="14">
        <f>N486</f>
        <v>1691300000.0</v>
      </c>
      <c r="P487" s="14">
        <f>IF(N487="","",IF(OR(O487="",O487&lt;=0,N487&lt;=0),N487,(N487+O487)/2))</f>
        <v>1659400000.0</v>
      </c>
      <c r="Q487" t="inlineStr">
        <is>
          <t>기초·기말 평균</t>
        </is>
      </c>
      <c r="R487" s="15">
        <f>IF(OR(P487="",P487&lt;=0),"",J487/P487)</f>
        <v>1.9200796026952072</v>
      </c>
      <c r="S487" s="15">
        <f>IF(R487="","",R487-0.1)</f>
        <v>1.820079602695207</v>
      </c>
      <c r="T487" s="15">
        <f>IF(OR(P487="",E487=0,E487=""),"",P487/E487)</f>
        <v>0.18426107909435135</v>
      </c>
      <c r="U487" t="inlineStr">
        <is>
          <t>—</t>
        </is>
      </c>
      <c r="V487" t="inlineStr">
        <is>
          <t>—</t>
        </is>
      </c>
      <c r="W487" t="inlineStr">
        <is>
          <t>OK</t>
        </is>
      </c>
      <c r="X487" t="inlineStr">
        <is>
          <t>Arista Networks, Inc.</t>
        </is>
      </c>
    </row>
    <row r="488">
      <c r="A488" s="18" t="inlineStr">
        <is>
          <t>아메리칸 익스프레스</t>
        </is>
      </c>
      <c r="B488" s="18" t="inlineStr">
        <is>
          <t>AXP</t>
        </is>
      </c>
      <c r="C488" s="18" t="n">
        <v>2016</v>
      </c>
      <c r="D488" s="18" t="inlineStr">
        <is>
          <t>2016-12-31</t>
        </is>
      </c>
      <c r="E488" s="19" t="n">
        <v>24235000000</v>
      </c>
      <c r="F488" s="19" t="n">
        <v>9747000000</v>
      </c>
      <c r="G488" s="18" t="inlineStr">
        <is>
          <t>pretax_plus_interest_less_investment_income</t>
        </is>
      </c>
      <c r="H488" s="18" t="inlineStr">
        <is>
          <t>LOW</t>
        </is>
      </c>
      <c r="I488" s="20" t="n">
        <v>0.3316339219099727</v>
      </c>
      <c r="J488" s="19">
        <f>IF(F488="","",F488*(1-I488))</f>
        <v>6514564163.1434965</v>
      </c>
      <c r="K488" s="19" t="n">
        <v>20523000000</v>
      </c>
      <c r="L488" s="19" t="n">
        <v>52571000000</v>
      </c>
      <c r="M488" s="19" t="n">
        <v>25494000000</v>
      </c>
      <c r="N488" s="19">
        <f>IF(COUNT(K488:M488)&lt;3,"",K488+L488-M488)</f>
        <v>47600000000.0</v>
      </c>
      <c r="O488" s="18" t="inlineStr">
        <is>
          <t>—</t>
        </is>
      </c>
      <c r="P488" s="19">
        <f>N488</f>
        <v>47600000000.0</v>
      </c>
      <c r="Q488" s="18" t="inlineStr">
        <is>
          <t>기말 (직전연도 없음)</t>
        </is>
      </c>
      <c r="R488" s="18" t="inlineStr">
        <is>
          <t>—</t>
        </is>
      </c>
      <c r="S488" s="18" t="inlineStr">
        <is>
          <t>—</t>
        </is>
      </c>
      <c r="T488" s="20">
        <f>IF(OR(P488="",E488=0,E488=""),"",P488/E488)</f>
        <v>1.964101506086239</v>
      </c>
      <c r="U488" s="18" t="inlineStr">
        <is>
          <t>—</t>
        </is>
      </c>
      <c r="V488" s="18" t="inlineStr">
        <is>
          <t>—</t>
        </is>
      </c>
      <c r="W488" s="18" t="inlineStr">
        <is>
          <t>금융업 — ROIC 정의 부적합</t>
        </is>
      </c>
      <c r="X488" s="18" t="inlineStr">
        <is>
          <t>AMERICAN EXPRESS CO</t>
        </is>
      </c>
    </row>
    <row r="489">
      <c r="A489" s="18" t="inlineStr">
        <is>
          <t>아메리칸 익스프레스</t>
        </is>
      </c>
      <c r="B489" s="18" t="inlineStr">
        <is>
          <t>AXP</t>
        </is>
      </c>
      <c r="C489" s="18" t="n">
        <v>2017</v>
      </c>
      <c r="D489" s="18" t="inlineStr">
        <is>
          <t>2017-12-31</t>
        </is>
      </c>
      <c r="E489" s="19" t="n">
        <v>24780000000</v>
      </c>
      <c r="F489" s="19" t="n">
        <v>9537000000</v>
      </c>
      <c r="G489" s="18" t="inlineStr">
        <is>
          <t>pretax_plus_interest_less_investment_income</t>
        </is>
      </c>
      <c r="H489" s="18" t="inlineStr">
        <is>
          <t>LOW</t>
        </is>
      </c>
      <c r="I489" s="20" t="n">
        <v>0.4</v>
      </c>
      <c r="J489" s="19">
        <f>IF(F489="","",F489*(1-I489))</f>
        <v>5722200000.0</v>
      </c>
      <c r="K489" s="19" t="n">
        <v>18261000000</v>
      </c>
      <c r="L489" s="19" t="n">
        <v>59082000000</v>
      </c>
      <c r="M489" s="19" t="n">
        <v>33333000000</v>
      </c>
      <c r="N489" s="19">
        <f>IF(COUNT(K489:M489)&lt;3,"",K489+L489-M489)</f>
        <v>44010000000.0</v>
      </c>
      <c r="O489" s="19">
        <f>N488</f>
        <v>47600000000.0</v>
      </c>
      <c r="P489" s="19">
        <f>IF(N489="","",IF(OR(O489="",O489&lt;=0,N489&lt;=0),N489,(N489+O489)/2))</f>
        <v>45805000000.0</v>
      </c>
      <c r="Q489" s="18" t="inlineStr">
        <is>
          <t>기초·기말 평균</t>
        </is>
      </c>
      <c r="R489" s="18" t="inlineStr">
        <is>
          <t>—</t>
        </is>
      </c>
      <c r="S489" s="18" t="inlineStr">
        <is>
          <t>—</t>
        </is>
      </c>
      <c r="T489" s="20">
        <f>IF(OR(P489="",E489=0,E489=""),"",P489/E489)</f>
        <v>1.8484665052461662</v>
      </c>
      <c r="U489" s="18" t="inlineStr">
        <is>
          <t>—</t>
        </is>
      </c>
      <c r="V489" s="18" t="inlineStr">
        <is>
          <t>—</t>
        </is>
      </c>
      <c r="W489" s="18" t="inlineStr">
        <is>
          <t>금융업 — ROIC 정의 부적합</t>
        </is>
      </c>
      <c r="X489" s="18" t="inlineStr">
        <is>
          <t>AMERICAN EXPRESS CO</t>
        </is>
      </c>
    </row>
    <row r="490">
      <c r="A490" s="18" t="inlineStr">
        <is>
          <t>아메리칸 익스프레스</t>
        </is>
      </c>
      <c r="B490" s="18" t="inlineStr">
        <is>
          <t>AXP</t>
        </is>
      </c>
      <c r="C490" s="18" t="n">
        <v>2018</v>
      </c>
      <c r="D490" s="18" t="inlineStr">
        <is>
          <t>2018-12-31</t>
        </is>
      </c>
      <c r="E490" s="19" t="n">
        <v>26607000000</v>
      </c>
      <c r="F490" s="19" t="n">
        <v>11065000000</v>
      </c>
      <c r="G490" s="18" t="inlineStr">
        <is>
          <t>pretax_plus_interest_less_investment_income</t>
        </is>
      </c>
      <c r="H490" s="18" t="inlineStr">
        <is>
          <t>LOW</t>
        </is>
      </c>
      <c r="I490" s="20" t="n">
        <v>0.1478699827628663</v>
      </c>
      <c r="J490" s="19">
        <f>IF(F490="","",F490*(1-I490))</f>
        <v>9428818640.728884</v>
      </c>
      <c r="K490" s="19" t="n">
        <v>22290000000</v>
      </c>
      <c r="L490" s="19" t="n">
        <v>61523000000</v>
      </c>
      <c r="M490" s="19" t="n">
        <v>27974000000</v>
      </c>
      <c r="N490" s="19">
        <f>IF(COUNT(K490:M490)&lt;3,"",K490+L490-M490)</f>
        <v>55839000000.0</v>
      </c>
      <c r="O490" s="19">
        <f>N489</f>
        <v>44010000000.0</v>
      </c>
      <c r="P490" s="19">
        <f>IF(N490="","",IF(OR(O490="",O490&lt;=0,N490&lt;=0),N490,(N490+O490)/2))</f>
        <v>49924500000.0</v>
      </c>
      <c r="Q490" s="18" t="inlineStr">
        <is>
          <t>기초·기말 평균</t>
        </is>
      </c>
      <c r="R490" s="18" t="inlineStr">
        <is>
          <t>—</t>
        </is>
      </c>
      <c r="S490" s="18" t="inlineStr">
        <is>
          <t>—</t>
        </is>
      </c>
      <c r="T490" s="20">
        <f>IF(OR(P490="",E490=0,E490=""),"",P490/E490)</f>
        <v>1.876367121434209</v>
      </c>
      <c r="U490" s="18" t="inlineStr">
        <is>
          <t>—</t>
        </is>
      </c>
      <c r="V490" s="18" t="inlineStr">
        <is>
          <t>—</t>
        </is>
      </c>
      <c r="W490" s="18" t="inlineStr">
        <is>
          <t>금융업 — ROIC 정의 부적합</t>
        </is>
      </c>
      <c r="X490" s="18" t="inlineStr">
        <is>
          <t>AMERICAN EXPRESS CO</t>
        </is>
      </c>
    </row>
    <row r="491">
      <c r="A491" s="18" t="inlineStr">
        <is>
          <t>아메리칸 익스프레스</t>
        </is>
      </c>
      <c r="B491" s="18" t="inlineStr">
        <is>
          <t>AXP</t>
        </is>
      </c>
      <c r="C491" s="18" t="n">
        <v>2019</v>
      </c>
      <c r="D491" s="18" t="inlineStr">
        <is>
          <t>2019-12-31</t>
        </is>
      </c>
      <c r="E491" s="19" t="n">
        <v>28159000000</v>
      </c>
      <c r="F491" s="19" t="n">
        <v>11893000000</v>
      </c>
      <c r="G491" s="18" t="inlineStr">
        <is>
          <t>pretax_plus_interest_less_investment_income</t>
        </is>
      </c>
      <c r="H491" s="18" t="inlineStr">
        <is>
          <t>LOW</t>
        </is>
      </c>
      <c r="I491" s="20" t="n">
        <v>0.1981255190414047</v>
      </c>
      <c r="J491" s="19">
        <f>IF(F491="","",F491*(1-I491))</f>
        <v>9536693202.040573</v>
      </c>
      <c r="K491" s="19" t="n">
        <v>23071000000</v>
      </c>
      <c r="L491" s="19" t="n">
        <v>64277000000</v>
      </c>
      <c r="M491" s="19" t="n">
        <v>24669000000</v>
      </c>
      <c r="N491" s="19">
        <f>IF(COUNT(K491:M491)&lt;3,"",K491+L491-M491)</f>
        <v>62679000000.0</v>
      </c>
      <c r="O491" s="19">
        <f>N490</f>
        <v>55839000000.0</v>
      </c>
      <c r="P491" s="19">
        <f>IF(N491="","",IF(OR(O491="",O491&lt;=0,N491&lt;=0),N491,(N491+O491)/2))</f>
        <v>59259000000.0</v>
      </c>
      <c r="Q491" s="18" t="inlineStr">
        <is>
          <t>기초·기말 평균</t>
        </is>
      </c>
      <c r="R491" s="18" t="inlineStr">
        <is>
          <t>—</t>
        </is>
      </c>
      <c r="S491" s="18" t="inlineStr">
        <is>
          <t>—</t>
        </is>
      </c>
      <c r="T491" s="20">
        <f>IF(OR(P491="",E491=0,E491=""),"",P491/E491)</f>
        <v>2.1044426293547356</v>
      </c>
      <c r="U491" s="18" t="inlineStr">
        <is>
          <t>—</t>
        </is>
      </c>
      <c r="V491" s="18" t="inlineStr">
        <is>
          <t>—</t>
        </is>
      </c>
      <c r="W491" s="18" t="inlineStr">
        <is>
          <t>금융업 — ROIC 정의 부적합</t>
        </is>
      </c>
      <c r="X491" s="18" t="inlineStr">
        <is>
          <t>AMERICAN EXPRESS CO</t>
        </is>
      </c>
    </row>
    <row r="492">
      <c r="A492" s="18" t="inlineStr">
        <is>
          <t>아메리칸 익스프레스</t>
        </is>
      </c>
      <c r="B492" s="18" t="inlineStr">
        <is>
          <t>AXP</t>
        </is>
      </c>
      <c r="C492" s="18" t="n">
        <v>2020</v>
      </c>
      <c r="D492" s="18" t="inlineStr">
        <is>
          <t>2020-12-31</t>
        </is>
      </c>
      <c r="E492" s="19" t="n">
        <v>21974000000</v>
      </c>
      <c r="F492" s="19" t="n">
        <v>6394000000</v>
      </c>
      <c r="G492" s="18" t="inlineStr">
        <is>
          <t>pretax_plus_interest_less_investment_income</t>
        </is>
      </c>
      <c r="H492" s="18" t="inlineStr">
        <is>
          <t>LOW</t>
        </is>
      </c>
      <c r="I492" s="20" t="n">
        <v>0.2702513966480447</v>
      </c>
      <c r="J492" s="19">
        <f>IF(F492="","",F492*(1-I492))</f>
        <v>4666012569.832402</v>
      </c>
      <c r="K492" s="19" t="n">
        <v>22984000000</v>
      </c>
      <c r="L492" s="19" t="n">
        <v>44830000000</v>
      </c>
      <c r="M492" s="19" t="n">
        <v>33122000000</v>
      </c>
      <c r="N492" s="19">
        <f>IF(COUNT(K492:M492)&lt;3,"",K492+L492-M492)</f>
        <v>34692000000.0</v>
      </c>
      <c r="O492" s="19">
        <f>N491</f>
        <v>62679000000.0</v>
      </c>
      <c r="P492" s="19">
        <f>IF(N492="","",IF(OR(O492="",O492&lt;=0,N492&lt;=0),N492,(N492+O492)/2))</f>
        <v>48685500000.0</v>
      </c>
      <c r="Q492" s="18" t="inlineStr">
        <is>
          <t>기초·기말 평균</t>
        </is>
      </c>
      <c r="R492" s="18" t="inlineStr">
        <is>
          <t>—</t>
        </is>
      </c>
      <c r="S492" s="18" t="inlineStr">
        <is>
          <t>—</t>
        </is>
      </c>
      <c r="T492" s="20">
        <f>IF(OR(P492="",E492=0,E492=""),"",P492/E492)</f>
        <v>2.2155957040138343</v>
      </c>
      <c r="U492" s="18" t="inlineStr">
        <is>
          <t>—</t>
        </is>
      </c>
      <c r="V492" s="18" t="inlineStr">
        <is>
          <t>—</t>
        </is>
      </c>
      <c r="W492" s="18" t="inlineStr">
        <is>
          <t>금융업 — ROIC 정의 부적합</t>
        </is>
      </c>
      <c r="X492" s="18" t="inlineStr">
        <is>
          <t>AMERICAN EXPRESS CO</t>
        </is>
      </c>
    </row>
    <row r="493">
      <c r="A493" s="18" t="inlineStr">
        <is>
          <t>아메리칸 익스프레스</t>
        </is>
      </c>
      <c r="B493" s="18" t="inlineStr">
        <is>
          <t>AXP</t>
        </is>
      </c>
      <c r="C493" s="18" t="n">
        <v>2021</v>
      </c>
      <c r="D493" s="18" t="inlineStr">
        <is>
          <t>2021-12-31</t>
        </is>
      </c>
      <c r="E493" s="19" t="n">
        <v>27716000000</v>
      </c>
      <c r="F493" s="19" t="n">
        <v>11972000000</v>
      </c>
      <c r="G493" s="18" t="inlineStr">
        <is>
          <t>pretax_plus_interest_less_investment_income</t>
        </is>
      </c>
      <c r="H493" s="18" t="inlineStr">
        <is>
          <t>LOW</t>
        </is>
      </c>
      <c r="I493" s="20" t="n">
        <v>0.2459537842641968</v>
      </c>
      <c r="J493" s="19">
        <f>IF(F493="","",F493*(1-I493))</f>
        <v>9027441294.789036</v>
      </c>
      <c r="K493" s="19" t="n">
        <v>22177000000</v>
      </c>
      <c r="L493" s="19" t="n">
        <v>40918000000</v>
      </c>
      <c r="M493" s="19" t="n">
        <v>21691000000</v>
      </c>
      <c r="N493" s="19">
        <f>IF(COUNT(K493:M493)&lt;3,"",K493+L493-M493)</f>
        <v>41404000000.0</v>
      </c>
      <c r="O493" s="19">
        <f>N492</f>
        <v>34692000000.0</v>
      </c>
      <c r="P493" s="19">
        <f>IF(N493="","",IF(OR(O493="",O493&lt;=0,N493&lt;=0),N493,(N493+O493)/2))</f>
        <v>38048000000.0</v>
      </c>
      <c r="Q493" s="18" t="inlineStr">
        <is>
          <t>기초·기말 평균</t>
        </is>
      </c>
      <c r="R493" s="18" t="inlineStr">
        <is>
          <t>—</t>
        </is>
      </c>
      <c r="S493" s="18" t="inlineStr">
        <is>
          <t>—</t>
        </is>
      </c>
      <c r="T493" s="20">
        <f>IF(OR(P493="",E493=0,E493=""),"",P493/E493)</f>
        <v>1.3727810650887573</v>
      </c>
      <c r="U493" s="18" t="inlineStr">
        <is>
          <t>—</t>
        </is>
      </c>
      <c r="V493" s="18" t="inlineStr">
        <is>
          <t>—</t>
        </is>
      </c>
      <c r="W493" s="18" t="inlineStr">
        <is>
          <t>금융업 — ROIC 정의 부적합</t>
        </is>
      </c>
      <c r="X493" s="18" t="inlineStr">
        <is>
          <t>AMERICAN EXPRESS CO</t>
        </is>
      </c>
    </row>
    <row r="494">
      <c r="A494" s="18" t="inlineStr">
        <is>
          <t>아메리칸 익스프레스</t>
        </is>
      </c>
      <c r="B494" s="18" t="inlineStr">
        <is>
          <t>AXP</t>
        </is>
      </c>
      <c r="C494" s="18" t="n">
        <v>2022</v>
      </c>
      <c r="D494" s="18" t="inlineStr">
        <is>
          <t>2022-12-31</t>
        </is>
      </c>
      <c r="E494" s="19" t="n">
        <v>34219000000</v>
      </c>
      <c r="F494" s="19" t="n">
        <v>12348000000</v>
      </c>
      <c r="G494" s="18" t="inlineStr">
        <is>
          <t>pretax_plus_interest_less_investment_income</t>
        </is>
      </c>
      <c r="H494" s="18" t="inlineStr">
        <is>
          <t>LOW</t>
        </is>
      </c>
      <c r="I494" s="20" t="n">
        <v>0.2160667709963485</v>
      </c>
      <c r="J494" s="19">
        <f>IF(F494="","",F494*(1-I494))</f>
        <v>9680007511.73709</v>
      </c>
      <c r="K494" s="19" t="n">
        <v>24711000000</v>
      </c>
      <c r="L494" s="19" t="n">
        <v>43921000000</v>
      </c>
      <c r="M494" s="19" t="n">
        <v>33677000000</v>
      </c>
      <c r="N494" s="19">
        <f>IF(COUNT(K494:M494)&lt;3,"",K494+L494-M494)</f>
        <v>34955000000.0</v>
      </c>
      <c r="O494" s="19">
        <f>N493</f>
        <v>41404000000.0</v>
      </c>
      <c r="P494" s="19">
        <f>IF(N494="","",IF(OR(O494="",O494&lt;=0,N494&lt;=0),N494,(N494+O494)/2))</f>
        <v>38179500000.0</v>
      </c>
      <c r="Q494" s="18" t="inlineStr">
        <is>
          <t>기초·기말 평균</t>
        </is>
      </c>
      <c r="R494" s="18" t="inlineStr">
        <is>
          <t>—</t>
        </is>
      </c>
      <c r="S494" s="18" t="inlineStr">
        <is>
          <t>—</t>
        </is>
      </c>
      <c r="T494" s="20">
        <f>IF(OR(P494="",E494=0,E494=""),"",P494/E494)</f>
        <v>1.1157397936818727</v>
      </c>
      <c r="U494" s="18" t="inlineStr">
        <is>
          <t>—</t>
        </is>
      </c>
      <c r="V494" s="18" t="inlineStr">
        <is>
          <t>—</t>
        </is>
      </c>
      <c r="W494" s="18" t="inlineStr">
        <is>
          <t>금융업 — ROIC 정의 부적합</t>
        </is>
      </c>
      <c r="X494" s="18" t="inlineStr">
        <is>
          <t>AMERICAN EXPRESS CO</t>
        </is>
      </c>
    </row>
    <row r="495">
      <c r="A495" s="18" t="inlineStr">
        <is>
          <t>아메리칸 익스프레스</t>
        </is>
      </c>
      <c r="B495" s="18" t="inlineStr">
        <is>
          <t>AXP</t>
        </is>
      </c>
      <c r="C495" s="18" t="n">
        <v>2023</v>
      </c>
      <c r="D495" s="18" t="inlineStr">
        <is>
          <t>2023-12-31</t>
        </is>
      </c>
      <c r="E495" s="19" t="n">
        <v>37218000000</v>
      </c>
      <c r="F495" s="19" t="n">
        <v>17362000000</v>
      </c>
      <c r="G495" s="18" t="inlineStr">
        <is>
          <t>pretax_plus_interest_less_investment_income</t>
        </is>
      </c>
      <c r="H495" s="18" t="inlineStr">
        <is>
          <t>LOW</t>
        </is>
      </c>
      <c r="I495" s="20" t="n">
        <v>0.2034623799105869</v>
      </c>
      <c r="J495" s="19">
        <f>IF(F495="","",F495*(1-I495))</f>
        <v>13829486159.99239</v>
      </c>
      <c r="K495" s="19" t="n">
        <v>28057000000</v>
      </c>
      <c r="L495" s="19" t="n">
        <v>49159000000</v>
      </c>
      <c r="M495" s="19" t="n">
        <v>46762000000</v>
      </c>
      <c r="N495" s="19">
        <f>IF(COUNT(K495:M495)&lt;3,"",K495+L495-M495)</f>
        <v>30454000000.0</v>
      </c>
      <c r="O495" s="19">
        <f>N494</f>
        <v>34955000000.0</v>
      </c>
      <c r="P495" s="19">
        <f>IF(N495="","",IF(OR(O495="",O495&lt;=0,N495&lt;=0),N495,(N495+O495)/2))</f>
        <v>32704500000.0</v>
      </c>
      <c r="Q495" s="18" t="inlineStr">
        <is>
          <t>기초·기말 평균</t>
        </is>
      </c>
      <c r="R495" s="18" t="inlineStr">
        <is>
          <t>—</t>
        </is>
      </c>
      <c r="S495" s="18" t="inlineStr">
        <is>
          <t>—</t>
        </is>
      </c>
      <c r="T495" s="20">
        <f>IF(OR(P495="",E495=0,E495=""),"",P495/E495)</f>
        <v>0.8787280348218603</v>
      </c>
      <c r="U495" s="18" t="inlineStr">
        <is>
          <t>—</t>
        </is>
      </c>
      <c r="V495" s="18" t="inlineStr">
        <is>
          <t>—</t>
        </is>
      </c>
      <c r="W495" s="18" t="inlineStr">
        <is>
          <t>금융업 — ROIC 정의 부적합</t>
        </is>
      </c>
      <c r="X495" s="18" t="inlineStr">
        <is>
          <t>AMERICAN EXPRESS CO</t>
        </is>
      </c>
    </row>
    <row r="496">
      <c r="A496" s="18" t="inlineStr">
        <is>
          <t>아메리칸 익스프레스</t>
        </is>
      </c>
      <c r="B496" s="18" t="inlineStr">
        <is>
          <t>AXP</t>
        </is>
      </c>
      <c r="C496" s="18" t="n">
        <v>2024</v>
      </c>
      <c r="D496" s="18" t="inlineStr">
        <is>
          <t>2024-12-31</t>
        </is>
      </c>
      <c r="E496" s="19" t="n">
        <v>38825000000</v>
      </c>
      <c r="F496" s="19" t="n">
        <v>28438000000</v>
      </c>
      <c r="G496" s="18" t="inlineStr">
        <is>
          <t>pretax_plus_interest_less_investment_income</t>
        </is>
      </c>
      <c r="H496" s="18" t="inlineStr">
        <is>
          <t>LOW</t>
        </is>
      </c>
      <c r="I496" s="20" t="n">
        <v>0.2145017448623497</v>
      </c>
      <c r="J496" s="19">
        <f>IF(F496="","",F496*(1-I496))</f>
        <v>22337999379.6045</v>
      </c>
      <c r="K496" s="19" t="n">
        <v>30264000000</v>
      </c>
      <c r="L496" s="19" t="n">
        <v>51089000000</v>
      </c>
      <c r="M496" s="19" t="n">
        <v>40861000000</v>
      </c>
      <c r="N496" s="19">
        <f>IF(COUNT(K496:M496)&lt;3,"",K496+L496-M496)</f>
        <v>40492000000.0</v>
      </c>
      <c r="O496" s="19">
        <f>N495</f>
        <v>30454000000.0</v>
      </c>
      <c r="P496" s="19">
        <f>IF(N496="","",IF(OR(O496="",O496&lt;=0,N496&lt;=0),N496,(N496+O496)/2))</f>
        <v>35473000000.0</v>
      </c>
      <c r="Q496" s="18" t="inlineStr">
        <is>
          <t>기초·기말 평균</t>
        </is>
      </c>
      <c r="R496" s="18" t="inlineStr">
        <is>
          <t>—</t>
        </is>
      </c>
      <c r="S496" s="18" t="inlineStr">
        <is>
          <t>—</t>
        </is>
      </c>
      <c r="T496" s="20">
        <f>IF(OR(P496="",E496=0,E496=""),"",P496/E496)</f>
        <v>0.9136638763683194</v>
      </c>
      <c r="U496" s="18" t="inlineStr">
        <is>
          <t>—</t>
        </is>
      </c>
      <c r="V496" s="18" t="inlineStr">
        <is>
          <t>—</t>
        </is>
      </c>
      <c r="W496" s="18" t="inlineStr">
        <is>
          <t>금융업 — ROIC 정의 부적합</t>
        </is>
      </c>
      <c r="X496" s="18" t="inlineStr">
        <is>
          <t>AMERICAN EXPRESS CO</t>
        </is>
      </c>
    </row>
    <row r="497">
      <c r="A497" s="18" t="inlineStr">
        <is>
          <t>아메리칸 익스프레스</t>
        </is>
      </c>
      <c r="B497" s="18" t="inlineStr">
        <is>
          <t>AXP</t>
        </is>
      </c>
      <c r="C497" s="18" t="n">
        <v>2025</v>
      </c>
      <c r="D497" s="18" t="inlineStr">
        <is>
          <t>2025-12-31</t>
        </is>
      </c>
      <c r="E497" s="19" t="n">
        <v>41304000000</v>
      </c>
      <c r="F497" s="19" t="n">
        <v>31159000000</v>
      </c>
      <c r="G497" s="18" t="inlineStr">
        <is>
          <t>pretax_plus_interest_less_investment_income</t>
        </is>
      </c>
      <c r="H497" s="18" t="inlineStr">
        <is>
          <t>LOW</t>
        </is>
      </c>
      <c r="I497" s="20" t="n">
        <v>0.2147154766219645</v>
      </c>
      <c r="J497" s="19">
        <f>IF(F497="","",F497*(1-I497))</f>
        <v>24468680463.936207</v>
      </c>
      <c r="K497" s="19" t="n">
        <v>33474000000</v>
      </c>
      <c r="L497" s="19" t="n">
        <v>57758000000</v>
      </c>
      <c r="M497" s="19" t="n">
        <v>48534000000</v>
      </c>
      <c r="N497" s="19">
        <f>IF(COUNT(K497:M497)&lt;3,"",K497+L497-M497)</f>
        <v>42698000000.0</v>
      </c>
      <c r="O497" s="19">
        <f>N496</f>
        <v>40492000000.0</v>
      </c>
      <c r="P497" s="19">
        <f>IF(N497="","",IF(OR(O497="",O497&lt;=0,N497&lt;=0),N497,(N497+O497)/2))</f>
        <v>41595000000.0</v>
      </c>
      <c r="Q497" s="18" t="inlineStr">
        <is>
          <t>기초·기말 평균</t>
        </is>
      </c>
      <c r="R497" s="18" t="inlineStr">
        <is>
          <t>—</t>
        </is>
      </c>
      <c r="S497" s="18" t="inlineStr">
        <is>
          <t>—</t>
        </is>
      </c>
      <c r="T497" s="20">
        <f>IF(OR(P497="",E497=0,E497=""),"",P497/E497)</f>
        <v>1.0070453224869262</v>
      </c>
      <c r="U497" s="18" t="inlineStr">
        <is>
          <t>—</t>
        </is>
      </c>
      <c r="V497" s="18" t="inlineStr">
        <is>
          <t>—</t>
        </is>
      </c>
      <c r="W497" s="18" t="inlineStr">
        <is>
          <t>금융업 — ROIC 정의 부적합</t>
        </is>
      </c>
      <c r="X497" s="18" t="inlineStr">
        <is>
          <t>AMERICAN EXPRESS CO</t>
        </is>
      </c>
    </row>
    <row r="498">
      <c r="A498" s="11" t="inlineStr">
        <is>
          <t>씨티그룹</t>
        </is>
      </c>
      <c r="B498" s="11" t="inlineStr">
        <is>
          <t>C</t>
        </is>
      </c>
      <c r="C498" s="11" t="n">
        <v>2015</v>
      </c>
      <c r="D498" s="11" t="inlineStr">
        <is>
          <t>2015-12-31</t>
        </is>
      </c>
      <c r="E498" s="12" t="n">
        <v>76354000000</v>
      </c>
      <c r="F498" s="12" t="n">
        <v>36747000000</v>
      </c>
      <c r="G498" s="11" t="inlineStr">
        <is>
          <t>pretax_plus_interest_less_investment_income</t>
        </is>
      </c>
      <c r="H498" s="11" t="inlineStr">
        <is>
          <t>LOW</t>
        </is>
      </c>
      <c r="I498" s="13" t="n">
        <v>0.2996858132602916</v>
      </c>
      <c r="J498" s="12">
        <f>IF(F498="","",F498*(1-I498))</f>
        <v>25734445420.124065</v>
      </c>
      <c r="K498" s="12" t="n">
        <v>223092000000</v>
      </c>
      <c r="L498" s="12" t="n">
        <v>222354000000</v>
      </c>
      <c r="M498" s="12" t="n">
        <v>133097000000</v>
      </c>
      <c r="N498" s="12">
        <f>IF(COUNT(K498:M498)&lt;3,"",K498+L498-M498)</f>
        <v>312349000000.0</v>
      </c>
      <c r="O498" s="11" t="inlineStr">
        <is>
          <t>—</t>
        </is>
      </c>
      <c r="P498" s="12" t="inlineStr">
        <is>
          <t>—</t>
        </is>
      </c>
      <c r="Q498" s="11" t="inlineStr">
        <is>
          <t>—</t>
        </is>
      </c>
      <c r="R498" s="11" t="inlineStr">
        <is>
          <t>—</t>
        </is>
      </c>
      <c r="S498" s="11" t="inlineStr">
        <is>
          <t>—</t>
        </is>
      </c>
      <c r="T498" s="13" t="inlineStr">
        <is>
          <t>—</t>
        </is>
      </c>
      <c r="U498" s="11" t="inlineStr">
        <is>
          <t>—</t>
        </is>
      </c>
      <c r="V498" s="11" t="inlineStr">
        <is>
          <t>—</t>
        </is>
      </c>
      <c r="W498" s="11" t="inlineStr">
        <is>
          <t>다음 해 평균 투하자본의 기초값으로만 사용 (보고 기간 밖 — 자체 비율은 계산하지 않음)</t>
        </is>
      </c>
      <c r="X498" s="11" t="inlineStr">
        <is>
          <t>CITIGROUP INC</t>
        </is>
      </c>
    </row>
    <row r="499">
      <c r="A499" s="18" t="inlineStr">
        <is>
          <t>씨티그룹</t>
        </is>
      </c>
      <c r="B499" s="18" t="inlineStr">
        <is>
          <t>C</t>
        </is>
      </c>
      <c r="C499" s="18" t="n">
        <v>2016</v>
      </c>
      <c r="D499" s="18" t="inlineStr">
        <is>
          <t>2016-12-31</t>
        </is>
      </c>
      <c r="E499" s="19" t="n">
        <v>70797000000</v>
      </c>
      <c r="F499" s="19" t="n">
        <v>33989000000</v>
      </c>
      <c r="G499" s="18" t="inlineStr">
        <is>
          <t>pretax_plus_interest_less_investment_income</t>
        </is>
      </c>
      <c r="H499" s="18" t="inlineStr">
        <is>
          <t>LOW</t>
        </is>
      </c>
      <c r="I499" s="20" t="n">
        <v>0.3000419052940355</v>
      </c>
      <c r="J499" s="19">
        <f>IF(F499="","",F499*(1-I499))</f>
        <v>23790875680.961025</v>
      </c>
      <c r="K499" s="19" t="n">
        <v>226143000000</v>
      </c>
      <c r="L499" s="19" t="n">
        <v>236879000000</v>
      </c>
      <c r="M499" s="19" t="n">
        <v>160494000000</v>
      </c>
      <c r="N499" s="19">
        <f>IF(COUNT(K499:M499)&lt;3,"",K499+L499-M499)</f>
        <v>302528000000.0</v>
      </c>
      <c r="O499" s="19">
        <f>N498</f>
        <v>312349000000.0</v>
      </c>
      <c r="P499" s="19">
        <f>IF(N499="","",IF(OR(O499="",O499&lt;=0,N499&lt;=0),N499,(N499+O499)/2))</f>
        <v>307438500000.0</v>
      </c>
      <c r="Q499" s="18" t="inlineStr">
        <is>
          <t>기초·기말 평균</t>
        </is>
      </c>
      <c r="R499" s="18" t="inlineStr">
        <is>
          <t>—</t>
        </is>
      </c>
      <c r="S499" s="18" t="inlineStr">
        <is>
          <t>—</t>
        </is>
      </c>
      <c r="T499" s="20">
        <f>IF(OR(P499="",E499=0,E499=""),"",P499/E499)</f>
        <v>4.342535700665282</v>
      </c>
      <c r="U499" s="18" t="inlineStr">
        <is>
          <t>—</t>
        </is>
      </c>
      <c r="V499" s="18" t="inlineStr">
        <is>
          <t>—</t>
        </is>
      </c>
      <c r="W499" s="18" t="inlineStr">
        <is>
          <t>금융업 — ROIC 정의 부적합</t>
        </is>
      </c>
      <c r="X499" s="18" t="inlineStr">
        <is>
          <t>CITIGROUP INC</t>
        </is>
      </c>
    </row>
    <row r="500">
      <c r="A500" s="18" t="inlineStr">
        <is>
          <t>씨티그룹</t>
        </is>
      </c>
      <c r="B500" s="18" t="inlineStr">
        <is>
          <t>C</t>
        </is>
      </c>
      <c r="C500" s="18" t="n">
        <v>2017</v>
      </c>
      <c r="D500" s="18" t="inlineStr">
        <is>
          <t>2017-12-31</t>
        </is>
      </c>
      <c r="E500" s="19" t="n">
        <v>72444000000</v>
      </c>
      <c r="F500" s="19" t="n">
        <v>39279000000</v>
      </c>
      <c r="G500" s="18" t="inlineStr">
        <is>
          <t>pretax_plus_interest_less_investment_income</t>
        </is>
      </c>
      <c r="H500" s="18" t="inlineStr">
        <is>
          <t>LOW</t>
        </is>
      </c>
      <c r="I500" s="20" t="n">
        <v>0.4</v>
      </c>
      <c r="J500" s="19">
        <f>IF(F500="","",F500*(1-I500))</f>
        <v>23567400000.0</v>
      </c>
      <c r="K500" s="19" t="n">
        <v>201672000000</v>
      </c>
      <c r="L500" s="19" t="n">
        <v>281161000000</v>
      </c>
      <c r="M500" s="19" t="n">
        <v>180516000000</v>
      </c>
      <c r="N500" s="19">
        <f>IF(COUNT(K500:M500)&lt;3,"",K500+L500-M500)</f>
        <v>302317000000.0</v>
      </c>
      <c r="O500" s="19">
        <f>N499</f>
        <v>302528000000.0</v>
      </c>
      <c r="P500" s="19">
        <f>IF(N500="","",IF(OR(O500="",O500&lt;=0,N500&lt;=0),N500,(N500+O500)/2))</f>
        <v>302422500000.0</v>
      </c>
      <c r="Q500" s="18" t="inlineStr">
        <is>
          <t>기초·기말 평균</t>
        </is>
      </c>
      <c r="R500" s="18" t="inlineStr">
        <is>
          <t>—</t>
        </is>
      </c>
      <c r="S500" s="18" t="inlineStr">
        <is>
          <t>—</t>
        </is>
      </c>
      <c r="T500" s="20">
        <f>IF(OR(P500="",E500=0,E500=""),"",P500/E500)</f>
        <v>4.174569322511181</v>
      </c>
      <c r="U500" s="18" t="inlineStr">
        <is>
          <t>—</t>
        </is>
      </c>
      <c r="V500" s="18" t="inlineStr">
        <is>
          <t>—</t>
        </is>
      </c>
      <c r="W500" s="18" t="inlineStr">
        <is>
          <t>금융업 — ROIC 정의 부적합</t>
        </is>
      </c>
      <c r="X500" s="18" t="inlineStr">
        <is>
          <t>CITIGROUP INC</t>
        </is>
      </c>
    </row>
    <row r="501">
      <c r="A501" s="18" t="inlineStr">
        <is>
          <t>씨티그룹</t>
        </is>
      </c>
      <c r="B501" s="18" t="inlineStr">
        <is>
          <t>C</t>
        </is>
      </c>
      <c r="C501" s="18" t="n">
        <v>2018</v>
      </c>
      <c r="D501" s="18" t="inlineStr">
        <is>
          <t>2018-12-31</t>
        </is>
      </c>
      <c r="E501" s="19" t="n">
        <v>72854000000</v>
      </c>
      <c r="F501" s="19" t="n">
        <v>47711000000</v>
      </c>
      <c r="G501" s="18" t="inlineStr">
        <is>
          <t>pretax_plus_interest_less_investment_income</t>
        </is>
      </c>
      <c r="H501" s="18" t="inlineStr">
        <is>
          <t>LOW</t>
        </is>
      </c>
      <c r="I501" s="20" t="n">
        <v>0.2284922158242696</v>
      </c>
      <c r="J501" s="19">
        <f>IF(F501="","",F501*(1-I501))</f>
        <v>36809407890.80827</v>
      </c>
      <c r="K501" s="19" t="n">
        <v>197074000000</v>
      </c>
      <c r="L501" s="19" t="n">
        <v>264345000000</v>
      </c>
      <c r="M501" s="19" t="n">
        <v>188105000000</v>
      </c>
      <c r="N501" s="19">
        <f>IF(COUNT(K501:M501)&lt;3,"",K501+L501-M501)</f>
        <v>273314000000.0</v>
      </c>
      <c r="O501" s="19">
        <f>N500</f>
        <v>302317000000.0</v>
      </c>
      <c r="P501" s="19">
        <f>IF(N501="","",IF(OR(O501="",O501&lt;=0,N501&lt;=0),N501,(N501+O501)/2))</f>
        <v>287815500000.0</v>
      </c>
      <c r="Q501" s="18" t="inlineStr">
        <is>
          <t>기초·기말 평균</t>
        </is>
      </c>
      <c r="R501" s="18" t="inlineStr">
        <is>
          <t>—</t>
        </is>
      </c>
      <c r="S501" s="18" t="inlineStr">
        <is>
          <t>—</t>
        </is>
      </c>
      <c r="T501" s="20">
        <f>IF(OR(P501="",E501=0,E501=""),"",P501/E501)</f>
        <v>3.950579240673127</v>
      </c>
      <c r="U501" s="18" t="inlineStr">
        <is>
          <t>—</t>
        </is>
      </c>
      <c r="V501" s="18" t="inlineStr">
        <is>
          <t>—</t>
        </is>
      </c>
      <c r="W501" s="18" t="inlineStr">
        <is>
          <t>금융업 — ROIC 정의 부적합</t>
        </is>
      </c>
      <c r="X501" s="18" t="inlineStr">
        <is>
          <t>CITIGROUP INC</t>
        </is>
      </c>
    </row>
    <row r="502">
      <c r="A502" s="18" t="inlineStr">
        <is>
          <t>씨티그룹</t>
        </is>
      </c>
      <c r="B502" s="18" t="inlineStr">
        <is>
          <t>C</t>
        </is>
      </c>
      <c r="C502" s="18" t="n">
        <v>2019</v>
      </c>
      <c r="D502" s="18" t="inlineStr">
        <is>
          <t>2019-12-31</t>
        </is>
      </c>
      <c r="E502" s="19" t="n">
        <v>75067000000</v>
      </c>
      <c r="F502" s="19" t="n">
        <v>52283000000</v>
      </c>
      <c r="G502" s="18" t="inlineStr">
        <is>
          <t>pretax_plus_interest_less_investment_income</t>
        </is>
      </c>
      <c r="H502" s="18" t="inlineStr">
        <is>
          <t>LOW</t>
        </is>
      </c>
      <c r="I502" s="20" t="n">
        <v>0.1853478933935818</v>
      </c>
      <c r="J502" s="19">
        <f>IF(F502="","",F502*(1-I502))</f>
        <v>42592456089.70336</v>
      </c>
      <c r="K502" s="19" t="n">
        <v>193946000000</v>
      </c>
      <c r="L502" s="19" t="n">
        <v>293809000000</v>
      </c>
      <c r="M502" s="19" t="n">
        <v>193919000000</v>
      </c>
      <c r="N502" s="19">
        <f>IF(COUNT(K502:M502)&lt;3,"",K502+L502-M502)</f>
        <v>293836000000.0</v>
      </c>
      <c r="O502" s="19">
        <f>N501</f>
        <v>273314000000.0</v>
      </c>
      <c r="P502" s="19">
        <f>IF(N502="","",IF(OR(O502="",O502&lt;=0,N502&lt;=0),N502,(N502+O502)/2))</f>
        <v>283575000000.0</v>
      </c>
      <c r="Q502" s="18" t="inlineStr">
        <is>
          <t>기초·기말 평균</t>
        </is>
      </c>
      <c r="R502" s="18" t="inlineStr">
        <is>
          <t>—</t>
        </is>
      </c>
      <c r="S502" s="18" t="inlineStr">
        <is>
          <t>—</t>
        </is>
      </c>
      <c r="T502" s="20">
        <f>IF(OR(P502="",E502=0,E502=""),"",P502/E502)</f>
        <v>3.7776253213795674</v>
      </c>
      <c r="U502" s="18" t="inlineStr">
        <is>
          <t>—</t>
        </is>
      </c>
      <c r="V502" s="18" t="inlineStr">
        <is>
          <t>—</t>
        </is>
      </c>
      <c r="W502" s="18" t="inlineStr">
        <is>
          <t>금융업 — ROIC 정의 부적합</t>
        </is>
      </c>
      <c r="X502" s="18" t="inlineStr">
        <is>
          <t>CITIGROUP INC</t>
        </is>
      </c>
    </row>
    <row r="503">
      <c r="A503" s="18" t="inlineStr">
        <is>
          <t>씨티그룹</t>
        </is>
      </c>
      <c r="B503" s="18" t="inlineStr">
        <is>
          <t>C</t>
        </is>
      </c>
      <c r="C503" s="18" t="n">
        <v>2020</v>
      </c>
      <c r="D503" s="18" t="inlineStr">
        <is>
          <t>2020-12-31</t>
        </is>
      </c>
      <c r="E503" s="19" t="n">
        <v>75501000000</v>
      </c>
      <c r="F503" s="19" t="n">
        <v>26970000000</v>
      </c>
      <c r="G503" s="18" t="inlineStr">
        <is>
          <t>pretax_plus_interest_less_investment_income</t>
        </is>
      </c>
      <c r="H503" s="18" t="inlineStr">
        <is>
          <t>LOW</t>
        </is>
      </c>
      <c r="I503" s="20" t="n">
        <v>0.1852259389671362</v>
      </c>
      <c r="J503" s="19">
        <f>IF(F503="","",F503*(1-I503))</f>
        <v>21974456426.056335</v>
      </c>
      <c r="K503" s="19" t="n">
        <v>200200000000</v>
      </c>
      <c r="L503" s="19" t="n">
        <v>301200000000</v>
      </c>
      <c r="M503" s="19" t="n">
        <v>309615000000</v>
      </c>
      <c r="N503" s="19">
        <f>IF(COUNT(K503:M503)&lt;3,"",K503+L503-M503)</f>
        <v>191785000000.0</v>
      </c>
      <c r="O503" s="19">
        <f>N502</f>
        <v>293836000000.0</v>
      </c>
      <c r="P503" s="19">
        <f>IF(N503="","",IF(OR(O503="",O503&lt;=0,N503&lt;=0),N503,(N503+O503)/2))</f>
        <v>242810500000.0</v>
      </c>
      <c r="Q503" s="18" t="inlineStr">
        <is>
          <t>기초·기말 평균</t>
        </is>
      </c>
      <c r="R503" s="18" t="inlineStr">
        <is>
          <t>—</t>
        </is>
      </c>
      <c r="S503" s="18" t="inlineStr">
        <is>
          <t>—</t>
        </is>
      </c>
      <c r="T503" s="20">
        <f>IF(OR(P503="",E503=0,E503=""),"",P503/E503)</f>
        <v>3.2159905166818983</v>
      </c>
      <c r="U503" s="18" t="inlineStr">
        <is>
          <t>—</t>
        </is>
      </c>
      <c r="V503" s="18" t="inlineStr">
        <is>
          <t>—</t>
        </is>
      </c>
      <c r="W503" s="18" t="inlineStr">
        <is>
          <t>금융업 — ROIC 정의 부적합</t>
        </is>
      </c>
      <c r="X503" s="18" t="inlineStr">
        <is>
          <t>CITIGROUP INC</t>
        </is>
      </c>
    </row>
    <row r="504">
      <c r="A504" s="18" t="inlineStr">
        <is>
          <t>씨티그룹</t>
        </is>
      </c>
      <c r="B504" s="18" t="inlineStr">
        <is>
          <t>C</t>
        </is>
      </c>
      <c r="C504" s="18" t="n">
        <v>2021</v>
      </c>
      <c r="D504" s="18" t="inlineStr">
        <is>
          <t>2021-12-31</t>
        </is>
      </c>
      <c r="E504" s="19" t="n">
        <v>71884000000</v>
      </c>
      <c r="F504" s="19" t="n">
        <v>35450000000</v>
      </c>
      <c r="G504" s="18" t="inlineStr">
        <is>
          <t>pretax_plus_interest_less_investment_income</t>
        </is>
      </c>
      <c r="H504" s="18" t="inlineStr">
        <is>
          <t>LOW</t>
        </is>
      </c>
      <c r="I504" s="20" t="n">
        <v>0.198441879937384</v>
      </c>
      <c r="J504" s="19">
        <f>IF(F504="","",F504*(1-I504))</f>
        <v>28415235356.219738</v>
      </c>
      <c r="K504" s="19" t="n">
        <v>202672000000</v>
      </c>
      <c r="L504" s="19" t="n">
        <v>282347000000</v>
      </c>
      <c r="M504" s="19" t="n">
        <v>262033000000</v>
      </c>
      <c r="N504" s="19">
        <f>IF(COUNT(K504:M504)&lt;3,"",K504+L504-M504)</f>
        <v>222986000000.0</v>
      </c>
      <c r="O504" s="19">
        <f>N503</f>
        <v>191785000000.0</v>
      </c>
      <c r="P504" s="19">
        <f>IF(N504="","",IF(OR(O504="",O504&lt;=0,N504&lt;=0),N504,(N504+O504)/2))</f>
        <v>207385500000.0</v>
      </c>
      <c r="Q504" s="18" t="inlineStr">
        <is>
          <t>기초·기말 평균</t>
        </is>
      </c>
      <c r="R504" s="18" t="inlineStr">
        <is>
          <t>—</t>
        </is>
      </c>
      <c r="S504" s="18" t="inlineStr">
        <is>
          <t>—</t>
        </is>
      </c>
      <c r="T504" s="20">
        <f>IF(OR(P504="",E504=0,E504=""),"",P504/E504)</f>
        <v>2.885002225808247</v>
      </c>
      <c r="U504" s="18" t="inlineStr">
        <is>
          <t>—</t>
        </is>
      </c>
      <c r="V504" s="18" t="inlineStr">
        <is>
          <t>—</t>
        </is>
      </c>
      <c r="W504" s="18" t="inlineStr">
        <is>
          <t>금융업 — ROIC 정의 부적합</t>
        </is>
      </c>
      <c r="X504" s="18" t="inlineStr">
        <is>
          <t>CITIGROUP INC</t>
        </is>
      </c>
    </row>
    <row r="505">
      <c r="A505" s="18" t="inlineStr">
        <is>
          <t>씨티그룹</t>
        </is>
      </c>
      <c r="B505" s="18" t="inlineStr">
        <is>
          <t>C</t>
        </is>
      </c>
      <c r="C505" s="18" t="n">
        <v>2022</v>
      </c>
      <c r="D505" s="18" t="inlineStr">
        <is>
          <t>2022-12-31</t>
        </is>
      </c>
      <c r="E505" s="19" t="n">
        <v>75338000000</v>
      </c>
      <c r="F505" s="19" t="n">
        <v>44547000000</v>
      </c>
      <c r="G505" s="18" t="inlineStr">
        <is>
          <t>pretax_plus_interest_less_investment_income</t>
        </is>
      </c>
      <c r="H505" s="18" t="inlineStr">
        <is>
          <t>LOW</t>
        </is>
      </c>
      <c r="I505" s="20" t="n">
        <v>0.1936513000478545</v>
      </c>
      <c r="J505" s="19">
        <f>IF(F505="","",F505*(1-I505))</f>
        <v>35920415536.76823</v>
      </c>
      <c r="K505" s="19" t="n">
        <v>201838000000</v>
      </c>
      <c r="L505" s="19" t="n">
        <v>318702000000</v>
      </c>
      <c r="M505" s="19" t="n">
        <v>342025000000</v>
      </c>
      <c r="N505" s="19">
        <f>IF(COUNT(K505:M505)&lt;3,"",K505+L505-M505)</f>
        <v>178515000000.0</v>
      </c>
      <c r="O505" s="19">
        <f>N504</f>
        <v>222986000000.0</v>
      </c>
      <c r="P505" s="19">
        <f>IF(N505="","",IF(OR(O505="",O505&lt;=0,N505&lt;=0),N505,(N505+O505)/2))</f>
        <v>200750500000.0</v>
      </c>
      <c r="Q505" s="18" t="inlineStr">
        <is>
          <t>기초·기말 평균</t>
        </is>
      </c>
      <c r="R505" s="18" t="inlineStr">
        <is>
          <t>—</t>
        </is>
      </c>
      <c r="S505" s="18" t="inlineStr">
        <is>
          <t>—</t>
        </is>
      </c>
      <c r="T505" s="20">
        <f>IF(OR(P505="",E505=0,E505=""),"",P505/E505)</f>
        <v>2.664664578300459</v>
      </c>
      <c r="U505" s="18" t="inlineStr">
        <is>
          <t>—</t>
        </is>
      </c>
      <c r="V505" s="18" t="inlineStr">
        <is>
          <t>—</t>
        </is>
      </c>
      <c r="W505" s="18" t="inlineStr">
        <is>
          <t>금융업 — ROIC 정의 부적합</t>
        </is>
      </c>
      <c r="X505" s="18" t="inlineStr">
        <is>
          <t>CITIGROUP INC</t>
        </is>
      </c>
    </row>
    <row r="506">
      <c r="A506" s="18" t="inlineStr">
        <is>
          <t>씨티그룹</t>
        </is>
      </c>
      <c r="B506" s="18" t="inlineStr">
        <is>
          <t>C</t>
        </is>
      </c>
      <c r="C506" s="18" t="n">
        <v>2023</v>
      </c>
      <c r="D506" s="18" t="inlineStr">
        <is>
          <t>2023-12-31</t>
        </is>
      </c>
      <c r="E506" s="19" t="n">
        <v>78066000000</v>
      </c>
      <c r="F506" s="19" t="n">
        <v>91268000000</v>
      </c>
      <c r="G506" s="18" t="inlineStr">
        <is>
          <t>pretax_plus_interest_less_investment_income</t>
        </is>
      </c>
      <c r="H506" s="18" t="inlineStr">
        <is>
          <t>LOW</t>
        </is>
      </c>
      <c r="I506" s="20" t="n">
        <v>0.2732765298218435</v>
      </c>
      <c r="J506" s="19">
        <f>IF(F506="","",F506*(1-I506))</f>
        <v>66326597676.21999</v>
      </c>
      <c r="K506" s="19" t="n">
        <v>206251000000</v>
      </c>
      <c r="L506" s="19" t="n">
        <v>324076000000</v>
      </c>
      <c r="M506" s="19" t="n">
        <v>260932000000</v>
      </c>
      <c r="N506" s="19">
        <f>IF(COUNT(K506:M506)&lt;3,"",K506+L506-M506)</f>
        <v>269395000000.0</v>
      </c>
      <c r="O506" s="19">
        <f>N505</f>
        <v>178515000000.0</v>
      </c>
      <c r="P506" s="19">
        <f>IF(N506="","",IF(OR(O506="",O506&lt;=0,N506&lt;=0),N506,(N506+O506)/2))</f>
        <v>223955000000.0</v>
      </c>
      <c r="Q506" s="18" t="inlineStr">
        <is>
          <t>기초·기말 평균</t>
        </is>
      </c>
      <c r="R506" s="18" t="inlineStr">
        <is>
          <t>—</t>
        </is>
      </c>
      <c r="S506" s="18" t="inlineStr">
        <is>
          <t>—</t>
        </is>
      </c>
      <c r="T506" s="20">
        <f>IF(OR(P506="",E506=0,E506=""),"",P506/E506)</f>
        <v>2.8687905105936005</v>
      </c>
      <c r="U506" s="18" t="inlineStr">
        <is>
          <t>—</t>
        </is>
      </c>
      <c r="V506" s="18" t="inlineStr">
        <is>
          <t>—</t>
        </is>
      </c>
      <c r="W506" s="18" t="inlineStr">
        <is>
          <t>금융업 — ROIC 정의 부적합</t>
        </is>
      </c>
      <c r="X506" s="18" t="inlineStr">
        <is>
          <t>CITIGROUP INC</t>
        </is>
      </c>
    </row>
    <row r="507">
      <c r="A507" s="18" t="inlineStr">
        <is>
          <t>씨티그룹</t>
        </is>
      </c>
      <c r="B507" s="18" t="inlineStr">
        <is>
          <t>C</t>
        </is>
      </c>
      <c r="C507" s="18" t="n">
        <v>2024</v>
      </c>
      <c r="D507" s="18" t="inlineStr">
        <is>
          <t>2024-12-31</t>
        </is>
      </c>
      <c r="E507" s="19" t="n">
        <v>80722000000</v>
      </c>
      <c r="F507" s="19" t="n">
        <v>71141000000</v>
      </c>
      <c r="G507" s="18" t="inlineStr">
        <is>
          <t>pretax_plus_interest_less_investment_income</t>
        </is>
      </c>
      <c r="H507" s="18" t="inlineStr">
        <is>
          <t>LOW</t>
        </is>
      </c>
      <c r="I507" s="20" t="n">
        <v>0.247037428135633</v>
      </c>
      <c r="J507" s="19">
        <f>IF(F507="","",F507*(1-I507))</f>
        <v>53566510325.00293</v>
      </c>
      <c r="K507" s="19" t="n">
        <v>209366000000</v>
      </c>
      <c r="L507" s="19" t="n">
        <v>335805000000</v>
      </c>
      <c r="M507" s="19" t="n">
        <v>276532000000</v>
      </c>
      <c r="N507" s="19">
        <f>IF(COUNT(K507:M507)&lt;3,"",K507+L507-M507)</f>
        <v>268639000000.0</v>
      </c>
      <c r="O507" s="19">
        <f>N506</f>
        <v>269395000000.0</v>
      </c>
      <c r="P507" s="19">
        <f>IF(N507="","",IF(OR(O507="",O507&lt;=0,N507&lt;=0),N507,(N507+O507)/2))</f>
        <v>269017000000.0</v>
      </c>
      <c r="Q507" s="18" t="inlineStr">
        <is>
          <t>기초·기말 평균</t>
        </is>
      </c>
      <c r="R507" s="18" t="inlineStr">
        <is>
          <t>—</t>
        </is>
      </c>
      <c r="S507" s="18" t="inlineStr">
        <is>
          <t>—</t>
        </is>
      </c>
      <c r="T507" s="20">
        <f>IF(OR(P507="",E507=0,E507=""),"",P507/E507)</f>
        <v>3.3326354649290155</v>
      </c>
      <c r="U507" s="18" t="inlineStr">
        <is>
          <t>—</t>
        </is>
      </c>
      <c r="V507" s="18" t="inlineStr">
        <is>
          <t>—</t>
        </is>
      </c>
      <c r="W507" s="18" t="inlineStr">
        <is>
          <t>금융업 — ROIC 정의 부적합</t>
        </is>
      </c>
      <c r="X507" s="18" t="inlineStr">
        <is>
          <t>CITIGROUP INC</t>
        </is>
      </c>
    </row>
    <row r="508">
      <c r="A508" s="18" t="inlineStr">
        <is>
          <t>씨티그룹</t>
        </is>
      </c>
      <c r="B508" s="18" t="inlineStr">
        <is>
          <t>C</t>
        </is>
      </c>
      <c r="C508" s="18" t="n">
        <v>2025</v>
      </c>
      <c r="D508" s="18" t="inlineStr">
        <is>
          <t>2025-12-31</t>
        </is>
      </c>
      <c r="E508" s="19" t="n">
        <v>85225000000</v>
      </c>
      <c r="F508" s="19" t="n">
        <v>79620000000</v>
      </c>
      <c r="G508" s="18" t="inlineStr">
        <is>
          <t>pretax_plus_interest_less_investment_income</t>
        </is>
      </c>
      <c r="H508" s="18" t="inlineStr">
        <is>
          <t>LOW</t>
        </is>
      </c>
      <c r="I508" s="20" t="n">
        <v>0.2709804317127295</v>
      </c>
      <c r="J508" s="19">
        <f>IF(F508="","",F508*(1-I508))</f>
        <v>58044538027.03247</v>
      </c>
      <c r="K508" s="19" t="n">
        <v>213822000000</v>
      </c>
      <c r="L508" s="19" t="n">
        <v>367705000000</v>
      </c>
      <c r="M508" s="19" t="n">
        <v>349579000000</v>
      </c>
      <c r="N508" s="19">
        <f>IF(COUNT(K508:M508)&lt;3,"",K508+L508-M508)</f>
        <v>231948000000.0</v>
      </c>
      <c r="O508" s="19">
        <f>N507</f>
        <v>268639000000.0</v>
      </c>
      <c r="P508" s="19">
        <f>IF(N508="","",IF(OR(O508="",O508&lt;=0,N508&lt;=0),N508,(N508+O508)/2))</f>
        <v>250293500000.0</v>
      </c>
      <c r="Q508" s="18" t="inlineStr">
        <is>
          <t>기초·기말 평균</t>
        </is>
      </c>
      <c r="R508" s="18" t="inlineStr">
        <is>
          <t>—</t>
        </is>
      </c>
      <c r="S508" s="18" t="inlineStr">
        <is>
          <t>—</t>
        </is>
      </c>
      <c r="T508" s="20">
        <f>IF(OR(P508="",E508=0,E508=""),"",P508/E508)</f>
        <v>2.9368553828102084</v>
      </c>
      <c r="U508" s="18" t="inlineStr">
        <is>
          <t>—</t>
        </is>
      </c>
      <c r="V508" s="18" t="inlineStr">
        <is>
          <t>—</t>
        </is>
      </c>
      <c r="W508" s="18" t="inlineStr">
        <is>
          <t>금융업 — ROIC 정의 부적합</t>
        </is>
      </c>
      <c r="X508" s="18" t="inlineStr">
        <is>
          <t>CITIGROUP INC</t>
        </is>
      </c>
    </row>
    <row r="509">
      <c r="A509" s="11" t="inlineStr">
        <is>
          <t>IBM</t>
        </is>
      </c>
      <c r="B509" s="11" t="inlineStr">
        <is>
          <t>IBM</t>
        </is>
      </c>
      <c r="C509" s="11" t="n">
        <v>2015</v>
      </c>
      <c r="D509" s="11" t="inlineStr">
        <is>
          <t>2015-12-31</t>
        </is>
      </c>
      <c r="E509" s="12" t="n">
        <v>81741000000</v>
      </c>
      <c r="F509" s="12" t="n">
        <v>16413000000</v>
      </c>
      <c r="G509" s="11" t="inlineStr">
        <is>
          <t>pretax_plus_interest_less_investment_income</t>
        </is>
      </c>
      <c r="H509" s="11" t="inlineStr">
        <is>
          <t>LOW</t>
        </is>
      </c>
      <c r="I509" s="13" t="n">
        <v>0.1618689244277203</v>
      </c>
      <c r="J509" s="12">
        <f>IF(F509="","",F509*(1-I509))</f>
        <v>13756245343.367826</v>
      </c>
      <c r="K509" s="12" t="n">
        <v>14424000000</v>
      </c>
      <c r="L509" s="12" t="n">
        <v>39889000000</v>
      </c>
      <c r="M509" s="12" t="n">
        <v>8194000000</v>
      </c>
      <c r="N509" s="12">
        <f>IF(COUNT(K509:M509)&lt;3,"",K509+L509-M509)</f>
        <v>46119000000.0</v>
      </c>
      <c r="O509" s="11" t="inlineStr">
        <is>
          <t>—</t>
        </is>
      </c>
      <c r="P509" s="12" t="inlineStr">
        <is>
          <t>—</t>
        </is>
      </c>
      <c r="Q509" s="11" t="inlineStr">
        <is>
          <t>—</t>
        </is>
      </c>
      <c r="R509" s="13" t="inlineStr">
        <is>
          <t>—</t>
        </is>
      </c>
      <c r="S509" s="13" t="inlineStr">
        <is>
          <t>—</t>
        </is>
      </c>
      <c r="T509" s="13" t="inlineStr">
        <is>
          <t>—</t>
        </is>
      </c>
      <c r="U509" s="11" t="inlineStr">
        <is>
          <t>—</t>
        </is>
      </c>
      <c r="V509" s="11" t="inlineStr">
        <is>
          <t>—</t>
        </is>
      </c>
      <c r="W509" s="11" t="inlineStr">
        <is>
          <t>다음 해 평균 투하자본의 기초값으로만 사용 (보고 기간 밖 — 자체 비율은 계산하지 않음)</t>
        </is>
      </c>
      <c r="X509" s="11" t="inlineStr">
        <is>
          <t>INTERNATIONAL BUSINESS MACHINES CORP</t>
        </is>
      </c>
    </row>
    <row r="510">
      <c r="A510" s="18" t="inlineStr">
        <is>
          <t>IBM</t>
        </is>
      </c>
      <c r="B510" s="18" t="inlineStr">
        <is>
          <t>IBM</t>
        </is>
      </c>
      <c r="C510" s="18" t="n">
        <v>2016</v>
      </c>
      <c r="D510" s="18" t="inlineStr">
        <is>
          <t>2016-12-31</t>
        </is>
      </c>
      <c r="E510" s="19" t="n">
        <v>79919000000</v>
      </c>
      <c r="F510" s="19" t="n">
        <v>12960000000</v>
      </c>
      <c r="G510" s="18" t="inlineStr">
        <is>
          <t>pretax_plus_interest_less_investment_income</t>
        </is>
      </c>
      <c r="H510" s="18" t="inlineStr">
        <is>
          <t>LOW</t>
        </is>
      </c>
      <c r="I510" s="20" t="n">
        <v>0.05</v>
      </c>
      <c r="J510" s="19">
        <f>IF(F510="","",F510*(1-I510))</f>
        <v>12312000000.0</v>
      </c>
      <c r="K510" s="19" t="n">
        <v>18392000000</v>
      </c>
      <c r="L510" s="19" t="n">
        <v>42168000000</v>
      </c>
      <c r="M510" s="19" t="n">
        <v>8527000000</v>
      </c>
      <c r="N510" s="19">
        <f>IF(COUNT(K510:M510)&lt;3,"",K510+L510-M510)</f>
        <v>52033000000.0</v>
      </c>
      <c r="O510" s="19">
        <f>N509</f>
        <v>46119000000.0</v>
      </c>
      <c r="P510" s="19">
        <f>IF(N510="","",IF(OR(O510="",O510&lt;=0,N510&lt;=0),N510,(N510+O510)/2))</f>
        <v>49076000000.0</v>
      </c>
      <c r="Q510" s="18" t="inlineStr">
        <is>
          <t>기초·기말 평균</t>
        </is>
      </c>
      <c r="R510" s="20">
        <f>IF(OR(P510="",P510&lt;=0),"",J510/P510)</f>
        <v>0.2508761920286902</v>
      </c>
      <c r="S510" s="20">
        <f>IF(R510="","",R510-0.1)</f>
        <v>0.1508761920286902</v>
      </c>
      <c r="T510" s="20">
        <f>IF(OR(P510="",E510=0,E510=""),"",P510/E510)</f>
        <v>0.61407174764449</v>
      </c>
      <c r="U510" s="18" t="inlineStr">
        <is>
          <t>—</t>
        </is>
      </c>
      <c r="V510" s="18" t="inlineStr">
        <is>
          <t>—</t>
        </is>
      </c>
      <c r="W510" s="18" t="inlineStr">
        <is>
          <t>OK</t>
        </is>
      </c>
      <c r="X510" s="18" t="inlineStr">
        <is>
          <t>INTERNATIONAL BUSINESS MACHINES CORP</t>
        </is>
      </c>
    </row>
    <row r="511">
      <c r="A511" s="18" t="inlineStr">
        <is>
          <t>IBM</t>
        </is>
      </c>
      <c r="B511" s="18" t="inlineStr">
        <is>
          <t>IBM</t>
        </is>
      </c>
      <c r="C511" s="18" t="n">
        <v>2017</v>
      </c>
      <c r="D511" s="18" t="inlineStr">
        <is>
          <t>2017-12-31</t>
        </is>
      </c>
      <c r="E511" s="19" t="n">
        <v>79139000000</v>
      </c>
      <c r="F511" s="19" t="n">
        <v>12015000000</v>
      </c>
      <c r="G511" s="18" t="inlineStr">
        <is>
          <t>pretax_plus_interest_less_investment_income</t>
        </is>
      </c>
      <c r="H511" s="18" t="inlineStr">
        <is>
          <t>LOW</t>
        </is>
      </c>
      <c r="I511" s="20" t="n">
        <v>0.4</v>
      </c>
      <c r="J511" s="19">
        <f>IF(F511="","",F511*(1-I511))</f>
        <v>7209000000.0</v>
      </c>
      <c r="K511" s="19" t="n">
        <v>17725000000</v>
      </c>
      <c r="L511" s="19" t="n">
        <v>46824000000</v>
      </c>
      <c r="M511" s="19" t="n">
        <v>12580000000</v>
      </c>
      <c r="N511" s="19">
        <f>IF(COUNT(K511:M511)&lt;3,"",K511+L511-M511)</f>
        <v>51969000000.0</v>
      </c>
      <c r="O511" s="19">
        <f>N510</f>
        <v>52033000000.0</v>
      </c>
      <c r="P511" s="19">
        <f>IF(N511="","",IF(OR(O511="",O511&lt;=0,N511&lt;=0),N511,(N511+O511)/2))</f>
        <v>52001000000.0</v>
      </c>
      <c r="Q511" s="18" t="inlineStr">
        <is>
          <t>기초·기말 평균</t>
        </is>
      </c>
      <c r="R511" s="20">
        <f>IF(OR(P511="",P511&lt;=0),"",J511/P511)</f>
        <v>0.13863194938558873</v>
      </c>
      <c r="S511" s="20">
        <f>IF(R511="","",R511-0.1)</f>
        <v>0.038631949385588726</v>
      </c>
      <c r="T511" s="20">
        <f>IF(OR(P511="",E511=0,E511=""),"",P511/E511)</f>
        <v>0.6570843705379144</v>
      </c>
      <c r="U511" s="18" t="inlineStr">
        <is>
          <t>—</t>
        </is>
      </c>
      <c r="V511" s="18" t="inlineStr">
        <is>
          <t>—</t>
        </is>
      </c>
      <c r="W511" s="18" t="inlineStr">
        <is>
          <t>OK</t>
        </is>
      </c>
      <c r="X511" s="18" t="inlineStr">
        <is>
          <t>INTERNATIONAL BUSINESS MACHINES CORP</t>
        </is>
      </c>
    </row>
    <row r="512">
      <c r="A512" s="18" t="inlineStr">
        <is>
          <t>IBM</t>
        </is>
      </c>
      <c r="B512" s="18" t="inlineStr">
        <is>
          <t>IBM</t>
        </is>
      </c>
      <c r="C512" s="18" t="n">
        <v>2018</v>
      </c>
      <c r="D512" s="18" t="inlineStr">
        <is>
          <t>2018-12-31</t>
        </is>
      </c>
      <c r="E512" s="19" t="n">
        <v>79591000000</v>
      </c>
      <c r="F512" s="19" t="n">
        <v>12065000000</v>
      </c>
      <c r="G512" s="18" t="inlineStr">
        <is>
          <t>pretax_plus_interest_less_investment_income</t>
        </is>
      </c>
      <c r="H512" s="18" t="inlineStr">
        <is>
          <t>LOW</t>
        </is>
      </c>
      <c r="I512" s="20" t="n">
        <v>0.2309116557926292</v>
      </c>
      <c r="J512" s="19">
        <f>IF(F512="","",F512*(1-I512))</f>
        <v>9279050872.861929</v>
      </c>
      <c r="K512" s="19" t="n">
        <v>16929000000</v>
      </c>
      <c r="L512" s="19" t="n">
        <v>45812000000</v>
      </c>
      <c r="M512" s="19" t="n">
        <v>11997000000</v>
      </c>
      <c r="N512" s="19">
        <f>IF(COUNT(K512:M512)&lt;3,"",K512+L512-M512)</f>
        <v>50744000000.0</v>
      </c>
      <c r="O512" s="19">
        <f>N511</f>
        <v>51969000000.0</v>
      </c>
      <c r="P512" s="19">
        <f>IF(N512="","",IF(OR(O512="",O512&lt;=0,N512&lt;=0),N512,(N512+O512)/2))</f>
        <v>51356500000.0</v>
      </c>
      <c r="Q512" s="18" t="inlineStr">
        <is>
          <t>기초·기말 평균</t>
        </is>
      </c>
      <c r="R512" s="20">
        <f>IF(OR(P512="",P512&lt;=0),"",J512/P512)</f>
        <v>0.18067919100526572</v>
      </c>
      <c r="S512" s="20">
        <f>IF(R512="","",R512-0.1)</f>
        <v>0.08067919100526572</v>
      </c>
      <c r="T512" s="20">
        <f>IF(OR(P512="",E512=0,E512=""),"",P512/E512)</f>
        <v>0.645255116784561</v>
      </c>
      <c r="U512" s="18" t="inlineStr">
        <is>
          <t>—</t>
        </is>
      </c>
      <c r="V512" s="18" t="inlineStr">
        <is>
          <t>—</t>
        </is>
      </c>
      <c r="W512" s="18" t="inlineStr">
        <is>
          <t>OK</t>
        </is>
      </c>
      <c r="X512" s="18" t="inlineStr">
        <is>
          <t>INTERNATIONAL BUSINESS MACHINES CORP</t>
        </is>
      </c>
    </row>
    <row r="513">
      <c r="A513" s="18" t="inlineStr">
        <is>
          <t>IBM</t>
        </is>
      </c>
      <c r="B513" s="18" t="inlineStr">
        <is>
          <t>IBM</t>
        </is>
      </c>
      <c r="C513" s="18" t="n">
        <v>2019</v>
      </c>
      <c r="D513" s="18" t="inlineStr">
        <is>
          <t>2019-12-31</t>
        </is>
      </c>
      <c r="E513" s="19" t="n">
        <v>57714000000</v>
      </c>
      <c r="F513" s="19" t="n">
        <v>8550000000</v>
      </c>
      <c r="G513" s="18" t="inlineStr">
        <is>
          <t>pretax_plus_interest_less_investment_income</t>
        </is>
      </c>
      <c r="H513" s="18" t="inlineStr">
        <is>
          <t>LOW</t>
        </is>
      </c>
      <c r="I513" s="20" t="n">
        <v>0.05</v>
      </c>
      <c r="J513" s="19">
        <f>IF(F513="","",F513*(1-I513))</f>
        <v>8122500000.0</v>
      </c>
      <c r="K513" s="19" t="n">
        <v>20985000000</v>
      </c>
      <c r="L513" s="19" t="n">
        <v>70421000000</v>
      </c>
      <c r="M513" s="19" t="n">
        <v>8868000000</v>
      </c>
      <c r="N513" s="19">
        <f>IF(COUNT(K513:M513)&lt;3,"",K513+L513-M513)</f>
        <v>82538000000.0</v>
      </c>
      <c r="O513" s="19">
        <f>N512</f>
        <v>50744000000.0</v>
      </c>
      <c r="P513" s="19">
        <f>IF(N513="","",IF(OR(O513="",O513&lt;=0,N513&lt;=0),N513,(N513+O513)/2))</f>
        <v>66641000000.0</v>
      </c>
      <c r="Q513" s="18" t="inlineStr">
        <is>
          <t>기초·기말 평균</t>
        </is>
      </c>
      <c r="R513" s="20">
        <f>IF(OR(P513="",P513&lt;=0),"",J513/P513)</f>
        <v>0.12188442550381898</v>
      </c>
      <c r="S513" s="20">
        <f>IF(R513="","",R513-0.1)</f>
        <v>0.02188442550381897</v>
      </c>
      <c r="T513" s="20">
        <f>IF(OR(P513="",E513=0,E513=""),"",P513/E513)</f>
        <v>1.154676508299546</v>
      </c>
      <c r="U513" s="18" t="inlineStr">
        <is>
          <t>—</t>
        </is>
      </c>
      <c r="V513" s="18" t="inlineStr">
        <is>
          <t>—</t>
        </is>
      </c>
      <c r="W513" s="18" t="inlineStr">
        <is>
          <t>OK</t>
        </is>
      </c>
      <c r="X513" s="18" t="inlineStr">
        <is>
          <t>INTERNATIONAL BUSINESS MACHINES CORP</t>
        </is>
      </c>
    </row>
    <row r="514">
      <c r="A514" s="18" t="inlineStr">
        <is>
          <t>IBM</t>
        </is>
      </c>
      <c r="B514" s="18" t="inlineStr">
        <is>
          <t>IBM</t>
        </is>
      </c>
      <c r="C514" s="18" t="n">
        <v>2020</v>
      </c>
      <c r="D514" s="18" t="inlineStr">
        <is>
          <t>2020-12-31</t>
        </is>
      </c>
      <c r="E514" s="19" t="n">
        <v>55179000000</v>
      </c>
      <c r="F514" s="19" t="n">
        <v>3860000000</v>
      </c>
      <c r="G514" s="18" t="inlineStr">
        <is>
          <t>pretax_plus_interest_less_investment_income</t>
        </is>
      </c>
      <c r="H514" s="18" t="inlineStr">
        <is>
          <t>LOW</t>
        </is>
      </c>
      <c r="I514" s="20" t="n">
        <v>0.05</v>
      </c>
      <c r="J514" s="19">
        <f>IF(F514="","",F514*(1-I514))</f>
        <v>3667000000.0</v>
      </c>
      <c r="K514" s="19" t="n">
        <v>20727000000</v>
      </c>
      <c r="L514" s="19" t="n">
        <v>68319000000</v>
      </c>
      <c r="M514" s="19" t="n">
        <v>13788000000</v>
      </c>
      <c r="N514" s="19">
        <f>IF(COUNT(K514:M514)&lt;3,"",K514+L514-M514)</f>
        <v>75258000000.0</v>
      </c>
      <c r="O514" s="19">
        <f>N513</f>
        <v>82538000000.0</v>
      </c>
      <c r="P514" s="19">
        <f>IF(N514="","",IF(OR(O514="",O514&lt;=0,N514&lt;=0),N514,(N514+O514)/2))</f>
        <v>78898000000.0</v>
      </c>
      <c r="Q514" s="18" t="inlineStr">
        <is>
          <t>기초·기말 평균</t>
        </is>
      </c>
      <c r="R514" s="20">
        <f>IF(OR(P514="",P514&lt;=0),"",J514/P514)</f>
        <v>0.04647773074095668</v>
      </c>
      <c r="S514" s="20">
        <f>IF(R514="","",R514-0.1)</f>
        <v>-0.053522269259043326</v>
      </c>
      <c r="T514" s="20">
        <f>IF(OR(P514="",E514=0,E514=""),"",P514/E514)</f>
        <v>1.4298555609924066</v>
      </c>
      <c r="U514" s="18" t="inlineStr">
        <is>
          <t>2.9% / 4.6%</t>
        </is>
      </c>
      <c r="V514" s="18" t="inlineStr">
        <is>
          <t>일치</t>
        </is>
      </c>
      <c r="W514" s="18" t="inlineStr">
        <is>
          <t>OK</t>
        </is>
      </c>
      <c r="X514" s="18" t="inlineStr">
        <is>
          <t>INTERNATIONAL BUSINESS MACHINES CORP</t>
        </is>
      </c>
    </row>
    <row r="515">
      <c r="A515" s="18" t="inlineStr">
        <is>
          <t>IBM</t>
        </is>
      </c>
      <c r="B515" s="18" t="inlineStr">
        <is>
          <t>IBM</t>
        </is>
      </c>
      <c r="C515" s="18" t="n">
        <v>2021</v>
      </c>
      <c r="D515" s="18" t="inlineStr">
        <is>
          <t>2021-12-31</t>
        </is>
      </c>
      <c r="E515" s="19" t="n">
        <v>57350000000</v>
      </c>
      <c r="F515" s="19" t="n">
        <v>5992000000</v>
      </c>
      <c r="G515" s="18" t="inlineStr">
        <is>
          <t>pretax_plus_interest_less_investment_income</t>
        </is>
      </c>
      <c r="H515" s="18" t="inlineStr">
        <is>
          <t>LOW</t>
        </is>
      </c>
      <c r="I515" s="20" t="n">
        <v>0.05</v>
      </c>
      <c r="J515" s="19">
        <f>IF(F515="","",F515*(1-I515))</f>
        <v>5692400000.0</v>
      </c>
      <c r="K515" s="19" t="n">
        <v>18996000000</v>
      </c>
      <c r="L515" s="19" t="n">
        <v>58468000000</v>
      </c>
      <c r="M515" s="19" t="n">
        <v>6650000000</v>
      </c>
      <c r="N515" s="19">
        <f>IF(COUNT(K515:M515)&lt;3,"",K515+L515-M515)</f>
        <v>70814000000.0</v>
      </c>
      <c r="O515" s="19">
        <f>N514</f>
        <v>75258000000.0</v>
      </c>
      <c r="P515" s="19">
        <f>IF(N515="","",IF(OR(O515="",O515&lt;=0,N515&lt;=0),N515,(N515+O515)/2))</f>
        <v>73036000000.0</v>
      </c>
      <c r="Q515" s="18" t="inlineStr">
        <is>
          <t>기초·기말 평균</t>
        </is>
      </c>
      <c r="R515" s="20">
        <f>IF(OR(P515="",P515&lt;=0),"",J515/P515)</f>
        <v>0.07793964620187305</v>
      </c>
      <c r="S515" s="20">
        <f>IF(R515="","",R515-0.1)</f>
        <v>-0.022060353798126958</v>
      </c>
      <c r="T515" s="20">
        <f>IF(OR(P515="",E515=0,E515=""),"",P515/E515)</f>
        <v>1.2735135135135136</v>
      </c>
      <c r="U515" s="18" t="inlineStr">
        <is>
          <t>6.0% / 7.8%</t>
        </is>
      </c>
      <c r="V515" s="18" t="inlineStr">
        <is>
          <t>일치</t>
        </is>
      </c>
      <c r="W515" s="18" t="inlineStr">
        <is>
          <t>OK</t>
        </is>
      </c>
      <c r="X515" s="18" t="inlineStr">
        <is>
          <t>INTERNATIONAL BUSINESS MACHINES CORP</t>
        </is>
      </c>
    </row>
    <row r="516">
      <c r="A516" s="18" t="inlineStr">
        <is>
          <t>IBM</t>
        </is>
      </c>
      <c r="B516" s="18" t="inlineStr">
        <is>
          <t>IBM</t>
        </is>
      </c>
      <c r="C516" s="18" t="n">
        <v>2022</v>
      </c>
      <c r="D516" s="18" t="inlineStr">
        <is>
          <t>2022-12-31</t>
        </is>
      </c>
      <c r="E516" s="19" t="n">
        <v>60530000000</v>
      </c>
      <c r="F516" s="19" t="n">
        <v>2372000000</v>
      </c>
      <c r="G516" s="18" t="inlineStr">
        <is>
          <t>pretax_plus_interest_less_investment_income</t>
        </is>
      </c>
      <c r="H516" s="18" t="inlineStr">
        <is>
          <t>LOW</t>
        </is>
      </c>
      <c r="I516" s="20" t="n">
        <v>0.05</v>
      </c>
      <c r="J516" s="19">
        <f>IF(F516="","",F516*(1-I516))</f>
        <v>2253400000.0</v>
      </c>
      <c r="K516" s="19" t="n">
        <v>22021000000</v>
      </c>
      <c r="L516" s="19" t="n">
        <v>55700000000</v>
      </c>
      <c r="M516" s="19" t="n">
        <v>7886000000</v>
      </c>
      <c r="N516" s="19">
        <f>IF(COUNT(K516:M516)&lt;3,"",K516+L516-M516)</f>
        <v>69835000000.0</v>
      </c>
      <c r="O516" s="19">
        <f>N515</f>
        <v>70814000000.0</v>
      </c>
      <c r="P516" s="19">
        <f>IF(N516="","",IF(OR(O516="",O516&lt;=0,N516&lt;=0),N516,(N516+O516)/2))</f>
        <v>70324500000.0</v>
      </c>
      <c r="Q516" s="18" t="inlineStr">
        <is>
          <t>기초·기말 평균</t>
        </is>
      </c>
      <c r="R516" s="20">
        <f>IF(OR(P516="",P516&lt;=0),"",J516/P516)</f>
        <v>0.03204288690285747</v>
      </c>
      <c r="S516" s="20">
        <f>IF(R516="","",R516-0.1)</f>
        <v>-0.06795711309714253</v>
      </c>
      <c r="T516" s="20">
        <f>IF(OR(P516="",E516=0,E516=""),"",P516/E516)</f>
        <v>1.1618123244672063</v>
      </c>
      <c r="U516" s="18" t="inlineStr">
        <is>
          <t>1.0% / 3.2%</t>
        </is>
      </c>
      <c r="V516" s="18" t="inlineStr">
        <is>
          <t>일치</t>
        </is>
      </c>
      <c r="W516" s="18" t="inlineStr">
        <is>
          <t>OK</t>
        </is>
      </c>
      <c r="X516" s="18" t="inlineStr">
        <is>
          <t>INTERNATIONAL BUSINESS MACHINES CORP</t>
        </is>
      </c>
    </row>
    <row r="517">
      <c r="A517" s="18" t="inlineStr">
        <is>
          <t>IBM</t>
        </is>
      </c>
      <c r="B517" s="18" t="inlineStr">
        <is>
          <t>IBM</t>
        </is>
      </c>
      <c r="C517" s="18" t="n">
        <v>2023</v>
      </c>
      <c r="D517" s="18" t="inlineStr">
        <is>
          <t>2023-12-31</t>
        </is>
      </c>
      <c r="E517" s="19" t="n">
        <v>61860000000</v>
      </c>
      <c r="F517" s="19" t="n">
        <v>10297000000</v>
      </c>
      <c r="G517" s="18" t="inlineStr">
        <is>
          <t>pretax_plus_interest_less_investment_income</t>
        </is>
      </c>
      <c r="H517" s="18" t="inlineStr">
        <is>
          <t>LOW</t>
        </is>
      </c>
      <c r="I517" s="20" t="n">
        <v>0.1353279631760644</v>
      </c>
      <c r="J517" s="19">
        <f>IF(F517="","",F517*(1-I517))</f>
        <v>8903527963.176065</v>
      </c>
      <c r="K517" s="19" t="n">
        <v>22613000000</v>
      </c>
      <c r="L517" s="19" t="n">
        <v>62972000000</v>
      </c>
      <c r="M517" s="19" t="n">
        <v>13068000000</v>
      </c>
      <c r="N517" s="19">
        <f>IF(COUNT(K517:M517)&lt;3,"",K517+L517-M517)</f>
        <v>72517000000.0</v>
      </c>
      <c r="O517" s="19">
        <f>N516</f>
        <v>69835000000.0</v>
      </c>
      <c r="P517" s="19">
        <f>IF(N517="","",IF(OR(O517="",O517&lt;=0,N517&lt;=0),N517,(N517+O517)/2))</f>
        <v>71176000000.0</v>
      </c>
      <c r="Q517" s="18" t="inlineStr">
        <is>
          <t>기초·기말 평균</t>
        </is>
      </c>
      <c r="R517" s="20">
        <f>IF(OR(P517="",P517&lt;=0),"",J517/P517)</f>
        <v>0.12509171579150366</v>
      </c>
      <c r="S517" s="20">
        <f>IF(R517="","",R517-0.1)</f>
        <v>0.025091715791503655</v>
      </c>
      <c r="T517" s="20">
        <f>IF(OR(P517="",E517=0,E517=""),"",P517/E517)</f>
        <v>1.1505981247979309</v>
      </c>
      <c r="U517" s="18" t="inlineStr">
        <is>
          <t>10.2% / 12.5%</t>
        </is>
      </c>
      <c r="V517" s="18" t="inlineStr">
        <is>
          <t>일치</t>
        </is>
      </c>
      <c r="W517" s="18" t="inlineStr">
        <is>
          <t>OK</t>
        </is>
      </c>
      <c r="X517" s="18" t="inlineStr">
        <is>
          <t>INTERNATIONAL BUSINESS MACHINES CORP</t>
        </is>
      </c>
    </row>
    <row r="518">
      <c r="A518" s="18" t="inlineStr">
        <is>
          <t>IBM</t>
        </is>
      </c>
      <c r="B518" s="18" t="inlineStr">
        <is>
          <t>IBM</t>
        </is>
      </c>
      <c r="C518" s="18" t="n">
        <v>2024</v>
      </c>
      <c r="D518" s="18" t="inlineStr">
        <is>
          <t>2024-12-31</t>
        </is>
      </c>
      <c r="E518" s="19" t="n">
        <v>62753000000</v>
      </c>
      <c r="F518" s="19" t="n">
        <v>7509000000</v>
      </c>
      <c r="G518" s="18" t="inlineStr">
        <is>
          <t>pretax_plus_interest_less_investment_income</t>
        </is>
      </c>
      <c r="H518" s="18" t="inlineStr">
        <is>
          <t>LOW</t>
        </is>
      </c>
      <c r="I518" s="20" t="n">
        <v>0.05</v>
      </c>
      <c r="J518" s="19">
        <f>IF(F518="","",F518*(1-I518))</f>
        <v>7133550000.0</v>
      </c>
      <c r="K518" s="19" t="n">
        <v>27393000000</v>
      </c>
      <c r="L518" s="19" t="n">
        <v>60032000000</v>
      </c>
      <c r="M518" s="19" t="n">
        <v>13947000000</v>
      </c>
      <c r="N518" s="19">
        <f>IF(COUNT(K518:M518)&lt;3,"",K518+L518-M518)</f>
        <v>73478000000.0</v>
      </c>
      <c r="O518" s="19">
        <f>N517</f>
        <v>72517000000.0</v>
      </c>
      <c r="P518" s="19">
        <f>IF(N518="","",IF(OR(O518="",O518&lt;=0,N518&lt;=0),N518,(N518+O518)/2))</f>
        <v>72997500000.0</v>
      </c>
      <c r="Q518" s="18" t="inlineStr">
        <is>
          <t>기초·기말 평균</t>
        </is>
      </c>
      <c r="R518" s="20">
        <f>IF(OR(P518="",P518&lt;=0),"",J518/P518)</f>
        <v>0.0977232096989623</v>
      </c>
      <c r="S518" s="20">
        <f>IF(R518="","",R518-0.1)</f>
        <v>-0.0022767903010377094</v>
      </c>
      <c r="T518" s="20">
        <f>IF(OR(P518="",E518=0,E518=""),"",P518/E518)</f>
        <v>1.1632511593071249</v>
      </c>
      <c r="U518" s="18" t="inlineStr">
        <is>
          <t>6.4% / 9.8%</t>
        </is>
      </c>
      <c r="V518" s="18" t="inlineStr">
        <is>
          <t>일치</t>
        </is>
      </c>
      <c r="W518" s="18" t="inlineStr">
        <is>
          <t>OK</t>
        </is>
      </c>
      <c r="X518" s="18" t="inlineStr">
        <is>
          <t>INTERNATIONAL BUSINESS MACHINES CORP</t>
        </is>
      </c>
    </row>
    <row r="519">
      <c r="A519" s="18" t="inlineStr">
        <is>
          <t>IBM</t>
        </is>
      </c>
      <c r="B519" s="18" t="inlineStr">
        <is>
          <t>IBM</t>
        </is>
      </c>
      <c r="C519" s="18" t="n">
        <v>2025</v>
      </c>
      <c r="D519" s="18" t="inlineStr">
        <is>
          <t>2025-12-31</t>
        </is>
      </c>
      <c r="E519" s="19" t="n">
        <v>67535000000</v>
      </c>
      <c r="F519" s="19" t="n">
        <v>12263000000</v>
      </c>
      <c r="G519" s="18" t="inlineStr">
        <is>
          <t>pretax_plus_interest_less_investment_income</t>
        </is>
      </c>
      <c r="H519" s="18" t="inlineStr">
        <is>
          <t>LOW</t>
        </is>
      </c>
      <c r="I519" s="20" t="n">
        <v>0.05</v>
      </c>
      <c r="J519" s="19">
        <f>IF(F519="","",F519*(1-I519))</f>
        <v>11649850000.0</v>
      </c>
      <c r="K519" s="19" t="n">
        <v>32740000000</v>
      </c>
      <c r="L519" s="19" t="n">
        <v>67684000000</v>
      </c>
      <c r="M519" s="19" t="n">
        <v>13587000000</v>
      </c>
      <c r="N519" s="19">
        <f>IF(COUNT(K519:M519)&lt;3,"",K519+L519-M519)</f>
        <v>86837000000.0</v>
      </c>
      <c r="O519" s="19">
        <f>N518</f>
        <v>73478000000.0</v>
      </c>
      <c r="P519" s="19">
        <f>IF(N519="","",IF(OR(O519="",O519&lt;=0,N519&lt;=0),N519,(N519+O519)/2))</f>
        <v>80157500000.0</v>
      </c>
      <c r="Q519" s="18" t="inlineStr">
        <is>
          <t>기초·기말 평균</t>
        </is>
      </c>
      <c r="R519" s="20">
        <f>IF(OR(P519="",P519&lt;=0),"",J519/P519)</f>
        <v>0.145336992795434</v>
      </c>
      <c r="S519" s="20">
        <f>IF(R519="","",R519-0.1)</f>
        <v>0.04533699279543399</v>
      </c>
      <c r="T519" s="20">
        <f>IF(OR(P519="",E519=0,E519=""),"",P519/E519)</f>
        <v>1.1869030872880728</v>
      </c>
      <c r="U519" s="18" t="inlineStr">
        <is>
          <t>12.0% / 14.5%</t>
        </is>
      </c>
      <c r="V519" s="18" t="inlineStr">
        <is>
          <t>일치</t>
        </is>
      </c>
      <c r="W519" s="18" t="inlineStr">
        <is>
          <t>OK</t>
        </is>
      </c>
      <c r="X519" s="18" t="inlineStr">
        <is>
          <t>INTERNATIONAL BUSINESS MACHINES CORP</t>
        </is>
      </c>
    </row>
  </sheetData>
  <autoFilter ref="A1:X5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3" customWidth="1" min="18" max="18"/>
    <col width="11" customWidth="1" min="19" max="19"/>
    <col width="24" customWidth="1" min="20" max="20"/>
  </cols>
  <sheetData>
    <row r="1">
      <c r="A1" s="7" t="inlineStr">
        <is>
          <t>셀은 '계산 명세' 시트의 ROIC를 참조합니다. 초록 = 10% 초과, 빨강 = 10% 이하, 기울임 = 영업이익을 세전이익에서 추정한 해, 노란 테두리 = 순투하자본이 매출의 10% 미만인 해.</t>
        </is>
      </c>
    </row>
    <row r="2">
      <c r="A2" s="8" t="inlineStr">
        <is>
          <t>순위</t>
        </is>
      </c>
      <c r="B2" s="8" t="inlineStr">
        <is>
          <t>기업</t>
        </is>
      </c>
      <c r="C2" s="8" t="inlineStr">
        <is>
          <t>티커</t>
        </is>
      </c>
      <c r="D2" s="8" t="inlineStr">
        <is>
          <t>FY2016</t>
        </is>
      </c>
      <c r="E2" s="8" t="inlineStr">
        <is>
          <t>FY2017</t>
        </is>
      </c>
      <c r="F2" s="8" t="inlineStr">
        <is>
          <t>FY2018</t>
        </is>
      </c>
      <c r="G2" s="8" t="inlineStr">
        <is>
          <t>FY2019</t>
        </is>
      </c>
      <c r="H2" s="8" t="inlineStr">
        <is>
          <t>FY2020</t>
        </is>
      </c>
      <c r="I2" s="8" t="inlineStr">
        <is>
          <t>FY2021</t>
        </is>
      </c>
      <c r="J2" s="8" t="inlineStr">
        <is>
          <t>FY2022</t>
        </is>
      </c>
      <c r="K2" s="8" t="inlineStr">
        <is>
          <t>FY2023</t>
        </is>
      </c>
      <c r="L2" s="8" t="inlineStr">
        <is>
          <t>FY2024</t>
        </is>
      </c>
      <c r="M2" s="8" t="inlineStr">
        <is>
          <t>FY2025</t>
        </is>
      </c>
      <c r="N2" s="8" t="inlineStr">
        <is>
          <t>FY2026</t>
        </is>
      </c>
      <c r="O2" s="8" t="inlineStr">
        <is>
          <t>중위</t>
        </is>
      </c>
      <c r="P2" s="8" t="inlineStr">
        <is>
          <t>최소</t>
        </is>
      </c>
      <c r="Q2" s="8" t="inlineStr">
        <is>
          <t>최대</t>
        </is>
      </c>
      <c r="R2" s="8" t="inlineStr">
        <is>
          <t>10% 초과 연수</t>
        </is>
      </c>
      <c r="S2" s="8" t="inlineStr">
        <is>
          <t>산출 연수</t>
        </is>
      </c>
      <c r="T2" s="8" t="inlineStr">
        <is>
          <t>판정</t>
        </is>
      </c>
    </row>
    <row r="3">
      <c r="A3" s="3" t="inlineStr">
        <is>
          <t>순위 대상 (산출 5년 이상)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</row>
    <row r="4">
      <c r="A4" t="n">
        <v>1</v>
      </c>
      <c r="B4" t="inlineStr">
        <is>
          <t>아리스타 네트웍스</t>
        </is>
      </c>
      <c r="C4" t="inlineStr">
        <is>
          <t>ANET</t>
        </is>
      </c>
      <c r="D4" s="22">
        <f>'계산 명세'!R478</f>
        <v>1.0861634915669254</v>
      </c>
      <c r="E4" s="22">
        <f>'계산 명세'!R479</f>
        <v>2.2885490623891327</v>
      </c>
      <c r="F4" s="23">
        <f>'계산 명세'!R480</f>
        <v>1.6561149358579852</v>
      </c>
      <c r="G4" s="23">
        <f>'계산 명세'!R481</f>
        <v>4.281716634970355</v>
      </c>
      <c r="H4" s="22">
        <f>'계산 명세'!R482</f>
        <v>1.9455044657676475</v>
      </c>
      <c r="I4" s="22">
        <f>'계산 명세'!R483</f>
        <v>1.6415470790597384</v>
      </c>
      <c r="J4" s="22">
        <f>'계산 명세'!R484</f>
        <v>1.0735975241555356</v>
      </c>
      <c r="K4" s="22">
        <f>'계산 명세'!R485</f>
        <v>0.9552226657495815</v>
      </c>
      <c r="L4" s="22">
        <f>'계산 명세'!R486</f>
        <v>1.3182578005663566</v>
      </c>
      <c r="M4" s="22">
        <f>'계산 명세'!R487</f>
        <v>1.9200796026952072</v>
      </c>
      <c r="N4" s="24" t="inlineStr">
        <is>
          <t>—</t>
        </is>
      </c>
      <c r="O4" s="15">
        <f>MEDIAN(D4:N4)</f>
        <v>1.648831007458862</v>
      </c>
      <c r="P4" s="15">
        <f>MIN(D4:N4)</f>
        <v>0.9552226657495815</v>
      </c>
      <c r="Q4" s="15">
        <f>MAX(D4:N4)</f>
        <v>4.281716634970355</v>
      </c>
      <c r="R4">
        <f>COUNTIF(D4:N4,"&gt;0.1")</f>
        <v>10.0</v>
      </c>
      <c r="S4">
        <f>COUNT(D4:N4)</f>
        <v>10.0</v>
      </c>
      <c r="T4" t="inlineStr">
        <is>
          <t>전 기간 초과 · 매우 높음</t>
        </is>
      </c>
    </row>
    <row r="5">
      <c r="A5" t="n">
        <v>2</v>
      </c>
      <c r="B5" t="inlineStr">
        <is>
          <t>엔비디아</t>
        </is>
      </c>
      <c r="C5" t="inlineStr">
        <is>
          <t>NVDA</t>
        </is>
      </c>
      <c r="D5" s="22">
        <f>'계산 명세'!R3</f>
        <v>1.7860207811932696</v>
      </c>
      <c r="E5" s="22">
        <f>'계산 명세'!R4</f>
        <v>1.8509863429438542</v>
      </c>
      <c r="F5" s="22">
        <f>'계산 명세'!R5</f>
        <v>1.155306905370844</v>
      </c>
      <c r="G5" s="22">
        <f>'계산 명세'!R6</f>
        <v>0.7436204958269904</v>
      </c>
      <c r="H5" s="22">
        <f>'계산 명세'!R7</f>
        <v>0.5522221509651767</v>
      </c>
      <c r="I5" s="22">
        <f>'계산 명세'!R8</f>
        <v>0.666011520335137</v>
      </c>
      <c r="J5" s="22">
        <f>'계산 명세'!R9</f>
        <v>0.22226653373213692</v>
      </c>
      <c r="K5" s="22">
        <f>'계산 명세'!R10</f>
        <v>1.2490267535093018</v>
      </c>
      <c r="L5" s="22">
        <f>'계산 명세'!R11</f>
        <v>1.9821923025857473</v>
      </c>
      <c r="M5" s="22">
        <f>'계산 명세'!R12</f>
        <v>1.1082267992123584</v>
      </c>
      <c r="N5" s="24" t="inlineStr">
        <is>
          <t>—</t>
        </is>
      </c>
      <c r="O5" s="15">
        <f>MEDIAN(D5:N5)</f>
        <v>1.1317668522916011</v>
      </c>
      <c r="P5" s="15">
        <f>MIN(D5:N5)</f>
        <v>0.22226653373213692</v>
      </c>
      <c r="Q5" s="15">
        <f>MAX(D5:N5)</f>
        <v>1.9821923025857473</v>
      </c>
      <c r="R5">
        <f>COUNTIF(D5:N5,"&gt;0.1")</f>
        <v>10.0</v>
      </c>
      <c r="S5">
        <f>COUNT(D5:N5)</f>
        <v>10.0</v>
      </c>
      <c r="T5" t="inlineStr">
        <is>
          <t>전 기간 초과 · 매우 높음</t>
        </is>
      </c>
    </row>
    <row r="6">
      <c r="A6" t="n">
        <v>3</v>
      </c>
      <c r="B6" t="inlineStr">
        <is>
          <t>마스터카드</t>
        </is>
      </c>
      <c r="C6" t="inlineStr">
        <is>
          <t>MA</t>
        </is>
      </c>
      <c r="D6" s="22">
        <f>'계산 명세'!R202</f>
        <v>1.6175260087394094</v>
      </c>
      <c r="E6" s="22">
        <f>'계산 명세'!R203</f>
        <v>1.402620888813001</v>
      </c>
      <c r="F6" s="22">
        <f>'계산 명세'!R204</f>
        <v>1.818651084624413</v>
      </c>
      <c r="G6" s="22">
        <f>'계산 명세'!R205</f>
        <v>1.5898453652715754</v>
      </c>
      <c r="H6" s="22">
        <f>'계산 명세'!R206</f>
        <v>0.8708840717211626</v>
      </c>
      <c r="I6" s="22">
        <f>'계산 명세'!R207</f>
        <v>0.7741062508439216</v>
      </c>
      <c r="J6" s="22">
        <f>'계산 명세'!R208</f>
        <v>0.787548757344667</v>
      </c>
      <c r="K6" s="22">
        <f>'계산 명세'!R209</f>
        <v>0.8695033949830915</v>
      </c>
      <c r="L6" s="22">
        <f>'계산 명세'!R210</f>
        <v>0.8932466574996555</v>
      </c>
      <c r="M6" s="22">
        <f>'계산 명세'!R211</f>
        <v>0.9570363793863911</v>
      </c>
      <c r="N6" s="24" t="inlineStr">
        <is>
          <t>—</t>
        </is>
      </c>
      <c r="O6" s="15">
        <f>MEDIAN(D6:N6)</f>
        <v>0.9251415184430233</v>
      </c>
      <c r="P6" s="15">
        <f>MIN(D6:N6)</f>
        <v>0.7741062508439216</v>
      </c>
      <c r="Q6" s="15">
        <f>MAX(D6:N6)</f>
        <v>1.818651084624413</v>
      </c>
      <c r="R6">
        <f>COUNTIF(D6:N6,"&gt;0.1")</f>
        <v>10.0</v>
      </c>
      <c r="S6">
        <f>COUNT(D6:N6)</f>
        <v>10.0</v>
      </c>
      <c r="T6" t="inlineStr">
        <is>
          <t>전 기간 초과 · 매우 높음</t>
        </is>
      </c>
    </row>
    <row r="7">
      <c r="A7" t="n">
        <v>4</v>
      </c>
      <c r="B7" t="inlineStr">
        <is>
          <t>애플</t>
        </is>
      </c>
      <c r="C7" t="inlineStr">
        <is>
          <t>AAPL</t>
        </is>
      </c>
      <c r="D7" s="22">
        <f>'계산 명세'!R14</f>
        <v>0.30794128231819107</v>
      </c>
      <c r="E7" s="22">
        <f>'계산 명세'!R15</f>
        <v>0.2859689764349539</v>
      </c>
      <c r="F7" s="22">
        <f>'계산 명세'!R16</f>
        <v>0.34994339689098714</v>
      </c>
      <c r="G7" s="22">
        <f>'계산 명세'!R17</f>
        <v>0.42428440691376496</v>
      </c>
      <c r="H7" s="22">
        <f>'계산 명세'!R18</f>
        <v>0.6138613512558175</v>
      </c>
      <c r="I7" s="22">
        <f>'계산 명세'!R19</f>
        <v>0.8910889504153521</v>
      </c>
      <c r="J7" s="22">
        <f>'계산 명세'!R20</f>
        <v>0.8084010314568976</v>
      </c>
      <c r="K7" s="22">
        <f>'계산 명세'!R21</f>
        <v>0.8327225534829878</v>
      </c>
      <c r="L7" s="22">
        <f>'계산 명세'!R22</f>
        <v>0.8904102137504146</v>
      </c>
      <c r="M7" s="22">
        <f>'계산 명세'!R23</f>
        <v>1.039151988121321</v>
      </c>
      <c r="N7" s="24" t="inlineStr">
        <is>
          <t>—</t>
        </is>
      </c>
      <c r="O7" s="15">
        <f>MEDIAN(D7:N7)</f>
        <v>0.7111311913563576</v>
      </c>
      <c r="P7" s="15">
        <f>MIN(D7:N7)</f>
        <v>0.2859689764349539</v>
      </c>
      <c r="Q7" s="15">
        <f>MAX(D7:N7)</f>
        <v>1.039151988121321</v>
      </c>
      <c r="R7">
        <f>COUNTIF(D7:N7,"&gt;0.1")</f>
        <v>10.0</v>
      </c>
      <c r="S7">
        <f>COUNT(D7:N7)</f>
        <v>10.0</v>
      </c>
      <c r="T7" t="inlineStr">
        <is>
          <t>전 기간 초과 · 매우 높음</t>
        </is>
      </c>
    </row>
    <row r="8">
      <c r="A8" t="n">
        <v>5</v>
      </c>
      <c r="B8" t="inlineStr">
        <is>
          <t>마이크로소프트</t>
        </is>
      </c>
      <c r="C8" t="inlineStr">
        <is>
          <t>MSFT</t>
        </is>
      </c>
      <c r="D8" s="22" t="str">
        <f>'계산 명세'!R36</f>
        <v>—</v>
      </c>
      <c r="E8" s="22">
        <f>'계산 명세'!R37</f>
        <v>0.7703668388862198</v>
      </c>
      <c r="F8" s="22">
        <f>'계산 명세'!R38</f>
        <v>0.6363190852164443</v>
      </c>
      <c r="G8" s="22">
        <f>'계산 명세'!R39</f>
        <v>1.1713966991344986</v>
      </c>
      <c r="H8" s="22">
        <f>'계산 명세'!R40</f>
        <v>1.0307766576407578</v>
      </c>
      <c r="I8" s="22">
        <f>'계산 명세'!R41</f>
        <v>1.0486838344580012</v>
      </c>
      <c r="J8" s="22">
        <f>'계산 명세'!R42</f>
        <v>0.7989222628997108</v>
      </c>
      <c r="K8" s="22">
        <f>'계산 명세'!R43</f>
        <v>0.5652697117557748</v>
      </c>
      <c r="L8" s="22">
        <f>'계산 명세'!R44</f>
        <v>0.46272339249564204</v>
      </c>
      <c r="M8" s="22">
        <f>'계산 명세'!R45</f>
        <v>0.39457044306990313</v>
      </c>
      <c r="N8" s="22">
        <f>'계산 명세'!R46</f>
        <v>0.35857939734445754</v>
      </c>
      <c r="O8" s="15">
        <f>MEDIAN(D8:N8)</f>
        <v>0.7033429620513321</v>
      </c>
      <c r="P8" s="15">
        <f>MIN(D8:N8)</f>
        <v>0.35857939734445754</v>
      </c>
      <c r="Q8" s="15">
        <f>MAX(D8:N8)</f>
        <v>1.1713966991344986</v>
      </c>
      <c r="R8">
        <f>COUNTIF(D8:N8,"&gt;0.1")</f>
        <v>10.0</v>
      </c>
      <c r="S8">
        <f>COUNT(D8:N8)</f>
        <v>10.0</v>
      </c>
      <c r="T8" t="inlineStr">
        <is>
          <t>전 기간 초과 · 매우 높음</t>
        </is>
      </c>
    </row>
    <row r="9">
      <c r="A9" t="n">
        <v>6</v>
      </c>
      <c r="B9" t="inlineStr">
        <is>
          <t>램리서치</t>
        </is>
      </c>
      <c r="C9" t="inlineStr">
        <is>
          <t>LRCX</t>
        </is>
      </c>
      <c r="D9" s="22" t="str">
        <f>'계산 명세'!R290</f>
        <v>—</v>
      </c>
      <c r="E9" s="22">
        <f>'계산 명세'!R291</f>
        <v>0.520554144382932</v>
      </c>
      <c r="F9" s="22">
        <f>'계산 명세'!R292</f>
        <v>0.6572223362695518</v>
      </c>
      <c r="G9" s="22">
        <f>'계산 명세'!R293</f>
        <v>0.5809730680368415</v>
      </c>
      <c r="H9" s="22">
        <f>'계산 명세'!R294</f>
        <v>0.5890354469388079</v>
      </c>
      <c r="I9" s="22">
        <f>'계산 명세'!R295</f>
        <v>0.8419560854631192</v>
      </c>
      <c r="J9" s="22">
        <f>'계산 명세'!R296</f>
        <v>0.7432803819822231</v>
      </c>
      <c r="K9" s="22">
        <f>'계산 명세'!R297</f>
        <v>0.593982501997783</v>
      </c>
      <c r="L9" s="22">
        <f>'계산 명세'!R298</f>
        <v>0.4842525839380762</v>
      </c>
      <c r="M9" s="22">
        <f>'계산 명세'!R299</f>
        <v>0.6803917110649454</v>
      </c>
      <c r="N9" s="22">
        <f>'계산 명세'!R300</f>
        <v>0.777215611608313</v>
      </c>
      <c r="O9" s="15">
        <f>MEDIAN(D9:N9)</f>
        <v>0.6256024191336674</v>
      </c>
      <c r="P9" s="15">
        <f>MIN(D9:N9)</f>
        <v>0.4842525839380762</v>
      </c>
      <c r="Q9" s="15">
        <f>MAX(D9:N9)</f>
        <v>0.8419560854631192</v>
      </c>
      <c r="R9">
        <f>COUNTIF(D9:N9,"&gt;0.1")</f>
        <v>10.0</v>
      </c>
      <c r="S9">
        <f>COUNT(D9:N9)</f>
        <v>10.0</v>
      </c>
      <c r="T9" t="inlineStr">
        <is>
          <t>전 기간 초과 · 매우 높음</t>
        </is>
      </c>
    </row>
    <row r="10">
      <c r="A10" t="n">
        <v>7</v>
      </c>
      <c r="B10" t="inlineStr">
        <is>
          <t>필립모리스 인터내셔널</t>
        </is>
      </c>
      <c r="C10" t="inlineStr">
        <is>
          <t>PM</t>
        </is>
      </c>
      <c r="D10" s="22">
        <f>'계산 명세'!R425</f>
        <v>0.5714655660687955</v>
      </c>
      <c r="E10" s="22">
        <f>'계산 명세'!R426</f>
        <v>0.4696586684690774</v>
      </c>
      <c r="F10" s="22">
        <f>'계산 명세'!R427</f>
        <v>0.5829530578354593</v>
      </c>
      <c r="G10" s="22">
        <f>'계산 명세'!R428</f>
        <v>0.5573508913541839</v>
      </c>
      <c r="H10" s="22">
        <f>'계산 명세'!R429</f>
        <v>0.6477016667490333</v>
      </c>
      <c r="I10" s="22">
        <f>'계산 명세'!R430</f>
        <v>0.7060784123644922</v>
      </c>
      <c r="J10" s="22">
        <f>'계산 명세'!R431</f>
        <v>0.4058535999852525</v>
      </c>
      <c r="K10" s="22">
        <f>'계산 명세'!R432</f>
        <v>0.2599538171567654</v>
      </c>
      <c r="L10" s="22">
        <f>'계산 명세'!R433</f>
        <v>0.30106487284300804</v>
      </c>
      <c r="M10" s="22">
        <f>'계산 명세'!R434</f>
        <v>0.35400460487534474</v>
      </c>
      <c r="N10" s="24" t="inlineStr">
        <is>
          <t>—</t>
        </is>
      </c>
      <c r="O10" s="15">
        <f>MEDIAN(D10:N10)</f>
        <v>0.5135047799116307</v>
      </c>
      <c r="P10" s="15">
        <f>MIN(D10:N10)</f>
        <v>0.2599538171567654</v>
      </c>
      <c r="Q10" s="15">
        <f>MAX(D10:N10)</f>
        <v>0.7060784123644922</v>
      </c>
      <c r="R10">
        <f>COUNTIF(D10:N10,"&gt;0.1")</f>
        <v>10.0</v>
      </c>
      <c r="S10">
        <f>COUNT(D10:N10)</f>
        <v>10.0</v>
      </c>
      <c r="T10" t="inlineStr">
        <is>
          <t>전 기간 초과 · 매우 높음</t>
        </is>
      </c>
    </row>
    <row r="11">
      <c r="A11" t="n">
        <v>8</v>
      </c>
      <c r="B11" t="inlineStr">
        <is>
          <t>KLA</t>
        </is>
      </c>
      <c r="C11" t="inlineStr">
        <is>
          <t>KLAC</t>
        </is>
      </c>
      <c r="D11" s="22" t="str">
        <f>'계산 명세'!R466</f>
        <v>—</v>
      </c>
      <c r="E11" s="22">
        <f>'계산 명세'!R467</f>
        <v>0.8070096707999566</v>
      </c>
      <c r="F11" s="22">
        <f>'계산 명세'!R468</f>
        <v>0.830684903340309</v>
      </c>
      <c r="G11" s="22">
        <f>'계산 명세'!R469</f>
        <v>0.4420926405853845</v>
      </c>
      <c r="H11" s="25">
        <f>'계산 명세'!R470</f>
        <v>0.2853986733930995</v>
      </c>
      <c r="I11" s="25">
        <f>'계산 명세'!R471</f>
        <v>0.4294669942660146</v>
      </c>
      <c r="J11" s="25">
        <f>'계산 명세'!R472</f>
        <v>0.559783143159296</v>
      </c>
      <c r="K11" s="25">
        <f>'계산 명세'!R473</f>
        <v>0.4931657137783704</v>
      </c>
      <c r="L11" s="22">
        <f>'계산 명세'!R474</f>
        <v>0.3584589810147777</v>
      </c>
      <c r="M11" s="22">
        <f>'계산 명세'!R475</f>
        <v>0.48143520333850576</v>
      </c>
      <c r="N11" s="22">
        <f>'계산 명세'!R476</f>
        <v>0.4938476757212924</v>
      </c>
      <c r="O11" s="15">
        <f>MEDIAN(D11:N11)</f>
        <v>0.48730045855843807</v>
      </c>
      <c r="P11" s="15">
        <f>MIN(D11:N11)</f>
        <v>0.2853986733930995</v>
      </c>
      <c r="Q11" s="15">
        <f>MAX(D11:N11)</f>
        <v>0.830684903340309</v>
      </c>
      <c r="R11">
        <f>COUNTIF(D11:N11,"&gt;0.1")</f>
        <v>10.0</v>
      </c>
      <c r="S11">
        <f>COUNT(D11:N11)</f>
        <v>10.0</v>
      </c>
      <c r="T11" t="inlineStr">
        <is>
          <t>전 기간 초과 · 매우 높음</t>
        </is>
      </c>
    </row>
    <row r="12">
      <c r="A12" t="n">
        <v>9</v>
      </c>
      <c r="B12" t="inlineStr">
        <is>
          <t>텍사스 인스트루먼츠</t>
        </is>
      </c>
      <c r="C12" t="inlineStr">
        <is>
          <t>TXN</t>
        </is>
      </c>
      <c r="D12" s="22">
        <f>'계산 명세'!R455</f>
        <v>0.33025273606611977</v>
      </c>
      <c r="E12" s="22">
        <f>'계산 명세'!R456</f>
        <v>0.3587492600005638</v>
      </c>
      <c r="F12" s="22">
        <f>'계산 명세'!R457</f>
        <v>0.5666565846473163</v>
      </c>
      <c r="G12" s="22">
        <f>'계산 명세'!R458</f>
        <v>0.5234566244230222</v>
      </c>
      <c r="H12" s="22">
        <f>'계산 명세'!R459</f>
        <v>0.5849121193260859</v>
      </c>
      <c r="I12" s="22">
        <f>'계산 명세'!R460</f>
        <v>0.7521890451915262</v>
      </c>
      <c r="J12" s="22">
        <f>'계산 명세'!R461</f>
        <v>0.6914142141550479</v>
      </c>
      <c r="K12" s="22">
        <f>'계산 명세'!R462</f>
        <v>0.38080196694873114</v>
      </c>
      <c r="L12" s="22">
        <f>'계산 명세'!R463</f>
        <v>0.22652415185684172</v>
      </c>
      <c r="M12" s="22">
        <f>'계산 명세'!R464</f>
        <v>0.21816561039444157</v>
      </c>
      <c r="N12" s="24" t="inlineStr">
        <is>
          <t>—</t>
        </is>
      </c>
      <c r="O12" s="15">
        <f>MEDIAN(D12:N12)</f>
        <v>0.4521292956858767</v>
      </c>
      <c r="P12" s="15">
        <f>MIN(D12:N12)</f>
        <v>0.21816561039444157</v>
      </c>
      <c r="Q12" s="15">
        <f>MAX(D12:N12)</f>
        <v>0.7521890451915262</v>
      </c>
      <c r="R12">
        <f>COUNTIF(D12:N12,"&gt;0.1")</f>
        <v>10.0</v>
      </c>
      <c r="S12">
        <f>COUNT(D12:N12)</f>
        <v>10.0</v>
      </c>
      <c r="T12" t="inlineStr">
        <is>
          <t>전 기간 초과 · 매우 높음</t>
        </is>
      </c>
    </row>
    <row r="13">
      <c r="A13" t="n">
        <v>10</v>
      </c>
      <c r="B13" t="inlineStr">
        <is>
          <t>메타 플랫폼스</t>
        </is>
      </c>
      <c r="C13" t="inlineStr">
        <is>
          <t>META</t>
        </is>
      </c>
      <c r="D13" s="22">
        <f>'계산 명세'!R69</f>
        <v>0.36399523390785243</v>
      </c>
      <c r="E13" s="22">
        <f>'계산 명세'!R70</f>
        <v>0.5011614204345335</v>
      </c>
      <c r="F13" s="22">
        <f>'계산 명세'!R71</f>
        <v>0.5742678243057453</v>
      </c>
      <c r="G13" s="22">
        <f>'계산 명세'!R72</f>
        <v>0.40061041121327623</v>
      </c>
      <c r="H13" s="22">
        <f>'계산 명세'!R73</f>
        <v>0.5100436992169578</v>
      </c>
      <c r="I13" s="22">
        <f>'계산 명세'!R74</f>
        <v>0.5436208597277238</v>
      </c>
      <c r="J13" s="22">
        <f>'계산 명세'!R75</f>
        <v>0.2712861066588871</v>
      </c>
      <c r="K13" s="22">
        <f>'계산 명세'!R76</f>
        <v>0.3833900825223607</v>
      </c>
      <c r="L13" s="22">
        <f>'계산 명세'!R77</f>
        <v>0.5106610920046768</v>
      </c>
      <c r="M13" s="22">
        <f>'계산 명세'!R78</f>
        <v>0.3572053326321379</v>
      </c>
      <c r="N13" s="24" t="inlineStr">
        <is>
          <t>—</t>
        </is>
      </c>
      <c r="O13" s="15">
        <f>MEDIAN(D13:N13)</f>
        <v>0.45088591582390486</v>
      </c>
      <c r="P13" s="15">
        <f>MIN(D13:N13)</f>
        <v>0.2712861066588871</v>
      </c>
      <c r="Q13" s="15">
        <f>MAX(D13:N13)</f>
        <v>0.5742678243057453</v>
      </c>
      <c r="R13">
        <f>COUNTIF(D13:N13,"&gt;0.1")</f>
        <v>10.0</v>
      </c>
      <c r="S13">
        <f>COUNT(D13:N13)</f>
        <v>10.0</v>
      </c>
      <c r="T13" t="inlineStr">
        <is>
          <t>전 기간 초과 · 매우 높음</t>
        </is>
      </c>
    </row>
    <row r="14">
      <c r="A14" t="n">
        <v>11</v>
      </c>
      <c r="B14" t="inlineStr">
        <is>
          <t>홈디포</t>
        </is>
      </c>
      <c r="C14" t="inlineStr">
        <is>
          <t>HD</t>
        </is>
      </c>
      <c r="D14" s="22">
        <f>'계산 명세'!R357</f>
        <v>0.33732644974013726</v>
      </c>
      <c r="E14" s="22">
        <f>'계산 명세'!R358</f>
        <v>0.3678900884274317</v>
      </c>
      <c r="F14" s="22">
        <f>'계산 명세'!R359</f>
        <v>0.47053121779078266</v>
      </c>
      <c r="G14" s="22">
        <f>'계산 명세'!R360</f>
        <v>0.46750761179285527</v>
      </c>
      <c r="H14" s="22">
        <f>'계산 명세'!R361</f>
        <v>0.4705192432362583</v>
      </c>
      <c r="I14" s="22">
        <f>'계산 명세'!R362</f>
        <v>0.5071571194704709</v>
      </c>
      <c r="J14" s="22">
        <f>'계산 명세'!R363</f>
        <v>0.4687983140106293</v>
      </c>
      <c r="K14" s="22">
        <f>'계산 명세'!R364</f>
        <v>0.39534414940913953</v>
      </c>
      <c r="L14" s="22">
        <f>'계산 명세'!R365</f>
        <v>0.3292630240425339</v>
      </c>
      <c r="M14" s="22">
        <f>'계산 명세'!R366</f>
        <v>0.2532200222093292</v>
      </c>
      <c r="N14" s="24" t="inlineStr">
        <is>
          <t>—</t>
        </is>
      </c>
      <c r="O14" s="15">
        <f>MEDIAN(D14:N14)</f>
        <v>0.4314258806009974</v>
      </c>
      <c r="P14" s="15">
        <f>MIN(D14:N14)</f>
        <v>0.2532200222093292</v>
      </c>
      <c r="Q14" s="15">
        <f>MAX(D14:N14)</f>
        <v>0.5071571194704709</v>
      </c>
      <c r="R14">
        <f>COUNTIF(D14:N14,"&gt;0.1")</f>
        <v>10.0</v>
      </c>
      <c r="S14">
        <f>COUNT(D14:N14)</f>
        <v>10.0</v>
      </c>
      <c r="T14" t="inlineStr">
        <is>
          <t>전 기간 초과 · 매우 높음</t>
        </is>
      </c>
    </row>
    <row r="15">
      <c r="A15" t="n">
        <v>12</v>
      </c>
      <c r="B15" t="inlineStr">
        <is>
          <t>어플라이드 머티리얼즈</t>
        </is>
      </c>
      <c r="C15" t="inlineStr">
        <is>
          <t>AMAT</t>
        </is>
      </c>
      <c r="D15" s="22">
        <f>'계산 명세'!R247</f>
        <v>0.2595157710862187</v>
      </c>
      <c r="E15" s="22">
        <f>'계산 명세'!R248</f>
        <v>0.4956182668612672</v>
      </c>
      <c r="F15" s="22">
        <f>'계산 명세'!R249</f>
        <v>0.3933155324093319</v>
      </c>
      <c r="G15" s="22">
        <f>'계산 명세'!R250</f>
        <v>0.30755280456310363</v>
      </c>
      <c r="H15" s="22">
        <f>'계산 명세'!R251</f>
        <v>0.3754885477423281</v>
      </c>
      <c r="I15" s="22">
        <f>'계산 명세'!R252</f>
        <v>0.53183697855829</v>
      </c>
      <c r="J15" s="22">
        <f>'계산 명세'!R253</f>
        <v>0.48973180527473087</v>
      </c>
      <c r="K15" s="22">
        <f>'계산 명세'!R254</f>
        <v>0.4517226472867738</v>
      </c>
      <c r="L15" s="22">
        <f>'계산 명세'!R255</f>
        <v>0.4393331257331756</v>
      </c>
      <c r="M15" s="22">
        <f>'계산 명세'!R256</f>
        <v>0.3586974720125282</v>
      </c>
      <c r="N15" s="24" t="inlineStr">
        <is>
          <t>—</t>
        </is>
      </c>
      <c r="O15" s="15">
        <f>MEDIAN(D15:N15)</f>
        <v>0.4163243290712538</v>
      </c>
      <c r="P15" s="15">
        <f>MIN(D15:N15)</f>
        <v>0.2595157710862187</v>
      </c>
      <c r="Q15" s="15">
        <f>MAX(D15:N15)</f>
        <v>0.53183697855829</v>
      </c>
      <c r="R15">
        <f>COUNTIF(D15:N15,"&gt;0.1")</f>
        <v>10.0</v>
      </c>
      <c r="S15">
        <f>COUNT(D15:N15)</f>
        <v>10.0</v>
      </c>
      <c r="T15" t="inlineStr">
        <is>
          <t>전 기간 초과 · 매우 높음</t>
        </is>
      </c>
    </row>
    <row r="16">
      <c r="A16" t="n">
        <v>13</v>
      </c>
      <c r="B16" t="inlineStr">
        <is>
          <t>알파벳</t>
        </is>
      </c>
      <c r="C16" t="inlineStr">
        <is>
          <t>GOOG</t>
        </is>
      </c>
      <c r="D16" s="22">
        <f>'계산 명세'!R25</f>
        <v>0.35057614947738136</v>
      </c>
      <c r="E16" s="22">
        <f>'계산 명세'!R26</f>
        <v>0.28246592094378303</v>
      </c>
      <c r="F16" s="22">
        <f>'계산 명세'!R27</f>
        <v>0.38155484201553164</v>
      </c>
      <c r="G16" s="22">
        <f>'계산 명세'!R28</f>
        <v>0.37515750837329476</v>
      </c>
      <c r="H16" s="22">
        <f>'계산 명세'!R29</f>
        <v>0.37023343640220807</v>
      </c>
      <c r="I16" s="22">
        <f>'계산 명세'!R30</f>
        <v>0.5796586503269808</v>
      </c>
      <c r="J16" s="22">
        <f>'계산 명세'!R31</f>
        <v>0.4433226189938993</v>
      </c>
      <c r="K16" s="22">
        <f>'계산 명세'!R32</f>
        <v>0.42386487715624777</v>
      </c>
      <c r="L16" s="22">
        <f>'계산 명세'!R33</f>
        <v>0.43788499930183933</v>
      </c>
      <c r="M16" s="22">
        <f>'계산 명세'!R34</f>
        <v>0.3699173431782217</v>
      </c>
      <c r="N16" s="24" t="inlineStr">
        <is>
          <t>—</t>
        </is>
      </c>
      <c r="O16" s="15">
        <f>MEDIAN(D16:N16)</f>
        <v>0.3783561751944132</v>
      </c>
      <c r="P16" s="15">
        <f>MIN(D16:N16)</f>
        <v>0.28246592094378303</v>
      </c>
      <c r="Q16" s="15">
        <f>MAX(D16:N16)</f>
        <v>0.5796586503269808</v>
      </c>
      <c r="R16">
        <f>COUNTIF(D16:N16,"&gt;0.1")</f>
        <v>10.0</v>
      </c>
      <c r="S16">
        <f>COUNT(D16:N16)</f>
        <v>10.0</v>
      </c>
      <c r="T16" t="inlineStr">
        <is>
          <t>전 기간 초과 · 매우 높음</t>
        </is>
      </c>
    </row>
    <row r="17">
      <c r="A17" t="n">
        <v>14</v>
      </c>
      <c r="B17" t="inlineStr">
        <is>
          <t>코스트코</t>
        </is>
      </c>
      <c r="C17" t="inlineStr">
        <is>
          <t>COST</t>
        </is>
      </c>
      <c r="D17" s="23" t="str">
        <f>'계산 명세'!R270</f>
        <v>—</v>
      </c>
      <c r="E17" s="23">
        <f>'계산 명세'!R271</f>
        <v>0.22346643143239273</v>
      </c>
      <c r="F17" s="23">
        <f>'계산 명세'!R272</f>
        <v>0.2630184911791723</v>
      </c>
      <c r="G17" s="23">
        <f>'계산 명세'!R273</f>
        <v>0.29012248877183505</v>
      </c>
      <c r="H17" s="23">
        <f>'계산 명세'!R274</f>
        <v>0.3165276153697618</v>
      </c>
      <c r="I17" s="23">
        <f>'계산 명세'!R275</f>
        <v>0.385742642683171</v>
      </c>
      <c r="J17" s="23">
        <f>'계산 명세'!R276</f>
        <v>0.39622212942728136</v>
      </c>
      <c r="K17" s="23">
        <f>'계산 명세'!R277</f>
        <v>0.3698981894541066</v>
      </c>
      <c r="L17" s="23">
        <f>'계산 명세'!R278</f>
        <v>0.4052776464263244</v>
      </c>
      <c r="M17" s="23">
        <f>'계산 명세'!R279</f>
        <v>0.4086603609608994</v>
      </c>
      <c r="N17" s="23">
        <f>'계산 명세'!R280</f>
        <v>0.4363659594510935</v>
      </c>
      <c r="O17" s="15">
        <f>MEDIAN(D17:N17)</f>
        <v>0.3778204160686388</v>
      </c>
      <c r="P17" s="15">
        <f>MIN(D17:N17)</f>
        <v>0.22346643143239273</v>
      </c>
      <c r="Q17" s="15">
        <f>MAX(D17:N17)</f>
        <v>0.4363659594510935</v>
      </c>
      <c r="R17">
        <f>COUNTIF(D17:N17,"&gt;0.1")</f>
        <v>10.0</v>
      </c>
      <c r="S17">
        <f>COUNT(D17:N17)</f>
        <v>10.0</v>
      </c>
      <c r="T17" t="inlineStr">
        <is>
          <t>전 기간 초과 · 매우 높음</t>
        </is>
      </c>
    </row>
    <row r="18">
      <c r="A18" t="n">
        <v>15</v>
      </c>
      <c r="B18" t="inlineStr">
        <is>
          <t>시스코 시스템즈</t>
        </is>
      </c>
      <c r="C18" t="inlineStr">
        <is>
          <t>CSCO</t>
        </is>
      </c>
      <c r="D18" s="22" t="str">
        <f>'계산 명세'!R213</f>
        <v>—</v>
      </c>
      <c r="E18" s="22">
        <f>'계산 명세'!R214</f>
        <v>0.3354027128848637</v>
      </c>
      <c r="F18" s="22">
        <f>'계산 명세'!R215</f>
        <v>0.28632795084032797</v>
      </c>
      <c r="G18" s="22">
        <f>'계산 명세'!R216</f>
        <v>0.4820618861664553</v>
      </c>
      <c r="H18" s="22">
        <f>'계산 명세'!R217</f>
        <v>0.4564184670582826</v>
      </c>
      <c r="I18" s="22">
        <f>'계산 명세'!R218</f>
        <v>0.3990266775928383</v>
      </c>
      <c r="J18" s="22">
        <f>'계산 명세'!R219</f>
        <v>0.39096855210812836</v>
      </c>
      <c r="K18" s="22">
        <f>'계산 명세'!R220</f>
        <v>0.43719179867899344</v>
      </c>
      <c r="L18" s="22">
        <f>'계산 명세'!R221</f>
        <v>0.24130882683115065</v>
      </c>
      <c r="M18" s="22">
        <f>'계산 명세'!R222</f>
        <v>0.18133864579489703</v>
      </c>
      <c r="N18" s="22">
        <f>'계산 명세'!R223</f>
        <v>0.2023031041449262</v>
      </c>
      <c r="O18" s="15">
        <f>MEDIAN(D18:N18)</f>
        <v>0.36318563249649605</v>
      </c>
      <c r="P18" s="15">
        <f>MIN(D18:N18)</f>
        <v>0.18133864579489703</v>
      </c>
      <c r="Q18" s="15">
        <f>MAX(D18:N18)</f>
        <v>0.4820618861664553</v>
      </c>
      <c r="R18">
        <f>COUNTIF(D18:N18,"&gt;0.1")</f>
        <v>10.0</v>
      </c>
      <c r="S18">
        <f>COUNT(D18:N18)</f>
        <v>10.0</v>
      </c>
      <c r="T18" t="inlineStr">
        <is>
          <t>전 기간 초과 · 매우 높음</t>
        </is>
      </c>
    </row>
    <row r="19">
      <c r="A19" t="n">
        <v>16</v>
      </c>
      <c r="B19" t="inlineStr">
        <is>
          <t>비자</t>
        </is>
      </c>
      <c r="C19" t="inlineStr">
        <is>
          <t>V</t>
        </is>
      </c>
      <c r="D19" s="22">
        <f>'계산 명세'!R158</f>
        <v>0.18472390521081433</v>
      </c>
      <c r="E19" s="22">
        <f>'계산 명세'!R159</f>
        <v>0.18755695127287703</v>
      </c>
      <c r="F19" s="22">
        <f>'계산 명세'!R160</f>
        <v>0.2713165954887478</v>
      </c>
      <c r="G19" s="22">
        <f>'계산 명세'!R161</f>
        <v>0.3101702654488514</v>
      </c>
      <c r="H19" s="22">
        <f>'계산 명세'!R162</f>
        <v>0.2778965342591554</v>
      </c>
      <c r="I19" s="22">
        <f>'계산 명세'!R163</f>
        <v>0.3011523300782708</v>
      </c>
      <c r="J19" s="22">
        <f>'계산 명세'!R164</f>
        <v>0.3900137221783964</v>
      </c>
      <c r="K19" s="22">
        <f>'계산 명세'!R165</f>
        <v>0.43887193823785586</v>
      </c>
      <c r="L19" s="22">
        <f>'계산 명세'!R166</f>
        <v>0.4645031338011564</v>
      </c>
      <c r="M19" s="22">
        <f>'계산 명세'!R167</f>
        <v>0.4476140073832313</v>
      </c>
      <c r="N19" s="24" t="inlineStr">
        <is>
          <t>—</t>
        </is>
      </c>
      <c r="O19" s="15">
        <f>MEDIAN(D19:N19)</f>
        <v>0.3056612977635611</v>
      </c>
      <c r="P19" s="15">
        <f>MIN(D19:N19)</f>
        <v>0.18472390521081433</v>
      </c>
      <c r="Q19" s="15">
        <f>MAX(D19:N19)</f>
        <v>0.4645031338011564</v>
      </c>
      <c r="R19">
        <f>COUNTIF(D19:N19,"&gt;0.1")</f>
        <v>10.0</v>
      </c>
      <c r="S19">
        <f>COUNT(D19:N19)</f>
        <v>10.0</v>
      </c>
      <c r="T19" t="inlineStr">
        <is>
          <t>전 기간 초과 · 매우 높음</t>
        </is>
      </c>
    </row>
    <row r="20">
      <c r="A20" t="n">
        <v>17</v>
      </c>
      <c r="B20" t="inlineStr">
        <is>
          <t>아마존</t>
        </is>
      </c>
      <c r="C20" t="inlineStr">
        <is>
          <t>AMZN</t>
        </is>
      </c>
      <c r="D20" s="23">
        <f>'계산 명세'!R48</f>
        <v>1.2959004225191275</v>
      </c>
      <c r="E20" s="23">
        <f>'계산 명세'!R49</f>
        <v>0.27742465548625705</v>
      </c>
      <c r="F20" s="22">
        <f>'계산 명세'!R50</f>
        <v>0.45559075591965154</v>
      </c>
      <c r="G20" s="22">
        <f>'계산 명세'!R51</f>
        <v>0.4097220989689949</v>
      </c>
      <c r="H20" s="23">
        <f>'계산 명세'!R52</f>
        <v>0.5475528101686364</v>
      </c>
      <c r="I20" s="22">
        <f>'계산 명세'!R53</f>
        <v>0.3229424746521519</v>
      </c>
      <c r="J20" s="20">
        <f>'계산 명세'!R54</f>
        <v>0.0805940486850051</v>
      </c>
      <c r="K20" s="22">
        <f>'계산 명세'!R55</f>
        <v>0.18132484668426266</v>
      </c>
      <c r="L20" s="22">
        <f>'계산 명세'!R56</f>
        <v>0.2794610366044364</v>
      </c>
      <c r="M20" s="22">
        <f>'계산 명세'!R57</f>
        <v>0.21449257462772275</v>
      </c>
      <c r="N20" s="24" t="inlineStr">
        <is>
          <t>—</t>
        </is>
      </c>
      <c r="O20" s="15">
        <f>MEDIAN(D20:N20)</f>
        <v>0.30120175562829415</v>
      </c>
      <c r="P20" s="15">
        <f>MIN(D20:N20)</f>
        <v>0.0805940486850051</v>
      </c>
      <c r="Q20" s="15">
        <f>MAX(D20:N20)</f>
        <v>1.2959004225191275</v>
      </c>
      <c r="R20">
        <f>COUNTIF(D20:N20,"&gt;0.1")</f>
        <v>9.0</v>
      </c>
      <c r="S20">
        <f>COUNT(D20:N20)</f>
        <v>10.0</v>
      </c>
      <c r="T20" t="inlineStr">
        <is>
          <t>대체로 초과</t>
        </is>
      </c>
    </row>
    <row r="21">
      <c r="A21" t="n">
        <v>18</v>
      </c>
      <c r="B21" t="inlineStr">
        <is>
          <t>일라이 릴리</t>
        </is>
      </c>
      <c r="C21" t="inlineStr">
        <is>
          <t>LLY</t>
        </is>
      </c>
      <c r="D21" s="25">
        <f>'계산 명세'!R102</f>
        <v>0.14513322452951496</v>
      </c>
      <c r="E21" s="26">
        <f>'계산 명세'!R103</f>
        <v>0.06747389693499495</v>
      </c>
      <c r="F21" s="25">
        <f>'계산 명세'!R104</f>
        <v>0.19472190615331514</v>
      </c>
      <c r="G21" s="25">
        <f>'계산 명세'!R105</f>
        <v>0.2982697517013929</v>
      </c>
      <c r="H21" s="25">
        <f>'계산 명세'!R106</f>
        <v>0.3024599147686603</v>
      </c>
      <c r="I21" s="25">
        <f>'계산 명세'!R107</f>
        <v>0.2820892223176025</v>
      </c>
      <c r="J21" s="25">
        <f>'계산 명세'!R108</f>
        <v>0.27866142894589035</v>
      </c>
      <c r="K21" s="25">
        <f>'계산 명세'!R109</f>
        <v>0.17812752371373713</v>
      </c>
      <c r="L21" s="25">
        <f>'계산 명세'!R110</f>
        <v>0.2774587046104565</v>
      </c>
      <c r="M21" s="25">
        <f>'계산 명세'!R111</f>
        <v>0.39709145534371154</v>
      </c>
      <c r="N21" s="24" t="inlineStr">
        <is>
          <t>—</t>
        </is>
      </c>
      <c r="O21" s="15">
        <f>MEDIAN(D21:N21)</f>
        <v>0.2780600667781734</v>
      </c>
      <c r="P21" s="15">
        <f>MIN(D21:N21)</f>
        <v>0.06747389693499495</v>
      </c>
      <c r="Q21" s="15">
        <f>MAX(D21:N21)</f>
        <v>0.39709145534371154</v>
      </c>
      <c r="R21">
        <f>COUNTIF(D21:N21,"&gt;0.1")</f>
        <v>9.0</v>
      </c>
      <c r="S21">
        <f>COUNT(D21:N21)</f>
        <v>10.0</v>
      </c>
      <c r="T21" t="inlineStr">
        <is>
          <t>대체로 초과</t>
        </is>
      </c>
    </row>
    <row r="22">
      <c r="A22" t="n">
        <v>19</v>
      </c>
      <c r="B22" t="inlineStr">
        <is>
          <t>존슨앤드존슨</t>
        </is>
      </c>
      <c r="C22" t="inlineStr">
        <is>
          <t>JNJ</t>
        </is>
      </c>
      <c r="D22" s="25">
        <f>'계산 명세'!R180</f>
        <v>0.30873254898267793</v>
      </c>
      <c r="E22" s="25">
        <f>'계산 명세'!R181</f>
        <v>0.16017018441692155</v>
      </c>
      <c r="F22" s="25">
        <f>'계산 명세'!R182</f>
        <v>0.22438678220306058</v>
      </c>
      <c r="G22" s="25">
        <f>'계산 명세'!R183</f>
        <v>0.2502706716136624</v>
      </c>
      <c r="H22" s="25">
        <f>'계산 명세'!R184</f>
        <v>0.24502748232949562</v>
      </c>
      <c r="I22" s="25">
        <f>'계산 명세'!R185</f>
        <v>0.24462619258501012</v>
      </c>
      <c r="J22" s="25">
        <f>'계산 명세'!R186</f>
        <v>0.2001647476188901</v>
      </c>
      <c r="K22" s="25">
        <f>'계산 명세'!R187</f>
        <v>0.22657843886962953</v>
      </c>
      <c r="L22" s="25">
        <f>'계산 명세'!R188</f>
        <v>0.22691924984835465</v>
      </c>
      <c r="M22" s="25">
        <f>'계산 명세'!R189</f>
        <v>0.2163041435995871</v>
      </c>
      <c r="N22" s="24" t="inlineStr">
        <is>
          <t>—</t>
        </is>
      </c>
      <c r="O22" s="15">
        <f>MEDIAN(D22:N22)</f>
        <v>0.2267488443589921</v>
      </c>
      <c r="P22" s="15">
        <f>MIN(D22:N22)</f>
        <v>0.16017018441692155</v>
      </c>
      <c r="Q22" s="15">
        <f>MAX(D22:N22)</f>
        <v>0.30873254898267793</v>
      </c>
      <c r="R22">
        <f>COUNTIF(D22:N22,"&gt;0.1")</f>
        <v>10.0</v>
      </c>
      <c r="S22">
        <f>COUNT(D22:N22)</f>
        <v>10.0</v>
      </c>
      <c r="T22" t="inlineStr">
        <is>
          <t>전 기간 초과</t>
        </is>
      </c>
    </row>
    <row r="23">
      <c r="A23" t="n">
        <v>20</v>
      </c>
      <c r="B23" t="inlineStr">
        <is>
          <t>프록터앤드갬블</t>
        </is>
      </c>
      <c r="C23" t="inlineStr">
        <is>
          <t>PG</t>
        </is>
      </c>
      <c r="D23" s="22" t="str">
        <f>'계산 명세'!R368</f>
        <v>—</v>
      </c>
      <c r="E23" s="22">
        <f>'계산 명세'!R369</f>
        <v>0.1314906543244708</v>
      </c>
      <c r="F23" s="22">
        <f>'계산 명세'!R370</f>
        <v>0.11992158376495549</v>
      </c>
      <c r="G23" s="20">
        <f>'계산 명세'!R371</f>
        <v>0.04713141450076233</v>
      </c>
      <c r="H23" s="22">
        <f>'계산 명세'!R372</f>
        <v>0.187234558319661</v>
      </c>
      <c r="I23" s="22">
        <f>'계산 명세'!R373</f>
        <v>0.20776987040041067</v>
      </c>
      <c r="J23" s="22">
        <f>'계산 명세'!R374</f>
        <v>0.20996056655528053</v>
      </c>
      <c r="K23" s="22">
        <f>'계산 명세'!R375</f>
        <v>0.20146980187237257</v>
      </c>
      <c r="L23" s="22">
        <f>'계산 명세'!R376</f>
        <v>0.20143302274648148</v>
      </c>
      <c r="M23" s="22">
        <f>'계산 명세'!R377</f>
        <v>0.2161028028432987</v>
      </c>
      <c r="N23" s="22">
        <f>'계산 명세'!R378</f>
        <v>0.20091644334804587</v>
      </c>
      <c r="O23" s="15">
        <f>MEDIAN(D23:N23)</f>
        <v>0.2011747330472637</v>
      </c>
      <c r="P23" s="15">
        <f>MIN(D23:N23)</f>
        <v>0.04713141450076233</v>
      </c>
      <c r="Q23" s="15">
        <f>MAX(D23:N23)</f>
        <v>0.2161028028432987</v>
      </c>
      <c r="R23">
        <f>COUNTIF(D23:N23,"&gt;0.1")</f>
        <v>9.0</v>
      </c>
      <c r="S23">
        <f>COUNT(D23:N23)</f>
        <v>10.0</v>
      </c>
      <c r="T23" t="inlineStr">
        <is>
          <t>대체로 초과</t>
        </is>
      </c>
    </row>
    <row r="24">
      <c r="A24" t="n">
        <v>21</v>
      </c>
      <c r="B24" t="inlineStr">
        <is>
          <t>애브비</t>
        </is>
      </c>
      <c r="C24" t="inlineStr">
        <is>
          <t>ABBV</t>
        </is>
      </c>
      <c r="D24" s="22">
        <f>'계산 명세'!R236</f>
        <v>0.22653177159002114</v>
      </c>
      <c r="E24" s="22">
        <f>'계산 명세'!R237</f>
        <v>0.19365122731598827</v>
      </c>
      <c r="F24" s="22">
        <f>'계산 명세'!R238</f>
        <v>0.21472936843782645</v>
      </c>
      <c r="G24" s="22">
        <f>'계산 명세'!R239</f>
        <v>0.5723949875336068</v>
      </c>
      <c r="H24" s="22">
        <f>'계산 명세'!R240</f>
        <v>0.1975161473295153</v>
      </c>
      <c r="I24" s="22">
        <f>'계산 명세'!R241</f>
        <v>0.18427986063794918</v>
      </c>
      <c r="J24" s="22">
        <f>'계산 명세'!R242</f>
        <v>0.20730662581556472</v>
      </c>
      <c r="K24" s="22">
        <f>'계산 명세'!R243</f>
        <v>0.15505479964145133</v>
      </c>
      <c r="L24" s="22">
        <f>'계산 명세'!R244</f>
        <v>0.1423920799875327</v>
      </c>
      <c r="M24" s="22">
        <f>'계산 명세'!R245</f>
        <v>0.15606068883352703</v>
      </c>
      <c r="N24" s="24" t="inlineStr">
        <is>
          <t>—</t>
        </is>
      </c>
      <c r="O24" s="15">
        <f>MEDIAN(D24:N24)</f>
        <v>0.19558368732275178</v>
      </c>
      <c r="P24" s="15">
        <f>MIN(D24:N24)</f>
        <v>0.1423920799875327</v>
      </c>
      <c r="Q24" s="15">
        <f>MAX(D24:N24)</f>
        <v>0.5723949875336068</v>
      </c>
      <c r="R24">
        <f>COUNTIF(D24:N24,"&gt;0.1")</f>
        <v>10.0</v>
      </c>
      <c r="S24">
        <f>COUNT(D24:N24)</f>
        <v>10.0</v>
      </c>
      <c r="T24" t="inlineStr">
        <is>
          <t>전 기간 초과</t>
        </is>
      </c>
    </row>
    <row r="25">
      <c r="A25" t="n">
        <v>22</v>
      </c>
      <c r="B25" t="inlineStr">
        <is>
          <t>넷플릭스</t>
        </is>
      </c>
      <c r="C25" t="inlineStr">
        <is>
          <t>NFLX</t>
        </is>
      </c>
      <c r="D25" s="20">
        <f>'계산 명세'!R391</f>
        <v>0.08254205458290369</v>
      </c>
      <c r="E25" s="22">
        <f>'계산 명세'!R392</f>
        <v>0.13773885760488316</v>
      </c>
      <c r="F25" s="22">
        <f>'계산 명세'!R393</f>
        <v>0.15999266219946323</v>
      </c>
      <c r="G25" s="22">
        <f>'계산 명세'!R394</f>
        <v>0.16188263884424112</v>
      </c>
      <c r="H25" s="22">
        <f>'계산 명세'!R395</f>
        <v>0.21690532209720406</v>
      </c>
      <c r="I25" s="22">
        <f>'계산 명세'!R396</f>
        <v>0.2446903707071054</v>
      </c>
      <c r="J25" s="22">
        <f>'계산 명세'!R397</f>
        <v>0.17725326209541087</v>
      </c>
      <c r="K25" s="22">
        <f>'계산 명세'!R398</f>
        <v>0.21249354085227112</v>
      </c>
      <c r="L25" s="22">
        <f>'계산 명세'!R399</f>
        <v>0.3100965293458065</v>
      </c>
      <c r="M25" s="22">
        <f>'계산 명세'!R400</f>
        <v>0.36656570932701155</v>
      </c>
      <c r="N25" s="24" t="inlineStr">
        <is>
          <t>—</t>
        </is>
      </c>
      <c r="O25" s="15">
        <f>MEDIAN(D25:N25)</f>
        <v>0.194873401473841</v>
      </c>
      <c r="P25" s="15">
        <f>MIN(D25:N25)</f>
        <v>0.08254205458290369</v>
      </c>
      <c r="Q25" s="15">
        <f>MAX(D25:N25)</f>
        <v>0.36656570932701155</v>
      </c>
      <c r="R25">
        <f>COUNTIF(D25:N25,"&gt;0.1")</f>
        <v>9.0</v>
      </c>
      <c r="S25">
        <f>COUNT(D25:N25)</f>
        <v>10.0</v>
      </c>
      <c r="T25" t="inlineStr">
        <is>
          <t>대체로 초과</t>
        </is>
      </c>
    </row>
    <row r="26">
      <c r="A26" t="n">
        <v>23</v>
      </c>
      <c r="B26" t="inlineStr">
        <is>
          <t>오라클</t>
        </is>
      </c>
      <c r="C26" t="inlineStr">
        <is>
          <t>ORCL</t>
        </is>
      </c>
      <c r="D26" s="22" t="str">
        <f>'계산 명세'!R258</f>
        <v>—</v>
      </c>
      <c r="E26" s="22">
        <f>'계산 명세'!R259</f>
        <v>0.25254154032903076</v>
      </c>
      <c r="F26" s="22">
        <f>'계산 명세'!R260</f>
        <v>0.18254885769336637</v>
      </c>
      <c r="G26" s="22">
        <f>'계산 명세'!R261</f>
        <v>0.2642313490004201</v>
      </c>
      <c r="H26" s="22">
        <f>'계산 명세'!R262</f>
        <v>0.26788286969253294</v>
      </c>
      <c r="I26" s="22">
        <f>'계산 명세'!R263</f>
        <v>0.2831159010600707</v>
      </c>
      <c r="J26" s="22">
        <f>'계산 명세'!R264</f>
        <v>0.18798545169439845</v>
      </c>
      <c r="K26" s="22">
        <f>'계산 명세'!R265</f>
        <v>0.15908258291743246</v>
      </c>
      <c r="L26" s="22">
        <f>'계산 명세'!R266</f>
        <v>0.1449980573471132</v>
      </c>
      <c r="M26" s="22">
        <f>'계산 명세'!R267</f>
        <v>0.14874369611409036</v>
      </c>
      <c r="N26" s="22">
        <f>'계산 명세'!R268</f>
        <v>0.13396100182276774</v>
      </c>
      <c r="O26" s="15">
        <f>MEDIAN(D26:N26)</f>
        <v>0.1852671546938824</v>
      </c>
      <c r="P26" s="15">
        <f>MIN(D26:N26)</f>
        <v>0.13396100182276774</v>
      </c>
      <c r="Q26" s="15">
        <f>MAX(D26:N26)</f>
        <v>0.2831159010600707</v>
      </c>
      <c r="R26">
        <f>COUNTIF(D26:N26,"&gt;0.1")</f>
        <v>10.0</v>
      </c>
      <c r="S26">
        <f>COUNT(D26:N26)</f>
        <v>10.0</v>
      </c>
      <c r="T26" t="inlineStr">
        <is>
          <t>전 기간 초과</t>
        </is>
      </c>
    </row>
    <row r="27">
      <c r="A27" t="n">
        <v>24</v>
      </c>
      <c r="B27" t="inlineStr">
        <is>
          <t>마이크론 테크놀로지</t>
        </is>
      </c>
      <c r="C27" t="inlineStr">
        <is>
          <t>MU</t>
        </is>
      </c>
      <c r="D27" s="20" t="str">
        <f>'계산 명세'!R113</f>
        <v>—</v>
      </c>
      <c r="E27" s="22">
        <f>'계산 명세'!R114</f>
        <v>0.2556217901687454</v>
      </c>
      <c r="F27" s="22">
        <f>'계산 명세'!R115</f>
        <v>0.5071492149392958</v>
      </c>
      <c r="G27" s="22">
        <f>'계산 명세'!R116</f>
        <v>0.20256911393441354</v>
      </c>
      <c r="H27" s="20">
        <f>'계산 명세'!R117</f>
        <v>0.07541600807264706</v>
      </c>
      <c r="I27" s="22">
        <f>'계산 명세'!R118</f>
        <v>0.1479115104952452</v>
      </c>
      <c r="J27" s="22">
        <f>'계산 명세'!R119</f>
        <v>0.19656191036288415</v>
      </c>
      <c r="K27" s="20">
        <f>'계산 명세'!R120</f>
        <v>-0.09520967505087163</v>
      </c>
      <c r="L27" s="20">
        <f>'계산 명세'!R121</f>
        <v>0.016885215015469614</v>
      </c>
      <c r="M27" s="22">
        <f>'계산 명세'!R122</f>
        <v>0.15860246567294037</v>
      </c>
      <c r="N27" s="22">
        <f>'계산 명세'!R123</f>
        <v>1.067470833214512</v>
      </c>
      <c r="O27" s="15">
        <f>MEDIAN(D27:N27)</f>
        <v>0.17758218801791226</v>
      </c>
      <c r="P27" s="15">
        <f>MIN(D27:N27)</f>
        <v>-0.09520967505087163</v>
      </c>
      <c r="Q27" s="15">
        <f>MAX(D27:N27)</f>
        <v>1.067470833214512</v>
      </c>
      <c r="R27">
        <f>COUNTIF(D27:N27,"&gt;0.1")</f>
        <v>7.0</v>
      </c>
      <c r="S27">
        <f>COUNT(D27:N27)</f>
        <v>10.0</v>
      </c>
      <c r="T27" t="inlineStr">
        <is>
          <t>절반 이상 초과</t>
        </is>
      </c>
    </row>
    <row r="28">
      <c r="A28" t="n">
        <v>25</v>
      </c>
      <c r="B28" t="inlineStr">
        <is>
          <t>캐터필러</t>
        </is>
      </c>
      <c r="C28" t="inlineStr">
        <is>
          <t>CAT</t>
        </is>
      </c>
      <c r="D28" s="20">
        <f>'계산 명세'!R302</f>
        <v>0.018169972114357197</v>
      </c>
      <c r="E28" s="20">
        <f>'계산 명세'!R303</f>
        <v>0.07605513713230069</v>
      </c>
      <c r="F28" s="22">
        <f>'계산 명세'!R304</f>
        <v>0.1825474184451663</v>
      </c>
      <c r="G28" s="22">
        <f>'계산 명세'!R305</f>
        <v>0.1722595172099203</v>
      </c>
      <c r="H28" s="20">
        <f>'계산 명세'!R306</f>
        <v>0.0948459560975331</v>
      </c>
      <c r="I28" s="22">
        <f>'계산 명세'!R307</f>
        <v>0.14895879243762533</v>
      </c>
      <c r="J28" s="22">
        <f>'계산 명세'!R308</f>
        <v>0.1523468223926795</v>
      </c>
      <c r="K28" s="22">
        <f>'계산 명세'!R309</f>
        <v>0.24825179906214684</v>
      </c>
      <c r="L28" s="22">
        <f>'계산 명세'!R310</f>
        <v>0.24426783968741383</v>
      </c>
      <c r="M28" s="22">
        <f>'계산 명세'!R311</f>
        <v>0.1844790977219981</v>
      </c>
      <c r="N28" s="24" t="inlineStr">
        <is>
          <t>—</t>
        </is>
      </c>
      <c r="O28" s="15">
        <f>MEDIAN(D28:N28)</f>
        <v>0.16230316980129988</v>
      </c>
      <c r="P28" s="15">
        <f>MIN(D28:N28)</f>
        <v>0.018169972114357197</v>
      </c>
      <c r="Q28" s="15">
        <f>MAX(D28:N28)</f>
        <v>0.24825179906214684</v>
      </c>
      <c r="R28">
        <f>COUNTIF(D28:N28,"&gt;0.1")</f>
        <v>7.0</v>
      </c>
      <c r="S28">
        <f>COUNT(D28:N28)</f>
        <v>10.0</v>
      </c>
      <c r="T28" t="inlineStr">
        <is>
          <t>절반 이상 초과</t>
        </is>
      </c>
    </row>
    <row r="29">
      <c r="A29" t="n">
        <v>26</v>
      </c>
      <c r="B29" t="inlineStr">
        <is>
          <t>델 테크놀로지스</t>
        </is>
      </c>
      <c r="C29" t="inlineStr">
        <is>
          <t>DELL</t>
        </is>
      </c>
      <c r="D29" s="20">
        <f>'계산 명세'!R436</f>
        <v>-0.07635390970963236</v>
      </c>
      <c r="E29" s="20">
        <f>'계산 명세'!R437</f>
        <v>-0.03416032788645679</v>
      </c>
      <c r="F29" s="20">
        <f>'계산 명세'!R438</f>
        <v>-0.0031392905440549256</v>
      </c>
      <c r="G29" s="24" t="inlineStr">
        <is>
          <t>—</t>
        </is>
      </c>
      <c r="H29" s="20">
        <f>'계산 명세'!R440</f>
        <v>0.08551345937759539</v>
      </c>
      <c r="I29" s="22">
        <f>'계산 명세'!R441</f>
        <v>0.1552952487572618</v>
      </c>
      <c r="J29" s="22">
        <f>'계산 명세'!R442</f>
        <v>0.28463965694244303</v>
      </c>
      <c r="K29" s="22">
        <f>'계산 명세'!R443</f>
        <v>0.2857015800364847</v>
      </c>
      <c r="L29" s="22">
        <f>'계산 명세'!R444</f>
        <v>0.34324898603855586</v>
      </c>
      <c r="M29" s="22">
        <f>'계산 명세'!R445</f>
        <v>0.39348468112908297</v>
      </c>
      <c r="N29" s="24" t="inlineStr">
        <is>
          <t>—</t>
        </is>
      </c>
      <c r="O29" s="15">
        <f>MEDIAN(D29:N29)</f>
        <v>0.1552952487572618</v>
      </c>
      <c r="P29" s="15">
        <f>MIN(D29:N29)</f>
        <v>-0.07635390970963236</v>
      </c>
      <c r="Q29" s="15">
        <f>MAX(D29:N29)</f>
        <v>0.39348468112908297</v>
      </c>
      <c r="R29">
        <f>COUNTIF(D29:N29,"&gt;0.1")</f>
        <v>5.0</v>
      </c>
      <c r="S29">
        <f>COUNT(D29:N29)</f>
        <v>9.0</v>
      </c>
      <c r="T29" t="inlineStr">
        <is>
          <t>절반 이상 초과</t>
        </is>
      </c>
    </row>
    <row r="30">
      <c r="A30" t="n">
        <v>27</v>
      </c>
      <c r="B30" t="inlineStr">
        <is>
          <t>코카콜라</t>
        </is>
      </c>
      <c r="C30" t="inlineStr">
        <is>
          <t>KO</t>
        </is>
      </c>
      <c r="D30" s="22">
        <f>'계산 명세'!R324</f>
        <v>0.13304771202333557</v>
      </c>
      <c r="E30" s="20">
        <f>'계산 명세'!R325</f>
        <v>0.09155754075619091</v>
      </c>
      <c r="F30" s="22">
        <f>'계산 명세'!R326</f>
        <v>0.14070134460526385</v>
      </c>
      <c r="G30" s="22">
        <f>'계산 명세'!R327</f>
        <v>0.15658794909193596</v>
      </c>
      <c r="H30" s="22">
        <f>'계산 명세'!R328</f>
        <v>0.12867501273207219</v>
      </c>
      <c r="I30" s="22">
        <f>'계산 명세'!R329</f>
        <v>0.14497570525554268</v>
      </c>
      <c r="J30" s="22">
        <f>'계산 명세'!R330</f>
        <v>0.16082777050600136</v>
      </c>
      <c r="K30" s="22">
        <f>'계산 명세'!R331</f>
        <v>0.16804101010378958</v>
      </c>
      <c r="L30" s="22">
        <f>'계산 명세'!R332</f>
        <v>0.142006029626535</v>
      </c>
      <c r="M30" s="22">
        <f>'계산 명세'!R333</f>
        <v>0.18297307807070298</v>
      </c>
      <c r="N30" s="24" t="inlineStr">
        <is>
          <t>—</t>
        </is>
      </c>
      <c r="O30" s="15">
        <f>MEDIAN(D30:N30)</f>
        <v>0.14349086744103884</v>
      </c>
      <c r="P30" s="15">
        <f>MIN(D30:N30)</f>
        <v>0.09155754075619091</v>
      </c>
      <c r="Q30" s="15">
        <f>MAX(D30:N30)</f>
        <v>0.18297307807070298</v>
      </c>
      <c r="R30">
        <f>COUNTIF(D30:N30,"&gt;0.1")</f>
        <v>9.0</v>
      </c>
      <c r="S30">
        <f>COUNT(D30:N30)</f>
        <v>10.0</v>
      </c>
      <c r="T30" t="inlineStr">
        <is>
          <t>대체로 초과</t>
        </is>
      </c>
    </row>
    <row r="31">
      <c r="A31" t="n">
        <v>28</v>
      </c>
      <c r="B31" t="inlineStr">
        <is>
          <t>월마트</t>
        </is>
      </c>
      <c r="C31" t="inlineStr">
        <is>
          <t>WMT</t>
        </is>
      </c>
      <c r="D31" s="22">
        <f>'계산 명세'!R136</f>
        <v>0.13936390910454238</v>
      </c>
      <c r="E31" s="22">
        <f>'계산 명세'!R137</f>
        <v>0.12940313017197444</v>
      </c>
      <c r="F31" s="22">
        <f>'계산 명세'!R138</f>
        <v>0.12217908820667707</v>
      </c>
      <c r="G31" s="22">
        <f>'계산 명세'!R139</f>
        <v>0.13035179575755804</v>
      </c>
      <c r="H31" s="22">
        <f>'계산 명세'!R140</f>
        <v>0.12775837210474034</v>
      </c>
      <c r="I31" s="22">
        <f>'계산 명세'!R141</f>
        <v>0.1690080629999136</v>
      </c>
      <c r="J31" s="22">
        <f>'계산 명세'!R142</f>
        <v>0.11851569303553436</v>
      </c>
      <c r="K31" s="22">
        <f>'계산 명세'!R143</f>
        <v>0.1719060137958447</v>
      </c>
      <c r="L31" s="22">
        <f>'계산 명세'!R144</f>
        <v>0.18397155498862403</v>
      </c>
      <c r="M31" s="22">
        <f>'계산 명세'!R145</f>
        <v>0.1749184742688223</v>
      </c>
      <c r="N31" s="24" t="inlineStr">
        <is>
          <t>—</t>
        </is>
      </c>
      <c r="O31" s="15">
        <f>MEDIAN(D31:N31)</f>
        <v>0.1348578524310502</v>
      </c>
      <c r="P31" s="15">
        <f>MIN(D31:N31)</f>
        <v>0.11851569303553436</v>
      </c>
      <c r="Q31" s="15">
        <f>MAX(D31:N31)</f>
        <v>0.18397155498862403</v>
      </c>
      <c r="R31">
        <f>COUNTIF(D31:N31,"&gt;0.1")</f>
        <v>10.0</v>
      </c>
      <c r="S31">
        <f>COUNT(D31:N31)</f>
        <v>10.0</v>
      </c>
      <c r="T31" t="inlineStr">
        <is>
          <t>전 기간 초과</t>
        </is>
      </c>
    </row>
    <row r="32">
      <c r="A32" t="n">
        <v>29</v>
      </c>
      <c r="B32" t="inlineStr">
        <is>
          <t>인텔</t>
        </is>
      </c>
      <c r="C32" t="inlineStr">
        <is>
          <t>INTC</t>
        </is>
      </c>
      <c r="D32" s="22">
        <f>'계산 명세'!R191</f>
        <v>0.14106230757488233</v>
      </c>
      <c r="E32" s="22">
        <f>'계산 명세'!R192</f>
        <v>0.12452355081837153</v>
      </c>
      <c r="F32" s="22">
        <f>'계산 명세'!R193</f>
        <v>0.2259608777414643</v>
      </c>
      <c r="G32" s="22">
        <f>'계산 명세'!R194</f>
        <v>0.19637071917904791</v>
      </c>
      <c r="H32" s="22">
        <f>'계산 명세'!R195</f>
        <v>0.18747045157847061</v>
      </c>
      <c r="I32" s="22">
        <f>'계산 명세'!R196</f>
        <v>0.16683122526694552</v>
      </c>
      <c r="J32" s="20">
        <f>'계산 명세'!R197</f>
        <v>0.020044476988582433</v>
      </c>
      <c r="K32" s="20">
        <f>'계산 명세'!R198</f>
        <v>0.0007034347680695553</v>
      </c>
      <c r="L32" s="20">
        <f>'계산 명세'!R199</f>
        <v>-0.06905972797161443</v>
      </c>
      <c r="M32" s="20">
        <f>'계산 명세'!R200</f>
        <v>-0.0098946035529403</v>
      </c>
      <c r="N32" s="24" t="inlineStr">
        <is>
          <t>—</t>
        </is>
      </c>
      <c r="O32" s="15">
        <f>MEDIAN(D32:N32)</f>
        <v>0.13279292919662694</v>
      </c>
      <c r="P32" s="15">
        <f>MIN(D32:N32)</f>
        <v>-0.06905972797161443</v>
      </c>
      <c r="Q32" s="15">
        <f>MAX(D32:N32)</f>
        <v>0.2259608777414643</v>
      </c>
      <c r="R32">
        <f>COUNTIF(D32:N32,"&gt;0.1")</f>
        <v>6.0</v>
      </c>
      <c r="S32">
        <f>COUNT(D32:N32)</f>
        <v>10.0</v>
      </c>
      <c r="T32" t="inlineStr">
        <is>
          <t>절반 이상 초과</t>
        </is>
      </c>
    </row>
    <row r="33">
      <c r="A33" t="n">
        <v>30</v>
      </c>
      <c r="B33" t="inlineStr">
        <is>
          <t>머크</t>
        </is>
      </c>
      <c r="C33" t="inlineStr">
        <is>
          <t>MRK</t>
        </is>
      </c>
      <c r="D33" s="26">
        <f>'계산 명세'!R380</f>
        <v>0.07545998985636886</v>
      </c>
      <c r="E33" s="26">
        <f>'계산 명세'!R381</f>
        <v>0.07130929117072304</v>
      </c>
      <c r="F33" s="25">
        <f>'계산 명세'!R382</f>
        <v>0.12620176429333796</v>
      </c>
      <c r="G33" s="25">
        <f>'계산 명세'!R383</f>
        <v>0.1342803332446368</v>
      </c>
      <c r="H33" s="26">
        <f>'계산 명세'!R384</f>
        <v>0.08428894261064304</v>
      </c>
      <c r="I33" s="25">
        <f>'계산 명세'!R385</f>
        <v>0.19862047284939038</v>
      </c>
      <c r="J33" s="25">
        <f>'계산 명세'!R386</f>
        <v>0.24997714887887518</v>
      </c>
      <c r="K33" s="26">
        <f>'계산 명세'!R387</f>
        <v>0.02187171072998576</v>
      </c>
      <c r="L33" s="25">
        <f>'계산 명세'!R388</f>
        <v>0.25272105442974097</v>
      </c>
      <c r="M33" s="25">
        <f>'계산 명세'!R389</f>
        <v>0.23404888696865586</v>
      </c>
      <c r="N33" s="24" t="inlineStr">
        <is>
          <t>—</t>
        </is>
      </c>
      <c r="O33" s="15">
        <f>MEDIAN(D33:N33)</f>
        <v>0.1302410487689874</v>
      </c>
      <c r="P33" s="15">
        <f>MIN(D33:N33)</f>
        <v>0.02187171072998576</v>
      </c>
      <c r="Q33" s="15">
        <f>MAX(D33:N33)</f>
        <v>0.25272105442974097</v>
      </c>
      <c r="R33">
        <f>COUNTIF(D33:N33,"&gt;0.1")</f>
        <v>6.0</v>
      </c>
      <c r="S33">
        <f>COUNT(D33:N33)</f>
        <v>10.0</v>
      </c>
      <c r="T33" t="inlineStr">
        <is>
          <t>절반 이상 초과</t>
        </is>
      </c>
    </row>
    <row r="34">
      <c r="A34" t="n">
        <v>31</v>
      </c>
      <c r="B34" t="inlineStr">
        <is>
          <t>IBM</t>
        </is>
      </c>
      <c r="C34" t="inlineStr">
        <is>
          <t>IBM</t>
        </is>
      </c>
      <c r="D34" s="25">
        <f>'계산 명세'!R510</f>
        <v>0.2508761920286902</v>
      </c>
      <c r="E34" s="25">
        <f>'계산 명세'!R511</f>
        <v>0.13863194938558873</v>
      </c>
      <c r="F34" s="25">
        <f>'계산 명세'!R512</f>
        <v>0.18067919100526572</v>
      </c>
      <c r="G34" s="25">
        <f>'계산 명세'!R513</f>
        <v>0.12188442550381898</v>
      </c>
      <c r="H34" s="26">
        <f>'계산 명세'!R514</f>
        <v>0.04647773074095668</v>
      </c>
      <c r="I34" s="26">
        <f>'계산 명세'!R515</f>
        <v>0.07793964620187305</v>
      </c>
      <c r="J34" s="26">
        <f>'계산 명세'!R516</f>
        <v>0.03204288690285747</v>
      </c>
      <c r="K34" s="25">
        <f>'계산 명세'!R517</f>
        <v>0.12509171579150366</v>
      </c>
      <c r="L34" s="26">
        <f>'계산 명세'!R518</f>
        <v>0.0977232096989623</v>
      </c>
      <c r="M34" s="25">
        <f>'계산 명세'!R519</f>
        <v>0.145336992795434</v>
      </c>
      <c r="N34" s="24" t="inlineStr">
        <is>
          <t>—</t>
        </is>
      </c>
      <c r="O34" s="15">
        <f>MEDIAN(D34:N34)</f>
        <v>0.12348807064766132</v>
      </c>
      <c r="P34" s="15">
        <f>MIN(D34:N34)</f>
        <v>0.03204288690285747</v>
      </c>
      <c r="Q34" s="15">
        <f>MAX(D34:N34)</f>
        <v>0.2508761920286902</v>
      </c>
      <c r="R34">
        <f>COUNTIF(D34:N34,"&gt;0.1")</f>
        <v>6.0</v>
      </c>
      <c r="S34">
        <f>COUNT(D34:N34)</f>
        <v>10.0</v>
      </c>
      <c r="T34" t="inlineStr">
        <is>
          <t>절반 이상 초과</t>
        </is>
      </c>
    </row>
    <row r="35">
      <c r="A35" t="n">
        <v>32</v>
      </c>
      <c r="B35" t="inlineStr">
        <is>
          <t>브로드컴</t>
        </is>
      </c>
      <c r="C35" t="inlineStr">
        <is>
          <t>AVGO</t>
        </is>
      </c>
      <c r="D35" s="20">
        <f>'계산 명세'!R58</f>
        <v>-0.01720592150806752</v>
      </c>
      <c r="E35" s="20">
        <f>'계산 명세'!R59</f>
        <v>0.09325177503156762</v>
      </c>
      <c r="F35" s="22">
        <f>'계산 명세'!R60</f>
        <v>0.14037321593001842</v>
      </c>
      <c r="G35" s="20">
        <f>'계산 명세'!R61</f>
        <v>0.07042262615826687</v>
      </c>
      <c r="H35" s="20">
        <f>'계산 명세'!R62</f>
        <v>0.06889493130019242</v>
      </c>
      <c r="I35" s="22">
        <f>'계산 명세'!R63</f>
        <v>0.1468033775633293</v>
      </c>
      <c r="J35" s="22">
        <f>'계산 명세'!R64</f>
        <v>0.25716694249869126</v>
      </c>
      <c r="K35" s="22">
        <f>'계산 명세'!R65</f>
        <v>0.3061622332377607</v>
      </c>
      <c r="L35" s="20">
        <f>'계산 명세'!R66</f>
        <v>0.09453965580007306</v>
      </c>
      <c r="M35" s="22">
        <f>'계산 명세'!R67</f>
        <v>0.18593530995234456</v>
      </c>
      <c r="N35" s="24" t="inlineStr">
        <is>
          <t>—</t>
        </is>
      </c>
      <c r="O35" s="15">
        <f>MEDIAN(D35:N35)</f>
        <v>0.11745643586504574</v>
      </c>
      <c r="P35" s="15">
        <f>MIN(D35:N35)</f>
        <v>-0.01720592150806752</v>
      </c>
      <c r="Q35" s="15">
        <f>MAX(D35:N35)</f>
        <v>0.3061622332377607</v>
      </c>
      <c r="R35">
        <f>COUNTIF(D35:N35,"&gt;0.1")</f>
        <v>5.0</v>
      </c>
      <c r="S35">
        <f>COUNT(D35:N35)</f>
        <v>10.0</v>
      </c>
      <c r="T35" t="inlineStr">
        <is>
          <t>절반 이상 초과</t>
        </is>
      </c>
    </row>
    <row r="36">
      <c r="A36" t="n">
        <v>33</v>
      </c>
      <c r="B36" t="inlineStr">
        <is>
          <t>AMD</t>
        </is>
      </c>
      <c r="C36" t="inlineStr">
        <is>
          <t>AMD</t>
        </is>
      </c>
      <c r="D36" s="20">
        <f>'계산 명세'!R147</f>
        <v>-0.29764646464646466</v>
      </c>
      <c r="E36" s="22">
        <f>'계산 명세'!R148</f>
        <v>0.13800550206327372</v>
      </c>
      <c r="F36" s="22">
        <f>'계산 명세'!R149</f>
        <v>0.3956140350877193</v>
      </c>
      <c r="G36" s="22">
        <f>'계산 명세'!R150</f>
        <v>0.364931650893796</v>
      </c>
      <c r="H36" s="22">
        <f>'계산 명세'!R151</f>
        <v>0.45737647265693687</v>
      </c>
      <c r="I36" s="22">
        <f>'계산 명세'!R152</f>
        <v>0.7770191804906145</v>
      </c>
      <c r="J36" s="20">
        <f>'계산 명세'!R153</f>
        <v>0.04322223022100641</v>
      </c>
      <c r="K36" s="20">
        <f>'계산 명세'!R154</f>
        <v>0.00732955583988302</v>
      </c>
      <c r="L36" s="20">
        <f>'계산 명세'!R155</f>
        <v>0.028891331232927343</v>
      </c>
      <c r="M36" s="20">
        <f>'계산 명세'!R156</f>
        <v>0.06390654307723126</v>
      </c>
      <c r="N36" s="24" t="inlineStr">
        <is>
          <t>—</t>
        </is>
      </c>
      <c r="O36" s="15">
        <f>MEDIAN(D36:N36)</f>
        <v>0.10095602257025249</v>
      </c>
      <c r="P36" s="15">
        <f>MIN(D36:N36)</f>
        <v>-0.29764646464646466</v>
      </c>
      <c r="Q36" s="15">
        <f>MAX(D36:N36)</f>
        <v>0.7770191804906145</v>
      </c>
      <c r="R36">
        <f>COUNTIF(D36:N36,"&gt;0.1")</f>
        <v>5.0</v>
      </c>
      <c r="S36">
        <f>COUNT(D36:N36)</f>
        <v>10.0</v>
      </c>
      <c r="T36" t="inlineStr">
        <is>
          <t>절반 이상 초과</t>
        </is>
      </c>
    </row>
    <row r="37">
      <c r="A37" t="n">
        <v>34</v>
      </c>
      <c r="B37" t="inlineStr">
        <is>
          <t>테슬라</t>
        </is>
      </c>
      <c r="C37" t="inlineStr">
        <is>
          <t>TSLA</t>
        </is>
      </c>
      <c r="D37" s="20">
        <f>'계산 명세'!R80</f>
        <v>-0.090593159081374</v>
      </c>
      <c r="E37" s="20">
        <f>'계산 명세'!R81</f>
        <v>-0.12160799522011762</v>
      </c>
      <c r="F37" s="20">
        <f>'계산 명세'!R82</f>
        <v>-0.023778899368678445</v>
      </c>
      <c r="G37" s="20">
        <f>'계산 명세'!R83</f>
        <v>-0.004309487450070504</v>
      </c>
      <c r="H37" s="22">
        <f>'계산 명세'!R84</f>
        <v>0.1254064443620478</v>
      </c>
      <c r="I37" s="22">
        <f>'계산 명세'!R85</f>
        <v>0.3906554911843288</v>
      </c>
      <c r="J37" s="22">
        <f>'계산 명세'!R86</f>
        <v>0.598123801793593</v>
      </c>
      <c r="K37" s="22">
        <f>'계산 명세'!R87</f>
        <v>0.27563144498107295</v>
      </c>
      <c r="L37" s="22">
        <f>'계산 명세'!R88</f>
        <v>0.14155946962200674</v>
      </c>
      <c r="M37" s="20">
        <f>'계산 명세'!R89</f>
        <v>0.07235699670601066</v>
      </c>
      <c r="N37" s="24" t="inlineStr">
        <is>
          <t>—</t>
        </is>
      </c>
      <c r="O37" s="15">
        <f>MEDIAN(D37:N37)</f>
        <v>0.09888172053402922</v>
      </c>
      <c r="P37" s="15">
        <f>MIN(D37:N37)</f>
        <v>-0.12160799522011762</v>
      </c>
      <c r="Q37" s="15">
        <f>MAX(D37:N37)</f>
        <v>0.598123801793593</v>
      </c>
      <c r="R37">
        <f>COUNTIF(D37:N37,"&gt;0.1")</f>
        <v>5.0</v>
      </c>
      <c r="S37">
        <f>COUNT(D37:N37)</f>
        <v>10.0</v>
      </c>
      <c r="T37" t="inlineStr">
        <is>
          <t>절반 이상 초과</t>
        </is>
      </c>
    </row>
    <row r="38">
      <c r="A38" t="n">
        <v>35</v>
      </c>
      <c r="B38" t="inlineStr">
        <is>
          <t>엑슨모빌</t>
        </is>
      </c>
      <c r="C38" t="inlineStr">
        <is>
          <t>XOM</t>
        </is>
      </c>
      <c r="D38" s="26">
        <f>'계산 명세'!R169</f>
        <v>0.03775972718876548</v>
      </c>
      <c r="E38" s="26">
        <f>'계산 명세'!R170</f>
        <v>0.08231867151890752</v>
      </c>
      <c r="F38" s="26">
        <f>'계산 명세'!R171</f>
        <v>0.09409438106512066</v>
      </c>
      <c r="G38" s="26">
        <f>'계산 명세'!R172</f>
        <v>0.06437768857440505</v>
      </c>
      <c r="H38" s="26">
        <f>'계산 명세'!R173</f>
        <v>-0.09333316318392088</v>
      </c>
      <c r="I38" s="25">
        <f>'계산 명세'!R174</f>
        <v>0.10941009103565895</v>
      </c>
      <c r="J38" s="25">
        <f>'계산 명세'!R175</f>
        <v>0.2686306670767161</v>
      </c>
      <c r="K38" s="25">
        <f>'계산 명세'!R176</f>
        <v>0.16858853915383643</v>
      </c>
      <c r="L38" s="25">
        <f>'계산 명세'!R177</f>
        <v>0.13979459643668854</v>
      </c>
      <c r="M38" s="25">
        <f>'계산 명세'!R178</f>
        <v>0.1025832059315822</v>
      </c>
      <c r="N38" s="24" t="inlineStr">
        <is>
          <t>—</t>
        </is>
      </c>
      <c r="O38" s="15">
        <f>MEDIAN(D38:N38)</f>
        <v>0.09833879349835142</v>
      </c>
      <c r="P38" s="15">
        <f>MIN(D38:N38)</f>
        <v>-0.09333316318392088</v>
      </c>
      <c r="Q38" s="15">
        <f>MAX(D38:N38)</f>
        <v>0.2686306670767161</v>
      </c>
      <c r="R38">
        <f>COUNTIF(D38:N38,"&gt;0.1")</f>
        <v>5.0</v>
      </c>
      <c r="S38">
        <f>COUNT(D38:N38)</f>
        <v>10.0</v>
      </c>
      <c r="T38" t="inlineStr">
        <is>
          <t>절반 이상 초과</t>
        </is>
      </c>
    </row>
    <row r="39">
      <c r="A39" t="n">
        <v>36</v>
      </c>
      <c r="B39" t="inlineStr">
        <is>
          <t>셰브론</t>
        </is>
      </c>
      <c r="C39" t="inlineStr">
        <is>
          <t>CVX</t>
        </is>
      </c>
      <c r="D39" s="26">
        <f>'계산 명세'!R346</f>
        <v>-0.008065152419243467</v>
      </c>
      <c r="E39" s="26">
        <f>'계산 명세'!R347</f>
        <v>0.04666735409362755</v>
      </c>
      <c r="F39" s="26">
        <f>'계산 명세'!R348</f>
        <v>0.0802571960475368</v>
      </c>
      <c r="G39" s="26">
        <f>'계산 명세'!R349</f>
        <v>0.020792038581585116</v>
      </c>
      <c r="H39" s="26">
        <f>'계산 명세'!R350</f>
        <v>-0.029967995148738335</v>
      </c>
      <c r="I39" s="26">
        <f>'계산 명세'!R351</f>
        <v>0.09139177431859777</v>
      </c>
      <c r="J39" s="25">
        <f>'계산 명세'!R352</f>
        <v>0.20970839155721002</v>
      </c>
      <c r="K39" s="25">
        <f>'계산 명세'!R353</f>
        <v>0.12471041722214453</v>
      </c>
      <c r="L39" s="25">
        <f>'계산 명세'!R354</f>
        <v>0.10164668525216307</v>
      </c>
      <c r="M39" s="26">
        <f>'계산 명세'!R355</f>
        <v>0.06414406658483826</v>
      </c>
      <c r="N39" s="24" t="inlineStr">
        <is>
          <t>—</t>
        </is>
      </c>
      <c r="O39" s="15">
        <f>MEDIAN(D39:N39)</f>
        <v>0.07220063131618754</v>
      </c>
      <c r="P39" s="15">
        <f>MIN(D39:N39)</f>
        <v>-0.029967995148738335</v>
      </c>
      <c r="Q39" s="15">
        <f>MAX(D39:N39)</f>
        <v>0.20970839155721002</v>
      </c>
      <c r="R39">
        <f>COUNTIF(D39:N39,"&gt;0.1")</f>
        <v>3.0</v>
      </c>
      <c r="S39">
        <f>COUNT(D39:N39)</f>
        <v>10.0</v>
      </c>
      <c r="T39" t="inlineStr">
        <is>
          <t>대부분 미달</t>
        </is>
      </c>
    </row>
    <row r="40">
      <c r="A40" t="n">
        <v>37</v>
      </c>
      <c r="B40" t="inlineStr">
        <is>
          <t>RTX</t>
        </is>
      </c>
      <c r="C40" t="inlineStr">
        <is>
          <t>RTX</t>
        </is>
      </c>
      <c r="D40" s="22">
        <f>'계산 명세'!R402</f>
        <v>0.1422169806018096</v>
      </c>
      <c r="E40" s="22">
        <f>'계산 명세'!R403</f>
        <v>0.10763749506085239</v>
      </c>
      <c r="F40" s="20">
        <f>'계산 명세'!R404</f>
        <v>0.02608045325779037</v>
      </c>
      <c r="G40" s="20">
        <f>'계산 명세'!R405</f>
        <v>0.05352406726221755</v>
      </c>
      <c r="H40" s="20">
        <f>'계산 명세'!R406</f>
        <v>-0.016717001422666324</v>
      </c>
      <c r="I40" s="20">
        <f>'계산 명세'!R407</f>
        <v>0.04310354043519595</v>
      </c>
      <c r="J40" s="20">
        <f>'계산 명세'!R408</f>
        <v>0.048797840598196876</v>
      </c>
      <c r="K40" s="20">
        <f>'계산 명세'!R409</f>
        <v>0.031854238792285716</v>
      </c>
      <c r="L40" s="20">
        <f>'계산 명세'!R410</f>
        <v>0.05434751649008005</v>
      </c>
      <c r="M40" s="20">
        <f>'계산 명세'!R411</f>
        <v>0.07775174574958096</v>
      </c>
      <c r="N40" s="24" t="inlineStr">
        <is>
          <t>—</t>
        </is>
      </c>
      <c r="O40" s="15">
        <f>MEDIAN(D40:N40)</f>
        <v>0.05116095393020721</v>
      </c>
      <c r="P40" s="15">
        <f>MIN(D40:N40)</f>
        <v>-0.016717001422666324</v>
      </c>
      <c r="Q40" s="15">
        <f>MAX(D40:N40)</f>
        <v>0.1422169806018096</v>
      </c>
      <c r="R40">
        <f>COUNTIF(D40:N40,"&gt;0.1")</f>
        <v>2.0</v>
      </c>
      <c r="S40">
        <f>COUNT(D40:N40)</f>
        <v>10.0</v>
      </c>
      <c r="T40" t="inlineStr">
        <is>
          <t>대부분 미달</t>
        </is>
      </c>
    </row>
    <row r="41">
      <c r="A41" t="n">
        <v>38</v>
      </c>
      <c r="B41" t="inlineStr">
        <is>
          <t>제너럴 일렉트릭</t>
        </is>
      </c>
      <c r="C41" t="inlineStr">
        <is>
          <t>GE</t>
        </is>
      </c>
      <c r="D41" s="26">
        <f>'계산 명세'!R313</f>
        <v>0.01784602688811348</v>
      </c>
      <c r="E41" s="26">
        <f>'계산 명세'!R314</f>
        <v>-0.08778358875906127</v>
      </c>
      <c r="F41" s="26">
        <f>'계산 명세'!R315</f>
        <v>-0.17032338032338032</v>
      </c>
      <c r="G41" s="26">
        <f>'계산 명세'!R316</f>
        <v>-0.03162946922517624</v>
      </c>
      <c r="H41" s="26">
        <f>'계산 명세'!R317</f>
        <v>-0.09216671434701759</v>
      </c>
      <c r="I41" s="26">
        <f>'계산 명세'!R318</f>
        <v>-0.1034091742260563</v>
      </c>
      <c r="J41" s="26">
        <f>'계산 명세'!R319</f>
        <v>0.013175845684069331</v>
      </c>
      <c r="K41" s="26">
        <f>'계산 명세'!R320</f>
        <v>0.08737603033627693</v>
      </c>
      <c r="L41" s="25">
        <f>'계산 명세'!R321</f>
        <v>0.15825181158455556</v>
      </c>
      <c r="M41" s="25">
        <f>'계산 명세'!R322</f>
        <v>0.2802452602550844</v>
      </c>
      <c r="N41" s="24" t="inlineStr">
        <is>
          <t>—</t>
        </is>
      </c>
      <c r="O41" s="15">
        <f>MEDIAN(D41:N41)</f>
        <v>-0.009226811770553454</v>
      </c>
      <c r="P41" s="15">
        <f>MIN(D41:N41)</f>
        <v>-0.17032338032338032</v>
      </c>
      <c r="Q41" s="15">
        <f>MAX(D41:N41)</f>
        <v>0.2802452602550844</v>
      </c>
      <c r="R41">
        <f>COUNTIF(D41:N41,"&gt;0.1")</f>
        <v>2.0</v>
      </c>
      <c r="S41">
        <f>COUNT(D41:N41)</f>
        <v>10.0</v>
      </c>
      <c r="T41" t="inlineStr">
        <is>
          <t>대부분 미달</t>
        </is>
      </c>
    </row>
    <row r="42">
      <c r="A42" t="n">
        <v>39</v>
      </c>
      <c r="B42" t="inlineStr">
        <is>
          <t>팔로알토 네트웍스</t>
        </is>
      </c>
      <c r="C42" t="inlineStr">
        <is>
          <t>PANW</t>
        </is>
      </c>
      <c r="D42" s="20" t="str">
        <f>'계산 명세'!R413</f>
        <v>—</v>
      </c>
      <c r="E42" s="27">
        <f>'계산 명세'!R414</f>
        <v>-0.7668735362997658</v>
      </c>
      <c r="F42" s="24" t="inlineStr">
        <is>
          <t>—</t>
        </is>
      </c>
      <c r="G42" s="27">
        <f>'계산 명세'!R416</f>
        <v>-0.2004643527204503</v>
      </c>
      <c r="H42" s="27">
        <f>'계산 명세'!R417</f>
        <v>-0.4342392138799324</v>
      </c>
      <c r="I42" s="20">
        <f>'계산 명세'!R418</f>
        <v>-0.34381252236135956</v>
      </c>
      <c r="J42" s="20">
        <f>'계산 명세'!R419</f>
        <v>-0.24618634975654038</v>
      </c>
      <c r="K42" s="22">
        <f>'계산 명세'!R420</f>
        <v>0.3753796017673297</v>
      </c>
      <c r="L42" s="22">
        <f>'계산 명세'!R421</f>
        <v>0.32982260233992333</v>
      </c>
      <c r="M42" s="22">
        <f>'계산 명세'!R422</f>
        <v>0.23518965981207812</v>
      </c>
      <c r="N42" s="20">
        <f>'계산 명세'!R423</f>
        <v>0.028424389080126785</v>
      </c>
      <c r="O42" s="15">
        <f>MEDIAN(D42:N42)</f>
        <v>-0.2004643527204503</v>
      </c>
      <c r="P42" s="15">
        <f>MIN(D42:N42)</f>
        <v>-0.7668735362997658</v>
      </c>
      <c r="Q42" s="15">
        <f>MAX(D42:N42)</f>
        <v>0.3753796017673297</v>
      </c>
      <c r="R42">
        <f>COUNTIF(D42:N42,"&gt;0.1")</f>
        <v>3.0</v>
      </c>
      <c r="S42">
        <f>COUNT(D42:N42)</f>
        <v>9.0</v>
      </c>
      <c r="T42" t="inlineStr">
        <is>
          <t>대부분 미달</t>
        </is>
      </c>
    </row>
    <row r="44">
      <c r="A44" s="3" t="inlineStr">
        <is>
          <t>표본 부족</t>
        </is>
      </c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</row>
    <row r="45">
      <c r="A45" t="inlineStr">
        <is>
          <t>—</t>
        </is>
      </c>
      <c r="B45" t="inlineStr">
        <is>
          <t>팔란티어 테크놀로지스</t>
        </is>
      </c>
      <c r="C45" t="inlineStr">
        <is>
          <t>PLTR</t>
        </is>
      </c>
      <c r="D45" s="24" t="inlineStr">
        <is>
          <t>—</t>
        </is>
      </c>
      <c r="E45" s="24" t="inlineStr">
        <is>
          <t>—</t>
        </is>
      </c>
      <c r="F45" s="24" t="inlineStr">
        <is>
          <t>—</t>
        </is>
      </c>
      <c r="G45" s="24" t="inlineStr">
        <is>
          <t>—</t>
        </is>
      </c>
      <c r="H45" s="24" t="inlineStr">
        <is>
          <t>—</t>
        </is>
      </c>
      <c r="I45" s="24" t="inlineStr">
        <is>
          <t>—</t>
        </is>
      </c>
      <c r="J45" s="27">
        <f>'계산 명세'!R285</f>
        <v>-14.534214791143574</v>
      </c>
      <c r="K45" s="24" t="inlineStr">
        <is>
          <t>—</t>
        </is>
      </c>
      <c r="L45" s="24" t="inlineStr">
        <is>
          <t>—</t>
        </is>
      </c>
      <c r="M45" s="23">
        <f>'계산 명세'!R288</f>
        <v>4.319782903707134</v>
      </c>
      <c r="N45" s="24" t="inlineStr">
        <is>
          <t>—</t>
        </is>
      </c>
      <c r="O45" s="15">
        <f>MEDIAN(D45:N45)</f>
        <v>-5.10721594371822</v>
      </c>
      <c r="P45" s="15">
        <f>MIN(D45:N45)</f>
        <v>-14.534214791143574</v>
      </c>
      <c r="Q45" s="15">
        <f>MAX(D45:N45)</f>
        <v>4.319782903707134</v>
      </c>
      <c r="R45">
        <f>COUNTIF(D45:N45,"&gt;0.1")</f>
        <v>1.0</v>
      </c>
      <c r="S45">
        <f>COUNT(D45:N45)</f>
        <v>2.0</v>
      </c>
      <c r="T45" t="inlineStr">
        <is>
          <t>절반 이상 초과</t>
        </is>
      </c>
    </row>
    <row r="46">
      <c r="A46" t="inlineStr">
        <is>
          <t>—</t>
        </is>
      </c>
      <c r="B46" t="inlineStr">
        <is>
          <t>GE 버노바</t>
        </is>
      </c>
      <c r="C46" t="inlineStr">
        <is>
          <t>GEV</t>
        </is>
      </c>
      <c r="D46" s="24" t="inlineStr">
        <is>
          <t>—</t>
        </is>
      </c>
      <c r="E46" s="24" t="inlineStr">
        <is>
          <t>—</t>
        </is>
      </c>
      <c r="F46" s="24" t="inlineStr">
        <is>
          <t>—</t>
        </is>
      </c>
      <c r="G46" s="24" t="inlineStr">
        <is>
          <t>—</t>
        </is>
      </c>
      <c r="H46" s="24" t="inlineStr">
        <is>
          <t>—</t>
        </is>
      </c>
      <c r="I46" s="24" t="inlineStr">
        <is>
          <t>—</t>
        </is>
      </c>
      <c r="J46" s="20">
        <f>'계산 명세'!R450</f>
        <v>-0.23857337526205452</v>
      </c>
      <c r="K46" s="20">
        <f>'계산 명세'!R451</f>
        <v>-0.08830931330991885</v>
      </c>
      <c r="L46" s="20">
        <f>'계산 명세'!R452</f>
        <v>0.06239668023954294</v>
      </c>
      <c r="M46" s="23">
        <f>'계산 명세'!R453</f>
        <v>0.42208706786171574</v>
      </c>
      <c r="N46" s="24" t="inlineStr">
        <is>
          <t>—</t>
        </is>
      </c>
      <c r="O46" s="15">
        <f>MEDIAN(D46:N46)</f>
        <v>-0.012956316535187959</v>
      </c>
      <c r="P46" s="15">
        <f>MIN(D46:N46)</f>
        <v>-0.23857337526205452</v>
      </c>
      <c r="Q46" s="15">
        <f>MAX(D46:N46)</f>
        <v>0.42208706786171574</v>
      </c>
      <c r="R46">
        <f>COUNTIF(D46:N46,"&gt;0.1")</f>
        <v>1.0</v>
      </c>
      <c r="S46">
        <f>COUNT(D46:N46)</f>
        <v>4.0</v>
      </c>
      <c r="T46" t="inlineStr">
        <is>
          <t>대부분 미달</t>
        </is>
      </c>
    </row>
    <row r="48">
      <c r="A48" s="3" t="inlineStr">
        <is>
          <t>금융업 — ROIC 정의 부적합</t>
        </is>
      </c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</row>
    <row r="49">
      <c r="A49" t="inlineStr">
        <is>
          <t>—</t>
        </is>
      </c>
      <c r="B49" t="inlineStr">
        <is>
          <t>버크셔 해서웨이</t>
        </is>
      </c>
      <c r="C49" t="inlineStr">
        <is>
          <t>BRK-B</t>
        </is>
      </c>
      <c r="D49" s="24" t="inlineStr">
        <is>
          <t>—</t>
        </is>
      </c>
      <c r="E49" s="24" t="inlineStr">
        <is>
          <t>—</t>
        </is>
      </c>
      <c r="F49" s="24" t="inlineStr">
        <is>
          <t>—</t>
        </is>
      </c>
      <c r="G49" s="24" t="inlineStr">
        <is>
          <t>—</t>
        </is>
      </c>
      <c r="H49" s="24" t="inlineStr">
        <is>
          <t>—</t>
        </is>
      </c>
      <c r="I49" s="24" t="inlineStr">
        <is>
          <t>—</t>
        </is>
      </c>
      <c r="J49" s="24" t="inlineStr">
        <is>
          <t>—</t>
        </is>
      </c>
      <c r="K49" s="24" t="inlineStr">
        <is>
          <t>—</t>
        </is>
      </c>
      <c r="L49" s="24" t="inlineStr">
        <is>
          <t>—</t>
        </is>
      </c>
      <c r="M49" s="24" t="inlineStr">
        <is>
          <t>—</t>
        </is>
      </c>
      <c r="N49" s="24" t="inlineStr">
        <is>
          <t>—</t>
        </is>
      </c>
      <c r="O49" t="inlineStr">
        <is>
          <t>—</t>
        </is>
      </c>
      <c r="P49" t="inlineStr">
        <is>
          <t>—</t>
        </is>
      </c>
      <c r="Q49" t="inlineStr">
        <is>
          <t>—</t>
        </is>
      </c>
      <c r="R49" t="inlineStr">
        <is>
          <t>—</t>
        </is>
      </c>
      <c r="S49" t="inlineStr">
        <is>
          <t>—</t>
        </is>
      </c>
      <c r="T49" t="inlineStr">
        <is>
          <t>금융업 — ROIC 정의 부적합</t>
        </is>
      </c>
    </row>
    <row r="50">
      <c r="A50" t="inlineStr">
        <is>
          <t>—</t>
        </is>
      </c>
      <c r="B50" t="inlineStr">
        <is>
          <t>JP모건 체이스</t>
        </is>
      </c>
      <c r="C50" t="inlineStr">
        <is>
          <t>JPM</t>
        </is>
      </c>
      <c r="D50" s="24" t="inlineStr">
        <is>
          <t>—</t>
        </is>
      </c>
      <c r="E50" s="24" t="inlineStr">
        <is>
          <t>—</t>
        </is>
      </c>
      <c r="F50" s="24" t="inlineStr">
        <is>
          <t>—</t>
        </is>
      </c>
      <c r="G50" s="24" t="inlineStr">
        <is>
          <t>—</t>
        </is>
      </c>
      <c r="H50" s="24" t="inlineStr">
        <is>
          <t>—</t>
        </is>
      </c>
      <c r="I50" s="24" t="inlineStr">
        <is>
          <t>—</t>
        </is>
      </c>
      <c r="J50" s="24" t="inlineStr">
        <is>
          <t>—</t>
        </is>
      </c>
      <c r="K50" s="24" t="inlineStr">
        <is>
          <t>—</t>
        </is>
      </c>
      <c r="L50" s="24" t="inlineStr">
        <is>
          <t>—</t>
        </is>
      </c>
      <c r="M50" s="24" t="inlineStr">
        <is>
          <t>—</t>
        </is>
      </c>
      <c r="N50" s="24" t="inlineStr">
        <is>
          <t>—</t>
        </is>
      </c>
      <c r="O50" t="inlineStr">
        <is>
          <t>—</t>
        </is>
      </c>
      <c r="P50" t="inlineStr">
        <is>
          <t>—</t>
        </is>
      </c>
      <c r="Q50" t="inlineStr">
        <is>
          <t>—</t>
        </is>
      </c>
      <c r="R50" t="inlineStr">
        <is>
          <t>—</t>
        </is>
      </c>
      <c r="S50" t="inlineStr">
        <is>
          <t>—</t>
        </is>
      </c>
      <c r="T50" t="inlineStr">
        <is>
          <t>금융업 — ROIC 정의 부적합</t>
        </is>
      </c>
    </row>
    <row r="51">
      <c r="A51" t="inlineStr">
        <is>
          <t>—</t>
        </is>
      </c>
      <c r="B51" t="inlineStr">
        <is>
          <t>뱅크오브아메리카</t>
        </is>
      </c>
      <c r="C51" t="inlineStr">
        <is>
          <t>BAC</t>
        </is>
      </c>
      <c r="D51" s="24" t="inlineStr">
        <is>
          <t>—</t>
        </is>
      </c>
      <c r="E51" s="24" t="inlineStr">
        <is>
          <t>—</t>
        </is>
      </c>
      <c r="F51" s="24" t="inlineStr">
        <is>
          <t>—</t>
        </is>
      </c>
      <c r="G51" s="24" t="inlineStr">
        <is>
          <t>—</t>
        </is>
      </c>
      <c r="H51" s="24" t="inlineStr">
        <is>
          <t>—</t>
        </is>
      </c>
      <c r="I51" s="24" t="inlineStr">
        <is>
          <t>—</t>
        </is>
      </c>
      <c r="J51" s="24" t="inlineStr">
        <is>
          <t>—</t>
        </is>
      </c>
      <c r="K51" s="24" t="inlineStr">
        <is>
          <t>—</t>
        </is>
      </c>
      <c r="L51" s="24" t="inlineStr">
        <is>
          <t>—</t>
        </is>
      </c>
      <c r="M51" s="24" t="inlineStr">
        <is>
          <t>—</t>
        </is>
      </c>
      <c r="N51" s="24" t="inlineStr">
        <is>
          <t>—</t>
        </is>
      </c>
      <c r="O51" t="inlineStr">
        <is>
          <t>—</t>
        </is>
      </c>
      <c r="P51" t="inlineStr">
        <is>
          <t>—</t>
        </is>
      </c>
      <c r="Q51" t="inlineStr">
        <is>
          <t>—</t>
        </is>
      </c>
      <c r="R51" t="inlineStr">
        <is>
          <t>—</t>
        </is>
      </c>
      <c r="S51" t="inlineStr">
        <is>
          <t>—</t>
        </is>
      </c>
      <c r="T51" t="inlineStr">
        <is>
          <t>금융업 — ROIC 정의 부적합</t>
        </is>
      </c>
    </row>
    <row r="52">
      <c r="A52" t="inlineStr">
        <is>
          <t>—</t>
        </is>
      </c>
      <c r="B52" t="inlineStr">
        <is>
          <t>유나이티드헬스 그룹</t>
        </is>
      </c>
      <c r="C52" t="inlineStr">
        <is>
          <t>UNH</t>
        </is>
      </c>
      <c r="D52" s="24" t="inlineStr">
        <is>
          <t>—</t>
        </is>
      </c>
      <c r="E52" s="24" t="inlineStr">
        <is>
          <t>—</t>
        </is>
      </c>
      <c r="F52" s="24" t="inlineStr">
        <is>
          <t>—</t>
        </is>
      </c>
      <c r="G52" s="24" t="inlineStr">
        <is>
          <t>—</t>
        </is>
      </c>
      <c r="H52" s="24" t="inlineStr">
        <is>
          <t>—</t>
        </is>
      </c>
      <c r="I52" s="24" t="inlineStr">
        <is>
          <t>—</t>
        </is>
      </c>
      <c r="J52" s="24" t="inlineStr">
        <is>
          <t>—</t>
        </is>
      </c>
      <c r="K52" s="24" t="inlineStr">
        <is>
          <t>—</t>
        </is>
      </c>
      <c r="L52" s="24" t="inlineStr">
        <is>
          <t>—</t>
        </is>
      </c>
      <c r="M52" s="24" t="inlineStr">
        <is>
          <t>—</t>
        </is>
      </c>
      <c r="N52" s="24" t="inlineStr">
        <is>
          <t>—</t>
        </is>
      </c>
      <c r="O52" t="inlineStr">
        <is>
          <t>—</t>
        </is>
      </c>
      <c r="P52" t="inlineStr">
        <is>
          <t>—</t>
        </is>
      </c>
      <c r="Q52" t="inlineStr">
        <is>
          <t>—</t>
        </is>
      </c>
      <c r="R52" t="inlineStr">
        <is>
          <t>—</t>
        </is>
      </c>
      <c r="S52" t="inlineStr">
        <is>
          <t>—</t>
        </is>
      </c>
      <c r="T52" t="inlineStr">
        <is>
          <t>금융업 — ROIC 정의 부적합</t>
        </is>
      </c>
    </row>
    <row r="53">
      <c r="A53" t="inlineStr">
        <is>
          <t>—</t>
        </is>
      </c>
      <c r="B53" t="inlineStr">
        <is>
          <t>모건스탠리</t>
        </is>
      </c>
      <c r="C53" t="inlineStr">
        <is>
          <t>MS</t>
        </is>
      </c>
      <c r="D53" s="24" t="inlineStr">
        <is>
          <t>—</t>
        </is>
      </c>
      <c r="E53" s="24" t="inlineStr">
        <is>
          <t>—</t>
        </is>
      </c>
      <c r="F53" s="24" t="inlineStr">
        <is>
          <t>—</t>
        </is>
      </c>
      <c r="G53" s="24" t="inlineStr">
        <is>
          <t>—</t>
        </is>
      </c>
      <c r="H53" s="24" t="inlineStr">
        <is>
          <t>—</t>
        </is>
      </c>
      <c r="I53" s="24" t="inlineStr">
        <is>
          <t>—</t>
        </is>
      </c>
      <c r="J53" s="24" t="inlineStr">
        <is>
          <t>—</t>
        </is>
      </c>
      <c r="K53" s="24" t="inlineStr">
        <is>
          <t>—</t>
        </is>
      </c>
      <c r="L53" s="24" t="inlineStr">
        <is>
          <t>—</t>
        </is>
      </c>
      <c r="M53" s="24" t="inlineStr">
        <is>
          <t>—</t>
        </is>
      </c>
      <c r="N53" s="24" t="inlineStr">
        <is>
          <t>—</t>
        </is>
      </c>
      <c r="O53" t="inlineStr">
        <is>
          <t>—</t>
        </is>
      </c>
      <c r="P53" t="inlineStr">
        <is>
          <t>—</t>
        </is>
      </c>
      <c r="Q53" t="inlineStr">
        <is>
          <t>—</t>
        </is>
      </c>
      <c r="R53" t="inlineStr">
        <is>
          <t>—</t>
        </is>
      </c>
      <c r="S53" t="inlineStr">
        <is>
          <t>—</t>
        </is>
      </c>
      <c r="T53" t="inlineStr">
        <is>
          <t>금융업 — ROIC 정의 부적합</t>
        </is>
      </c>
    </row>
    <row r="54">
      <c r="A54" t="inlineStr">
        <is>
          <t>—</t>
        </is>
      </c>
      <c r="B54" t="inlineStr">
        <is>
          <t>골드만삭스</t>
        </is>
      </c>
      <c r="C54" t="inlineStr">
        <is>
          <t>GS</t>
        </is>
      </c>
      <c r="D54" s="24" t="inlineStr">
        <is>
          <t>—</t>
        </is>
      </c>
      <c r="E54" s="24" t="inlineStr">
        <is>
          <t>—</t>
        </is>
      </c>
      <c r="F54" s="24" t="inlineStr">
        <is>
          <t>—</t>
        </is>
      </c>
      <c r="G54" s="24" t="inlineStr">
        <is>
          <t>—</t>
        </is>
      </c>
      <c r="H54" s="24" t="inlineStr">
        <is>
          <t>—</t>
        </is>
      </c>
      <c r="I54" s="24" t="inlineStr">
        <is>
          <t>—</t>
        </is>
      </c>
      <c r="J54" s="24" t="inlineStr">
        <is>
          <t>—</t>
        </is>
      </c>
      <c r="K54" s="24" t="inlineStr">
        <is>
          <t>—</t>
        </is>
      </c>
      <c r="L54" s="24" t="inlineStr">
        <is>
          <t>—</t>
        </is>
      </c>
      <c r="M54" s="24" t="inlineStr">
        <is>
          <t>—</t>
        </is>
      </c>
      <c r="N54" s="24" t="inlineStr">
        <is>
          <t>—</t>
        </is>
      </c>
      <c r="O54" t="inlineStr">
        <is>
          <t>—</t>
        </is>
      </c>
      <c r="P54" t="inlineStr">
        <is>
          <t>—</t>
        </is>
      </c>
      <c r="Q54" t="inlineStr">
        <is>
          <t>—</t>
        </is>
      </c>
      <c r="R54" t="inlineStr">
        <is>
          <t>—</t>
        </is>
      </c>
      <c r="S54" t="inlineStr">
        <is>
          <t>—</t>
        </is>
      </c>
      <c r="T54" t="inlineStr">
        <is>
          <t>금융업 — ROIC 정의 부적합</t>
        </is>
      </c>
    </row>
    <row r="55">
      <c r="A55" t="inlineStr">
        <is>
          <t>—</t>
        </is>
      </c>
      <c r="B55" t="inlineStr">
        <is>
          <t>웰스파고</t>
        </is>
      </c>
      <c r="C55" t="inlineStr">
        <is>
          <t>WFC</t>
        </is>
      </c>
      <c r="D55" s="24" t="inlineStr">
        <is>
          <t>—</t>
        </is>
      </c>
      <c r="E55" s="24" t="inlineStr">
        <is>
          <t>—</t>
        </is>
      </c>
      <c r="F55" s="24" t="inlineStr">
        <is>
          <t>—</t>
        </is>
      </c>
      <c r="G55" s="24" t="inlineStr">
        <is>
          <t>—</t>
        </is>
      </c>
      <c r="H55" s="24" t="inlineStr">
        <is>
          <t>—</t>
        </is>
      </c>
      <c r="I55" s="24" t="inlineStr">
        <is>
          <t>—</t>
        </is>
      </c>
      <c r="J55" s="24" t="inlineStr">
        <is>
          <t>—</t>
        </is>
      </c>
      <c r="K55" s="24" t="inlineStr">
        <is>
          <t>—</t>
        </is>
      </c>
      <c r="L55" s="24" t="inlineStr">
        <is>
          <t>—</t>
        </is>
      </c>
      <c r="M55" s="24" t="inlineStr">
        <is>
          <t>—</t>
        </is>
      </c>
      <c r="N55" s="24" t="inlineStr">
        <is>
          <t>—</t>
        </is>
      </c>
      <c r="O55" t="inlineStr">
        <is>
          <t>—</t>
        </is>
      </c>
      <c r="P55" t="inlineStr">
        <is>
          <t>—</t>
        </is>
      </c>
      <c r="Q55" t="inlineStr">
        <is>
          <t>—</t>
        </is>
      </c>
      <c r="R55" t="inlineStr">
        <is>
          <t>—</t>
        </is>
      </c>
      <c r="S55" t="inlineStr">
        <is>
          <t>—</t>
        </is>
      </c>
      <c r="T55" t="inlineStr">
        <is>
          <t>금융업 — ROIC 정의 부적합</t>
        </is>
      </c>
    </row>
    <row r="56">
      <c r="A56" t="inlineStr">
        <is>
          <t>—</t>
        </is>
      </c>
      <c r="B56" t="inlineStr">
        <is>
          <t>아메리칸 익스프레스</t>
        </is>
      </c>
      <c r="C56" t="inlineStr">
        <is>
          <t>AXP</t>
        </is>
      </c>
      <c r="D56" s="24" t="inlineStr">
        <is>
          <t>—</t>
        </is>
      </c>
      <c r="E56" s="24" t="inlineStr">
        <is>
          <t>—</t>
        </is>
      </c>
      <c r="F56" s="24" t="inlineStr">
        <is>
          <t>—</t>
        </is>
      </c>
      <c r="G56" s="24" t="inlineStr">
        <is>
          <t>—</t>
        </is>
      </c>
      <c r="H56" s="24" t="inlineStr">
        <is>
          <t>—</t>
        </is>
      </c>
      <c r="I56" s="24" t="inlineStr">
        <is>
          <t>—</t>
        </is>
      </c>
      <c r="J56" s="24" t="inlineStr">
        <is>
          <t>—</t>
        </is>
      </c>
      <c r="K56" s="24" t="inlineStr">
        <is>
          <t>—</t>
        </is>
      </c>
      <c r="L56" s="24" t="inlineStr">
        <is>
          <t>—</t>
        </is>
      </c>
      <c r="M56" s="24" t="inlineStr">
        <is>
          <t>—</t>
        </is>
      </c>
      <c r="N56" s="24" t="inlineStr">
        <is>
          <t>—</t>
        </is>
      </c>
      <c r="O56" t="inlineStr">
        <is>
          <t>—</t>
        </is>
      </c>
      <c r="P56" t="inlineStr">
        <is>
          <t>—</t>
        </is>
      </c>
      <c r="Q56" t="inlineStr">
        <is>
          <t>—</t>
        </is>
      </c>
      <c r="R56" t="inlineStr">
        <is>
          <t>—</t>
        </is>
      </c>
      <c r="S56" t="inlineStr">
        <is>
          <t>—</t>
        </is>
      </c>
      <c r="T56" t="inlineStr">
        <is>
          <t>금융업 — ROIC 정의 부적합</t>
        </is>
      </c>
    </row>
    <row r="57">
      <c r="A57" t="inlineStr">
        <is>
          <t>—</t>
        </is>
      </c>
      <c r="B57" t="inlineStr">
        <is>
          <t>씨티그룹</t>
        </is>
      </c>
      <c r="C57" t="inlineStr">
        <is>
          <t>C</t>
        </is>
      </c>
      <c r="D57" s="24" t="inlineStr">
        <is>
          <t>—</t>
        </is>
      </c>
      <c r="E57" s="24" t="inlineStr">
        <is>
          <t>—</t>
        </is>
      </c>
      <c r="F57" s="24" t="inlineStr">
        <is>
          <t>—</t>
        </is>
      </c>
      <c r="G57" s="24" t="inlineStr">
        <is>
          <t>—</t>
        </is>
      </c>
      <c r="H57" s="24" t="inlineStr">
        <is>
          <t>—</t>
        </is>
      </c>
      <c r="I57" s="24" t="inlineStr">
        <is>
          <t>—</t>
        </is>
      </c>
      <c r="J57" s="24" t="inlineStr">
        <is>
          <t>—</t>
        </is>
      </c>
      <c r="K57" s="24" t="inlineStr">
        <is>
          <t>—</t>
        </is>
      </c>
      <c r="L57" s="24" t="inlineStr">
        <is>
          <t>—</t>
        </is>
      </c>
      <c r="M57" s="24" t="inlineStr">
        <is>
          <t>—</t>
        </is>
      </c>
      <c r="N57" s="24" t="inlineStr">
        <is>
          <t>—</t>
        </is>
      </c>
      <c r="O57" t="inlineStr">
        <is>
          <t>—</t>
        </is>
      </c>
      <c r="P57" t="inlineStr">
        <is>
          <t>—</t>
        </is>
      </c>
      <c r="Q57" t="inlineStr">
        <is>
          <t>—</t>
        </is>
      </c>
      <c r="R57" t="inlineStr">
        <is>
          <t>—</t>
        </is>
      </c>
      <c r="S57" t="inlineStr">
        <is>
          <t>—</t>
        </is>
      </c>
      <c r="T57" t="inlineStr">
        <is>
          <t>금융업 — ROIC 정의 부적합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3" customWidth="1" min="18" max="18"/>
    <col width="11" customWidth="1" min="19" max="19"/>
    <col width="24" customWidth="1" min="20" max="20"/>
  </cols>
  <sheetData>
    <row r="1">
      <c r="A1" s="7" t="inlineStr">
        <is>
          <t>ROIC에서 10%를 뺀 값. 0보다 크면 자본비용을 넘겨 가치를 창출한 해입니다.</t>
        </is>
      </c>
    </row>
    <row r="2">
      <c r="A2" s="8" t="inlineStr">
        <is>
          <t>순위</t>
        </is>
      </c>
      <c r="B2" s="8" t="inlineStr">
        <is>
          <t>기업</t>
        </is>
      </c>
      <c r="C2" s="8" t="inlineStr">
        <is>
          <t>티커</t>
        </is>
      </c>
      <c r="D2" s="8" t="inlineStr">
        <is>
          <t>FY2016</t>
        </is>
      </c>
      <c r="E2" s="8" t="inlineStr">
        <is>
          <t>FY2017</t>
        </is>
      </c>
      <c r="F2" s="8" t="inlineStr">
        <is>
          <t>FY2018</t>
        </is>
      </c>
      <c r="G2" s="8" t="inlineStr">
        <is>
          <t>FY2019</t>
        </is>
      </c>
      <c r="H2" s="8" t="inlineStr">
        <is>
          <t>FY2020</t>
        </is>
      </c>
      <c r="I2" s="8" t="inlineStr">
        <is>
          <t>FY2021</t>
        </is>
      </c>
      <c r="J2" s="8" t="inlineStr">
        <is>
          <t>FY2022</t>
        </is>
      </c>
      <c r="K2" s="8" t="inlineStr">
        <is>
          <t>FY2023</t>
        </is>
      </c>
      <c r="L2" s="8" t="inlineStr">
        <is>
          <t>FY2024</t>
        </is>
      </c>
      <c r="M2" s="8" t="inlineStr">
        <is>
          <t>FY2025</t>
        </is>
      </c>
      <c r="N2" s="8" t="inlineStr">
        <is>
          <t>FY2026</t>
        </is>
      </c>
      <c r="O2" s="8" t="inlineStr">
        <is>
          <t>중위</t>
        </is>
      </c>
      <c r="P2" s="8" t="inlineStr">
        <is>
          <t>최소</t>
        </is>
      </c>
      <c r="Q2" s="8" t="inlineStr">
        <is>
          <t>최대</t>
        </is>
      </c>
      <c r="R2" s="8" t="inlineStr">
        <is>
          <t>10% 초과 연수</t>
        </is>
      </c>
      <c r="S2" s="8" t="inlineStr">
        <is>
          <t>산출 연수</t>
        </is>
      </c>
      <c r="T2" s="8" t="inlineStr">
        <is>
          <t>판정</t>
        </is>
      </c>
    </row>
    <row r="3">
      <c r="A3" s="3" t="inlineStr">
        <is>
          <t>순위 대상 (산출 5년 이상)</t>
        </is>
      </c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</row>
    <row r="4">
      <c r="A4" t="n">
        <v>1</v>
      </c>
      <c r="B4" t="inlineStr">
        <is>
          <t>아리스타 네트웍스</t>
        </is>
      </c>
      <c r="C4" t="inlineStr">
        <is>
          <t>ANET</t>
        </is>
      </c>
      <c r="D4" s="22">
        <f>'계산 명세'!S478</f>
        <v>0.9861634915669254</v>
      </c>
      <c r="E4" s="22">
        <f>'계산 명세'!S479</f>
        <v>2.1885490623891326</v>
      </c>
      <c r="F4" s="23">
        <f>'계산 명세'!S480</f>
        <v>1.556114935857985</v>
      </c>
      <c r="G4" s="23">
        <f>'계산 명세'!S481</f>
        <v>4.181716634970355</v>
      </c>
      <c r="H4" s="22">
        <f>'계산 명세'!S482</f>
        <v>1.8455044657676474</v>
      </c>
      <c r="I4" s="22">
        <f>'계산 명세'!S483</f>
        <v>1.5415470790597383</v>
      </c>
      <c r="J4" s="22">
        <f>'계산 명세'!S484</f>
        <v>0.9735975241555356</v>
      </c>
      <c r="K4" s="22">
        <f>'계산 명세'!S485</f>
        <v>0.8552226657495815</v>
      </c>
      <c r="L4" s="22">
        <f>'계산 명세'!S486</f>
        <v>1.2182578005663565</v>
      </c>
      <c r="M4" s="22">
        <f>'계산 명세'!S487</f>
        <v>1.820079602695207</v>
      </c>
      <c r="N4" s="24" t="inlineStr">
        <is>
          <t>—</t>
        </is>
      </c>
      <c r="O4" s="15">
        <f>MEDIAN(D4:N4)</f>
        <v>1.5488310074588618</v>
      </c>
      <c r="P4" s="15">
        <f>MIN(D4:N4)</f>
        <v>0.8552226657495815</v>
      </c>
      <c r="Q4" s="15">
        <f>MAX(D4:N4)</f>
        <v>4.181716634970355</v>
      </c>
      <c r="R4">
        <f>COUNTIF(D4:N4,"&gt;0")</f>
        <v>10.0</v>
      </c>
      <c r="S4">
        <f>COUNT(D4:N4)</f>
        <v>10.0</v>
      </c>
      <c r="T4" t="inlineStr">
        <is>
          <t>전 기간 초과 · 매우 높음</t>
        </is>
      </c>
    </row>
    <row r="5">
      <c r="A5" t="n">
        <v>2</v>
      </c>
      <c r="B5" t="inlineStr">
        <is>
          <t>엔비디아</t>
        </is>
      </c>
      <c r="C5" t="inlineStr">
        <is>
          <t>NVDA</t>
        </is>
      </c>
      <c r="D5" s="22">
        <f>'계산 명세'!S3</f>
        <v>1.6860207811932695</v>
      </c>
      <c r="E5" s="22">
        <f>'계산 명세'!S4</f>
        <v>1.7509863429438541</v>
      </c>
      <c r="F5" s="22">
        <f>'계산 명세'!S5</f>
        <v>1.055306905370844</v>
      </c>
      <c r="G5" s="22">
        <f>'계산 명세'!S6</f>
        <v>0.6436204958269904</v>
      </c>
      <c r="H5" s="22">
        <f>'계산 명세'!S7</f>
        <v>0.4522221509651767</v>
      </c>
      <c r="I5" s="22">
        <f>'계산 명세'!S8</f>
        <v>0.566011520335137</v>
      </c>
      <c r="J5" s="22">
        <f>'계산 명세'!S9</f>
        <v>0.12226653373213692</v>
      </c>
      <c r="K5" s="22">
        <f>'계산 명세'!S10</f>
        <v>1.1490267535093017</v>
      </c>
      <c r="L5" s="22">
        <f>'계산 명세'!S11</f>
        <v>1.8821923025857472</v>
      </c>
      <c r="M5" s="22">
        <f>'계산 명세'!S12</f>
        <v>1.0082267992123584</v>
      </c>
      <c r="N5" s="24" t="inlineStr">
        <is>
          <t>—</t>
        </is>
      </c>
      <c r="O5" s="15">
        <f>MEDIAN(D5:N5)</f>
        <v>1.031766852291601</v>
      </c>
      <c r="P5" s="15">
        <f>MIN(D5:N5)</f>
        <v>0.12226653373213692</v>
      </c>
      <c r="Q5" s="15">
        <f>MAX(D5:N5)</f>
        <v>1.8821923025857472</v>
      </c>
      <c r="R5">
        <f>COUNTIF(D5:N5,"&gt;0")</f>
        <v>10.0</v>
      </c>
      <c r="S5">
        <f>COUNT(D5:N5)</f>
        <v>10.0</v>
      </c>
      <c r="T5" t="inlineStr">
        <is>
          <t>전 기간 초과 · 매우 높음</t>
        </is>
      </c>
    </row>
    <row r="6">
      <c r="A6" t="n">
        <v>3</v>
      </c>
      <c r="B6" t="inlineStr">
        <is>
          <t>마스터카드</t>
        </is>
      </c>
      <c r="C6" t="inlineStr">
        <is>
          <t>MA</t>
        </is>
      </c>
      <c r="D6" s="22">
        <f>'계산 명세'!S202</f>
        <v>1.5175260087394093</v>
      </c>
      <c r="E6" s="22">
        <f>'계산 명세'!S203</f>
        <v>1.3026208888130009</v>
      </c>
      <c r="F6" s="22">
        <f>'계산 명세'!S204</f>
        <v>1.718651084624413</v>
      </c>
      <c r="G6" s="22">
        <f>'계산 명세'!S205</f>
        <v>1.4898453652715753</v>
      </c>
      <c r="H6" s="22">
        <f>'계산 명세'!S206</f>
        <v>0.7708840717211626</v>
      </c>
      <c r="I6" s="22">
        <f>'계산 명세'!S207</f>
        <v>0.6741062508439216</v>
      </c>
      <c r="J6" s="22">
        <f>'계산 명세'!S208</f>
        <v>0.687548757344667</v>
      </c>
      <c r="K6" s="22">
        <f>'계산 명세'!S209</f>
        <v>0.7695033949830915</v>
      </c>
      <c r="L6" s="22">
        <f>'계산 명세'!S210</f>
        <v>0.7932466574996555</v>
      </c>
      <c r="M6" s="22">
        <f>'계산 명세'!S211</f>
        <v>0.8570363793863911</v>
      </c>
      <c r="N6" s="24" t="inlineStr">
        <is>
          <t>—</t>
        </is>
      </c>
      <c r="O6" s="15">
        <f>MEDIAN(D6:N6)</f>
        <v>0.8251415184430233</v>
      </c>
      <c r="P6" s="15">
        <f>MIN(D6:N6)</f>
        <v>0.6741062508439216</v>
      </c>
      <c r="Q6" s="15">
        <f>MAX(D6:N6)</f>
        <v>1.718651084624413</v>
      </c>
      <c r="R6">
        <f>COUNTIF(D6:N6,"&gt;0")</f>
        <v>10.0</v>
      </c>
      <c r="S6">
        <f>COUNT(D6:N6)</f>
        <v>10.0</v>
      </c>
      <c r="T6" t="inlineStr">
        <is>
          <t>전 기간 초과 · 매우 높음</t>
        </is>
      </c>
    </row>
    <row r="7">
      <c r="A7" t="n">
        <v>4</v>
      </c>
      <c r="B7" t="inlineStr">
        <is>
          <t>애플</t>
        </is>
      </c>
      <c r="C7" t="inlineStr">
        <is>
          <t>AAPL</t>
        </is>
      </c>
      <c r="D7" s="22">
        <f>'계산 명세'!S14</f>
        <v>0.20794128231819106</v>
      </c>
      <c r="E7" s="22">
        <f>'계산 명세'!S15</f>
        <v>0.1859689764349539</v>
      </c>
      <c r="F7" s="22">
        <f>'계산 명세'!S16</f>
        <v>0.24994339689098713</v>
      </c>
      <c r="G7" s="22">
        <f>'계산 명세'!S17</f>
        <v>0.3242844069137649</v>
      </c>
      <c r="H7" s="22">
        <f>'계산 명세'!S18</f>
        <v>0.5138613512558176</v>
      </c>
      <c r="I7" s="22">
        <f>'계산 명세'!S19</f>
        <v>0.7910889504153521</v>
      </c>
      <c r="J7" s="22">
        <f>'계산 명세'!S20</f>
        <v>0.7084010314568976</v>
      </c>
      <c r="K7" s="22">
        <f>'계산 명세'!S21</f>
        <v>0.7327225534829879</v>
      </c>
      <c r="L7" s="22">
        <f>'계산 명세'!S22</f>
        <v>0.7904102137504146</v>
      </c>
      <c r="M7" s="22">
        <f>'계산 명세'!S23</f>
        <v>0.939151988121321</v>
      </c>
      <c r="N7" s="24" t="inlineStr">
        <is>
          <t>—</t>
        </is>
      </c>
      <c r="O7" s="15">
        <f>MEDIAN(D7:N7)</f>
        <v>0.6111311913563575</v>
      </c>
      <c r="P7" s="15">
        <f>MIN(D7:N7)</f>
        <v>0.1859689764349539</v>
      </c>
      <c r="Q7" s="15">
        <f>MAX(D7:N7)</f>
        <v>0.939151988121321</v>
      </c>
      <c r="R7">
        <f>COUNTIF(D7:N7,"&gt;0")</f>
        <v>10.0</v>
      </c>
      <c r="S7">
        <f>COUNT(D7:N7)</f>
        <v>10.0</v>
      </c>
      <c r="T7" t="inlineStr">
        <is>
          <t>전 기간 초과 · 매우 높음</t>
        </is>
      </c>
    </row>
    <row r="8">
      <c r="A8" t="n">
        <v>5</v>
      </c>
      <c r="B8" t="inlineStr">
        <is>
          <t>마이크로소프트</t>
        </is>
      </c>
      <c r="C8" t="inlineStr">
        <is>
          <t>MSFT</t>
        </is>
      </c>
      <c r="D8" s="22" t="str">
        <f>'계산 명세'!S36</f>
        <v>—</v>
      </c>
      <c r="E8" s="22">
        <f>'계산 명세'!S37</f>
        <v>0.6703668388862198</v>
      </c>
      <c r="F8" s="22">
        <f>'계산 명세'!S38</f>
        <v>0.5363190852164443</v>
      </c>
      <c r="G8" s="22">
        <f>'계산 명세'!S39</f>
        <v>1.0713966991344985</v>
      </c>
      <c r="H8" s="22">
        <f>'계산 명세'!S40</f>
        <v>0.9307766576407578</v>
      </c>
      <c r="I8" s="22">
        <f>'계산 명세'!S41</f>
        <v>0.9486838344580012</v>
      </c>
      <c r="J8" s="22">
        <f>'계산 명세'!S42</f>
        <v>0.6989222628997108</v>
      </c>
      <c r="K8" s="22">
        <f>'계산 명세'!S43</f>
        <v>0.4652697117557748</v>
      </c>
      <c r="L8" s="22">
        <f>'계산 명세'!S44</f>
        <v>0.362723392495642</v>
      </c>
      <c r="M8" s="22">
        <f>'계산 명세'!S45</f>
        <v>0.2945704430699031</v>
      </c>
      <c r="N8" s="22">
        <f>'계산 명세'!S46</f>
        <v>0.25857939734445756</v>
      </c>
      <c r="O8" s="15">
        <f>MEDIAN(D8:N8)</f>
        <v>0.6033429620513321</v>
      </c>
      <c r="P8" s="15">
        <f>MIN(D8:N8)</f>
        <v>0.25857939734445756</v>
      </c>
      <c r="Q8" s="15">
        <f>MAX(D8:N8)</f>
        <v>1.0713966991344985</v>
      </c>
      <c r="R8">
        <f>COUNTIF(D8:N8,"&gt;0")</f>
        <v>10.0</v>
      </c>
      <c r="S8">
        <f>COUNT(D8:N8)</f>
        <v>10.0</v>
      </c>
      <c r="T8" t="inlineStr">
        <is>
          <t>전 기간 초과 · 매우 높음</t>
        </is>
      </c>
    </row>
    <row r="9">
      <c r="A9" t="n">
        <v>6</v>
      </c>
      <c r="B9" t="inlineStr">
        <is>
          <t>램리서치</t>
        </is>
      </c>
      <c r="C9" t="inlineStr">
        <is>
          <t>LRCX</t>
        </is>
      </c>
      <c r="D9" s="22" t="str">
        <f>'계산 명세'!S290</f>
        <v>—</v>
      </c>
      <c r="E9" s="22">
        <f>'계산 명세'!S291</f>
        <v>0.42055414438293204</v>
      </c>
      <c r="F9" s="22">
        <f>'계산 명세'!S292</f>
        <v>0.5572223362695519</v>
      </c>
      <c r="G9" s="22">
        <f>'계산 명세'!S293</f>
        <v>0.4809730680368415</v>
      </c>
      <c r="H9" s="22">
        <f>'계산 명세'!S294</f>
        <v>0.48903544693880796</v>
      </c>
      <c r="I9" s="22">
        <f>'계산 명세'!S295</f>
        <v>0.7419560854631192</v>
      </c>
      <c r="J9" s="22">
        <f>'계산 명세'!S296</f>
        <v>0.6432803819822231</v>
      </c>
      <c r="K9" s="22">
        <f>'계산 명세'!S297</f>
        <v>0.49398250199778304</v>
      </c>
      <c r="L9" s="22">
        <f>'계산 명세'!S298</f>
        <v>0.38425258393807615</v>
      </c>
      <c r="M9" s="22">
        <f>'계산 명세'!S299</f>
        <v>0.5803917110649455</v>
      </c>
      <c r="N9" s="22">
        <f>'계산 명세'!S300</f>
        <v>0.677215611608313</v>
      </c>
      <c r="O9" s="15">
        <f>MEDIAN(D9:N9)</f>
        <v>0.5256024191336675</v>
      </c>
      <c r="P9" s="15">
        <f>MIN(D9:N9)</f>
        <v>0.38425258393807615</v>
      </c>
      <c r="Q9" s="15">
        <f>MAX(D9:N9)</f>
        <v>0.7419560854631192</v>
      </c>
      <c r="R9">
        <f>COUNTIF(D9:N9,"&gt;0")</f>
        <v>10.0</v>
      </c>
      <c r="S9">
        <f>COUNT(D9:N9)</f>
        <v>10.0</v>
      </c>
      <c r="T9" t="inlineStr">
        <is>
          <t>전 기간 초과 · 매우 높음</t>
        </is>
      </c>
    </row>
    <row r="10">
      <c r="A10" t="n">
        <v>7</v>
      </c>
      <c r="B10" t="inlineStr">
        <is>
          <t>필립모리스 인터내셔널</t>
        </is>
      </c>
      <c r="C10" t="inlineStr">
        <is>
          <t>PM</t>
        </is>
      </c>
      <c r="D10" s="22">
        <f>'계산 명세'!S425</f>
        <v>0.4714655660687955</v>
      </c>
      <c r="E10" s="22">
        <f>'계산 명세'!S426</f>
        <v>0.36965866846907736</v>
      </c>
      <c r="F10" s="22">
        <f>'계산 명세'!S427</f>
        <v>0.4829530578354593</v>
      </c>
      <c r="G10" s="22">
        <f>'계산 명세'!S428</f>
        <v>0.45735089135418394</v>
      </c>
      <c r="H10" s="22">
        <f>'계산 명세'!S429</f>
        <v>0.5477016667490333</v>
      </c>
      <c r="I10" s="22">
        <f>'계산 명세'!S430</f>
        <v>0.6060784123644922</v>
      </c>
      <c r="J10" s="22">
        <f>'계산 명세'!S431</f>
        <v>0.3058535999852525</v>
      </c>
      <c r="K10" s="22">
        <f>'계산 명세'!S432</f>
        <v>0.1599538171567654</v>
      </c>
      <c r="L10" s="22">
        <f>'계산 명세'!S433</f>
        <v>0.20106487284300803</v>
      </c>
      <c r="M10" s="22">
        <f>'계산 명세'!S434</f>
        <v>0.2540046048753447</v>
      </c>
      <c r="N10" s="24" t="inlineStr">
        <is>
          <t>—</t>
        </is>
      </c>
      <c r="O10" s="15">
        <f>MEDIAN(D10:N10)</f>
        <v>0.41350477991163065</v>
      </c>
      <c r="P10" s="15">
        <f>MIN(D10:N10)</f>
        <v>0.1599538171567654</v>
      </c>
      <c r="Q10" s="15">
        <f>MAX(D10:N10)</f>
        <v>0.6060784123644922</v>
      </c>
      <c r="R10">
        <f>COUNTIF(D10:N10,"&gt;0")</f>
        <v>10.0</v>
      </c>
      <c r="S10">
        <f>COUNT(D10:N10)</f>
        <v>10.0</v>
      </c>
      <c r="T10" t="inlineStr">
        <is>
          <t>전 기간 초과 · 매우 높음</t>
        </is>
      </c>
    </row>
    <row r="11">
      <c r="A11" t="n">
        <v>8</v>
      </c>
      <c r="B11" t="inlineStr">
        <is>
          <t>KLA</t>
        </is>
      </c>
      <c r="C11" t="inlineStr">
        <is>
          <t>KLAC</t>
        </is>
      </c>
      <c r="D11" s="22" t="str">
        <f>'계산 명세'!S466</f>
        <v>—</v>
      </c>
      <c r="E11" s="22">
        <f>'계산 명세'!S467</f>
        <v>0.7070096707999566</v>
      </c>
      <c r="F11" s="22">
        <f>'계산 명세'!S468</f>
        <v>0.730684903340309</v>
      </c>
      <c r="G11" s="22">
        <f>'계산 명세'!S469</f>
        <v>0.34209264058538447</v>
      </c>
      <c r="H11" s="25">
        <f>'계산 명세'!S470</f>
        <v>0.18539867339309948</v>
      </c>
      <c r="I11" s="25">
        <f>'계산 명세'!S471</f>
        <v>0.32946699426601456</v>
      </c>
      <c r="J11" s="25">
        <f>'계산 명세'!S472</f>
        <v>0.459783143159296</v>
      </c>
      <c r="K11" s="25">
        <f>'계산 명세'!S473</f>
        <v>0.3931657137783704</v>
      </c>
      <c r="L11" s="22">
        <f>'계산 명세'!S474</f>
        <v>0.2584589810147777</v>
      </c>
      <c r="M11" s="22">
        <f>'계산 명세'!S475</f>
        <v>0.3814352033385058</v>
      </c>
      <c r="N11" s="22">
        <f>'계산 명세'!S476</f>
        <v>0.3938476757212924</v>
      </c>
      <c r="O11" s="15">
        <f>MEDIAN(D11:N11)</f>
        <v>0.3873004585584381</v>
      </c>
      <c r="P11" s="15">
        <f>MIN(D11:N11)</f>
        <v>0.18539867339309948</v>
      </c>
      <c r="Q11" s="15">
        <f>MAX(D11:N11)</f>
        <v>0.730684903340309</v>
      </c>
      <c r="R11">
        <f>COUNTIF(D11:N11,"&gt;0")</f>
        <v>10.0</v>
      </c>
      <c r="S11">
        <f>COUNT(D11:N11)</f>
        <v>10.0</v>
      </c>
      <c r="T11" t="inlineStr">
        <is>
          <t>전 기간 초과 · 매우 높음</t>
        </is>
      </c>
    </row>
    <row r="12">
      <c r="A12" t="n">
        <v>9</v>
      </c>
      <c r="B12" t="inlineStr">
        <is>
          <t>텍사스 인스트루먼츠</t>
        </is>
      </c>
      <c r="C12" t="inlineStr">
        <is>
          <t>TXN</t>
        </is>
      </c>
      <c r="D12" s="22">
        <f>'계산 명세'!S455</f>
        <v>0.23025273606611976</v>
      </c>
      <c r="E12" s="22">
        <f>'계산 명세'!S456</f>
        <v>0.25874926000056375</v>
      </c>
      <c r="F12" s="22">
        <f>'계산 명세'!S457</f>
        <v>0.4666565846473163</v>
      </c>
      <c r="G12" s="22">
        <f>'계산 명세'!S458</f>
        <v>0.42345662442302223</v>
      </c>
      <c r="H12" s="22">
        <f>'계산 명세'!S459</f>
        <v>0.4849121193260859</v>
      </c>
      <c r="I12" s="22">
        <f>'계산 명세'!S460</f>
        <v>0.6521890451915262</v>
      </c>
      <c r="J12" s="22">
        <f>'계산 명세'!S461</f>
        <v>0.5914142141550479</v>
      </c>
      <c r="K12" s="22">
        <f>'계산 명세'!S462</f>
        <v>0.28080196694873116</v>
      </c>
      <c r="L12" s="22">
        <f>'계산 명세'!S463</f>
        <v>0.1265241518568417</v>
      </c>
      <c r="M12" s="22">
        <f>'계산 명세'!S464</f>
        <v>0.11816561039444157</v>
      </c>
      <c r="N12" s="24" t="inlineStr">
        <is>
          <t>—</t>
        </is>
      </c>
      <c r="O12" s="15">
        <f>MEDIAN(D12:N12)</f>
        <v>0.3521292956858767</v>
      </c>
      <c r="P12" s="15">
        <f>MIN(D12:N12)</f>
        <v>0.11816561039444157</v>
      </c>
      <c r="Q12" s="15">
        <f>MAX(D12:N12)</f>
        <v>0.6521890451915262</v>
      </c>
      <c r="R12">
        <f>COUNTIF(D12:N12,"&gt;0")</f>
        <v>10.0</v>
      </c>
      <c r="S12">
        <f>COUNT(D12:N12)</f>
        <v>10.0</v>
      </c>
      <c r="T12" t="inlineStr">
        <is>
          <t>전 기간 초과 · 매우 높음</t>
        </is>
      </c>
    </row>
    <row r="13">
      <c r="A13" t="n">
        <v>10</v>
      </c>
      <c r="B13" t="inlineStr">
        <is>
          <t>메타 플랫폼스</t>
        </is>
      </c>
      <c r="C13" t="inlineStr">
        <is>
          <t>META</t>
        </is>
      </c>
      <c r="D13" s="22">
        <f>'계산 명세'!S69</f>
        <v>0.2639952339078524</v>
      </c>
      <c r="E13" s="22">
        <f>'계산 명세'!S70</f>
        <v>0.4011614204345335</v>
      </c>
      <c r="F13" s="22">
        <f>'계산 명세'!S71</f>
        <v>0.4742678243057453</v>
      </c>
      <c r="G13" s="22">
        <f>'계산 명세'!S72</f>
        <v>0.30061041121327625</v>
      </c>
      <c r="H13" s="22">
        <f>'계산 명세'!S73</f>
        <v>0.4100436992169578</v>
      </c>
      <c r="I13" s="22">
        <f>'계산 명세'!S74</f>
        <v>0.4436208597277238</v>
      </c>
      <c r="J13" s="22">
        <f>'계산 명세'!S75</f>
        <v>0.17128610665888708</v>
      </c>
      <c r="K13" s="22">
        <f>'계산 명세'!S76</f>
        <v>0.28339008252236064</v>
      </c>
      <c r="L13" s="22">
        <f>'계산 명세'!S77</f>
        <v>0.4106610920046768</v>
      </c>
      <c r="M13" s="22">
        <f>'계산 명세'!S78</f>
        <v>0.25720533263213785</v>
      </c>
      <c r="N13" s="24" t="inlineStr">
        <is>
          <t>—</t>
        </is>
      </c>
      <c r="O13" s="15">
        <f>MEDIAN(D13:N13)</f>
        <v>0.3508859158239049</v>
      </c>
      <c r="P13" s="15">
        <f>MIN(D13:N13)</f>
        <v>0.17128610665888708</v>
      </c>
      <c r="Q13" s="15">
        <f>MAX(D13:N13)</f>
        <v>0.4742678243057453</v>
      </c>
      <c r="R13">
        <f>COUNTIF(D13:N13,"&gt;0")</f>
        <v>10.0</v>
      </c>
      <c r="S13">
        <f>COUNT(D13:N13)</f>
        <v>10.0</v>
      </c>
      <c r="T13" t="inlineStr">
        <is>
          <t>전 기간 초과 · 매우 높음</t>
        </is>
      </c>
    </row>
    <row r="14">
      <c r="A14" t="n">
        <v>11</v>
      </c>
      <c r="B14" t="inlineStr">
        <is>
          <t>홈디포</t>
        </is>
      </c>
      <c r="C14" t="inlineStr">
        <is>
          <t>HD</t>
        </is>
      </c>
      <c r="D14" s="22">
        <f>'계산 명세'!S357</f>
        <v>0.23732644974013725</v>
      </c>
      <c r="E14" s="22">
        <f>'계산 명세'!S358</f>
        <v>0.26789008842743167</v>
      </c>
      <c r="F14" s="22">
        <f>'계산 명세'!S359</f>
        <v>0.3705312177907827</v>
      </c>
      <c r="G14" s="22">
        <f>'계산 명세'!S360</f>
        <v>0.3675076117928553</v>
      </c>
      <c r="H14" s="22">
        <f>'계산 명세'!S361</f>
        <v>0.3705192432362583</v>
      </c>
      <c r="I14" s="22">
        <f>'계산 명세'!S362</f>
        <v>0.40715711947047095</v>
      </c>
      <c r="J14" s="22">
        <f>'계산 명세'!S363</f>
        <v>0.36879831401062935</v>
      </c>
      <c r="K14" s="22">
        <f>'계산 명세'!S364</f>
        <v>0.29534414940913956</v>
      </c>
      <c r="L14" s="22">
        <f>'계산 명세'!S365</f>
        <v>0.22926302404253388</v>
      </c>
      <c r="M14" s="22">
        <f>'계산 명세'!S366</f>
        <v>0.1532200222093292</v>
      </c>
      <c r="N14" s="24" t="inlineStr">
        <is>
          <t>—</t>
        </is>
      </c>
      <c r="O14" s="15">
        <f>MEDIAN(D14:N14)</f>
        <v>0.3314258806009974</v>
      </c>
      <c r="P14" s="15">
        <f>MIN(D14:N14)</f>
        <v>0.1532200222093292</v>
      </c>
      <c r="Q14" s="15">
        <f>MAX(D14:N14)</f>
        <v>0.40715711947047095</v>
      </c>
      <c r="R14">
        <f>COUNTIF(D14:N14,"&gt;0")</f>
        <v>10.0</v>
      </c>
      <c r="S14">
        <f>COUNT(D14:N14)</f>
        <v>10.0</v>
      </c>
      <c r="T14" t="inlineStr">
        <is>
          <t>전 기간 초과 · 매우 높음</t>
        </is>
      </c>
    </row>
    <row r="15">
      <c r="A15" t="n">
        <v>12</v>
      </c>
      <c r="B15" t="inlineStr">
        <is>
          <t>어플라이드 머티리얼즈</t>
        </is>
      </c>
      <c r="C15" t="inlineStr">
        <is>
          <t>AMAT</t>
        </is>
      </c>
      <c r="D15" s="22">
        <f>'계산 명세'!S247</f>
        <v>0.1595157710862187</v>
      </c>
      <c r="E15" s="22">
        <f>'계산 명세'!S248</f>
        <v>0.3956182668612672</v>
      </c>
      <c r="F15" s="22">
        <f>'계산 명세'!S249</f>
        <v>0.29331553240933195</v>
      </c>
      <c r="G15" s="22">
        <f>'계산 명세'!S250</f>
        <v>0.20755280456310363</v>
      </c>
      <c r="H15" s="22">
        <f>'계산 명세'!S251</f>
        <v>0.2754885477423281</v>
      </c>
      <c r="I15" s="22">
        <f>'계산 명세'!S252</f>
        <v>0.43183697855829006</v>
      </c>
      <c r="J15" s="22">
        <f>'계산 명세'!S253</f>
        <v>0.38973180527473084</v>
      </c>
      <c r="K15" s="22">
        <f>'계산 명세'!S254</f>
        <v>0.3517226472867738</v>
      </c>
      <c r="L15" s="22">
        <f>'계산 명세'!S255</f>
        <v>0.33933312573317564</v>
      </c>
      <c r="M15" s="22">
        <f>'계산 명세'!S256</f>
        <v>0.25869747201252824</v>
      </c>
      <c r="N15" s="24" t="inlineStr">
        <is>
          <t>—</t>
        </is>
      </c>
      <c r="O15" s="15">
        <f>MEDIAN(D15:N15)</f>
        <v>0.3163243290712538</v>
      </c>
      <c r="P15" s="15">
        <f>MIN(D15:N15)</f>
        <v>0.1595157710862187</v>
      </c>
      <c r="Q15" s="15">
        <f>MAX(D15:N15)</f>
        <v>0.43183697855829006</v>
      </c>
      <c r="R15">
        <f>COUNTIF(D15:N15,"&gt;0")</f>
        <v>10.0</v>
      </c>
      <c r="S15">
        <f>COUNT(D15:N15)</f>
        <v>10.0</v>
      </c>
      <c r="T15" t="inlineStr">
        <is>
          <t>전 기간 초과 · 매우 높음</t>
        </is>
      </c>
    </row>
    <row r="16">
      <c r="A16" t="n">
        <v>13</v>
      </c>
      <c r="B16" t="inlineStr">
        <is>
          <t>알파벳</t>
        </is>
      </c>
      <c r="C16" t="inlineStr">
        <is>
          <t>GOOG</t>
        </is>
      </c>
      <c r="D16" s="22">
        <f>'계산 명세'!S25</f>
        <v>0.2505761494773814</v>
      </c>
      <c r="E16" s="22">
        <f>'계산 명세'!S26</f>
        <v>0.18246592094378303</v>
      </c>
      <c r="F16" s="22">
        <f>'계산 명세'!S27</f>
        <v>0.2815548420155316</v>
      </c>
      <c r="G16" s="22">
        <f>'계산 명세'!S28</f>
        <v>0.2751575083732948</v>
      </c>
      <c r="H16" s="22">
        <f>'계산 명세'!S29</f>
        <v>0.2702334364022081</v>
      </c>
      <c r="I16" s="22">
        <f>'계산 명세'!S30</f>
        <v>0.47965865032698085</v>
      </c>
      <c r="J16" s="22">
        <f>'계산 명세'!S31</f>
        <v>0.34332261899389926</v>
      </c>
      <c r="K16" s="22">
        <f>'계산 명세'!S32</f>
        <v>0.3238648771562478</v>
      </c>
      <c r="L16" s="22">
        <f>'계산 명세'!S33</f>
        <v>0.33788499930183935</v>
      </c>
      <c r="M16" s="22">
        <f>'계산 명세'!S34</f>
        <v>0.2699173431782217</v>
      </c>
      <c r="N16" s="24" t="inlineStr">
        <is>
          <t>—</t>
        </is>
      </c>
      <c r="O16" s="15">
        <f>MEDIAN(D16:N16)</f>
        <v>0.2783561751944132</v>
      </c>
      <c r="P16" s="15">
        <f>MIN(D16:N16)</f>
        <v>0.18246592094378303</v>
      </c>
      <c r="Q16" s="15">
        <f>MAX(D16:N16)</f>
        <v>0.47965865032698085</v>
      </c>
      <c r="R16">
        <f>COUNTIF(D16:N16,"&gt;0")</f>
        <v>10.0</v>
      </c>
      <c r="S16">
        <f>COUNT(D16:N16)</f>
        <v>10.0</v>
      </c>
      <c r="T16" t="inlineStr">
        <is>
          <t>전 기간 초과 · 매우 높음</t>
        </is>
      </c>
    </row>
    <row r="17">
      <c r="A17" t="n">
        <v>14</v>
      </c>
      <c r="B17" t="inlineStr">
        <is>
          <t>코스트코</t>
        </is>
      </c>
      <c r="C17" t="inlineStr">
        <is>
          <t>COST</t>
        </is>
      </c>
      <c r="D17" s="23" t="str">
        <f>'계산 명세'!S270</f>
        <v>—</v>
      </c>
      <c r="E17" s="23">
        <f>'계산 명세'!S271</f>
        <v>0.12346643143239272</v>
      </c>
      <c r="F17" s="23">
        <f>'계산 명세'!S272</f>
        <v>0.1630184911791723</v>
      </c>
      <c r="G17" s="23">
        <f>'계산 명세'!S273</f>
        <v>0.19012248877183505</v>
      </c>
      <c r="H17" s="23">
        <f>'계산 명세'!S274</f>
        <v>0.2165276153697618</v>
      </c>
      <c r="I17" s="23">
        <f>'계산 명세'!S275</f>
        <v>0.28574264268317096</v>
      </c>
      <c r="J17" s="23">
        <f>'계산 명세'!S276</f>
        <v>0.2962221294272813</v>
      </c>
      <c r="K17" s="23">
        <f>'계산 명세'!S277</f>
        <v>0.2698981894541066</v>
      </c>
      <c r="L17" s="23">
        <f>'계산 명세'!S278</f>
        <v>0.3052776464263244</v>
      </c>
      <c r="M17" s="23">
        <f>'계산 명세'!S279</f>
        <v>0.30866036096089944</v>
      </c>
      <c r="N17" s="23">
        <f>'계산 명세'!S280</f>
        <v>0.3363659594510935</v>
      </c>
      <c r="O17" s="15">
        <f>MEDIAN(D17:N17)</f>
        <v>0.2778204160686388</v>
      </c>
      <c r="P17" s="15">
        <f>MIN(D17:N17)</f>
        <v>0.12346643143239272</v>
      </c>
      <c r="Q17" s="15">
        <f>MAX(D17:N17)</f>
        <v>0.3363659594510935</v>
      </c>
      <c r="R17">
        <f>COUNTIF(D17:N17,"&gt;0")</f>
        <v>10.0</v>
      </c>
      <c r="S17">
        <f>COUNT(D17:N17)</f>
        <v>10.0</v>
      </c>
      <c r="T17" t="inlineStr">
        <is>
          <t>전 기간 초과 · 매우 높음</t>
        </is>
      </c>
    </row>
    <row r="18">
      <c r="A18" t="n">
        <v>15</v>
      </c>
      <c r="B18" t="inlineStr">
        <is>
          <t>시스코 시스템즈</t>
        </is>
      </c>
      <c r="C18" t="inlineStr">
        <is>
          <t>CSCO</t>
        </is>
      </c>
      <c r="D18" s="22" t="str">
        <f>'계산 명세'!S213</f>
        <v>—</v>
      </c>
      <c r="E18" s="22">
        <f>'계산 명세'!S214</f>
        <v>0.23540271288486367</v>
      </c>
      <c r="F18" s="22">
        <f>'계산 명세'!S215</f>
        <v>0.18632795084032797</v>
      </c>
      <c r="G18" s="22">
        <f>'계산 명세'!S216</f>
        <v>0.3820618861664553</v>
      </c>
      <c r="H18" s="22">
        <f>'계산 명세'!S217</f>
        <v>0.3564184670582826</v>
      </c>
      <c r="I18" s="22">
        <f>'계산 명세'!S218</f>
        <v>0.2990266775928383</v>
      </c>
      <c r="J18" s="22">
        <f>'계산 명세'!S219</f>
        <v>0.29096855210812833</v>
      </c>
      <c r="K18" s="22">
        <f>'계산 명세'!S220</f>
        <v>0.3371917986789934</v>
      </c>
      <c r="L18" s="22">
        <f>'계산 명세'!S221</f>
        <v>0.14130882683115065</v>
      </c>
      <c r="M18" s="22">
        <f>'계산 명세'!S222</f>
        <v>0.08133864579489702</v>
      </c>
      <c r="N18" s="22">
        <f>'계산 명세'!S223</f>
        <v>0.10230310414492619</v>
      </c>
      <c r="O18" s="15">
        <f>MEDIAN(D18:N18)</f>
        <v>0.263185632496496</v>
      </c>
      <c r="P18" s="15">
        <f>MIN(D18:N18)</f>
        <v>0.08133864579489702</v>
      </c>
      <c r="Q18" s="15">
        <f>MAX(D18:N18)</f>
        <v>0.3820618861664553</v>
      </c>
      <c r="R18">
        <f>COUNTIF(D18:N18,"&gt;0")</f>
        <v>10.0</v>
      </c>
      <c r="S18">
        <f>COUNT(D18:N18)</f>
        <v>10.0</v>
      </c>
      <c r="T18" t="inlineStr">
        <is>
          <t>전 기간 초과 · 매우 높음</t>
        </is>
      </c>
    </row>
    <row r="19">
      <c r="A19" t="n">
        <v>16</v>
      </c>
      <c r="B19" t="inlineStr">
        <is>
          <t>비자</t>
        </is>
      </c>
      <c r="C19" t="inlineStr">
        <is>
          <t>V</t>
        </is>
      </c>
      <c r="D19" s="22">
        <f>'계산 명세'!S158</f>
        <v>0.08472390521081433</v>
      </c>
      <c r="E19" s="22">
        <f>'계산 명세'!S159</f>
        <v>0.08755695127287702</v>
      </c>
      <c r="F19" s="22">
        <f>'계산 명세'!S160</f>
        <v>0.1713165954887478</v>
      </c>
      <c r="G19" s="22">
        <f>'계산 명세'!S161</f>
        <v>0.2101702654488514</v>
      </c>
      <c r="H19" s="22">
        <f>'계산 명세'!S162</f>
        <v>0.1778965342591554</v>
      </c>
      <c r="I19" s="22">
        <f>'계산 명세'!S163</f>
        <v>0.2011523300782708</v>
      </c>
      <c r="J19" s="22">
        <f>'계산 명세'!S164</f>
        <v>0.2900137221783964</v>
      </c>
      <c r="K19" s="22">
        <f>'계산 명세'!S165</f>
        <v>0.3388719382378559</v>
      </c>
      <c r="L19" s="22">
        <f>'계산 명세'!S166</f>
        <v>0.3645031338011564</v>
      </c>
      <c r="M19" s="22">
        <f>'계산 명세'!S167</f>
        <v>0.34761400738323134</v>
      </c>
      <c r="N19" s="24" t="inlineStr">
        <is>
          <t>—</t>
        </is>
      </c>
      <c r="O19" s="15">
        <f>MEDIAN(D19:N19)</f>
        <v>0.2056612977635611</v>
      </c>
      <c r="P19" s="15">
        <f>MIN(D19:N19)</f>
        <v>0.08472390521081433</v>
      </c>
      <c r="Q19" s="15">
        <f>MAX(D19:N19)</f>
        <v>0.3645031338011564</v>
      </c>
      <c r="R19">
        <f>COUNTIF(D19:N19,"&gt;0")</f>
        <v>10.0</v>
      </c>
      <c r="S19">
        <f>COUNT(D19:N19)</f>
        <v>10.0</v>
      </c>
      <c r="T19" t="inlineStr">
        <is>
          <t>전 기간 초과 · 매우 높음</t>
        </is>
      </c>
    </row>
    <row r="20">
      <c r="A20" t="n">
        <v>17</v>
      </c>
      <c r="B20" t="inlineStr">
        <is>
          <t>아마존</t>
        </is>
      </c>
      <c r="C20" t="inlineStr">
        <is>
          <t>AMZN</t>
        </is>
      </c>
      <c r="D20" s="23">
        <f>'계산 명세'!S48</f>
        <v>1.1959004225191274</v>
      </c>
      <c r="E20" s="23">
        <f>'계산 명세'!S49</f>
        <v>0.17742465548625705</v>
      </c>
      <c r="F20" s="22">
        <f>'계산 명세'!S50</f>
        <v>0.3555907559196515</v>
      </c>
      <c r="G20" s="22">
        <f>'계산 명세'!S51</f>
        <v>0.30972209896899494</v>
      </c>
      <c r="H20" s="23">
        <f>'계산 명세'!S52</f>
        <v>0.44755281016863646</v>
      </c>
      <c r="I20" s="22">
        <f>'계산 명세'!S53</f>
        <v>0.22294247465215192</v>
      </c>
      <c r="J20" s="20">
        <f>'계산 명세'!S54</f>
        <v>-0.01940595131499491</v>
      </c>
      <c r="K20" s="22">
        <f>'계산 명세'!S55</f>
        <v>0.08132484668426265</v>
      </c>
      <c r="L20" s="22">
        <f>'계산 명세'!S56</f>
        <v>0.17946103660443638</v>
      </c>
      <c r="M20" s="22">
        <f>'계산 명세'!S57</f>
        <v>0.11449257462772275</v>
      </c>
      <c r="N20" s="24" t="inlineStr">
        <is>
          <t>—</t>
        </is>
      </c>
      <c r="O20" s="15">
        <f>MEDIAN(D20:N20)</f>
        <v>0.20120175562829415</v>
      </c>
      <c r="P20" s="15">
        <f>MIN(D20:N20)</f>
        <v>-0.01940595131499491</v>
      </c>
      <c r="Q20" s="15">
        <f>MAX(D20:N20)</f>
        <v>1.1959004225191274</v>
      </c>
      <c r="R20">
        <f>COUNTIF(D20:N20,"&gt;0")</f>
        <v>9.0</v>
      </c>
      <c r="S20">
        <f>COUNT(D20:N20)</f>
        <v>10.0</v>
      </c>
      <c r="T20" t="inlineStr">
        <is>
          <t>대체로 초과</t>
        </is>
      </c>
    </row>
    <row r="21">
      <c r="A21" t="n">
        <v>18</v>
      </c>
      <c r="B21" t="inlineStr">
        <is>
          <t>일라이 릴리</t>
        </is>
      </c>
      <c r="C21" t="inlineStr">
        <is>
          <t>LLY</t>
        </is>
      </c>
      <c r="D21" s="25">
        <f>'계산 명세'!S102</f>
        <v>0.04513322452951496</v>
      </c>
      <c r="E21" s="26">
        <f>'계산 명세'!S103</f>
        <v>-0.03252610306500506</v>
      </c>
      <c r="F21" s="25">
        <f>'계산 명세'!S104</f>
        <v>0.09472190615331513</v>
      </c>
      <c r="G21" s="25">
        <f>'계산 명세'!S105</f>
        <v>0.1982697517013929</v>
      </c>
      <c r="H21" s="25">
        <f>'계산 명세'!S106</f>
        <v>0.2024599147686603</v>
      </c>
      <c r="I21" s="25">
        <f>'계산 명세'!S107</f>
        <v>0.18208922231760247</v>
      </c>
      <c r="J21" s="25">
        <f>'계산 명세'!S108</f>
        <v>0.17866142894589035</v>
      </c>
      <c r="K21" s="25">
        <f>'계산 명세'!S109</f>
        <v>0.07812752371373713</v>
      </c>
      <c r="L21" s="25">
        <f>'계산 명세'!S110</f>
        <v>0.1774587046104565</v>
      </c>
      <c r="M21" s="25">
        <f>'계산 명세'!S111</f>
        <v>0.2970914553437115</v>
      </c>
      <c r="N21" s="24" t="inlineStr">
        <is>
          <t>—</t>
        </is>
      </c>
      <c r="O21" s="15">
        <f>MEDIAN(D21:N21)</f>
        <v>0.17806006677817343</v>
      </c>
      <c r="P21" s="15">
        <f>MIN(D21:N21)</f>
        <v>-0.03252610306500506</v>
      </c>
      <c r="Q21" s="15">
        <f>MAX(D21:N21)</f>
        <v>0.2970914553437115</v>
      </c>
      <c r="R21">
        <f>COUNTIF(D21:N21,"&gt;0")</f>
        <v>9.0</v>
      </c>
      <c r="S21">
        <f>COUNT(D21:N21)</f>
        <v>10.0</v>
      </c>
      <c r="T21" t="inlineStr">
        <is>
          <t>대체로 초과</t>
        </is>
      </c>
    </row>
    <row r="22">
      <c r="A22" t="n">
        <v>19</v>
      </c>
      <c r="B22" t="inlineStr">
        <is>
          <t>존슨앤드존슨</t>
        </is>
      </c>
      <c r="C22" t="inlineStr">
        <is>
          <t>JNJ</t>
        </is>
      </c>
      <c r="D22" s="25">
        <f>'계산 명세'!S180</f>
        <v>0.20873254898267793</v>
      </c>
      <c r="E22" s="25">
        <f>'계산 명세'!S181</f>
        <v>0.06017018441692154</v>
      </c>
      <c r="F22" s="25">
        <f>'계산 명세'!S182</f>
        <v>0.12438678220306057</v>
      </c>
      <c r="G22" s="25">
        <f>'계산 명세'!S183</f>
        <v>0.1502706716136624</v>
      </c>
      <c r="H22" s="25">
        <f>'계산 명세'!S184</f>
        <v>0.1450274823294956</v>
      </c>
      <c r="I22" s="25">
        <f>'계산 명세'!S185</f>
        <v>0.1446261925850101</v>
      </c>
      <c r="J22" s="25">
        <f>'계산 명세'!S186</f>
        <v>0.1001647476188901</v>
      </c>
      <c r="K22" s="25">
        <f>'계산 명세'!S187</f>
        <v>0.12657843886962952</v>
      </c>
      <c r="L22" s="25">
        <f>'계산 명세'!S188</f>
        <v>0.12691924984835465</v>
      </c>
      <c r="M22" s="25">
        <f>'계산 명세'!S189</f>
        <v>0.1163041435995871</v>
      </c>
      <c r="N22" s="24" t="inlineStr">
        <is>
          <t>—</t>
        </is>
      </c>
      <c r="O22" s="15">
        <f>MEDIAN(D22:N22)</f>
        <v>0.12674884435899209</v>
      </c>
      <c r="P22" s="15">
        <f>MIN(D22:N22)</f>
        <v>0.06017018441692154</v>
      </c>
      <c r="Q22" s="15">
        <f>MAX(D22:N22)</f>
        <v>0.20873254898267793</v>
      </c>
      <c r="R22">
        <f>COUNTIF(D22:N22,"&gt;0")</f>
        <v>10.0</v>
      </c>
      <c r="S22">
        <f>COUNT(D22:N22)</f>
        <v>10.0</v>
      </c>
      <c r="T22" t="inlineStr">
        <is>
          <t>전 기간 초과</t>
        </is>
      </c>
    </row>
    <row r="23">
      <c r="A23" t="n">
        <v>20</v>
      </c>
      <c r="B23" t="inlineStr">
        <is>
          <t>프록터앤드갬블</t>
        </is>
      </c>
      <c r="C23" t="inlineStr">
        <is>
          <t>PG</t>
        </is>
      </c>
      <c r="D23" s="22" t="str">
        <f>'계산 명세'!S368</f>
        <v>—</v>
      </c>
      <c r="E23" s="22">
        <f>'계산 명세'!S369</f>
        <v>0.03149065432447079</v>
      </c>
      <c r="F23" s="22">
        <f>'계산 명세'!S370</f>
        <v>0.01992158376495548</v>
      </c>
      <c r="G23" s="20">
        <f>'계산 명세'!S371</f>
        <v>-0.052868585499237675</v>
      </c>
      <c r="H23" s="22">
        <f>'계산 명세'!S372</f>
        <v>0.08723455831966098</v>
      </c>
      <c r="I23" s="22">
        <f>'계산 명세'!S373</f>
        <v>0.10776987040041067</v>
      </c>
      <c r="J23" s="22">
        <f>'계산 명세'!S374</f>
        <v>0.10996056655528053</v>
      </c>
      <c r="K23" s="22">
        <f>'계산 명세'!S375</f>
        <v>0.10146980187237256</v>
      </c>
      <c r="L23" s="22">
        <f>'계산 명세'!S376</f>
        <v>0.10143302274648147</v>
      </c>
      <c r="M23" s="22">
        <f>'계산 명세'!S377</f>
        <v>0.11610280284329869</v>
      </c>
      <c r="N23" s="22">
        <f>'계산 명세'!S378</f>
        <v>0.10091644334804586</v>
      </c>
      <c r="O23" s="15">
        <f>MEDIAN(D23:N23)</f>
        <v>0.10117473304726367</v>
      </c>
      <c r="P23" s="15">
        <f>MIN(D23:N23)</f>
        <v>-0.052868585499237675</v>
      </c>
      <c r="Q23" s="15">
        <f>MAX(D23:N23)</f>
        <v>0.11610280284329869</v>
      </c>
      <c r="R23">
        <f>COUNTIF(D23:N23,"&gt;0")</f>
        <v>9.0</v>
      </c>
      <c r="S23">
        <f>COUNT(D23:N23)</f>
        <v>10.0</v>
      </c>
      <c r="T23" t="inlineStr">
        <is>
          <t>대체로 초과</t>
        </is>
      </c>
    </row>
    <row r="24">
      <c r="A24" t="n">
        <v>21</v>
      </c>
      <c r="B24" t="inlineStr">
        <is>
          <t>애브비</t>
        </is>
      </c>
      <c r="C24" t="inlineStr">
        <is>
          <t>ABBV</t>
        </is>
      </c>
      <c r="D24" s="22">
        <f>'계산 명세'!S236</f>
        <v>0.12653177159002113</v>
      </c>
      <c r="E24" s="22">
        <f>'계산 명세'!S237</f>
        <v>0.09365122731598827</v>
      </c>
      <c r="F24" s="22">
        <f>'계산 명세'!S238</f>
        <v>0.11472936843782644</v>
      </c>
      <c r="G24" s="22">
        <f>'계산 명세'!S239</f>
        <v>0.47239498753360687</v>
      </c>
      <c r="H24" s="22">
        <f>'계산 명세'!S240</f>
        <v>0.0975161473295153</v>
      </c>
      <c r="I24" s="22">
        <f>'계산 명세'!S241</f>
        <v>0.08427986063794918</v>
      </c>
      <c r="J24" s="22">
        <f>'계산 명세'!S242</f>
        <v>0.10730662581556472</v>
      </c>
      <c r="K24" s="22">
        <f>'계산 명세'!S243</f>
        <v>0.055054799641451324</v>
      </c>
      <c r="L24" s="22">
        <f>'계산 명세'!S244</f>
        <v>0.042392079987532694</v>
      </c>
      <c r="M24" s="22">
        <f>'계산 명세'!S245</f>
        <v>0.05606068883352702</v>
      </c>
      <c r="N24" s="24" t="inlineStr">
        <is>
          <t>—</t>
        </is>
      </c>
      <c r="O24" s="15">
        <f>MEDIAN(D24:N24)</f>
        <v>0.09558368732275178</v>
      </c>
      <c r="P24" s="15">
        <f>MIN(D24:N24)</f>
        <v>0.042392079987532694</v>
      </c>
      <c r="Q24" s="15">
        <f>MAX(D24:N24)</f>
        <v>0.47239498753360687</v>
      </c>
      <c r="R24">
        <f>COUNTIF(D24:N24,"&gt;0")</f>
        <v>10.0</v>
      </c>
      <c r="S24">
        <f>COUNT(D24:N24)</f>
        <v>10.0</v>
      </c>
      <c r="T24" t="inlineStr">
        <is>
          <t>전 기간 초과</t>
        </is>
      </c>
    </row>
    <row r="25">
      <c r="A25" t="n">
        <v>22</v>
      </c>
      <c r="B25" t="inlineStr">
        <is>
          <t>넷플릭스</t>
        </is>
      </c>
      <c r="C25" t="inlineStr">
        <is>
          <t>NFLX</t>
        </is>
      </c>
      <c r="D25" s="20">
        <f>'계산 명세'!S391</f>
        <v>-0.01745794541709632</v>
      </c>
      <c r="E25" s="22">
        <f>'계산 명세'!S392</f>
        <v>0.03773885760488316</v>
      </c>
      <c r="F25" s="22">
        <f>'계산 명세'!S393</f>
        <v>0.059992662199463226</v>
      </c>
      <c r="G25" s="22">
        <f>'계산 명세'!S394</f>
        <v>0.06188263884424111</v>
      </c>
      <c r="H25" s="22">
        <f>'계산 명세'!S395</f>
        <v>0.11690532209720406</v>
      </c>
      <c r="I25" s="22">
        <f>'계산 명세'!S396</f>
        <v>0.1446903707071054</v>
      </c>
      <c r="J25" s="22">
        <f>'계산 명세'!S397</f>
        <v>0.07725326209541086</v>
      </c>
      <c r="K25" s="22">
        <f>'계산 명세'!S398</f>
        <v>0.11249354085227112</v>
      </c>
      <c r="L25" s="22">
        <f>'계산 명세'!S399</f>
        <v>0.2100965293458065</v>
      </c>
      <c r="M25" s="22">
        <f>'계산 명세'!S400</f>
        <v>0.2665657093270115</v>
      </c>
      <c r="N25" s="24" t="inlineStr">
        <is>
          <t>—</t>
        </is>
      </c>
      <c r="O25" s="15">
        <f>MEDIAN(D25:N25)</f>
        <v>0.09487340147384099</v>
      </c>
      <c r="P25" s="15">
        <f>MIN(D25:N25)</f>
        <v>-0.01745794541709632</v>
      </c>
      <c r="Q25" s="15">
        <f>MAX(D25:N25)</f>
        <v>0.2665657093270115</v>
      </c>
      <c r="R25">
        <f>COUNTIF(D25:N25,"&gt;0")</f>
        <v>9.0</v>
      </c>
      <c r="S25">
        <f>COUNT(D25:N25)</f>
        <v>10.0</v>
      </c>
      <c r="T25" t="inlineStr">
        <is>
          <t>대체로 초과</t>
        </is>
      </c>
    </row>
    <row r="26">
      <c r="A26" t="n">
        <v>23</v>
      </c>
      <c r="B26" t="inlineStr">
        <is>
          <t>오라클</t>
        </is>
      </c>
      <c r="C26" t="inlineStr">
        <is>
          <t>ORCL</t>
        </is>
      </c>
      <c r="D26" s="22" t="str">
        <f>'계산 명세'!S258</f>
        <v>—</v>
      </c>
      <c r="E26" s="22">
        <f>'계산 명세'!S259</f>
        <v>0.15254154032903075</v>
      </c>
      <c r="F26" s="22">
        <f>'계산 명세'!S260</f>
        <v>0.08254885769336637</v>
      </c>
      <c r="G26" s="22">
        <f>'계산 명세'!S261</f>
        <v>0.1642313490004201</v>
      </c>
      <c r="H26" s="22">
        <f>'계산 명세'!S262</f>
        <v>0.16788286969253294</v>
      </c>
      <c r="I26" s="22">
        <f>'계산 명세'!S263</f>
        <v>0.18311590106007067</v>
      </c>
      <c r="J26" s="22">
        <f>'계산 명세'!S264</f>
        <v>0.08798545169439845</v>
      </c>
      <c r="K26" s="22">
        <f>'계산 명세'!S265</f>
        <v>0.05908258291743246</v>
      </c>
      <c r="L26" s="22">
        <f>'계산 명세'!S266</f>
        <v>0.04499805734711321</v>
      </c>
      <c r="M26" s="22">
        <f>'계산 명세'!S267</f>
        <v>0.04874369611409035</v>
      </c>
      <c r="N26" s="22">
        <f>'계산 명세'!S268</f>
        <v>0.033961001822767733</v>
      </c>
      <c r="O26" s="15">
        <f>MEDIAN(D26:N26)</f>
        <v>0.08526715469388241</v>
      </c>
      <c r="P26" s="15">
        <f>MIN(D26:N26)</f>
        <v>0.033961001822767733</v>
      </c>
      <c r="Q26" s="15">
        <f>MAX(D26:N26)</f>
        <v>0.18311590106007067</v>
      </c>
      <c r="R26">
        <f>COUNTIF(D26:N26,"&gt;0")</f>
        <v>10.0</v>
      </c>
      <c r="S26">
        <f>COUNT(D26:N26)</f>
        <v>10.0</v>
      </c>
      <c r="T26" t="inlineStr">
        <is>
          <t>전 기간 초과</t>
        </is>
      </c>
    </row>
    <row r="27">
      <c r="A27" t="n">
        <v>24</v>
      </c>
      <c r="B27" t="inlineStr">
        <is>
          <t>마이크론 테크놀로지</t>
        </is>
      </c>
      <c r="C27" t="inlineStr">
        <is>
          <t>MU</t>
        </is>
      </c>
      <c r="D27" s="20" t="str">
        <f>'계산 명세'!S113</f>
        <v>—</v>
      </c>
      <c r="E27" s="22">
        <f>'계산 명세'!S114</f>
        <v>0.15562179016874542</v>
      </c>
      <c r="F27" s="22">
        <f>'계산 명세'!S115</f>
        <v>0.4071492149392958</v>
      </c>
      <c r="G27" s="22">
        <f>'계산 명세'!S116</f>
        <v>0.10256911393441354</v>
      </c>
      <c r="H27" s="20">
        <f>'계산 명세'!S117</f>
        <v>-0.024583991927352944</v>
      </c>
      <c r="I27" s="22">
        <f>'계산 명세'!S118</f>
        <v>0.047911510495245196</v>
      </c>
      <c r="J27" s="22">
        <f>'계산 명세'!S119</f>
        <v>0.09656191036288414</v>
      </c>
      <c r="K27" s="20">
        <f>'계산 명세'!S120</f>
        <v>-0.19520967505087164</v>
      </c>
      <c r="L27" s="20">
        <f>'계산 명세'!S121</f>
        <v>-0.0831147849845304</v>
      </c>
      <c r="M27" s="22">
        <f>'계산 명세'!S122</f>
        <v>0.05860246567294036</v>
      </c>
      <c r="N27" s="22">
        <f>'계산 명세'!S123</f>
        <v>0.967470833214512</v>
      </c>
      <c r="O27" s="15">
        <f>MEDIAN(D27:N27)</f>
        <v>0.07758218801791225</v>
      </c>
      <c r="P27" s="15">
        <f>MIN(D27:N27)</f>
        <v>-0.19520967505087164</v>
      </c>
      <c r="Q27" s="15">
        <f>MAX(D27:N27)</f>
        <v>0.967470833214512</v>
      </c>
      <c r="R27">
        <f>COUNTIF(D27:N27,"&gt;0")</f>
        <v>7.0</v>
      </c>
      <c r="S27">
        <f>COUNT(D27:N27)</f>
        <v>10.0</v>
      </c>
      <c r="T27" t="inlineStr">
        <is>
          <t>절반 이상 초과</t>
        </is>
      </c>
    </row>
    <row r="28">
      <c r="A28" t="n">
        <v>25</v>
      </c>
      <c r="B28" t="inlineStr">
        <is>
          <t>캐터필러</t>
        </is>
      </c>
      <c r="C28" t="inlineStr">
        <is>
          <t>CAT</t>
        </is>
      </c>
      <c r="D28" s="20">
        <f>'계산 명세'!S302</f>
        <v>-0.08183002788564281</v>
      </c>
      <c r="E28" s="20">
        <f>'계산 명세'!S303</f>
        <v>-0.023944862867699312</v>
      </c>
      <c r="F28" s="22">
        <f>'계산 명세'!S304</f>
        <v>0.0825474184451663</v>
      </c>
      <c r="G28" s="22">
        <f>'계산 명세'!S305</f>
        <v>0.0722595172099203</v>
      </c>
      <c r="H28" s="20">
        <f>'계산 명세'!S306</f>
        <v>-0.005154043902466904</v>
      </c>
      <c r="I28" s="22">
        <f>'계산 명세'!S307</f>
        <v>0.048958792437625326</v>
      </c>
      <c r="J28" s="22">
        <f>'계산 명세'!S308</f>
        <v>0.05234682239267949</v>
      </c>
      <c r="K28" s="22">
        <f>'계산 명세'!S309</f>
        <v>0.14825179906214683</v>
      </c>
      <c r="L28" s="22">
        <f>'계산 명세'!S310</f>
        <v>0.14426783968741383</v>
      </c>
      <c r="M28" s="22">
        <f>'계산 명세'!S311</f>
        <v>0.0844790977219981</v>
      </c>
      <c r="N28" s="24" t="inlineStr">
        <is>
          <t>—</t>
        </is>
      </c>
      <c r="O28" s="15">
        <f>MEDIAN(D28:N28)</f>
        <v>0.06230316980129989</v>
      </c>
      <c r="P28" s="15">
        <f>MIN(D28:N28)</f>
        <v>-0.08183002788564281</v>
      </c>
      <c r="Q28" s="15">
        <f>MAX(D28:N28)</f>
        <v>0.14825179906214683</v>
      </c>
      <c r="R28">
        <f>COUNTIF(D28:N28,"&gt;0")</f>
        <v>7.0</v>
      </c>
      <c r="S28">
        <f>COUNT(D28:N28)</f>
        <v>10.0</v>
      </c>
      <c r="T28" t="inlineStr">
        <is>
          <t>절반 이상 초과</t>
        </is>
      </c>
    </row>
    <row r="29">
      <c r="A29" t="n">
        <v>26</v>
      </c>
      <c r="B29" t="inlineStr">
        <is>
          <t>델 테크놀로지스</t>
        </is>
      </c>
      <c r="C29" t="inlineStr">
        <is>
          <t>DELL</t>
        </is>
      </c>
      <c r="D29" s="20">
        <f>'계산 명세'!S436</f>
        <v>-0.17635390970963238</v>
      </c>
      <c r="E29" s="20">
        <f>'계산 명세'!S437</f>
        <v>-0.1341603278864568</v>
      </c>
      <c r="F29" s="20">
        <f>'계산 명세'!S438</f>
        <v>-0.10313929054405493</v>
      </c>
      <c r="G29" s="24" t="inlineStr">
        <is>
          <t>—</t>
        </is>
      </c>
      <c r="H29" s="20">
        <f>'계산 명세'!S440</f>
        <v>-0.01448654062240462</v>
      </c>
      <c r="I29" s="22">
        <f>'계산 명세'!S441</f>
        <v>0.0552952487572618</v>
      </c>
      <c r="J29" s="22">
        <f>'계산 명세'!S442</f>
        <v>0.18463965694244303</v>
      </c>
      <c r="K29" s="22">
        <f>'계산 명세'!S443</f>
        <v>0.1857015800364847</v>
      </c>
      <c r="L29" s="22">
        <f>'계산 명세'!S444</f>
        <v>0.24324898603855585</v>
      </c>
      <c r="M29" s="22">
        <f>'계산 명세'!S445</f>
        <v>0.293484681129083</v>
      </c>
      <c r="N29" s="24" t="inlineStr">
        <is>
          <t>—</t>
        </is>
      </c>
      <c r="O29" s="15">
        <f>MEDIAN(D29:N29)</f>
        <v>0.0552952487572618</v>
      </c>
      <c r="P29" s="15">
        <f>MIN(D29:N29)</f>
        <v>-0.17635390970963238</v>
      </c>
      <c r="Q29" s="15">
        <f>MAX(D29:N29)</f>
        <v>0.293484681129083</v>
      </c>
      <c r="R29">
        <f>COUNTIF(D29:N29,"&gt;0")</f>
        <v>5.0</v>
      </c>
      <c r="S29">
        <f>COUNT(D29:N29)</f>
        <v>9.0</v>
      </c>
      <c r="T29" t="inlineStr">
        <is>
          <t>절반 이상 초과</t>
        </is>
      </c>
    </row>
    <row r="30">
      <c r="A30" t="n">
        <v>27</v>
      </c>
      <c r="B30" t="inlineStr">
        <is>
          <t>코카콜라</t>
        </is>
      </c>
      <c r="C30" t="inlineStr">
        <is>
          <t>KO</t>
        </is>
      </c>
      <c r="D30" s="22">
        <f>'계산 명세'!S324</f>
        <v>0.03304771202333556</v>
      </c>
      <c r="E30" s="20">
        <f>'계산 명세'!S325</f>
        <v>-0.008442459243809097</v>
      </c>
      <c r="F30" s="22">
        <f>'계산 명세'!S326</f>
        <v>0.04070134460526384</v>
      </c>
      <c r="G30" s="22">
        <f>'계산 명세'!S327</f>
        <v>0.05658794909193596</v>
      </c>
      <c r="H30" s="22">
        <f>'계산 명세'!S328</f>
        <v>0.02867501273207218</v>
      </c>
      <c r="I30" s="22">
        <f>'계산 명세'!S329</f>
        <v>0.044975705255542675</v>
      </c>
      <c r="J30" s="22">
        <f>'계산 명세'!S330</f>
        <v>0.060827770506001355</v>
      </c>
      <c r="K30" s="22">
        <f>'계산 명세'!S331</f>
        <v>0.06804101010378957</v>
      </c>
      <c r="L30" s="22">
        <f>'계산 명세'!S332</f>
        <v>0.04200602962653499</v>
      </c>
      <c r="M30" s="22">
        <f>'계산 명세'!S333</f>
        <v>0.08297307807070298</v>
      </c>
      <c r="N30" s="24" t="inlineStr">
        <is>
          <t>—</t>
        </is>
      </c>
      <c r="O30" s="15">
        <f>MEDIAN(D30:N30)</f>
        <v>0.04349086744103883</v>
      </c>
      <c r="P30" s="15">
        <f>MIN(D30:N30)</f>
        <v>-0.008442459243809097</v>
      </c>
      <c r="Q30" s="15">
        <f>MAX(D30:N30)</f>
        <v>0.08297307807070298</v>
      </c>
      <c r="R30">
        <f>COUNTIF(D30:N30,"&gt;0")</f>
        <v>9.0</v>
      </c>
      <c r="S30">
        <f>COUNT(D30:N30)</f>
        <v>10.0</v>
      </c>
      <c r="T30" t="inlineStr">
        <is>
          <t>대체로 초과</t>
        </is>
      </c>
    </row>
    <row r="31">
      <c r="A31" t="n">
        <v>28</v>
      </c>
      <c r="B31" t="inlineStr">
        <is>
          <t>월마트</t>
        </is>
      </c>
      <c r="C31" t="inlineStr">
        <is>
          <t>WMT</t>
        </is>
      </c>
      <c r="D31" s="22">
        <f>'계산 명세'!S136</f>
        <v>0.03936390910454238</v>
      </c>
      <c r="E31" s="22">
        <f>'계산 명세'!S137</f>
        <v>0.029403130171974434</v>
      </c>
      <c r="F31" s="22">
        <f>'계산 명세'!S138</f>
        <v>0.022179088206677064</v>
      </c>
      <c r="G31" s="22">
        <f>'계산 명세'!S139</f>
        <v>0.03035179575755803</v>
      </c>
      <c r="H31" s="22">
        <f>'계산 명세'!S140</f>
        <v>0.02775837210474033</v>
      </c>
      <c r="I31" s="22">
        <f>'계산 명세'!S141</f>
        <v>0.0690080629999136</v>
      </c>
      <c r="J31" s="22">
        <f>'계산 명세'!S142</f>
        <v>0.018515693035534353</v>
      </c>
      <c r="K31" s="22">
        <f>'계산 명세'!S143</f>
        <v>0.07190601379584469</v>
      </c>
      <c r="L31" s="22">
        <f>'계산 명세'!S144</f>
        <v>0.08397155498862402</v>
      </c>
      <c r="M31" s="22">
        <f>'계산 명세'!S145</f>
        <v>0.07491847426882228</v>
      </c>
      <c r="N31" s="24" t="inlineStr">
        <is>
          <t>—</t>
        </is>
      </c>
      <c r="O31" s="15">
        <f>MEDIAN(D31:N31)</f>
        <v>0.034857852431050204</v>
      </c>
      <c r="P31" s="15">
        <f>MIN(D31:N31)</f>
        <v>0.018515693035534353</v>
      </c>
      <c r="Q31" s="15">
        <f>MAX(D31:N31)</f>
        <v>0.08397155498862402</v>
      </c>
      <c r="R31">
        <f>COUNTIF(D31:N31,"&gt;0")</f>
        <v>10.0</v>
      </c>
      <c r="S31">
        <f>COUNT(D31:N31)</f>
        <v>10.0</v>
      </c>
      <c r="T31" t="inlineStr">
        <is>
          <t>전 기간 초과</t>
        </is>
      </c>
    </row>
    <row r="32">
      <c r="A32" t="n">
        <v>29</v>
      </c>
      <c r="B32" t="inlineStr">
        <is>
          <t>인텔</t>
        </is>
      </c>
      <c r="C32" t="inlineStr">
        <is>
          <t>INTC</t>
        </is>
      </c>
      <c r="D32" s="22">
        <f>'계산 명세'!S191</f>
        <v>0.04106230757488233</v>
      </c>
      <c r="E32" s="22">
        <f>'계산 명세'!S192</f>
        <v>0.02452355081837153</v>
      </c>
      <c r="F32" s="22">
        <f>'계산 명세'!S193</f>
        <v>0.1259608777414643</v>
      </c>
      <c r="G32" s="22">
        <f>'계산 명세'!S194</f>
        <v>0.09637071917904791</v>
      </c>
      <c r="H32" s="22">
        <f>'계산 명세'!S195</f>
        <v>0.08747045157847061</v>
      </c>
      <c r="I32" s="22">
        <f>'계산 명세'!S196</f>
        <v>0.06683122526694552</v>
      </c>
      <c r="J32" s="20">
        <f>'계산 명세'!S197</f>
        <v>-0.07995552301141758</v>
      </c>
      <c r="K32" s="20">
        <f>'계산 명세'!S198</f>
        <v>-0.09929656523193045</v>
      </c>
      <c r="L32" s="20">
        <f>'계산 명세'!S199</f>
        <v>-0.16905972797161445</v>
      </c>
      <c r="M32" s="20">
        <f>'계산 명세'!S200</f>
        <v>-0.10989460355294031</v>
      </c>
      <c r="N32" s="24" t="inlineStr">
        <is>
          <t>—</t>
        </is>
      </c>
      <c r="O32" s="15">
        <f>MEDIAN(D32:N32)</f>
        <v>0.03279292919662693</v>
      </c>
      <c r="P32" s="15">
        <f>MIN(D32:N32)</f>
        <v>-0.16905972797161445</v>
      </c>
      <c r="Q32" s="15">
        <f>MAX(D32:N32)</f>
        <v>0.1259608777414643</v>
      </c>
      <c r="R32">
        <f>COUNTIF(D32:N32,"&gt;0")</f>
        <v>6.0</v>
      </c>
      <c r="S32">
        <f>COUNT(D32:N32)</f>
        <v>10.0</v>
      </c>
      <c r="T32" t="inlineStr">
        <is>
          <t>절반 이상 초과</t>
        </is>
      </c>
    </row>
    <row r="33">
      <c r="A33" t="n">
        <v>30</v>
      </c>
      <c r="B33" t="inlineStr">
        <is>
          <t>머크</t>
        </is>
      </c>
      <c r="C33" t="inlineStr">
        <is>
          <t>MRK</t>
        </is>
      </c>
      <c r="D33" s="26">
        <f>'계산 명세'!S380</f>
        <v>-0.02454001014363115</v>
      </c>
      <c r="E33" s="26">
        <f>'계산 명세'!S381</f>
        <v>-0.028690708829276962</v>
      </c>
      <c r="F33" s="25">
        <f>'계산 명세'!S382</f>
        <v>0.026201764293337954</v>
      </c>
      <c r="G33" s="25">
        <f>'계산 명세'!S383</f>
        <v>0.03428033324463681</v>
      </c>
      <c r="H33" s="26">
        <f>'계산 명세'!S384</f>
        <v>-0.015711057389356964</v>
      </c>
      <c r="I33" s="25">
        <f>'계산 명세'!S385</f>
        <v>0.09862047284939038</v>
      </c>
      <c r="J33" s="25">
        <f>'계산 명세'!S386</f>
        <v>0.14997714887887517</v>
      </c>
      <c r="K33" s="26">
        <f>'계산 명세'!S387</f>
        <v>-0.07812828927001425</v>
      </c>
      <c r="L33" s="25">
        <f>'계산 명세'!S388</f>
        <v>0.15272105442974096</v>
      </c>
      <c r="M33" s="25">
        <f>'계산 명세'!S389</f>
        <v>0.13404888696865586</v>
      </c>
      <c r="N33" s="24" t="inlineStr">
        <is>
          <t>—</t>
        </is>
      </c>
      <c r="O33" s="15">
        <f>MEDIAN(D33:N33)</f>
        <v>0.03024104876898738</v>
      </c>
      <c r="P33" s="15">
        <f>MIN(D33:N33)</f>
        <v>-0.07812828927001425</v>
      </c>
      <c r="Q33" s="15">
        <f>MAX(D33:N33)</f>
        <v>0.15272105442974096</v>
      </c>
      <c r="R33">
        <f>COUNTIF(D33:N33,"&gt;0")</f>
        <v>6.0</v>
      </c>
      <c r="S33">
        <f>COUNT(D33:N33)</f>
        <v>10.0</v>
      </c>
      <c r="T33" t="inlineStr">
        <is>
          <t>절반 이상 초과</t>
        </is>
      </c>
    </row>
    <row r="34">
      <c r="A34" t="n">
        <v>31</v>
      </c>
      <c r="B34" t="inlineStr">
        <is>
          <t>IBM</t>
        </is>
      </c>
      <c r="C34" t="inlineStr">
        <is>
          <t>IBM</t>
        </is>
      </c>
      <c r="D34" s="25">
        <f>'계산 명세'!S510</f>
        <v>0.1508761920286902</v>
      </c>
      <c r="E34" s="25">
        <f>'계산 명세'!S511</f>
        <v>0.038631949385588726</v>
      </c>
      <c r="F34" s="25">
        <f>'계산 명세'!S512</f>
        <v>0.08067919100526572</v>
      </c>
      <c r="G34" s="25">
        <f>'계산 명세'!S513</f>
        <v>0.02188442550381897</v>
      </c>
      <c r="H34" s="26">
        <f>'계산 명세'!S514</f>
        <v>-0.053522269259043326</v>
      </c>
      <c r="I34" s="26">
        <f>'계산 명세'!S515</f>
        <v>-0.022060353798126958</v>
      </c>
      <c r="J34" s="26">
        <f>'계산 명세'!S516</f>
        <v>-0.06795711309714253</v>
      </c>
      <c r="K34" s="25">
        <f>'계산 명세'!S517</f>
        <v>0.025091715791503655</v>
      </c>
      <c r="L34" s="26">
        <f>'계산 명세'!S518</f>
        <v>-0.0022767903010377094</v>
      </c>
      <c r="M34" s="25">
        <f>'계산 명세'!S519</f>
        <v>0.04533699279543399</v>
      </c>
      <c r="N34" s="24" t="inlineStr">
        <is>
          <t>—</t>
        </is>
      </c>
      <c r="O34" s="15">
        <f>MEDIAN(D34:N34)</f>
        <v>0.023488070647661313</v>
      </c>
      <c r="P34" s="15">
        <f>MIN(D34:N34)</f>
        <v>-0.06795711309714253</v>
      </c>
      <c r="Q34" s="15">
        <f>MAX(D34:N34)</f>
        <v>0.1508761920286902</v>
      </c>
      <c r="R34">
        <f>COUNTIF(D34:N34,"&gt;0")</f>
        <v>6.0</v>
      </c>
      <c r="S34">
        <f>COUNT(D34:N34)</f>
        <v>10.0</v>
      </c>
      <c r="T34" t="inlineStr">
        <is>
          <t>절반 이상 초과</t>
        </is>
      </c>
    </row>
    <row r="35">
      <c r="A35" t="n">
        <v>32</v>
      </c>
      <c r="B35" t="inlineStr">
        <is>
          <t>브로드컴</t>
        </is>
      </c>
      <c r="C35" t="inlineStr">
        <is>
          <t>AVGO</t>
        </is>
      </c>
      <c r="D35" s="20">
        <f>'계산 명세'!S58</f>
        <v>-0.11720592150806752</v>
      </c>
      <c r="E35" s="20">
        <f>'계산 명세'!S59</f>
        <v>-0.006748224968432387</v>
      </c>
      <c r="F35" s="22">
        <f>'계산 명세'!S60</f>
        <v>0.04037321593001841</v>
      </c>
      <c r="G35" s="20">
        <f>'계산 명세'!S61</f>
        <v>-0.02957737384173313</v>
      </c>
      <c r="H35" s="20">
        <f>'계산 명세'!S62</f>
        <v>-0.031105068699807586</v>
      </c>
      <c r="I35" s="22">
        <f>'계산 명세'!S63</f>
        <v>0.04680337756332931</v>
      </c>
      <c r="J35" s="22">
        <f>'계산 명세'!S64</f>
        <v>0.15716694249869126</v>
      </c>
      <c r="K35" s="22">
        <f>'계산 명세'!S65</f>
        <v>0.2061622332377607</v>
      </c>
      <c r="L35" s="20">
        <f>'계산 명세'!S66</f>
        <v>-0.005460344199926942</v>
      </c>
      <c r="M35" s="22">
        <f>'계산 명세'!S67</f>
        <v>0.08593530995234455</v>
      </c>
      <c r="N35" s="24" t="inlineStr">
        <is>
          <t>—</t>
        </is>
      </c>
      <c r="O35" s="15">
        <f>MEDIAN(D35:N35)</f>
        <v>0.017456435865045736</v>
      </c>
      <c r="P35" s="15">
        <f>MIN(D35:N35)</f>
        <v>-0.11720592150806752</v>
      </c>
      <c r="Q35" s="15">
        <f>MAX(D35:N35)</f>
        <v>0.2061622332377607</v>
      </c>
      <c r="R35">
        <f>COUNTIF(D35:N35,"&gt;0")</f>
        <v>5.0</v>
      </c>
      <c r="S35">
        <f>COUNT(D35:N35)</f>
        <v>10.0</v>
      </c>
      <c r="T35" t="inlineStr">
        <is>
          <t>절반 이상 초과</t>
        </is>
      </c>
    </row>
    <row r="36">
      <c r="A36" t="n">
        <v>33</v>
      </c>
      <c r="B36" t="inlineStr">
        <is>
          <t>AMD</t>
        </is>
      </c>
      <c r="C36" t="inlineStr">
        <is>
          <t>AMD</t>
        </is>
      </c>
      <c r="D36" s="20">
        <f>'계산 명세'!S147</f>
        <v>-0.3976464646464647</v>
      </c>
      <c r="E36" s="22">
        <f>'계산 명세'!S148</f>
        <v>0.038005502063273716</v>
      </c>
      <c r="F36" s="22">
        <f>'계산 명세'!S149</f>
        <v>0.29561403508771933</v>
      </c>
      <c r="G36" s="22">
        <f>'계산 명세'!S150</f>
        <v>0.264931650893796</v>
      </c>
      <c r="H36" s="22">
        <f>'계산 명세'!S151</f>
        <v>0.35737647265693684</v>
      </c>
      <c r="I36" s="22">
        <f>'계산 명세'!S152</f>
        <v>0.6770191804906145</v>
      </c>
      <c r="J36" s="20">
        <f>'계산 명세'!S153</f>
        <v>-0.0567777697789936</v>
      </c>
      <c r="K36" s="20">
        <f>'계산 명세'!S154</f>
        <v>-0.09267044416011698</v>
      </c>
      <c r="L36" s="20">
        <f>'계산 명세'!S155</f>
        <v>-0.07110866876707267</v>
      </c>
      <c r="M36" s="20">
        <f>'계산 명세'!S156</f>
        <v>-0.036093456922768746</v>
      </c>
      <c r="N36" s="24" t="inlineStr">
        <is>
          <t>—</t>
        </is>
      </c>
      <c r="O36" s="15">
        <f>MEDIAN(D36:N36)</f>
        <v>0.0009560225702524849</v>
      </c>
      <c r="P36" s="15">
        <f>MIN(D36:N36)</f>
        <v>-0.3976464646464647</v>
      </c>
      <c r="Q36" s="15">
        <f>MAX(D36:N36)</f>
        <v>0.6770191804906145</v>
      </c>
      <c r="R36">
        <f>COUNTIF(D36:N36,"&gt;0")</f>
        <v>5.0</v>
      </c>
      <c r="S36">
        <f>COUNT(D36:N36)</f>
        <v>10.0</v>
      </c>
      <c r="T36" t="inlineStr">
        <is>
          <t>절반 이상 초과</t>
        </is>
      </c>
    </row>
    <row r="37">
      <c r="A37" t="n">
        <v>34</v>
      </c>
      <c r="B37" t="inlineStr">
        <is>
          <t>테슬라</t>
        </is>
      </c>
      <c r="C37" t="inlineStr">
        <is>
          <t>TSLA</t>
        </is>
      </c>
      <c r="D37" s="20">
        <f>'계산 명세'!S80</f>
        <v>-0.190593159081374</v>
      </c>
      <c r="E37" s="20">
        <f>'계산 명세'!S81</f>
        <v>-0.22160799522011762</v>
      </c>
      <c r="F37" s="20">
        <f>'계산 명세'!S82</f>
        <v>-0.12377889936867845</v>
      </c>
      <c r="G37" s="20">
        <f>'계산 명세'!S83</f>
        <v>-0.10430948745007051</v>
      </c>
      <c r="H37" s="22">
        <f>'계산 명세'!S84</f>
        <v>0.02540644436204778</v>
      </c>
      <c r="I37" s="22">
        <f>'계산 명세'!S85</f>
        <v>0.29065549118432876</v>
      </c>
      <c r="J37" s="22">
        <f>'계산 명세'!S86</f>
        <v>0.49812380179359306</v>
      </c>
      <c r="K37" s="22">
        <f>'계산 명세'!S87</f>
        <v>0.17563144498107294</v>
      </c>
      <c r="L37" s="22">
        <f>'계산 명세'!S88</f>
        <v>0.04155946962200674</v>
      </c>
      <c r="M37" s="20">
        <f>'계산 명세'!S89</f>
        <v>-0.027643003293989346</v>
      </c>
      <c r="N37" s="24" t="inlineStr">
        <is>
          <t>—</t>
        </is>
      </c>
      <c r="O37" s="15">
        <f>MEDIAN(D37:N37)</f>
        <v>-0.0011182794659707826</v>
      </c>
      <c r="P37" s="15">
        <f>MIN(D37:N37)</f>
        <v>-0.22160799522011762</v>
      </c>
      <c r="Q37" s="15">
        <f>MAX(D37:N37)</f>
        <v>0.49812380179359306</v>
      </c>
      <c r="R37">
        <f>COUNTIF(D37:N37,"&gt;0")</f>
        <v>5.0</v>
      </c>
      <c r="S37">
        <f>COUNT(D37:N37)</f>
        <v>10.0</v>
      </c>
      <c r="T37" t="inlineStr">
        <is>
          <t>절반 이상 초과</t>
        </is>
      </c>
    </row>
    <row r="38">
      <c r="A38" t="n">
        <v>35</v>
      </c>
      <c r="B38" t="inlineStr">
        <is>
          <t>엑슨모빌</t>
        </is>
      </c>
      <c r="C38" t="inlineStr">
        <is>
          <t>XOM</t>
        </is>
      </c>
      <c r="D38" s="26">
        <f>'계산 명세'!S169</f>
        <v>-0.06224027281123452</v>
      </c>
      <c r="E38" s="26">
        <f>'계산 명세'!S170</f>
        <v>-0.01768132848109248</v>
      </c>
      <c r="F38" s="26">
        <f>'계산 명세'!S171</f>
        <v>-0.005905618934879342</v>
      </c>
      <c r="G38" s="26">
        <f>'계산 명세'!S172</f>
        <v>-0.03562231142559495</v>
      </c>
      <c r="H38" s="26">
        <f>'계산 명세'!S173</f>
        <v>-0.19333316318392088</v>
      </c>
      <c r="I38" s="25">
        <f>'계산 명세'!S174</f>
        <v>0.009410091035658943</v>
      </c>
      <c r="J38" s="25">
        <f>'계산 명세'!S175</f>
        <v>0.16863066707671612</v>
      </c>
      <c r="K38" s="25">
        <f>'계산 명세'!S176</f>
        <v>0.06858853915383642</v>
      </c>
      <c r="L38" s="25">
        <f>'계산 명세'!S177</f>
        <v>0.039794596436688534</v>
      </c>
      <c r="M38" s="25">
        <f>'계산 명세'!S178</f>
        <v>0.0025832059315821915</v>
      </c>
      <c r="N38" s="24" t="inlineStr">
        <is>
          <t>—</t>
        </is>
      </c>
      <c r="O38" s="15">
        <f>MEDIAN(D38:N38)</f>
        <v>-0.0016612065016485753</v>
      </c>
      <c r="P38" s="15">
        <f>MIN(D38:N38)</f>
        <v>-0.19333316318392088</v>
      </c>
      <c r="Q38" s="15">
        <f>MAX(D38:N38)</f>
        <v>0.16863066707671612</v>
      </c>
      <c r="R38">
        <f>COUNTIF(D38:N38,"&gt;0")</f>
        <v>5.0</v>
      </c>
      <c r="S38">
        <f>COUNT(D38:N38)</f>
        <v>10.0</v>
      </c>
      <c r="T38" t="inlineStr">
        <is>
          <t>절반 이상 초과</t>
        </is>
      </c>
    </row>
    <row r="39">
      <c r="A39" t="n">
        <v>36</v>
      </c>
      <c r="B39" t="inlineStr">
        <is>
          <t>셰브론</t>
        </is>
      </c>
      <c r="C39" t="inlineStr">
        <is>
          <t>CVX</t>
        </is>
      </c>
      <c r="D39" s="26">
        <f>'계산 명세'!S346</f>
        <v>-0.10806515241924347</v>
      </c>
      <c r="E39" s="26">
        <f>'계산 명세'!S347</f>
        <v>-0.053332645906372454</v>
      </c>
      <c r="F39" s="26">
        <f>'계산 명세'!S348</f>
        <v>-0.01974280395246321</v>
      </c>
      <c r="G39" s="26">
        <f>'계산 명세'!S349</f>
        <v>-0.0792079614184149</v>
      </c>
      <c r="H39" s="26">
        <f>'계산 명세'!S350</f>
        <v>-0.12996799514873833</v>
      </c>
      <c r="I39" s="26">
        <f>'계산 명세'!S351</f>
        <v>-0.008608225681402237</v>
      </c>
      <c r="J39" s="25">
        <f>'계산 명세'!S352</f>
        <v>0.10970839155721002</v>
      </c>
      <c r="K39" s="25">
        <f>'계산 명세'!S353</f>
        <v>0.024710417222144523</v>
      </c>
      <c r="L39" s="25">
        <f>'계산 명세'!S354</f>
        <v>0.0016466852521630632</v>
      </c>
      <c r="M39" s="26">
        <f>'계산 명세'!S355</f>
        <v>-0.035855933415161745</v>
      </c>
      <c r="N39" s="24" t="inlineStr">
        <is>
          <t>—</t>
        </is>
      </c>
      <c r="O39" s="15">
        <f>MEDIAN(D39:N39)</f>
        <v>-0.027799368683812477</v>
      </c>
      <c r="P39" s="15">
        <f>MIN(D39:N39)</f>
        <v>-0.12996799514873833</v>
      </c>
      <c r="Q39" s="15">
        <f>MAX(D39:N39)</f>
        <v>0.10970839155721002</v>
      </c>
      <c r="R39">
        <f>COUNTIF(D39:N39,"&gt;0")</f>
        <v>3.0</v>
      </c>
      <c r="S39">
        <f>COUNT(D39:N39)</f>
        <v>10.0</v>
      </c>
      <c r="T39" t="inlineStr">
        <is>
          <t>대부분 미달</t>
        </is>
      </c>
    </row>
    <row r="40">
      <c r="A40" t="n">
        <v>37</v>
      </c>
      <c r="B40" t="inlineStr">
        <is>
          <t>RTX</t>
        </is>
      </c>
      <c r="C40" t="inlineStr">
        <is>
          <t>RTX</t>
        </is>
      </c>
      <c r="D40" s="22">
        <f>'계산 명세'!S402</f>
        <v>0.04221698060180959</v>
      </c>
      <c r="E40" s="22">
        <f>'계산 명세'!S403</f>
        <v>0.007637495060852387</v>
      </c>
      <c r="F40" s="20">
        <f>'계산 명세'!S404</f>
        <v>-0.07391954674220963</v>
      </c>
      <c r="G40" s="20">
        <f>'계산 명세'!S405</f>
        <v>-0.04647593273778246</v>
      </c>
      <c r="H40" s="20">
        <f>'계산 명세'!S406</f>
        <v>-0.11671700142266633</v>
      </c>
      <c r="I40" s="20">
        <f>'계산 명세'!S407</f>
        <v>-0.056896459564804054</v>
      </c>
      <c r="J40" s="20">
        <f>'계산 명세'!S408</f>
        <v>-0.05120215940180313</v>
      </c>
      <c r="K40" s="20">
        <f>'계산 명세'!S409</f>
        <v>-0.06814576120771429</v>
      </c>
      <c r="L40" s="20">
        <f>'계산 명세'!S410</f>
        <v>-0.045652483509919954</v>
      </c>
      <c r="M40" s="20">
        <f>'계산 명세'!S411</f>
        <v>-0.02224825425041904</v>
      </c>
      <c r="N40" s="24" t="inlineStr">
        <is>
          <t>—</t>
        </is>
      </c>
      <c r="O40" s="15">
        <f>MEDIAN(D40:N40)</f>
        <v>-0.048839046069792794</v>
      </c>
      <c r="P40" s="15">
        <f>MIN(D40:N40)</f>
        <v>-0.11671700142266633</v>
      </c>
      <c r="Q40" s="15">
        <f>MAX(D40:N40)</f>
        <v>0.04221698060180959</v>
      </c>
      <c r="R40">
        <f>COUNTIF(D40:N40,"&gt;0")</f>
        <v>2.0</v>
      </c>
      <c r="S40">
        <f>COUNT(D40:N40)</f>
        <v>10.0</v>
      </c>
      <c r="T40" t="inlineStr">
        <is>
          <t>대부분 미달</t>
        </is>
      </c>
    </row>
    <row r="41">
      <c r="A41" t="n">
        <v>38</v>
      </c>
      <c r="B41" t="inlineStr">
        <is>
          <t>제너럴 일렉트릭</t>
        </is>
      </c>
      <c r="C41" t="inlineStr">
        <is>
          <t>GE</t>
        </is>
      </c>
      <c r="D41" s="26">
        <f>'계산 명세'!S313</f>
        <v>-0.08215397311188652</v>
      </c>
      <c r="E41" s="26">
        <f>'계산 명세'!S314</f>
        <v>-0.18778358875906126</v>
      </c>
      <c r="F41" s="26">
        <f>'계산 명세'!S315</f>
        <v>-0.2703233803233803</v>
      </c>
      <c r="G41" s="26">
        <f>'계산 명세'!S316</f>
        <v>-0.13162946922517624</v>
      </c>
      <c r="H41" s="26">
        <f>'계산 명세'!S317</f>
        <v>-0.1921667143470176</v>
      </c>
      <c r="I41" s="26">
        <f>'계산 명세'!S318</f>
        <v>-0.2034091742260563</v>
      </c>
      <c r="J41" s="26">
        <f>'계산 명세'!S319</f>
        <v>-0.08682415431593067</v>
      </c>
      <c r="K41" s="26">
        <f>'계산 명세'!S320</f>
        <v>-0.012623969663723075</v>
      </c>
      <c r="L41" s="25">
        <f>'계산 명세'!S321</f>
        <v>0.05825181158455556</v>
      </c>
      <c r="M41" s="25">
        <f>'계산 명세'!S322</f>
        <v>0.1802452602550844</v>
      </c>
      <c r="N41" s="24" t="inlineStr">
        <is>
          <t>—</t>
        </is>
      </c>
      <c r="O41" s="15">
        <f>MEDIAN(D41:N41)</f>
        <v>-0.10922681177055346</v>
      </c>
      <c r="P41" s="15">
        <f>MIN(D41:N41)</f>
        <v>-0.2703233803233803</v>
      </c>
      <c r="Q41" s="15">
        <f>MAX(D41:N41)</f>
        <v>0.1802452602550844</v>
      </c>
      <c r="R41">
        <f>COUNTIF(D41:N41,"&gt;0")</f>
        <v>2.0</v>
      </c>
      <c r="S41">
        <f>COUNT(D41:N41)</f>
        <v>10.0</v>
      </c>
      <c r="T41" t="inlineStr">
        <is>
          <t>대부분 미달</t>
        </is>
      </c>
    </row>
    <row r="42">
      <c r="A42" t="n">
        <v>39</v>
      </c>
      <c r="B42" t="inlineStr">
        <is>
          <t>팔로알토 네트웍스</t>
        </is>
      </c>
      <c r="C42" t="inlineStr">
        <is>
          <t>PANW</t>
        </is>
      </c>
      <c r="D42" s="20" t="str">
        <f>'계산 명세'!S413</f>
        <v>—</v>
      </c>
      <c r="E42" s="27">
        <f>'계산 명세'!S414</f>
        <v>-0.8668735362997658</v>
      </c>
      <c r="F42" s="24" t="inlineStr">
        <is>
          <t>—</t>
        </is>
      </c>
      <c r="G42" s="27">
        <f>'계산 명세'!S416</f>
        <v>-0.3004643527204503</v>
      </c>
      <c r="H42" s="27">
        <f>'계산 명세'!S417</f>
        <v>-0.5342392138799325</v>
      </c>
      <c r="I42" s="20">
        <f>'계산 명세'!S418</f>
        <v>-0.4438125223613596</v>
      </c>
      <c r="J42" s="20">
        <f>'계산 명세'!S419</f>
        <v>-0.3461863497565404</v>
      </c>
      <c r="K42" s="22">
        <f>'계산 명세'!S420</f>
        <v>0.2753796017673297</v>
      </c>
      <c r="L42" s="22">
        <f>'계산 명세'!S421</f>
        <v>0.22982260233992333</v>
      </c>
      <c r="M42" s="22">
        <f>'계산 명세'!S422</f>
        <v>0.13518965981207812</v>
      </c>
      <c r="N42" s="20">
        <f>'계산 명세'!S423</f>
        <v>-0.07157561091987322</v>
      </c>
      <c r="O42" s="15">
        <f>MEDIAN(D42:N42)</f>
        <v>-0.3004643527204503</v>
      </c>
      <c r="P42" s="15">
        <f>MIN(D42:N42)</f>
        <v>-0.8668735362997658</v>
      </c>
      <c r="Q42" s="15">
        <f>MAX(D42:N42)</f>
        <v>0.2753796017673297</v>
      </c>
      <c r="R42">
        <f>COUNTIF(D42:N42,"&gt;0")</f>
        <v>3.0</v>
      </c>
      <c r="S42">
        <f>COUNT(D42:N42)</f>
        <v>9.0</v>
      </c>
      <c r="T42" t="inlineStr">
        <is>
          <t>대부분 미달</t>
        </is>
      </c>
    </row>
    <row r="44">
      <c r="A44" s="3" t="inlineStr">
        <is>
          <t>표본 부족</t>
        </is>
      </c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</row>
    <row r="45">
      <c r="A45" t="inlineStr">
        <is>
          <t>—</t>
        </is>
      </c>
      <c r="B45" t="inlineStr">
        <is>
          <t>팔란티어 테크놀로지스</t>
        </is>
      </c>
      <c r="C45" t="inlineStr">
        <is>
          <t>PLTR</t>
        </is>
      </c>
      <c r="D45" s="24" t="inlineStr">
        <is>
          <t>—</t>
        </is>
      </c>
      <c r="E45" s="24" t="inlineStr">
        <is>
          <t>—</t>
        </is>
      </c>
      <c r="F45" s="24" t="inlineStr">
        <is>
          <t>—</t>
        </is>
      </c>
      <c r="G45" s="24" t="inlineStr">
        <is>
          <t>—</t>
        </is>
      </c>
      <c r="H45" s="24" t="inlineStr">
        <is>
          <t>—</t>
        </is>
      </c>
      <c r="I45" s="24" t="inlineStr">
        <is>
          <t>—</t>
        </is>
      </c>
      <c r="J45" s="27">
        <f>'계산 명세'!S285</f>
        <v>-14.634214791143574</v>
      </c>
      <c r="K45" s="24" t="inlineStr">
        <is>
          <t>—</t>
        </is>
      </c>
      <c r="L45" s="24" t="inlineStr">
        <is>
          <t>—</t>
        </is>
      </c>
      <c r="M45" s="23">
        <f>'계산 명세'!S288</f>
        <v>4.219782903707134</v>
      </c>
      <c r="N45" s="24" t="inlineStr">
        <is>
          <t>—</t>
        </is>
      </c>
      <c r="O45" s="15">
        <f>MEDIAN(D45:N45)</f>
        <v>-5.20721594371822</v>
      </c>
      <c r="P45" s="15">
        <f>MIN(D45:N45)</f>
        <v>-14.634214791143574</v>
      </c>
      <c r="Q45" s="15">
        <f>MAX(D45:N45)</f>
        <v>4.219782903707134</v>
      </c>
      <c r="R45">
        <f>COUNTIF(D45:N45,"&gt;0")</f>
        <v>1.0</v>
      </c>
      <c r="S45">
        <f>COUNT(D45:N45)</f>
        <v>2.0</v>
      </c>
      <c r="T45" t="inlineStr">
        <is>
          <t>절반 이상 초과</t>
        </is>
      </c>
    </row>
    <row r="46">
      <c r="A46" t="inlineStr">
        <is>
          <t>—</t>
        </is>
      </c>
      <c r="B46" t="inlineStr">
        <is>
          <t>GE 버노바</t>
        </is>
      </c>
      <c r="C46" t="inlineStr">
        <is>
          <t>GEV</t>
        </is>
      </c>
      <c r="D46" s="24" t="inlineStr">
        <is>
          <t>—</t>
        </is>
      </c>
      <c r="E46" s="24" t="inlineStr">
        <is>
          <t>—</t>
        </is>
      </c>
      <c r="F46" s="24" t="inlineStr">
        <is>
          <t>—</t>
        </is>
      </c>
      <c r="G46" s="24" t="inlineStr">
        <is>
          <t>—</t>
        </is>
      </c>
      <c r="H46" s="24" t="inlineStr">
        <is>
          <t>—</t>
        </is>
      </c>
      <c r="I46" s="24" t="inlineStr">
        <is>
          <t>—</t>
        </is>
      </c>
      <c r="J46" s="20">
        <f>'계산 명세'!S450</f>
        <v>-0.33857337526205455</v>
      </c>
      <c r="K46" s="20">
        <f>'계산 명세'!S451</f>
        <v>-0.18830931330991885</v>
      </c>
      <c r="L46" s="20">
        <f>'계산 명세'!S452</f>
        <v>-0.03760331976045707</v>
      </c>
      <c r="M46" s="23">
        <f>'계산 명세'!S453</f>
        <v>0.3220870678617157</v>
      </c>
      <c r="N46" s="24" t="inlineStr">
        <is>
          <t>—</t>
        </is>
      </c>
      <c r="O46" s="15">
        <f>MEDIAN(D46:N46)</f>
        <v>-0.11295631653518795</v>
      </c>
      <c r="P46" s="15">
        <f>MIN(D46:N46)</f>
        <v>-0.33857337526205455</v>
      </c>
      <c r="Q46" s="15">
        <f>MAX(D46:N46)</f>
        <v>0.3220870678617157</v>
      </c>
      <c r="R46">
        <f>COUNTIF(D46:N46,"&gt;0")</f>
        <v>1.0</v>
      </c>
      <c r="S46">
        <f>COUNT(D46:N46)</f>
        <v>4.0</v>
      </c>
      <c r="T46" t="inlineStr">
        <is>
          <t>대부분 미달</t>
        </is>
      </c>
    </row>
    <row r="48">
      <c r="A48" s="3" t="inlineStr">
        <is>
          <t>금융업 — ROIC 정의 부적합</t>
        </is>
      </c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</row>
    <row r="49">
      <c r="A49" t="inlineStr">
        <is>
          <t>—</t>
        </is>
      </c>
      <c r="B49" t="inlineStr">
        <is>
          <t>버크셔 해서웨이</t>
        </is>
      </c>
      <c r="C49" t="inlineStr">
        <is>
          <t>BRK-B</t>
        </is>
      </c>
      <c r="D49" s="24" t="inlineStr">
        <is>
          <t>—</t>
        </is>
      </c>
      <c r="E49" s="24" t="inlineStr">
        <is>
          <t>—</t>
        </is>
      </c>
      <c r="F49" s="24" t="inlineStr">
        <is>
          <t>—</t>
        </is>
      </c>
      <c r="G49" s="24" t="inlineStr">
        <is>
          <t>—</t>
        </is>
      </c>
      <c r="H49" s="24" t="inlineStr">
        <is>
          <t>—</t>
        </is>
      </c>
      <c r="I49" s="24" t="inlineStr">
        <is>
          <t>—</t>
        </is>
      </c>
      <c r="J49" s="24" t="inlineStr">
        <is>
          <t>—</t>
        </is>
      </c>
      <c r="K49" s="24" t="inlineStr">
        <is>
          <t>—</t>
        </is>
      </c>
      <c r="L49" s="24" t="inlineStr">
        <is>
          <t>—</t>
        </is>
      </c>
      <c r="M49" s="24" t="inlineStr">
        <is>
          <t>—</t>
        </is>
      </c>
      <c r="N49" s="24" t="inlineStr">
        <is>
          <t>—</t>
        </is>
      </c>
      <c r="O49" t="inlineStr">
        <is>
          <t>—</t>
        </is>
      </c>
      <c r="P49" t="inlineStr">
        <is>
          <t>—</t>
        </is>
      </c>
      <c r="Q49" t="inlineStr">
        <is>
          <t>—</t>
        </is>
      </c>
      <c r="R49" t="inlineStr">
        <is>
          <t>—</t>
        </is>
      </c>
      <c r="S49" t="inlineStr">
        <is>
          <t>—</t>
        </is>
      </c>
      <c r="T49" t="inlineStr">
        <is>
          <t>금융업 — ROIC 정의 부적합</t>
        </is>
      </c>
    </row>
    <row r="50">
      <c r="A50" t="inlineStr">
        <is>
          <t>—</t>
        </is>
      </c>
      <c r="B50" t="inlineStr">
        <is>
          <t>JP모건 체이스</t>
        </is>
      </c>
      <c r="C50" t="inlineStr">
        <is>
          <t>JPM</t>
        </is>
      </c>
      <c r="D50" s="24" t="inlineStr">
        <is>
          <t>—</t>
        </is>
      </c>
      <c r="E50" s="24" t="inlineStr">
        <is>
          <t>—</t>
        </is>
      </c>
      <c r="F50" s="24" t="inlineStr">
        <is>
          <t>—</t>
        </is>
      </c>
      <c r="G50" s="24" t="inlineStr">
        <is>
          <t>—</t>
        </is>
      </c>
      <c r="H50" s="24" t="inlineStr">
        <is>
          <t>—</t>
        </is>
      </c>
      <c r="I50" s="24" t="inlineStr">
        <is>
          <t>—</t>
        </is>
      </c>
      <c r="J50" s="24" t="inlineStr">
        <is>
          <t>—</t>
        </is>
      </c>
      <c r="K50" s="24" t="inlineStr">
        <is>
          <t>—</t>
        </is>
      </c>
      <c r="L50" s="24" t="inlineStr">
        <is>
          <t>—</t>
        </is>
      </c>
      <c r="M50" s="24" t="inlineStr">
        <is>
          <t>—</t>
        </is>
      </c>
      <c r="N50" s="24" t="inlineStr">
        <is>
          <t>—</t>
        </is>
      </c>
      <c r="O50" t="inlineStr">
        <is>
          <t>—</t>
        </is>
      </c>
      <c r="P50" t="inlineStr">
        <is>
          <t>—</t>
        </is>
      </c>
      <c r="Q50" t="inlineStr">
        <is>
          <t>—</t>
        </is>
      </c>
      <c r="R50" t="inlineStr">
        <is>
          <t>—</t>
        </is>
      </c>
      <c r="S50" t="inlineStr">
        <is>
          <t>—</t>
        </is>
      </c>
      <c r="T50" t="inlineStr">
        <is>
          <t>금융업 — ROIC 정의 부적합</t>
        </is>
      </c>
    </row>
    <row r="51">
      <c r="A51" t="inlineStr">
        <is>
          <t>—</t>
        </is>
      </c>
      <c r="B51" t="inlineStr">
        <is>
          <t>뱅크오브아메리카</t>
        </is>
      </c>
      <c r="C51" t="inlineStr">
        <is>
          <t>BAC</t>
        </is>
      </c>
      <c r="D51" s="24" t="inlineStr">
        <is>
          <t>—</t>
        </is>
      </c>
      <c r="E51" s="24" t="inlineStr">
        <is>
          <t>—</t>
        </is>
      </c>
      <c r="F51" s="24" t="inlineStr">
        <is>
          <t>—</t>
        </is>
      </c>
      <c r="G51" s="24" t="inlineStr">
        <is>
          <t>—</t>
        </is>
      </c>
      <c r="H51" s="24" t="inlineStr">
        <is>
          <t>—</t>
        </is>
      </c>
      <c r="I51" s="24" t="inlineStr">
        <is>
          <t>—</t>
        </is>
      </c>
      <c r="J51" s="24" t="inlineStr">
        <is>
          <t>—</t>
        </is>
      </c>
      <c r="K51" s="24" t="inlineStr">
        <is>
          <t>—</t>
        </is>
      </c>
      <c r="L51" s="24" t="inlineStr">
        <is>
          <t>—</t>
        </is>
      </c>
      <c r="M51" s="24" t="inlineStr">
        <is>
          <t>—</t>
        </is>
      </c>
      <c r="N51" s="24" t="inlineStr">
        <is>
          <t>—</t>
        </is>
      </c>
      <c r="O51" t="inlineStr">
        <is>
          <t>—</t>
        </is>
      </c>
      <c r="P51" t="inlineStr">
        <is>
          <t>—</t>
        </is>
      </c>
      <c r="Q51" t="inlineStr">
        <is>
          <t>—</t>
        </is>
      </c>
      <c r="R51" t="inlineStr">
        <is>
          <t>—</t>
        </is>
      </c>
      <c r="S51" t="inlineStr">
        <is>
          <t>—</t>
        </is>
      </c>
      <c r="T51" t="inlineStr">
        <is>
          <t>금융업 — ROIC 정의 부적합</t>
        </is>
      </c>
    </row>
    <row r="52">
      <c r="A52" t="inlineStr">
        <is>
          <t>—</t>
        </is>
      </c>
      <c r="B52" t="inlineStr">
        <is>
          <t>유나이티드헬스 그룹</t>
        </is>
      </c>
      <c r="C52" t="inlineStr">
        <is>
          <t>UNH</t>
        </is>
      </c>
      <c r="D52" s="24" t="inlineStr">
        <is>
          <t>—</t>
        </is>
      </c>
      <c r="E52" s="24" t="inlineStr">
        <is>
          <t>—</t>
        </is>
      </c>
      <c r="F52" s="24" t="inlineStr">
        <is>
          <t>—</t>
        </is>
      </c>
      <c r="G52" s="24" t="inlineStr">
        <is>
          <t>—</t>
        </is>
      </c>
      <c r="H52" s="24" t="inlineStr">
        <is>
          <t>—</t>
        </is>
      </c>
      <c r="I52" s="24" t="inlineStr">
        <is>
          <t>—</t>
        </is>
      </c>
      <c r="J52" s="24" t="inlineStr">
        <is>
          <t>—</t>
        </is>
      </c>
      <c r="K52" s="24" t="inlineStr">
        <is>
          <t>—</t>
        </is>
      </c>
      <c r="L52" s="24" t="inlineStr">
        <is>
          <t>—</t>
        </is>
      </c>
      <c r="M52" s="24" t="inlineStr">
        <is>
          <t>—</t>
        </is>
      </c>
      <c r="N52" s="24" t="inlineStr">
        <is>
          <t>—</t>
        </is>
      </c>
      <c r="O52" t="inlineStr">
        <is>
          <t>—</t>
        </is>
      </c>
      <c r="P52" t="inlineStr">
        <is>
          <t>—</t>
        </is>
      </c>
      <c r="Q52" t="inlineStr">
        <is>
          <t>—</t>
        </is>
      </c>
      <c r="R52" t="inlineStr">
        <is>
          <t>—</t>
        </is>
      </c>
      <c r="S52" t="inlineStr">
        <is>
          <t>—</t>
        </is>
      </c>
      <c r="T52" t="inlineStr">
        <is>
          <t>금융업 — ROIC 정의 부적합</t>
        </is>
      </c>
    </row>
    <row r="53">
      <c r="A53" t="inlineStr">
        <is>
          <t>—</t>
        </is>
      </c>
      <c r="B53" t="inlineStr">
        <is>
          <t>모건스탠리</t>
        </is>
      </c>
      <c r="C53" t="inlineStr">
        <is>
          <t>MS</t>
        </is>
      </c>
      <c r="D53" s="24" t="inlineStr">
        <is>
          <t>—</t>
        </is>
      </c>
      <c r="E53" s="24" t="inlineStr">
        <is>
          <t>—</t>
        </is>
      </c>
      <c r="F53" s="24" t="inlineStr">
        <is>
          <t>—</t>
        </is>
      </c>
      <c r="G53" s="24" t="inlineStr">
        <is>
          <t>—</t>
        </is>
      </c>
      <c r="H53" s="24" t="inlineStr">
        <is>
          <t>—</t>
        </is>
      </c>
      <c r="I53" s="24" t="inlineStr">
        <is>
          <t>—</t>
        </is>
      </c>
      <c r="J53" s="24" t="inlineStr">
        <is>
          <t>—</t>
        </is>
      </c>
      <c r="K53" s="24" t="inlineStr">
        <is>
          <t>—</t>
        </is>
      </c>
      <c r="L53" s="24" t="inlineStr">
        <is>
          <t>—</t>
        </is>
      </c>
      <c r="M53" s="24" t="inlineStr">
        <is>
          <t>—</t>
        </is>
      </c>
      <c r="N53" s="24" t="inlineStr">
        <is>
          <t>—</t>
        </is>
      </c>
      <c r="O53" t="inlineStr">
        <is>
          <t>—</t>
        </is>
      </c>
      <c r="P53" t="inlineStr">
        <is>
          <t>—</t>
        </is>
      </c>
      <c r="Q53" t="inlineStr">
        <is>
          <t>—</t>
        </is>
      </c>
      <c r="R53" t="inlineStr">
        <is>
          <t>—</t>
        </is>
      </c>
      <c r="S53" t="inlineStr">
        <is>
          <t>—</t>
        </is>
      </c>
      <c r="T53" t="inlineStr">
        <is>
          <t>금융업 — ROIC 정의 부적합</t>
        </is>
      </c>
    </row>
    <row r="54">
      <c r="A54" t="inlineStr">
        <is>
          <t>—</t>
        </is>
      </c>
      <c r="B54" t="inlineStr">
        <is>
          <t>골드만삭스</t>
        </is>
      </c>
      <c r="C54" t="inlineStr">
        <is>
          <t>GS</t>
        </is>
      </c>
      <c r="D54" s="24" t="inlineStr">
        <is>
          <t>—</t>
        </is>
      </c>
      <c r="E54" s="24" t="inlineStr">
        <is>
          <t>—</t>
        </is>
      </c>
      <c r="F54" s="24" t="inlineStr">
        <is>
          <t>—</t>
        </is>
      </c>
      <c r="G54" s="24" t="inlineStr">
        <is>
          <t>—</t>
        </is>
      </c>
      <c r="H54" s="24" t="inlineStr">
        <is>
          <t>—</t>
        </is>
      </c>
      <c r="I54" s="24" t="inlineStr">
        <is>
          <t>—</t>
        </is>
      </c>
      <c r="J54" s="24" t="inlineStr">
        <is>
          <t>—</t>
        </is>
      </c>
      <c r="K54" s="24" t="inlineStr">
        <is>
          <t>—</t>
        </is>
      </c>
      <c r="L54" s="24" t="inlineStr">
        <is>
          <t>—</t>
        </is>
      </c>
      <c r="M54" s="24" t="inlineStr">
        <is>
          <t>—</t>
        </is>
      </c>
      <c r="N54" s="24" t="inlineStr">
        <is>
          <t>—</t>
        </is>
      </c>
      <c r="O54" t="inlineStr">
        <is>
          <t>—</t>
        </is>
      </c>
      <c r="P54" t="inlineStr">
        <is>
          <t>—</t>
        </is>
      </c>
      <c r="Q54" t="inlineStr">
        <is>
          <t>—</t>
        </is>
      </c>
      <c r="R54" t="inlineStr">
        <is>
          <t>—</t>
        </is>
      </c>
      <c r="S54" t="inlineStr">
        <is>
          <t>—</t>
        </is>
      </c>
      <c r="T54" t="inlineStr">
        <is>
          <t>금융업 — ROIC 정의 부적합</t>
        </is>
      </c>
    </row>
    <row r="55">
      <c r="A55" t="inlineStr">
        <is>
          <t>—</t>
        </is>
      </c>
      <c r="B55" t="inlineStr">
        <is>
          <t>웰스파고</t>
        </is>
      </c>
      <c r="C55" t="inlineStr">
        <is>
          <t>WFC</t>
        </is>
      </c>
      <c r="D55" s="24" t="inlineStr">
        <is>
          <t>—</t>
        </is>
      </c>
      <c r="E55" s="24" t="inlineStr">
        <is>
          <t>—</t>
        </is>
      </c>
      <c r="F55" s="24" t="inlineStr">
        <is>
          <t>—</t>
        </is>
      </c>
      <c r="G55" s="24" t="inlineStr">
        <is>
          <t>—</t>
        </is>
      </c>
      <c r="H55" s="24" t="inlineStr">
        <is>
          <t>—</t>
        </is>
      </c>
      <c r="I55" s="24" t="inlineStr">
        <is>
          <t>—</t>
        </is>
      </c>
      <c r="J55" s="24" t="inlineStr">
        <is>
          <t>—</t>
        </is>
      </c>
      <c r="K55" s="24" t="inlineStr">
        <is>
          <t>—</t>
        </is>
      </c>
      <c r="L55" s="24" t="inlineStr">
        <is>
          <t>—</t>
        </is>
      </c>
      <c r="M55" s="24" t="inlineStr">
        <is>
          <t>—</t>
        </is>
      </c>
      <c r="N55" s="24" t="inlineStr">
        <is>
          <t>—</t>
        </is>
      </c>
      <c r="O55" t="inlineStr">
        <is>
          <t>—</t>
        </is>
      </c>
      <c r="P55" t="inlineStr">
        <is>
          <t>—</t>
        </is>
      </c>
      <c r="Q55" t="inlineStr">
        <is>
          <t>—</t>
        </is>
      </c>
      <c r="R55" t="inlineStr">
        <is>
          <t>—</t>
        </is>
      </c>
      <c r="S55" t="inlineStr">
        <is>
          <t>—</t>
        </is>
      </c>
      <c r="T55" t="inlineStr">
        <is>
          <t>금융업 — ROIC 정의 부적합</t>
        </is>
      </c>
    </row>
    <row r="56">
      <c r="A56" t="inlineStr">
        <is>
          <t>—</t>
        </is>
      </c>
      <c r="B56" t="inlineStr">
        <is>
          <t>아메리칸 익스프레스</t>
        </is>
      </c>
      <c r="C56" t="inlineStr">
        <is>
          <t>AXP</t>
        </is>
      </c>
      <c r="D56" s="24" t="inlineStr">
        <is>
          <t>—</t>
        </is>
      </c>
      <c r="E56" s="24" t="inlineStr">
        <is>
          <t>—</t>
        </is>
      </c>
      <c r="F56" s="24" t="inlineStr">
        <is>
          <t>—</t>
        </is>
      </c>
      <c r="G56" s="24" t="inlineStr">
        <is>
          <t>—</t>
        </is>
      </c>
      <c r="H56" s="24" t="inlineStr">
        <is>
          <t>—</t>
        </is>
      </c>
      <c r="I56" s="24" t="inlineStr">
        <is>
          <t>—</t>
        </is>
      </c>
      <c r="J56" s="24" t="inlineStr">
        <is>
          <t>—</t>
        </is>
      </c>
      <c r="K56" s="24" t="inlineStr">
        <is>
          <t>—</t>
        </is>
      </c>
      <c r="L56" s="24" t="inlineStr">
        <is>
          <t>—</t>
        </is>
      </c>
      <c r="M56" s="24" t="inlineStr">
        <is>
          <t>—</t>
        </is>
      </c>
      <c r="N56" s="24" t="inlineStr">
        <is>
          <t>—</t>
        </is>
      </c>
      <c r="O56" t="inlineStr">
        <is>
          <t>—</t>
        </is>
      </c>
      <c r="P56" t="inlineStr">
        <is>
          <t>—</t>
        </is>
      </c>
      <c r="Q56" t="inlineStr">
        <is>
          <t>—</t>
        </is>
      </c>
      <c r="R56" t="inlineStr">
        <is>
          <t>—</t>
        </is>
      </c>
      <c r="S56" t="inlineStr">
        <is>
          <t>—</t>
        </is>
      </c>
      <c r="T56" t="inlineStr">
        <is>
          <t>금융업 — ROIC 정의 부적합</t>
        </is>
      </c>
    </row>
    <row r="57">
      <c r="A57" t="inlineStr">
        <is>
          <t>—</t>
        </is>
      </c>
      <c r="B57" t="inlineStr">
        <is>
          <t>씨티그룹</t>
        </is>
      </c>
      <c r="C57" t="inlineStr">
        <is>
          <t>C</t>
        </is>
      </c>
      <c r="D57" s="24" t="inlineStr">
        <is>
          <t>—</t>
        </is>
      </c>
      <c r="E57" s="24" t="inlineStr">
        <is>
          <t>—</t>
        </is>
      </c>
      <c r="F57" s="24" t="inlineStr">
        <is>
          <t>—</t>
        </is>
      </c>
      <c r="G57" s="24" t="inlineStr">
        <is>
          <t>—</t>
        </is>
      </c>
      <c r="H57" s="24" t="inlineStr">
        <is>
          <t>—</t>
        </is>
      </c>
      <c r="I57" s="24" t="inlineStr">
        <is>
          <t>—</t>
        </is>
      </c>
      <c r="J57" s="24" t="inlineStr">
        <is>
          <t>—</t>
        </is>
      </c>
      <c r="K57" s="24" t="inlineStr">
        <is>
          <t>—</t>
        </is>
      </c>
      <c r="L57" s="24" t="inlineStr">
        <is>
          <t>—</t>
        </is>
      </c>
      <c r="M57" s="24" t="inlineStr">
        <is>
          <t>—</t>
        </is>
      </c>
      <c r="N57" s="24" t="inlineStr">
        <is>
          <t>—</t>
        </is>
      </c>
      <c r="O57" t="inlineStr">
        <is>
          <t>—</t>
        </is>
      </c>
      <c r="P57" t="inlineStr">
        <is>
          <t>—</t>
        </is>
      </c>
      <c r="Q57" t="inlineStr">
        <is>
          <t>—</t>
        </is>
      </c>
      <c r="R57" t="inlineStr">
        <is>
          <t>—</t>
        </is>
      </c>
      <c r="S57" t="inlineStr">
        <is>
          <t>—</t>
        </is>
      </c>
      <c r="T57" t="inlineStr">
        <is>
          <t>금융업 — ROIC 정의 부적합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3" customWidth="1" min="4" max="4"/>
    <col width="14" customWidth="1" min="5" max="5"/>
    <col width="11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34" customWidth="1" min="12" max="12"/>
    <col width="52" customWidth="1" min="13" max="13"/>
  </cols>
  <sheetData>
    <row r="1">
      <c r="A1" s="7" t="inlineStr">
        <is>
          <t>1차 조사(analysis.json, 공시 본문 파싱)와 이번 재산출(companyfacts API)의 기업-연도별 대조. 정의는 같고 경로만 다릅니다.</t>
        </is>
      </c>
    </row>
    <row r="2">
      <c r="A2" s="8" t="inlineStr">
        <is>
          <t>기업</t>
        </is>
      </c>
      <c r="B2" s="8" t="inlineStr">
        <is>
          <t>티커</t>
        </is>
      </c>
      <c r="C2" s="8" t="inlineStr">
        <is>
          <t>연도</t>
        </is>
      </c>
      <c r="D2" s="8" t="inlineStr">
        <is>
          <t>재산출 ROIC</t>
        </is>
      </c>
      <c r="E2" s="8" t="inlineStr">
        <is>
          <t>1차 조사 ROIC</t>
        </is>
      </c>
      <c r="F2" s="8" t="inlineStr">
        <is>
          <t>차이(%p)</t>
        </is>
      </c>
      <c r="G2" s="8" t="inlineStr">
        <is>
          <t>문턱 판정 바뀜</t>
        </is>
      </c>
      <c r="H2" s="8" t="inlineStr">
        <is>
          <t>재산출 영업이익</t>
        </is>
      </c>
      <c r="I2" s="8" t="inlineStr">
        <is>
          <t>1차 영업이익</t>
        </is>
      </c>
      <c r="J2" s="8" t="inlineStr">
        <is>
          <t>재산출 평균자본</t>
        </is>
      </c>
      <c r="K2" s="8" t="inlineStr">
        <is>
          <t>1차 평균자본</t>
        </is>
      </c>
      <c r="L2" s="8" t="inlineStr">
        <is>
          <t>재산출 경로</t>
        </is>
      </c>
      <c r="M2" s="8" t="inlineStr">
        <is>
          <t>원인</t>
        </is>
      </c>
    </row>
    <row r="3">
      <c r="A3" t="inlineStr">
        <is>
          <t>오라클</t>
        </is>
      </c>
      <c r="B3" t="inlineStr">
        <is>
          <t>ORCL</t>
        </is>
      </c>
      <c r="C3" t="inlineStr">
        <is>
          <t>FY2024</t>
        </is>
      </c>
      <c r="D3" s="15" t="n">
        <v>0.1449980573471132</v>
      </c>
      <c r="E3" s="15" t="n">
        <v>7.61450168264296</v>
      </c>
      <c r="F3" s="15">
        <f>D3-E3</f>
        <v>-7.469503625295847</v>
      </c>
      <c r="G3" t="inlineStr"/>
      <c r="H3" s="14" t="n">
        <v>15353000000</v>
      </c>
      <c r="I3" s="14" t="n">
        <v>15353000000</v>
      </c>
      <c r="J3" s="14" t="n">
        <v>83648500000</v>
      </c>
      <c r="K3" s="14" t="n">
        <v>1797500000</v>
      </c>
      <c r="L3" t="inlineStr">
        <is>
          <t>reported</t>
        </is>
      </c>
      <c r="M3" t="inlineStr">
        <is>
          <t>투하자본(분모) +4553.6%, 실효세율 +93.5%</t>
        </is>
      </c>
    </row>
    <row r="4">
      <c r="A4" t="inlineStr">
        <is>
          <t>엔비디아</t>
        </is>
      </c>
      <c r="B4" t="inlineStr">
        <is>
          <t>NVDA</t>
        </is>
      </c>
      <c r="C4" t="inlineStr">
        <is>
          <t>FY2016</t>
        </is>
      </c>
      <c r="D4" s="15" t="n">
        <v>1.78602078119327</v>
      </c>
      <c r="E4" s="15" t="n">
        <v>8.925391450079294</v>
      </c>
      <c r="F4" s="15">
        <f>D4-E4</f>
        <v>-7.139370668886024</v>
      </c>
      <c r="G4" t="inlineStr"/>
      <c r="H4" s="14" t="n">
        <v>1934000000</v>
      </c>
      <c r="I4" s="14" t="n">
        <v>1934000000</v>
      </c>
      <c r="J4" s="14" t="n">
        <v>947000000</v>
      </c>
      <c r="K4" s="14" t="n">
        <v>189500000</v>
      </c>
      <c r="L4" t="inlineStr">
        <is>
          <t>reported</t>
        </is>
      </c>
      <c r="M4" t="inlineStr">
        <is>
          <t>투하자본(분모) +399.7%</t>
        </is>
      </c>
    </row>
    <row r="5">
      <c r="A5" t="inlineStr">
        <is>
          <t>오라클</t>
        </is>
      </c>
      <c r="B5" t="inlineStr">
        <is>
          <t>ORCL</t>
        </is>
      </c>
      <c r="C5" t="inlineStr">
        <is>
          <t>FY2025</t>
        </is>
      </c>
      <c r="D5" s="15" t="n">
        <v>0.1487436961140904</v>
      </c>
      <c r="E5" s="15" t="n">
        <v>1.234506906295326</v>
      </c>
      <c r="F5" s="15">
        <f>D5-E5</f>
        <v>-1.0857632101812356</v>
      </c>
      <c r="G5" t="inlineStr"/>
      <c r="H5" s="14" t="n">
        <v>17678000000</v>
      </c>
      <c r="I5" s="14" t="n">
        <v>17678000000</v>
      </c>
      <c r="J5" s="14" t="n">
        <v>93890500000</v>
      </c>
      <c r="K5" s="14" t="n">
        <v>12583500000</v>
      </c>
      <c r="L5" t="inlineStr">
        <is>
          <t>reported</t>
        </is>
      </c>
      <c r="M5" t="inlineStr">
        <is>
          <t>투하자본(분모) +646.1%, 실효세율 +73.2%</t>
        </is>
      </c>
    </row>
    <row r="6">
      <c r="A6" t="inlineStr">
        <is>
          <t>마이크로소프트</t>
        </is>
      </c>
      <c r="B6" t="inlineStr">
        <is>
          <t>MSFT</t>
        </is>
      </c>
      <c r="C6" t="inlineStr">
        <is>
          <t>FY2016</t>
        </is>
      </c>
      <c r="D6" s="15" t="n">
        <v>0.9910187856453563</v>
      </c>
      <c r="E6" s="15" t="n">
        <v>1.721451609031693</v>
      </c>
      <c r="F6" s="15">
        <f>D6-E6</f>
        <v>-0.7304328233863366</v>
      </c>
      <c r="G6" t="inlineStr"/>
      <c r="H6" s="14" t="n">
        <v>26078000000</v>
      </c>
      <c r="I6" s="14" t="n">
        <v>26078000000</v>
      </c>
      <c r="J6" s="14" t="n">
        <v>21080000000</v>
      </c>
      <c r="K6" s="14" t="n">
        <v>12135500000</v>
      </c>
      <c r="L6" t="inlineStr">
        <is>
          <t>reported</t>
        </is>
      </c>
      <c r="M6" t="inlineStr">
        <is>
          <t>투하자본(분모) +73.7%</t>
        </is>
      </c>
    </row>
    <row r="7">
      <c r="A7" t="inlineStr">
        <is>
          <t>마스터카드</t>
        </is>
      </c>
      <c r="B7" t="inlineStr">
        <is>
          <t>MA</t>
        </is>
      </c>
      <c r="C7" t="inlineStr">
        <is>
          <t>FY2018</t>
        </is>
      </c>
      <c r="D7" s="15" t="n">
        <v>1.818651084624413</v>
      </c>
      <c r="E7" s="15" t="n">
        <v>1.183777185104817</v>
      </c>
      <c r="F7" s="15">
        <f>D7-E7</f>
        <v>0.6348738995195959</v>
      </c>
      <c r="G7" t="inlineStr"/>
      <c r="H7" s="14" t="n">
        <v>7282000000</v>
      </c>
      <c r="I7" s="14" t="n">
        <v>7282000000</v>
      </c>
      <c r="J7" s="14" t="n">
        <v>3256500000</v>
      </c>
      <c r="K7" s="14" t="n">
        <v>5003000000</v>
      </c>
      <c r="L7" t="inlineStr">
        <is>
          <t>reported</t>
        </is>
      </c>
      <c r="M7" t="inlineStr">
        <is>
          <t>투하자본(분모) -34.9%</t>
        </is>
      </c>
    </row>
    <row r="8">
      <c r="A8" t="inlineStr">
        <is>
          <t>팔로알토 네트웍스</t>
        </is>
      </c>
      <c r="B8" t="inlineStr">
        <is>
          <t>PANW</t>
        </is>
      </c>
      <c r="C8" t="inlineStr">
        <is>
          <t>FY2017</t>
        </is>
      </c>
      <c r="D8" s="15" t="n">
        <v>-0.7668735362997658</v>
      </c>
      <c r="E8" s="15" t="n">
        <v>-0.2181760639626884</v>
      </c>
      <c r="F8" s="15">
        <f>D8-E8</f>
        <v>-0.5486974723370774</v>
      </c>
      <c r="G8" t="inlineStr"/>
      <c r="H8" s="14" t="n">
        <v>-165800000</v>
      </c>
      <c r="I8" s="14" t="n">
        <v>-165800000</v>
      </c>
      <c r="J8" s="14" t="n">
        <v>170800000</v>
      </c>
      <c r="K8" s="14" t="n">
        <v>600350000</v>
      </c>
      <c r="L8" t="inlineStr">
        <is>
          <t>reported</t>
        </is>
      </c>
      <c r="M8" t="inlineStr">
        <is>
          <t>투하자본(분모) -71.5%</t>
        </is>
      </c>
    </row>
    <row r="9">
      <c r="A9" t="inlineStr">
        <is>
          <t>마스터카드</t>
        </is>
      </c>
      <c r="B9" t="inlineStr">
        <is>
          <t>MA</t>
        </is>
      </c>
      <c r="C9" t="inlineStr">
        <is>
          <t>FY2016</t>
        </is>
      </c>
      <c r="D9" s="15" t="n">
        <v>1.617526008739409</v>
      </c>
      <c r="E9" s="15" t="n">
        <v>1.080812981570266</v>
      </c>
      <c r="F9" s="15">
        <f>D9-E9</f>
        <v>0.5367130271691429</v>
      </c>
      <c r="G9" t="inlineStr"/>
      <c r="H9" s="14" t="n">
        <v>5761000000</v>
      </c>
      <c r="I9" s="14" t="n">
        <v>5761000000</v>
      </c>
      <c r="J9" s="14" t="n">
        <v>2560500000</v>
      </c>
      <c r="K9" s="14" t="n">
        <v>3832000000</v>
      </c>
      <c r="L9" t="inlineStr">
        <is>
          <t>reported</t>
        </is>
      </c>
      <c r="M9" t="inlineStr">
        <is>
          <t>투하자본(분모) -33.2%</t>
        </is>
      </c>
    </row>
    <row r="10">
      <c r="A10" t="inlineStr">
        <is>
          <t>마스터카드</t>
        </is>
      </c>
      <c r="B10" t="inlineStr">
        <is>
          <t>MA</t>
        </is>
      </c>
      <c r="C10" t="inlineStr">
        <is>
          <t>FY2017</t>
        </is>
      </c>
      <c r="D10" s="15" t="n">
        <v>1.402620888813001</v>
      </c>
      <c r="E10" s="15" t="n">
        <v>0.876135684129611</v>
      </c>
      <c r="F10" s="15">
        <f>D10-E10</f>
        <v>0.52648520468339</v>
      </c>
      <c r="G10" t="inlineStr"/>
      <c r="H10" s="14" t="n">
        <v>6622000000</v>
      </c>
      <c r="I10" s="14" t="n">
        <v>6622000000</v>
      </c>
      <c r="J10" s="14" t="n">
        <v>2834000000</v>
      </c>
      <c r="K10" s="14" t="n">
        <v>4537000000</v>
      </c>
      <c r="L10" t="inlineStr">
        <is>
          <t>reported</t>
        </is>
      </c>
      <c r="M10" t="inlineStr">
        <is>
          <t>투하자본(분모) -37.5%</t>
        </is>
      </c>
    </row>
    <row r="11">
      <c r="A11" t="inlineStr">
        <is>
          <t>KLA</t>
        </is>
      </c>
      <c r="B11" t="inlineStr">
        <is>
          <t>KLAC</t>
        </is>
      </c>
      <c r="C11" t="inlineStr">
        <is>
          <t>FY2017</t>
        </is>
      </c>
      <c r="D11" s="15" t="n">
        <v>0.8070096707999566</v>
      </c>
      <c r="E11" s="15" t="n">
        <v>0.3090851563188375</v>
      </c>
      <c r="F11" s="15">
        <f>D11-E11</f>
        <v>0.4979245144811191</v>
      </c>
      <c r="G11" t="inlineStr"/>
      <c r="H11" s="14" t="n">
        <v>1275900000</v>
      </c>
      <c r="I11" s="14" t="n">
        <v>1173246000</v>
      </c>
      <c r="J11" s="14" t="n">
        <v>1247945000</v>
      </c>
      <c r="K11" s="14" t="n">
        <v>2996184000</v>
      </c>
      <c r="L11" t="inlineStr">
        <is>
          <t>verified_line_build</t>
        </is>
      </c>
      <c r="M11" t="inlineStr">
        <is>
          <t>영업이익(분자) +8.7%, 투하자본(분모) -58.3%, 신규 분자 추정경로(verified_line_build), 구 분자 = 세전이익+이자</t>
        </is>
      </c>
    </row>
    <row r="12">
      <c r="A12" t="inlineStr">
        <is>
          <t>코카콜라</t>
        </is>
      </c>
      <c r="B12" t="inlineStr">
        <is>
          <t>KO</t>
        </is>
      </c>
      <c r="C12" t="inlineStr">
        <is>
          <t>FY2021</t>
        </is>
      </c>
      <c r="D12" s="15" t="n">
        <v>0.1449757052555427</v>
      </c>
      <c r="E12" s="15" t="n">
        <v>0.6116157455315796</v>
      </c>
      <c r="F12" s="15">
        <f>D12-E12</f>
        <v>-0.4666400402760369</v>
      </c>
      <c r="G12" t="inlineStr"/>
      <c r="H12" s="14" t="n">
        <v>10308000000</v>
      </c>
      <c r="I12" s="14" t="n">
        <v>10308000000</v>
      </c>
      <c r="J12" s="14" t="n">
        <v>56103000000</v>
      </c>
      <c r="K12" s="14" t="n">
        <v>13298500000</v>
      </c>
      <c r="L12" t="inlineStr">
        <is>
          <t>reported</t>
        </is>
      </c>
      <c r="M12" t="inlineStr">
        <is>
          <t>투하자본(분모) +321.9%</t>
        </is>
      </c>
    </row>
    <row r="13">
      <c r="A13" t="inlineStr">
        <is>
          <t>오라클</t>
        </is>
      </c>
      <c r="B13" t="inlineStr">
        <is>
          <t>ORCL</t>
        </is>
      </c>
      <c r="C13" t="inlineStr">
        <is>
          <t>FY2018</t>
        </is>
      </c>
      <c r="D13" s="15" t="n">
        <v>0.1825488576933664</v>
      </c>
      <c r="E13" s="15" t="n">
        <v>0.6248007850834151</v>
      </c>
      <c r="F13" s="15">
        <f>D13-E13</f>
        <v>-0.4422519273900487</v>
      </c>
      <c r="G13" t="inlineStr"/>
      <c r="H13" s="14" t="n">
        <v>13264000000</v>
      </c>
      <c r="I13" s="14" t="n">
        <v>13264000000</v>
      </c>
      <c r="J13" s="14" t="n">
        <v>43596000000</v>
      </c>
      <c r="K13" s="14" t="n">
        <v>12737500000</v>
      </c>
      <c r="L13" t="inlineStr">
        <is>
          <t>reported</t>
        </is>
      </c>
      <c r="M13" t="inlineStr">
        <is>
          <t>투하자본(분모) +242.3%</t>
        </is>
      </c>
    </row>
    <row r="14">
      <c r="A14" t="inlineStr">
        <is>
          <t>코카콜라</t>
        </is>
      </c>
      <c r="B14" t="inlineStr">
        <is>
          <t>KO</t>
        </is>
      </c>
      <c r="C14" t="inlineStr">
        <is>
          <t>FY2022</t>
        </is>
      </c>
      <c r="D14" s="15" t="n">
        <v>0.1608277705060014</v>
      </c>
      <c r="E14" s="15" t="n">
        <v>0.5912272341642667</v>
      </c>
      <c r="F14" s="15">
        <f>D14-E14</f>
        <v>-0.4303994636582653</v>
      </c>
      <c r="G14" t="inlineStr"/>
      <c r="H14" s="14" t="n">
        <v>10909000000</v>
      </c>
      <c r="I14" s="14" t="n">
        <v>10909000000</v>
      </c>
      <c r="J14" s="14" t="n">
        <v>55554000000</v>
      </c>
      <c r="K14" s="14" t="n">
        <v>15112000000</v>
      </c>
      <c r="L14" t="inlineStr">
        <is>
          <t>reported</t>
        </is>
      </c>
      <c r="M14" t="inlineStr">
        <is>
          <t>투하자본(분모) +267.6%</t>
        </is>
      </c>
    </row>
    <row r="15">
      <c r="A15" t="inlineStr">
        <is>
          <t>KLA</t>
        </is>
      </c>
      <c r="B15" t="inlineStr">
        <is>
          <t>KLAC</t>
        </is>
      </c>
      <c r="C15" t="inlineStr">
        <is>
          <t>FY2018</t>
        </is>
      </c>
      <c r="D15" s="15" t="n">
        <v>0.830684903340309</v>
      </c>
      <c r="E15" s="15" t="n">
        <v>0.4033607601789814</v>
      </c>
      <c r="F15" s="15">
        <f>D15-E15</f>
        <v>0.42732414316132755</v>
      </c>
      <c r="G15" t="inlineStr"/>
      <c r="H15" s="14" t="n">
        <v>1535195000</v>
      </c>
      <c r="I15" s="14" t="n">
        <v>1455931000</v>
      </c>
      <c r="J15" s="14" t="n">
        <v>1108864500</v>
      </c>
      <c r="K15" s="14" t="n">
        <v>2165700500</v>
      </c>
      <c r="L15" t="inlineStr">
        <is>
          <t>verified_line_build</t>
        </is>
      </c>
      <c r="M15" t="inlineStr">
        <is>
          <t>영업이익(분자) +5.4%, 투하자본(분모) -48.8%, 신규 분자 추정경로(verified_line_build), 구 분자 = 세전이익+이자</t>
        </is>
      </c>
    </row>
    <row r="16">
      <c r="A16" t="inlineStr">
        <is>
          <t>필립모리스 인터내셔널</t>
        </is>
      </c>
      <c r="B16" t="inlineStr">
        <is>
          <t>PM</t>
        </is>
      </c>
      <c r="C16" t="inlineStr">
        <is>
          <t>FY2020</t>
        </is>
      </c>
      <c r="D16" s="15" t="n">
        <v>0.6477016667490333</v>
      </c>
      <c r="E16" s="15" t="n">
        <v>1.067207757665454</v>
      </c>
      <c r="F16" s="15">
        <f>D16-E16</f>
        <v>-0.41950609091642066</v>
      </c>
      <c r="G16" t="inlineStr"/>
      <c r="H16" s="14" t="n">
        <v>11668000000</v>
      </c>
      <c r="I16" s="14" t="n">
        <v>11668000000</v>
      </c>
      <c r="J16" s="14" t="n">
        <v>14105000000</v>
      </c>
      <c r="K16" s="14" t="n">
        <v>8560500000</v>
      </c>
      <c r="L16" t="inlineStr">
        <is>
          <t>reported</t>
        </is>
      </c>
      <c r="M16" t="inlineStr">
        <is>
          <t>투하자본(분모) +64.8%</t>
        </is>
      </c>
    </row>
    <row r="17">
      <c r="A17" t="inlineStr">
        <is>
          <t>마이크로소프트</t>
        </is>
      </c>
      <c r="B17" t="inlineStr">
        <is>
          <t>MSFT</t>
        </is>
      </c>
      <c r="C17" t="inlineStr">
        <is>
          <t>FY2017</t>
        </is>
      </c>
      <c r="D17" s="15" t="n">
        <v>0.7703668388862197</v>
      </c>
      <c r="E17" s="15" t="n">
        <v>1.170981658246914</v>
      </c>
      <c r="F17" s="15">
        <f>D17-E17</f>
        <v>-0.4006148193606942</v>
      </c>
      <c r="G17" t="inlineStr"/>
      <c r="H17" s="14" t="n">
        <v>29025000000</v>
      </c>
      <c r="I17" s="14" t="n">
        <v>29025000000</v>
      </c>
      <c r="J17" s="14" t="n">
        <v>32117500000</v>
      </c>
      <c r="K17" s="14" t="n">
        <v>21129500000</v>
      </c>
      <c r="L17" t="inlineStr">
        <is>
          <t>reported</t>
        </is>
      </c>
      <c r="M17" t="inlineStr">
        <is>
          <t>투하자본(분모) +52.0%</t>
        </is>
      </c>
    </row>
    <row r="18">
      <c r="A18" t="inlineStr">
        <is>
          <t>필립모리스 인터내셔널</t>
        </is>
      </c>
      <c r="B18" t="inlineStr">
        <is>
          <t>PM</t>
        </is>
      </c>
      <c r="C18" t="inlineStr">
        <is>
          <t>FY2019</t>
        </is>
      </c>
      <c r="D18" s="15" t="n">
        <v>0.5573508913541839</v>
      </c>
      <c r="E18" s="15" t="n">
        <v>0.9396167156701485</v>
      </c>
      <c r="F18" s="15">
        <f>D18-E18</f>
        <v>-0.38226582431596456</v>
      </c>
      <c r="G18" t="inlineStr"/>
      <c r="H18" s="14" t="n">
        <v>10531000000</v>
      </c>
      <c r="I18" s="14" t="n">
        <v>10531000000</v>
      </c>
      <c r="J18" s="14" t="n">
        <v>14506000000</v>
      </c>
      <c r="K18" s="14" t="n">
        <v>8604500000</v>
      </c>
      <c r="L18" t="inlineStr">
        <is>
          <t>reported</t>
        </is>
      </c>
      <c r="M18" t="inlineStr">
        <is>
          <t>투하자본(분모) +68.6%</t>
        </is>
      </c>
    </row>
    <row r="19">
      <c r="A19" t="inlineStr">
        <is>
          <t>KLA</t>
        </is>
      </c>
      <c r="B19" t="inlineStr">
        <is>
          <t>KLAC</t>
        </is>
      </c>
      <c r="C19" t="inlineStr">
        <is>
          <t>FY2016</t>
        </is>
      </c>
      <c r="D19" s="15" t="n">
        <v>0.624720710865556</v>
      </c>
      <c r="E19" s="15" t="n">
        <v>0.2594855796424375</v>
      </c>
      <c r="F19" s="15">
        <f>D19-E19</f>
        <v>0.3652351312231185</v>
      </c>
      <c r="G19" t="inlineStr"/>
      <c r="H19" s="14" t="n">
        <v>943945000</v>
      </c>
      <c r="I19" s="14" t="n">
        <v>858192000</v>
      </c>
      <c r="J19" s="14" t="n">
        <v>1240250000</v>
      </c>
      <c r="K19" s="14" t="n">
        <v>2714686500</v>
      </c>
      <c r="L19" t="inlineStr">
        <is>
          <t>verified_line_build</t>
        </is>
      </c>
      <c r="M19" t="inlineStr">
        <is>
          <t>영업이익(분자) +10.0%, 투하자본(분모) -54.3%, 신규 분자 추정경로(verified_line_build), 구 분자 = 세전이익+이자</t>
        </is>
      </c>
    </row>
    <row r="20">
      <c r="A20" t="inlineStr">
        <is>
          <t>필립모리스 인터내셔널</t>
        </is>
      </c>
      <c r="B20" t="inlineStr">
        <is>
          <t>PM</t>
        </is>
      </c>
      <c r="C20" t="inlineStr">
        <is>
          <t>FY2021</t>
        </is>
      </c>
      <c r="D20" s="15" t="n">
        <v>0.7060784123644922</v>
      </c>
      <c r="E20" s="15" t="n">
        <v>1.06918531189683</v>
      </c>
      <c r="F20" s="15">
        <f>D20-E20</f>
        <v>-0.36310689953233777</v>
      </c>
      <c r="G20" t="inlineStr"/>
      <c r="H20" s="14" t="n">
        <v>12975000000</v>
      </c>
      <c r="I20" s="14" t="n">
        <v>12975000000</v>
      </c>
      <c r="J20" s="14" t="n">
        <v>14363500000</v>
      </c>
      <c r="K20" s="14" t="n">
        <v>9485500000</v>
      </c>
      <c r="L20" t="inlineStr">
        <is>
          <t>reported</t>
        </is>
      </c>
      <c r="M20" t="inlineStr">
        <is>
          <t>투하자본(분모) +51.4%</t>
        </is>
      </c>
    </row>
    <row r="21">
      <c r="A21" t="inlineStr">
        <is>
          <t>팔로알토 네트웍스</t>
        </is>
      </c>
      <c r="B21" t="inlineStr">
        <is>
          <t>PANW</t>
        </is>
      </c>
      <c r="C21" t="inlineStr">
        <is>
          <t>FY2016</t>
        </is>
      </c>
      <c r="D21" s="15" t="n">
        <v>-0.4762100019160759</v>
      </c>
      <c r="E21" s="15" t="n">
        <v>-0.1422633085289067</v>
      </c>
      <c r="F21" s="15">
        <f>D21-E21</f>
        <v>-0.3339466933871692</v>
      </c>
      <c r="G21" t="inlineStr"/>
      <c r="H21" s="14" t="n">
        <v>-157300000</v>
      </c>
      <c r="I21" s="14" t="n">
        <v>-157300000</v>
      </c>
      <c r="J21" s="14" t="n">
        <v>260950000</v>
      </c>
      <c r="K21" s="14" t="n">
        <v>873500000</v>
      </c>
      <c r="L21" t="inlineStr">
        <is>
          <t>reported</t>
        </is>
      </c>
      <c r="M21" t="inlineStr">
        <is>
          <t>투하자본(분모) -70.1%</t>
        </is>
      </c>
    </row>
    <row r="22">
      <c r="A22" t="inlineStr">
        <is>
          <t>코카콜라</t>
        </is>
      </c>
      <c r="B22" t="inlineStr">
        <is>
          <t>KO</t>
        </is>
      </c>
      <c r="C22" t="inlineStr">
        <is>
          <t>FY2020</t>
        </is>
      </c>
      <c r="D22" s="15" t="n">
        <v>0.1286750127320722</v>
      </c>
      <c r="E22" s="15" t="n">
        <v>0.4331212667634699</v>
      </c>
      <c r="F22" s="15">
        <f>D22-E22</f>
        <v>-0.3044462540313977</v>
      </c>
      <c r="G22" t="inlineStr"/>
      <c r="H22" s="14" t="n">
        <v>8997000000</v>
      </c>
      <c r="I22" s="14" t="n">
        <v>8997000000</v>
      </c>
      <c r="J22" s="14" t="n">
        <v>55712500000</v>
      </c>
      <c r="K22" s="14" t="n">
        <v>16551500000</v>
      </c>
      <c r="L22" t="inlineStr">
        <is>
          <t>reported</t>
        </is>
      </c>
      <c r="M22" t="inlineStr">
        <is>
          <t>투하자본(분모) +236.6%</t>
        </is>
      </c>
    </row>
    <row r="23">
      <c r="A23" t="inlineStr">
        <is>
          <t>마스터카드</t>
        </is>
      </c>
      <c r="B23" t="inlineStr">
        <is>
          <t>MA</t>
        </is>
      </c>
      <c r="C23" t="inlineStr">
        <is>
          <t>FY2019</t>
        </is>
      </c>
      <c r="D23" s="15" t="n">
        <v>1.589845365271575</v>
      </c>
      <c r="E23" s="15" t="n">
        <v>1.292107676463204</v>
      </c>
      <c r="F23" s="15">
        <f>D23-E23</f>
        <v>0.2977376888083709</v>
      </c>
      <c r="G23" t="inlineStr"/>
      <c r="H23" s="14" t="n">
        <v>9664000000</v>
      </c>
      <c r="I23" s="14" t="n">
        <v>9664000000</v>
      </c>
      <c r="J23" s="14" t="n">
        <v>5071000000</v>
      </c>
      <c r="K23" s="14" t="n">
        <v>6239500000</v>
      </c>
      <c r="L23" t="inlineStr">
        <is>
          <t>reported</t>
        </is>
      </c>
      <c r="M23" t="inlineStr">
        <is>
          <t>투하자본(분모) -18.7%</t>
        </is>
      </c>
    </row>
    <row r="24">
      <c r="A24" t="inlineStr">
        <is>
          <t>필립모리스 인터내셔널</t>
        </is>
      </c>
      <c r="B24" t="inlineStr">
        <is>
          <t>PM</t>
        </is>
      </c>
      <c r="C24" t="inlineStr">
        <is>
          <t>FY2018</t>
        </is>
      </c>
      <c r="D24" s="15" t="n">
        <v>0.5829530578354593</v>
      </c>
      <c r="E24" s="15" t="n">
        <v>0.8790895883932808</v>
      </c>
      <c r="F24" s="15">
        <f>D24-E24</f>
        <v>-0.2961365305578215</v>
      </c>
      <c r="G24" t="inlineStr"/>
      <c r="H24" s="14" t="n">
        <v>11377000000</v>
      </c>
      <c r="I24" s="14" t="n">
        <v>11377000000</v>
      </c>
      <c r="J24" s="14" t="n">
        <v>15044500000</v>
      </c>
      <c r="K24" s="14" t="n">
        <v>9976500000</v>
      </c>
      <c r="L24" t="inlineStr">
        <is>
          <t>reported</t>
        </is>
      </c>
      <c r="M24" t="inlineStr">
        <is>
          <t>투하자본(분모) +50.8%</t>
        </is>
      </c>
    </row>
    <row r="25">
      <c r="A25" t="inlineStr">
        <is>
          <t>팔로알토 네트웍스</t>
        </is>
      </c>
      <c r="B25" t="inlineStr">
        <is>
          <t>PANW</t>
        </is>
      </c>
      <c r="C25" t="inlineStr">
        <is>
          <t>FY2023</t>
        </is>
      </c>
      <c r="D25" s="15" t="n">
        <v>0.3753796017673298</v>
      </c>
      <c r="E25" s="15" t="n">
        <v>0.08272239845287337</v>
      </c>
      <c r="F25" s="15">
        <f>D25-E25</f>
        <v>0.29265720331445644</v>
      </c>
      <c r="G25" s="18" t="inlineStr">
        <is>
          <t>예</t>
        </is>
      </c>
      <c r="H25" s="14" t="n">
        <v>387300000</v>
      </c>
      <c r="I25" s="14" t="n">
        <v>387300000</v>
      </c>
      <c r="J25" s="14" t="n">
        <v>801100000</v>
      </c>
      <c r="K25" s="14" t="n">
        <v>3635250000</v>
      </c>
      <c r="L25" t="inlineStr">
        <is>
          <t>reported</t>
        </is>
      </c>
      <c r="M25" t="inlineStr">
        <is>
          <t>투하자본(분모) -78.0%</t>
        </is>
      </c>
    </row>
    <row r="26">
      <c r="A26" t="inlineStr">
        <is>
          <t>코카콜라</t>
        </is>
      </c>
      <c r="B26" t="inlineStr">
        <is>
          <t>KO</t>
        </is>
      </c>
      <c r="C26" t="inlineStr">
        <is>
          <t>FY2018</t>
        </is>
      </c>
      <c r="D26" s="15" t="n">
        <v>0.1407013446052638</v>
      </c>
      <c r="E26" s="15" t="n">
        <v>0.4290873649098747</v>
      </c>
      <c r="F26" s="15">
        <f>D26-E26</f>
        <v>-0.2883860203046109</v>
      </c>
      <c r="G26" t="inlineStr"/>
      <c r="H26" s="14" t="n">
        <v>9152000000</v>
      </c>
      <c r="I26" s="14" t="n">
        <v>9152000000</v>
      </c>
      <c r="J26" s="14" t="n">
        <v>51214000000</v>
      </c>
      <c r="K26" s="14" t="n">
        <v>16793500000</v>
      </c>
      <c r="L26" t="inlineStr">
        <is>
          <t>reported</t>
        </is>
      </c>
      <c r="M26" t="inlineStr">
        <is>
          <t>투하자본(분모) +205.0%</t>
        </is>
      </c>
    </row>
    <row r="27">
      <c r="A27" t="inlineStr">
        <is>
          <t>시스코 시스템즈</t>
        </is>
      </c>
      <c r="B27" t="inlineStr">
        <is>
          <t>CSCO</t>
        </is>
      </c>
      <c r="C27" t="inlineStr">
        <is>
          <t>FY2016</t>
        </is>
      </c>
      <c r="D27" s="15" t="n">
        <v>0.4117178274499387</v>
      </c>
      <c r="E27" s="15" t="n">
        <v>0.1292952773848151</v>
      </c>
      <c r="F27" s="15">
        <f>D27-E27</f>
        <v>0.28242255006512357</v>
      </c>
      <c r="G27" t="inlineStr"/>
      <c r="H27" s="14" t="n">
        <v>12660000000</v>
      </c>
      <c r="I27" s="14" t="n">
        <v>12660000000</v>
      </c>
      <c r="J27" s="14" t="n">
        <v>25558500000</v>
      </c>
      <c r="K27" s="14" t="n">
        <v>81386500000</v>
      </c>
      <c r="L27" t="inlineStr">
        <is>
          <t>reported</t>
        </is>
      </c>
      <c r="M27" t="inlineStr">
        <is>
          <t>투하자본(분모) -68.6%</t>
        </is>
      </c>
    </row>
    <row r="28">
      <c r="A28" t="inlineStr">
        <is>
          <t>코카콜라</t>
        </is>
      </c>
      <c r="B28" t="inlineStr">
        <is>
          <t>KO</t>
        </is>
      </c>
      <c r="C28" t="inlineStr">
        <is>
          <t>FY2019</t>
        </is>
      </c>
      <c r="D28" s="15" t="n">
        <v>0.1565879490919359</v>
      </c>
      <c r="E28" s="15" t="n">
        <v>0.4202727657492892</v>
      </c>
      <c r="F28" s="15">
        <f>D28-E28</f>
        <v>-0.26368481665735327</v>
      </c>
      <c r="G28" t="inlineStr"/>
      <c r="H28" s="14" t="n">
        <v>10086000000</v>
      </c>
      <c r="I28" s="14" t="n">
        <v>10086000000</v>
      </c>
      <c r="J28" s="14" t="n">
        <v>53656000000</v>
      </c>
      <c r="K28" s="14" t="n">
        <v>19991500000</v>
      </c>
      <c r="L28" t="inlineStr">
        <is>
          <t>reported</t>
        </is>
      </c>
      <c r="M28" t="inlineStr">
        <is>
          <t>투하자본(분모) +168.4%</t>
        </is>
      </c>
    </row>
    <row r="29">
      <c r="A29" t="inlineStr">
        <is>
          <t>필립모리스 인터내셔널</t>
        </is>
      </c>
      <c r="B29" t="inlineStr">
        <is>
          <t>PM</t>
        </is>
      </c>
      <c r="C29" t="inlineStr">
        <is>
          <t>FY2016</t>
        </is>
      </c>
      <c r="D29" s="15" t="n">
        <v>0.5714655660687955</v>
      </c>
      <c r="E29" s="15" t="n">
        <v>0.8284007718446293</v>
      </c>
      <c r="F29" s="15">
        <f>D29-E29</f>
        <v>-0.25693520577583384</v>
      </c>
      <c r="G29" t="inlineStr"/>
      <c r="H29" s="14" t="n">
        <v>10903000000</v>
      </c>
      <c r="I29" s="14" t="n">
        <v>10903000000</v>
      </c>
      <c r="J29" s="14" t="n">
        <v>13757500000</v>
      </c>
      <c r="K29" s="14" t="n">
        <v>9490500000</v>
      </c>
      <c r="L29" t="inlineStr">
        <is>
          <t>reported</t>
        </is>
      </c>
      <c r="M29" t="inlineStr">
        <is>
          <t>투하자본(분모) +45.0%</t>
        </is>
      </c>
    </row>
    <row r="30">
      <c r="A30" t="inlineStr">
        <is>
          <t>램리서치</t>
        </is>
      </c>
      <c r="B30" t="inlineStr">
        <is>
          <t>LRCX</t>
        </is>
      </c>
      <c r="C30" t="inlineStr">
        <is>
          <t>FY2018</t>
        </is>
      </c>
      <c r="D30" s="15" t="n">
        <v>0.6572223362695518</v>
      </c>
      <c r="E30" s="15" t="n">
        <v>0.4175989916830424</v>
      </c>
      <c r="F30" s="15">
        <f>D30-E30</f>
        <v>0.23962334458650947</v>
      </c>
      <c r="G30" t="inlineStr"/>
      <c r="H30" s="14" t="n">
        <v>3213299000</v>
      </c>
      <c r="I30" s="14" t="n">
        <v>3213299000</v>
      </c>
      <c r="J30" s="14" t="n">
        <v>3693030500</v>
      </c>
      <c r="K30" s="14" t="n">
        <v>5812136000</v>
      </c>
      <c r="L30" t="inlineStr">
        <is>
          <t>reported</t>
        </is>
      </c>
      <c r="M30" t="inlineStr">
        <is>
          <t>투하자본(분모) -36.5%</t>
        </is>
      </c>
    </row>
    <row r="31">
      <c r="A31" t="inlineStr">
        <is>
          <t>램리서치</t>
        </is>
      </c>
      <c r="B31" t="inlineStr">
        <is>
          <t>LRCX</t>
        </is>
      </c>
      <c r="C31" t="inlineStr">
        <is>
          <t>FY2017</t>
        </is>
      </c>
      <c r="D31" s="15" t="n">
        <v>0.520554144382932</v>
      </c>
      <c r="E31" s="15" t="n">
        <v>0.2898375384074804</v>
      </c>
      <c r="F31" s="15">
        <f>D31-E31</f>
        <v>0.23071660597545163</v>
      </c>
      <c r="G31" t="inlineStr"/>
      <c r="H31" s="14" t="n">
        <v>1902132000</v>
      </c>
      <c r="I31" s="14" t="n">
        <v>1902132000</v>
      </c>
      <c r="J31" s="14" t="n">
        <v>3424301500</v>
      </c>
      <c r="K31" s="14" t="n">
        <v>6150115500</v>
      </c>
      <c r="L31" t="inlineStr">
        <is>
          <t>reported</t>
        </is>
      </c>
      <c r="M31" t="inlineStr">
        <is>
          <t>투하자본(분모) -44.3%</t>
        </is>
      </c>
    </row>
    <row r="32">
      <c r="A32" t="inlineStr">
        <is>
          <t>시스코 시스템즈</t>
        </is>
      </c>
      <c r="B32" t="inlineStr">
        <is>
          <t>CSCO</t>
        </is>
      </c>
      <c r="C32" t="inlineStr">
        <is>
          <t>FY2017</t>
        </is>
      </c>
      <c r="D32" s="15" t="n">
        <v>0.3354027128848637</v>
      </c>
      <c r="E32" s="15" t="n">
        <v>0.1084082519289439</v>
      </c>
      <c r="F32" s="15">
        <f>D32-E32</f>
        <v>0.22699446095591977</v>
      </c>
      <c r="G32" t="inlineStr"/>
      <c r="H32" s="14" t="n">
        <v>11973000000</v>
      </c>
      <c r="I32" s="14" t="n">
        <v>11973000000</v>
      </c>
      <c r="J32" s="14" t="n">
        <v>27917000000</v>
      </c>
      <c r="K32" s="14" t="n">
        <v>86372000000</v>
      </c>
      <c r="L32" t="inlineStr">
        <is>
          <t>reported</t>
        </is>
      </c>
      <c r="M32" t="inlineStr">
        <is>
          <t>투하자본(분모) -67.7%</t>
        </is>
      </c>
    </row>
    <row r="33">
      <c r="A33" t="inlineStr">
        <is>
          <t>코카콜라</t>
        </is>
      </c>
      <c r="B33" t="inlineStr">
        <is>
          <t>KO</t>
        </is>
      </c>
      <c r="C33" t="inlineStr">
        <is>
          <t>FY2016</t>
        </is>
      </c>
      <c r="D33" s="15" t="n">
        <v>0.1330477120233356</v>
      </c>
      <c r="E33" s="15" t="n">
        <v>0.3467382238267854</v>
      </c>
      <c r="F33" s="15">
        <f>D33-E33</f>
        <v>-0.21369051180344978</v>
      </c>
      <c r="G33" t="inlineStr"/>
      <c r="H33" s="14" t="n">
        <v>8657000000</v>
      </c>
      <c r="I33" s="14" t="n">
        <v>8657000000</v>
      </c>
      <c r="J33" s="14" t="n">
        <v>52383000000</v>
      </c>
      <c r="K33" s="14" t="n">
        <v>20100000000</v>
      </c>
      <c r="L33" t="inlineStr">
        <is>
          <t>reported</t>
        </is>
      </c>
      <c r="M33" t="inlineStr">
        <is>
          <t>투하자본(분모) +160.6%</t>
        </is>
      </c>
    </row>
    <row r="34">
      <c r="A34" t="inlineStr">
        <is>
          <t>램리서치</t>
        </is>
      </c>
      <c r="B34" t="inlineStr">
        <is>
          <t>LRCX</t>
        </is>
      </c>
      <c r="C34" t="inlineStr">
        <is>
          <t>FY2021</t>
        </is>
      </c>
      <c r="D34" s="15" t="n">
        <v>0.8419560854631192</v>
      </c>
      <c r="E34" s="15" t="n">
        <v>0.6350344846979754</v>
      </c>
      <c r="F34" s="15">
        <f>D34-E34</f>
        <v>0.20692160076514376</v>
      </c>
      <c r="G34" t="inlineStr"/>
      <c r="H34" s="14" t="n">
        <v>4482023000</v>
      </c>
      <c r="I34" s="14" t="n">
        <v>4482023000</v>
      </c>
      <c r="J34" s="14" t="n">
        <v>4760239000</v>
      </c>
      <c r="K34" s="14" t="n">
        <v>6311330000</v>
      </c>
      <c r="L34" t="inlineStr">
        <is>
          <t>reported</t>
        </is>
      </c>
      <c r="M34" t="inlineStr">
        <is>
          <t>투하자본(분모) -24.6%</t>
        </is>
      </c>
    </row>
    <row r="35">
      <c r="A35" t="inlineStr">
        <is>
          <t>코카콜라</t>
        </is>
      </c>
      <c r="B35" t="inlineStr">
        <is>
          <t>KO</t>
        </is>
      </c>
      <c r="C35" t="inlineStr">
        <is>
          <t>FY2017</t>
        </is>
      </c>
      <c r="D35" s="15" t="n">
        <v>0.09155754075619091</v>
      </c>
      <c r="E35" s="15" t="n">
        <v>0.2918430708439176</v>
      </c>
      <c r="F35" s="15">
        <f>D35-E35</f>
        <v>-0.20028553008772668</v>
      </c>
      <c r="G35" s="18" t="inlineStr">
        <is>
          <t>예</t>
        </is>
      </c>
      <c r="H35" s="14" t="n">
        <v>7755000000</v>
      </c>
      <c r="I35" s="14" t="n">
        <v>7755000000</v>
      </c>
      <c r="J35" s="14" t="n">
        <v>50820500000</v>
      </c>
      <c r="K35" s="14" t="n">
        <v>15943500000</v>
      </c>
      <c r="L35" t="inlineStr">
        <is>
          <t>reported</t>
        </is>
      </c>
      <c r="M35" t="inlineStr">
        <is>
          <t>투하자본(분모) +218.8%</t>
        </is>
      </c>
    </row>
    <row r="36">
      <c r="A36" t="inlineStr">
        <is>
          <t>팔로알토 네트웍스</t>
        </is>
      </c>
      <c r="B36" t="inlineStr">
        <is>
          <t>PANW</t>
        </is>
      </c>
      <c r="C36" t="inlineStr">
        <is>
          <t>FY2022</t>
        </is>
      </c>
      <c r="D36" s="15" t="n">
        <v>-0.2461863497565404</v>
      </c>
      <c r="E36" s="15" t="n">
        <v>-0.04627450980392157</v>
      </c>
      <c r="F36" s="15">
        <f>D36-E36</f>
        <v>-0.19991183995261885</v>
      </c>
      <c r="G36" t="inlineStr"/>
      <c r="H36" s="14" t="n">
        <v>-188800000</v>
      </c>
      <c r="I36" s="14" t="n">
        <v>-188800000</v>
      </c>
      <c r="J36" s="14" t="n">
        <v>605850000</v>
      </c>
      <c r="K36" s="14" t="n">
        <v>3223200000</v>
      </c>
      <c r="L36" t="inlineStr">
        <is>
          <t>reported</t>
        </is>
      </c>
      <c r="M36" t="inlineStr">
        <is>
          <t>투하자본(분모) -81.2%</t>
        </is>
      </c>
    </row>
    <row r="37">
      <c r="A37" t="inlineStr">
        <is>
          <t>필립모리스 인터내셔널</t>
        </is>
      </c>
      <c r="B37" t="inlineStr">
        <is>
          <t>PM</t>
        </is>
      </c>
      <c r="C37" t="inlineStr">
        <is>
          <t>FY2017</t>
        </is>
      </c>
      <c r="D37" s="15" t="n">
        <v>0.4696586684690774</v>
      </c>
      <c r="E37" s="15" t="n">
        <v>0.6659893611923132</v>
      </c>
      <c r="F37" s="15">
        <f>D37-E37</f>
        <v>-0.19633069272323583</v>
      </c>
      <c r="G37" t="inlineStr"/>
      <c r="H37" s="14" t="n">
        <v>11581000000</v>
      </c>
      <c r="I37" s="14" t="n">
        <v>11581000000</v>
      </c>
      <c r="J37" s="14" t="n">
        <v>14795000000</v>
      </c>
      <c r="K37" s="14" t="n">
        <v>10433500000</v>
      </c>
      <c r="L37" t="inlineStr">
        <is>
          <t>reported</t>
        </is>
      </c>
      <c r="M37" t="inlineStr">
        <is>
          <t>투하자본(분모) +41.8%</t>
        </is>
      </c>
    </row>
    <row r="38">
      <c r="A38" t="inlineStr">
        <is>
          <t>제너럴 일렉트릭</t>
        </is>
      </c>
      <c r="B38" t="inlineStr">
        <is>
          <t>GE</t>
        </is>
      </c>
      <c r="C38" t="inlineStr">
        <is>
          <t>FY2023</t>
        </is>
      </c>
      <c r="D38" s="15" t="n">
        <v>0.08737603033627693</v>
      </c>
      <c r="E38" s="15" t="n">
        <v>0.2706023889318553</v>
      </c>
      <c r="F38" s="15">
        <f>D38-E38</f>
        <v>-0.18322635859557834</v>
      </c>
      <c r="G38" s="18" t="inlineStr">
        <is>
          <t>예</t>
        </is>
      </c>
      <c r="H38" s="14" t="n">
        <v>3723000000</v>
      </c>
      <c r="I38" s="14" t="n">
        <v>10441000000</v>
      </c>
      <c r="J38" s="14" t="n">
        <v>38552500000</v>
      </c>
      <c r="K38" s="14" t="n">
        <v>34911000000</v>
      </c>
      <c r="L38" t="inlineStr">
        <is>
          <t>pretax_less_nonoperating</t>
        </is>
      </c>
      <c r="M38" t="inlineStr">
        <is>
          <t>영업이익(분자) -64.3%, 투하자본(분모) +10.4%, 신규 분자 추정경로(pretax_less_nonoperating), 구 분자 = 세전이익+이자</t>
        </is>
      </c>
    </row>
    <row r="39">
      <c r="A39" t="inlineStr">
        <is>
          <t>램리서치</t>
        </is>
      </c>
      <c r="B39" t="inlineStr">
        <is>
          <t>LRCX</t>
        </is>
      </c>
      <c r="C39" t="inlineStr">
        <is>
          <t>FY2020</t>
        </is>
      </c>
      <c r="D39" s="15" t="n">
        <v>0.5890354469388079</v>
      </c>
      <c r="E39" s="15" t="n">
        <v>0.4066931908125533</v>
      </c>
      <c r="F39" s="15">
        <f>D39-E39</f>
        <v>0.18234225612625465</v>
      </c>
      <c r="G39" t="inlineStr"/>
      <c r="H39" s="14" t="n">
        <v>2673802000</v>
      </c>
      <c r="I39" s="14" t="n">
        <v>2673802000</v>
      </c>
      <c r="J39" s="14" t="n">
        <v>3969493000</v>
      </c>
      <c r="K39" s="14" t="n">
        <v>5749228500</v>
      </c>
      <c r="L39" t="inlineStr">
        <is>
          <t>reported</t>
        </is>
      </c>
      <c r="M39" t="inlineStr">
        <is>
          <t>투하자본(분모) -31.0%</t>
        </is>
      </c>
    </row>
    <row r="40">
      <c r="A40" t="inlineStr">
        <is>
          <t>팔로알토 네트웍스</t>
        </is>
      </c>
      <c r="B40" t="inlineStr">
        <is>
          <t>PANW</t>
        </is>
      </c>
      <c r="C40" t="inlineStr">
        <is>
          <t>FY2021</t>
        </is>
      </c>
      <c r="D40" s="15" t="n">
        <v>-0.3438125223613596</v>
      </c>
      <c r="E40" s="15" t="n">
        <v>-0.1625763010083237</v>
      </c>
      <c r="F40" s="15">
        <f>D40-E40</f>
        <v>-0.1812362213530359</v>
      </c>
      <c r="G40" t="inlineStr"/>
      <c r="H40" s="14" t="n">
        <v>-304100000</v>
      </c>
      <c r="I40" s="14" t="n">
        <v>-304100000</v>
      </c>
      <c r="J40" s="14" t="n">
        <v>698750000</v>
      </c>
      <c r="K40" s="14" t="n">
        <v>1477700000</v>
      </c>
      <c r="L40" t="inlineStr">
        <is>
          <t>reported</t>
        </is>
      </c>
      <c r="M40" t="inlineStr">
        <is>
          <t>투하자본(분모) -52.7%</t>
        </is>
      </c>
    </row>
    <row r="41">
      <c r="A41" t="inlineStr">
        <is>
          <t>비자</t>
        </is>
      </c>
      <c r="B41" t="inlineStr">
        <is>
          <t>V</t>
        </is>
      </c>
      <c r="C41" t="inlineStr">
        <is>
          <t>FY2018</t>
        </is>
      </c>
      <c r="D41" s="15" t="n">
        <v>0.2713165954887478</v>
      </c>
      <c r="E41" s="15" t="n">
        <v>0.4429822301219302</v>
      </c>
      <c r="F41" s="15">
        <f>D41-E41</f>
        <v>-0.1716656346331824</v>
      </c>
      <c r="G41" t="inlineStr"/>
      <c r="H41" s="14" t="n">
        <v>12954000000</v>
      </c>
      <c r="I41" s="14" t="n">
        <v>12954000000</v>
      </c>
      <c r="J41" s="14" t="n">
        <v>38405500000</v>
      </c>
      <c r="K41" s="14" t="n">
        <v>23522500000</v>
      </c>
      <c r="L41" t="inlineStr">
        <is>
          <t>reported</t>
        </is>
      </c>
      <c r="M41" t="inlineStr">
        <is>
          <t>투하자본(분모) +63.3%</t>
        </is>
      </c>
    </row>
    <row r="42">
      <c r="A42" t="inlineStr">
        <is>
          <t>제너럴 일렉트릭</t>
        </is>
      </c>
      <c r="B42" t="inlineStr">
        <is>
          <t>GE</t>
        </is>
      </c>
      <c r="C42" t="inlineStr">
        <is>
          <t>FY2020</t>
        </is>
      </c>
      <c r="D42" s="15" t="n">
        <v>-0.09216671434701759</v>
      </c>
      <c r="E42" s="15" t="n">
        <v>0.0720757930052867</v>
      </c>
      <c r="F42" s="15">
        <f>D42-E42</f>
        <v>-0.16424250735230428</v>
      </c>
      <c r="G42" t="inlineStr"/>
      <c r="H42" s="14" t="n">
        <v>-5426000000</v>
      </c>
      <c r="I42" s="14" t="n">
        <v>5970000000</v>
      </c>
      <c r="J42" s="14" t="n">
        <v>55928000000</v>
      </c>
      <c r="K42" s="14" t="n">
        <v>78688000000</v>
      </c>
      <c r="L42" t="inlineStr">
        <is>
          <t>pretax_less_nonoperating</t>
        </is>
      </c>
      <c r="M42" t="inlineStr">
        <is>
          <t>영업이익(분자) -190.9%, 투하자본(분모) -28.9%, 신규 분자 추정경로(pretax_less_nonoperating), 구 분자 = 세전이익+이자</t>
        </is>
      </c>
    </row>
    <row r="43">
      <c r="A43" t="inlineStr">
        <is>
          <t>시스코 시스템즈</t>
        </is>
      </c>
      <c r="B43" t="inlineStr">
        <is>
          <t>CSCO</t>
        </is>
      </c>
      <c r="C43" t="inlineStr">
        <is>
          <t>FY2018</t>
        </is>
      </c>
      <c r="D43" s="15" t="n">
        <v>0.286327950840328</v>
      </c>
      <c r="E43" s="15" t="n">
        <v>0.1338286325212239</v>
      </c>
      <c r="F43" s="15">
        <f>D43-E43</f>
        <v>0.15249931831910413</v>
      </c>
      <c r="G43" t="inlineStr"/>
      <c r="H43" s="14" t="n">
        <v>12309000000</v>
      </c>
      <c r="I43" s="14" t="n">
        <v>12309000000</v>
      </c>
      <c r="J43" s="14" t="n">
        <v>25793500000</v>
      </c>
      <c r="K43" s="14" t="n">
        <v>55185500000</v>
      </c>
      <c r="L43" t="inlineStr">
        <is>
          <t>reported</t>
        </is>
      </c>
      <c r="M43" t="inlineStr">
        <is>
          <t>투하자본(분모) -53.3%</t>
        </is>
      </c>
    </row>
    <row r="44">
      <c r="A44" t="inlineStr">
        <is>
          <t>브로드컴</t>
        </is>
      </c>
      <c r="B44" t="inlineStr">
        <is>
          <t>AVGO</t>
        </is>
      </c>
      <c r="C44" t="inlineStr">
        <is>
          <t>FY2018</t>
        </is>
      </c>
      <c r="D44" s="15" t="n">
        <v>0.1403732159300184</v>
      </c>
      <c r="E44" s="15" t="n">
        <v>0.2830925023212628</v>
      </c>
      <c r="F44" s="15">
        <f>D44-E44</f>
        <v>-0.14271928639124443</v>
      </c>
      <c r="G44" t="inlineStr"/>
      <c r="H44" s="14" t="n">
        <v>5135000000</v>
      </c>
      <c r="I44" s="14" t="n">
        <v>5135000000</v>
      </c>
      <c r="J44" s="14" t="n">
        <v>34752000000</v>
      </c>
      <c r="K44" s="14" t="n">
        <v>17232000000</v>
      </c>
      <c r="L44" t="inlineStr">
        <is>
          <t>reported</t>
        </is>
      </c>
      <c r="M44" t="inlineStr">
        <is>
          <t>투하자본(분모) +101.7%</t>
        </is>
      </c>
    </row>
    <row r="45">
      <c r="A45" t="inlineStr">
        <is>
          <t>팔로알토 네트웍스</t>
        </is>
      </c>
      <c r="B45" t="inlineStr">
        <is>
          <t>PANW</t>
        </is>
      </c>
      <c r="C45" t="inlineStr">
        <is>
          <t>FY2024</t>
        </is>
      </c>
      <c r="D45" s="15" t="n">
        <v>0.3298226023399233</v>
      </c>
      <c r="E45" s="15" t="n">
        <v>0.188424059627041</v>
      </c>
      <c r="F45" s="15">
        <f>D45-E45</f>
        <v>0.14139854271288227</v>
      </c>
      <c r="G45" t="inlineStr"/>
      <c r="H45" s="14" t="n">
        <v>684000000</v>
      </c>
      <c r="I45" s="14" t="n">
        <v>683900000</v>
      </c>
      <c r="J45" s="14" t="n">
        <v>1970150000</v>
      </c>
      <c r="K45" s="14" t="n">
        <v>3448100000</v>
      </c>
      <c r="L45" t="inlineStr">
        <is>
          <t>reported</t>
        </is>
      </c>
      <c r="M45" t="inlineStr">
        <is>
          <t>투하자본(분모) -42.9%</t>
        </is>
      </c>
    </row>
    <row r="46">
      <c r="A46" t="inlineStr">
        <is>
          <t>램리서치</t>
        </is>
      </c>
      <c r="B46" t="inlineStr">
        <is>
          <t>LRCX</t>
        </is>
      </c>
      <c r="C46" t="inlineStr">
        <is>
          <t>FY2019</t>
        </is>
      </c>
      <c r="D46" s="15" t="n">
        <v>0.5809730680368415</v>
      </c>
      <c r="E46" s="15" t="n">
        <v>0.4440548083809405</v>
      </c>
      <c r="F46" s="15">
        <f>D46-E46</f>
        <v>0.13691825965590093</v>
      </c>
      <c r="G46" t="inlineStr"/>
      <c r="H46" s="14" t="n">
        <v>2464732000</v>
      </c>
      <c r="I46" s="14" t="n">
        <v>2464732000</v>
      </c>
      <c r="J46" s="14" t="n">
        <v>3799999000</v>
      </c>
      <c r="K46" s="14" t="n">
        <v>4971677000</v>
      </c>
      <c r="L46" t="inlineStr">
        <is>
          <t>reported</t>
        </is>
      </c>
      <c r="M46" t="inlineStr">
        <is>
          <t>투하자본(분모) -23.6%</t>
        </is>
      </c>
    </row>
    <row r="47">
      <c r="A47" t="inlineStr">
        <is>
          <t>브로드컴</t>
        </is>
      </c>
      <c r="B47" t="inlineStr">
        <is>
          <t>AVGO</t>
        </is>
      </c>
      <c r="C47" t="inlineStr">
        <is>
          <t>FY2020</t>
        </is>
      </c>
      <c r="D47" s="15" t="n">
        <v>0.06889493130019242</v>
      </c>
      <c r="E47" s="15" t="n">
        <v>0.1918351946875943</v>
      </c>
      <c r="F47" s="15">
        <f>D47-E47</f>
        <v>-0.12294026338740188</v>
      </c>
      <c r="G47" s="18" t="inlineStr">
        <is>
          <t>예</t>
        </is>
      </c>
      <c r="H47" s="14" t="n">
        <v>4014000000</v>
      </c>
      <c r="I47" s="14" t="n">
        <v>4014000000</v>
      </c>
      <c r="J47" s="14" t="n">
        <v>55349500000</v>
      </c>
      <c r="K47" s="14" t="n">
        <v>19878000000</v>
      </c>
      <c r="L47" t="inlineStr">
        <is>
          <t>reported</t>
        </is>
      </c>
      <c r="M47" t="inlineStr">
        <is>
          <t>투하자본(분모) +178.4%</t>
        </is>
      </c>
    </row>
    <row r="48">
      <c r="A48" t="inlineStr">
        <is>
          <t>필립모리스 인터내셔널</t>
        </is>
      </c>
      <c r="B48" t="inlineStr">
        <is>
          <t>PM</t>
        </is>
      </c>
      <c r="C48" t="inlineStr">
        <is>
          <t>FY2022</t>
        </is>
      </c>
      <c r="D48" s="15" t="n">
        <v>0.4058535999852525</v>
      </c>
      <c r="E48" s="15" t="n">
        <v>0.510086992168078</v>
      </c>
      <c r="F48" s="15">
        <f>D48-E48</f>
        <v>-0.10423339218282546</v>
      </c>
      <c r="G48" t="inlineStr"/>
      <c r="H48" s="14" t="n">
        <v>12246000000</v>
      </c>
      <c r="I48" s="14" t="n">
        <v>12246000000</v>
      </c>
      <c r="J48" s="14" t="n">
        <v>24353500000</v>
      </c>
      <c r="K48" s="14" t="n">
        <v>19377000000</v>
      </c>
      <c r="L48" t="inlineStr">
        <is>
          <t>reported</t>
        </is>
      </c>
      <c r="M48" t="inlineStr">
        <is>
          <t>투하자본(분모) +25.7%</t>
        </is>
      </c>
    </row>
    <row r="49">
      <c r="A49" t="inlineStr">
        <is>
          <t>코카콜라</t>
        </is>
      </c>
      <c r="B49" t="inlineStr">
        <is>
          <t>KO</t>
        </is>
      </c>
      <c r="C49" t="inlineStr">
        <is>
          <t>FY2023</t>
        </is>
      </c>
      <c r="D49" s="15" t="n">
        <v>0.1680410101037896</v>
      </c>
      <c r="E49" s="15" t="n">
        <v>0.2708356665170476</v>
      </c>
      <c r="F49" s="15">
        <f>D49-E49</f>
        <v>-0.102794656413258</v>
      </c>
      <c r="G49" t="inlineStr"/>
      <c r="H49" s="14" t="n">
        <v>11311000000</v>
      </c>
      <c r="I49" s="14" t="n">
        <v>11311000000</v>
      </c>
      <c r="J49" s="14" t="n">
        <v>55623000000</v>
      </c>
      <c r="K49" s="14" t="n">
        <v>34511500000</v>
      </c>
      <c r="L49" t="inlineStr">
        <is>
          <t>reported</t>
        </is>
      </c>
      <c r="M49" t="inlineStr">
        <is>
          <t>투하자본(분모) +61.2%</t>
        </is>
      </c>
    </row>
    <row r="50">
      <c r="A50" t="inlineStr">
        <is>
          <t>마이크로소프트</t>
        </is>
      </c>
      <c r="B50" t="inlineStr">
        <is>
          <t>MSFT</t>
        </is>
      </c>
      <c r="C50" t="inlineStr">
        <is>
          <t>FY2018</t>
        </is>
      </c>
      <c r="D50" s="15" t="n">
        <v>0.6363190852164443</v>
      </c>
      <c r="E50" s="15" t="n">
        <v>0.7375197223098769</v>
      </c>
      <c r="F50" s="15">
        <f>D50-E50</f>
        <v>-0.10120063709343263</v>
      </c>
      <c r="G50" t="inlineStr"/>
      <c r="H50" s="14" t="n">
        <v>35058000000</v>
      </c>
      <c r="I50" s="14" t="n">
        <v>35058000000</v>
      </c>
      <c r="J50" s="14" t="n">
        <v>33057000000</v>
      </c>
      <c r="K50" s="14" t="n">
        <v>28521000000</v>
      </c>
      <c r="L50" t="inlineStr">
        <is>
          <t>reported</t>
        </is>
      </c>
      <c r="M50" t="inlineStr">
        <is>
          <t>투하자본(분모) +15.9%</t>
        </is>
      </c>
    </row>
    <row r="51">
      <c r="A51" t="inlineStr">
        <is>
          <t>애플</t>
        </is>
      </c>
      <c r="B51" t="inlineStr">
        <is>
          <t>AAPL</t>
        </is>
      </c>
      <c r="C51" t="inlineStr">
        <is>
          <t>FY2025</t>
        </is>
      </c>
      <c r="D51" s="15" t="n">
        <v>1.039151988121321</v>
      </c>
      <c r="E51" s="15" t="n">
        <v>1.1332632726149</v>
      </c>
      <c r="F51" s="15">
        <f>D51-E51</f>
        <v>-0.09411128449357897</v>
      </c>
      <c r="G51" t="inlineStr"/>
      <c r="H51" s="14" t="n">
        <v>133050000000</v>
      </c>
      <c r="I51" s="14" t="n">
        <v>133050000000</v>
      </c>
      <c r="J51" s="14" t="n">
        <v>108050500000</v>
      </c>
      <c r="K51" s="14" t="n">
        <v>99077500000</v>
      </c>
      <c r="L51" t="inlineStr">
        <is>
          <t>reported</t>
        </is>
      </c>
      <c r="M51" t="inlineStr">
        <is>
          <t>투하자본(분모) +9.1%</t>
        </is>
      </c>
    </row>
    <row r="52">
      <c r="A52" t="inlineStr">
        <is>
          <t>비자</t>
        </is>
      </c>
      <c r="B52" t="inlineStr">
        <is>
          <t>V</t>
        </is>
      </c>
      <c r="C52" t="inlineStr">
        <is>
          <t>FY2017</t>
        </is>
      </c>
      <c r="D52" s="15" t="n">
        <v>0.187556951272877</v>
      </c>
      <c r="E52" s="15" t="n">
        <v>0.2806347250038515</v>
      </c>
      <c r="F52" s="15">
        <f>D52-E52</f>
        <v>-0.0930777737309745</v>
      </c>
      <c r="G52" t="inlineStr"/>
      <c r="H52" s="14" t="n">
        <v>12144000000</v>
      </c>
      <c r="I52" s="14" t="n">
        <v>12144000000</v>
      </c>
      <c r="J52" s="14" t="n">
        <v>38849000000</v>
      </c>
      <c r="K52" s="14" t="n">
        <v>25964000000</v>
      </c>
      <c r="L52" t="inlineStr">
        <is>
          <t>reported</t>
        </is>
      </c>
      <c r="M52" t="inlineStr">
        <is>
          <t>투하자본(분모) +49.6%</t>
        </is>
      </c>
    </row>
    <row r="53">
      <c r="A53" t="inlineStr">
        <is>
          <t>브로드컴</t>
        </is>
      </c>
      <c r="B53" t="inlineStr">
        <is>
          <t>AVGO</t>
        </is>
      </c>
      <c r="C53" t="inlineStr">
        <is>
          <t>FY2017</t>
        </is>
      </c>
      <c r="D53" s="15" t="n">
        <v>0.09325177503156762</v>
      </c>
      <c r="E53" s="15" t="n">
        <v>0.1861682783701132</v>
      </c>
      <c r="F53" s="15">
        <f>D53-E53</f>
        <v>-0.09291650333854559</v>
      </c>
      <c r="G53" s="18" t="inlineStr">
        <is>
          <t>예</t>
        </is>
      </c>
      <c r="H53" s="14" t="n">
        <v>2371000000</v>
      </c>
      <c r="I53" s="14" t="n">
        <v>2371000000</v>
      </c>
      <c r="J53" s="14" t="n">
        <v>24154500000</v>
      </c>
      <c r="K53" s="14" t="n">
        <v>12099000000</v>
      </c>
      <c r="L53" t="inlineStr">
        <is>
          <t>reported</t>
        </is>
      </c>
      <c r="M53" t="inlineStr">
        <is>
          <t>투하자본(분모) +99.6%</t>
        </is>
      </c>
    </row>
    <row r="54">
      <c r="A54" t="inlineStr">
        <is>
          <t>브로드컴</t>
        </is>
      </c>
      <c r="B54" t="inlineStr">
        <is>
          <t>AVGO</t>
        </is>
      </c>
      <c r="C54" t="inlineStr">
        <is>
          <t>FY2021</t>
        </is>
      </c>
      <c r="D54" s="15" t="n">
        <v>0.1468033775633293</v>
      </c>
      <c r="E54" s="15" t="n">
        <v>0.2326056965481562</v>
      </c>
      <c r="F54" s="15">
        <f>D54-E54</f>
        <v>-0.08580231898482688</v>
      </c>
      <c r="G54" t="inlineStr"/>
      <c r="H54" s="14" t="n">
        <v>8519000000</v>
      </c>
      <c r="I54" s="14" t="n">
        <v>8519000000</v>
      </c>
      <c r="J54" s="14" t="n">
        <v>55128500000</v>
      </c>
      <c r="K54" s="14" t="n">
        <v>34793000000</v>
      </c>
      <c r="L54" t="inlineStr">
        <is>
          <t>reported</t>
        </is>
      </c>
      <c r="M54" t="inlineStr">
        <is>
          <t>투하자본(분모) +58.4%</t>
        </is>
      </c>
    </row>
    <row r="55">
      <c r="A55" t="inlineStr">
        <is>
          <t>제너럴 일렉트릭</t>
        </is>
      </c>
      <c r="B55" t="inlineStr">
        <is>
          <t>GE</t>
        </is>
      </c>
      <c r="C55" t="inlineStr">
        <is>
          <t>FY2024</t>
        </is>
      </c>
      <c r="D55" s="15" t="n">
        <v>0.1582518115845556</v>
      </c>
      <c r="E55" s="15" t="n">
        <v>0.2440034449269785</v>
      </c>
      <c r="F55" s="15">
        <f>D55-E55</f>
        <v>-0.08575163334242292</v>
      </c>
      <c r="G55" t="inlineStr"/>
      <c r="H55" s="14" t="n">
        <v>5356000000</v>
      </c>
      <c r="I55" s="14" t="n">
        <v>7620000000</v>
      </c>
      <c r="J55" s="14" t="n">
        <v>29572000000</v>
      </c>
      <c r="K55" s="14" t="n">
        <v>27286500000</v>
      </c>
      <c r="L55" t="inlineStr">
        <is>
          <t>pretax_less_nonoperating</t>
        </is>
      </c>
      <c r="M55" t="inlineStr">
        <is>
          <t>영업이익(분자) -29.7%, 투하자본(분모) +8.4%, 신규 분자 추정경로(pretax_less_nonoperating), 구 분자 = 세전이익+이자</t>
        </is>
      </c>
    </row>
    <row r="56">
      <c r="A56" t="inlineStr">
        <is>
          <t>비자</t>
        </is>
      </c>
      <c r="B56" t="inlineStr">
        <is>
          <t>V</t>
        </is>
      </c>
      <c r="C56" t="inlineStr">
        <is>
          <t>FY2019</t>
        </is>
      </c>
      <c r="D56" s="15" t="n">
        <v>0.3101702654488514</v>
      </c>
      <c r="E56" s="15" t="n">
        <v>0.3935340070959528</v>
      </c>
      <c r="F56" s="15">
        <f>D56-E56</f>
        <v>-0.08336374164710142</v>
      </c>
      <c r="G56" t="inlineStr"/>
      <c r="H56" s="14" t="n">
        <v>15001000000</v>
      </c>
      <c r="I56" s="14" t="n">
        <v>15001000000</v>
      </c>
      <c r="J56" s="14" t="n">
        <v>39252500000</v>
      </c>
      <c r="K56" s="14" t="n">
        <v>30937500000</v>
      </c>
      <c r="L56" t="inlineStr">
        <is>
          <t>reported</t>
        </is>
      </c>
      <c r="M56" t="inlineStr">
        <is>
          <t>투하자본(분모) +26.9%</t>
        </is>
      </c>
    </row>
    <row r="57">
      <c r="A57" t="inlineStr">
        <is>
          <t>애브비</t>
        </is>
      </c>
      <c r="B57" t="inlineStr">
        <is>
          <t>ABBV</t>
        </is>
      </c>
      <c r="C57" t="inlineStr">
        <is>
          <t>FY2019</t>
        </is>
      </c>
      <c r="D57" s="15" t="n">
        <v>0.5723949875336068</v>
      </c>
      <c r="E57" s="15" t="n">
        <v>0.655182512771791</v>
      </c>
      <c r="F57" s="15">
        <f>D57-E57</f>
        <v>-0.08278752523818411</v>
      </c>
      <c r="G57" t="inlineStr"/>
      <c r="H57" s="14" t="n">
        <v>12983000000</v>
      </c>
      <c r="I57" s="14" t="n">
        <v>12983000000</v>
      </c>
      <c r="J57" s="14" t="n">
        <v>21217500000</v>
      </c>
      <c r="K57" s="14" t="n">
        <v>18536500000</v>
      </c>
      <c r="L57" t="inlineStr">
        <is>
          <t>reported</t>
        </is>
      </c>
      <c r="M57" t="inlineStr">
        <is>
          <t>투하자본(분모) +14.5%</t>
        </is>
      </c>
    </row>
    <row r="58">
      <c r="A58" t="inlineStr">
        <is>
          <t>GE 버노바</t>
        </is>
      </c>
      <c r="B58" t="inlineStr">
        <is>
          <t>GEV</t>
        </is>
      </c>
      <c r="C58" t="inlineStr">
        <is>
          <t>FY2023</t>
        </is>
      </c>
      <c r="D58" s="15" t="n">
        <v>-0.08830931330991885</v>
      </c>
      <c r="E58" s="15" t="n">
        <v>-0.1685942196531792</v>
      </c>
      <c r="F58" s="15">
        <f>D58-E58</f>
        <v>0.08028490634326034</v>
      </c>
      <c r="G58" t="inlineStr"/>
      <c r="H58" s="14" t="n">
        <v>-923000000</v>
      </c>
      <c r="I58" s="14" t="n">
        <v>-923000000</v>
      </c>
      <c r="J58" s="14" t="n">
        <v>8257000000</v>
      </c>
      <c r="K58" s="14" t="n">
        <v>4325000000</v>
      </c>
      <c r="L58" t="inlineStr">
        <is>
          <t>reported</t>
        </is>
      </c>
      <c r="M58" t="inlineStr">
        <is>
          <t>투하자본(분모) +90.9%</t>
        </is>
      </c>
    </row>
    <row r="59">
      <c r="A59" t="inlineStr">
        <is>
          <t>제너럴 일렉트릭</t>
        </is>
      </c>
      <c r="B59" t="inlineStr">
        <is>
          <t>GE</t>
        </is>
      </c>
      <c r="C59" t="inlineStr">
        <is>
          <t>FY2025</t>
        </is>
      </c>
      <c r="D59" s="15" t="n">
        <v>0.2802452602550844</v>
      </c>
      <c r="E59" s="15" t="n">
        <v>0.3575663026521061</v>
      </c>
      <c r="F59" s="15">
        <f>D59-E59</f>
        <v>-0.0773210423970217</v>
      </c>
      <c r="G59" t="inlineStr"/>
      <c r="H59" s="14" t="n">
        <v>8513000000</v>
      </c>
      <c r="I59" s="14" t="n">
        <v>10000000000</v>
      </c>
      <c r="J59" s="14" t="n">
        <v>26109000000</v>
      </c>
      <c r="K59" s="14" t="n">
        <v>24037500000</v>
      </c>
      <c r="L59" t="inlineStr">
        <is>
          <t>pretax_less_nonoperating</t>
        </is>
      </c>
      <c r="M59" t="inlineStr">
        <is>
          <t>영업이익(분자) -14.9%, 투하자본(분모) +8.6%, 신규 분자 추정경로(pretax_less_nonoperating), 구 분자 = 세전이익+이자</t>
        </is>
      </c>
    </row>
    <row r="60">
      <c r="A60" t="inlineStr">
        <is>
          <t>램리서치</t>
        </is>
      </c>
      <c r="B60" t="inlineStr">
        <is>
          <t>LRCX</t>
        </is>
      </c>
      <c r="C60" t="inlineStr">
        <is>
          <t>FY2022</t>
        </is>
      </c>
      <c r="D60" s="15" t="n">
        <v>0.7432803819822231</v>
      </c>
      <c r="E60" s="15" t="n">
        <v>0.6680298109417669</v>
      </c>
      <c r="F60" s="15">
        <f>D60-E60</f>
        <v>0.07525057104045618</v>
      </c>
      <c r="G60" t="inlineStr"/>
      <c r="H60" s="14" t="n">
        <v>5381822000</v>
      </c>
      <c r="I60" s="14" t="n">
        <v>5381822000</v>
      </c>
      <c r="J60" s="14" t="n">
        <v>6421040500</v>
      </c>
      <c r="K60" s="14" t="n">
        <v>7144342000</v>
      </c>
      <c r="L60" t="inlineStr">
        <is>
          <t>reported</t>
        </is>
      </c>
      <c r="M60" t="inlineStr">
        <is>
          <t>투하자본(분모) -10.1%</t>
        </is>
      </c>
    </row>
    <row r="61">
      <c r="A61" t="inlineStr">
        <is>
          <t>브로드컴</t>
        </is>
      </c>
      <c r="B61" t="inlineStr">
        <is>
          <t>AVGO</t>
        </is>
      </c>
      <c r="C61" t="inlineStr">
        <is>
          <t>FY2019</t>
        </is>
      </c>
      <c r="D61" s="15" t="n">
        <v>0.07042262615826687</v>
      </c>
      <c r="E61" s="15" t="n">
        <v>0.1452906434566366</v>
      </c>
      <c r="F61" s="15">
        <f>D61-E61</f>
        <v>-0.07486801729836971</v>
      </c>
      <c r="G61" s="18" t="inlineStr">
        <is>
          <t>예</t>
        </is>
      </c>
      <c r="H61" s="14" t="n">
        <v>3444000000</v>
      </c>
      <c r="I61" s="14" t="n">
        <v>3444000000</v>
      </c>
      <c r="J61" s="14" t="n">
        <v>46459500000</v>
      </c>
      <c r="K61" s="14" t="n">
        <v>22519000000</v>
      </c>
      <c r="L61" t="inlineStr">
        <is>
          <t>reported</t>
        </is>
      </c>
      <c r="M61" t="inlineStr">
        <is>
          <t>투하자본(분모) +106.3%</t>
        </is>
      </c>
    </row>
    <row r="62">
      <c r="A62" t="inlineStr">
        <is>
          <t>애플</t>
        </is>
      </c>
      <c r="B62" t="inlineStr">
        <is>
          <t>AAPL</t>
        </is>
      </c>
      <c r="C62" t="inlineStr">
        <is>
          <t>FY2024</t>
        </is>
      </c>
      <c r="D62" s="15" t="n">
        <v>0.8904102137504146</v>
      </c>
      <c r="E62" s="15" t="n">
        <v>0.9635748864253398</v>
      </c>
      <c r="F62" s="15">
        <f>D62-E62</f>
        <v>-0.07316467267492521</v>
      </c>
      <c r="G62" t="inlineStr"/>
      <c r="H62" s="14" t="n">
        <v>123216000000</v>
      </c>
      <c r="I62" s="14" t="n">
        <v>123216000000</v>
      </c>
      <c r="J62" s="14" t="n">
        <v>105043500000</v>
      </c>
      <c r="K62" s="14" t="n">
        <v>97067500000</v>
      </c>
      <c r="L62" t="inlineStr">
        <is>
          <t>reported</t>
        </is>
      </c>
      <c r="M62" t="inlineStr">
        <is>
          <t>투하자본(분모) +8.2%</t>
        </is>
      </c>
    </row>
    <row r="63">
      <c r="A63" t="inlineStr">
        <is>
          <t>존슨앤드존슨</t>
        </is>
      </c>
      <c r="B63" t="inlineStr">
        <is>
          <t>JNJ</t>
        </is>
      </c>
      <c r="C63" t="inlineStr">
        <is>
          <t>FY2025</t>
        </is>
      </c>
      <c r="D63" s="15" t="n">
        <v>0.2163041435995871</v>
      </c>
      <c r="E63" s="15" t="n">
        <v>0.2860411723968685</v>
      </c>
      <c r="F63" s="15">
        <f>D63-E63</f>
        <v>-0.06973702879728139</v>
      </c>
      <c r="G63" t="inlineStr"/>
      <c r="H63" s="14" t="n">
        <v>25372000000</v>
      </c>
      <c r="I63" s="14" t="n">
        <v>33552000000</v>
      </c>
      <c r="J63" s="14" t="n">
        <v>96499500000</v>
      </c>
      <c r="K63" s="14" t="n">
        <v>96499500000</v>
      </c>
      <c r="L63" t="inlineStr">
        <is>
          <t>pretax_less_nonoperating</t>
        </is>
      </c>
      <c r="M63" t="inlineStr">
        <is>
          <t>영업이익(분자) -24.4%, 신규 분자 추정경로(pretax_less_nonoperating), 구 분자 = 세전이익+이자</t>
        </is>
      </c>
    </row>
    <row r="64">
      <c r="A64" t="inlineStr">
        <is>
          <t>필립모리스 인터내셔널</t>
        </is>
      </c>
      <c r="B64" t="inlineStr">
        <is>
          <t>PM</t>
        </is>
      </c>
      <c r="C64" t="inlineStr">
        <is>
          <t>FY2025</t>
        </is>
      </c>
      <c r="D64" s="15" t="n">
        <v>0.3540046048753447</v>
      </c>
      <c r="E64" s="15" t="n">
        <v>0.4211665233773147</v>
      </c>
      <c r="F64" s="15">
        <f>D64-E64</f>
        <v>-0.06716191850197001</v>
      </c>
      <c r="G64" t="inlineStr"/>
      <c r="H64" s="14" t="n">
        <v>14892000000</v>
      </c>
      <c r="I64" s="14" t="n">
        <v>14892000000</v>
      </c>
      <c r="J64" s="14" t="n">
        <v>33772000000</v>
      </c>
      <c r="K64" s="14" t="n">
        <v>28386500000</v>
      </c>
      <c r="L64" t="inlineStr">
        <is>
          <t>reported</t>
        </is>
      </c>
      <c r="M64" t="inlineStr">
        <is>
          <t>투하자본(분모) +19.0%</t>
        </is>
      </c>
    </row>
    <row r="65">
      <c r="A65" t="inlineStr">
        <is>
          <t>필립모리스 인터내셔널</t>
        </is>
      </c>
      <c r="B65" t="inlineStr">
        <is>
          <t>PM</t>
        </is>
      </c>
      <c r="C65" t="inlineStr">
        <is>
          <t>FY2024</t>
        </is>
      </c>
      <c r="D65" s="15" t="n">
        <v>0.301064872843008</v>
      </c>
      <c r="E65" s="15" t="n">
        <v>0.3650717344146291</v>
      </c>
      <c r="F65" s="15">
        <f>D65-E65</f>
        <v>-0.06400686157162111</v>
      </c>
      <c r="G65" t="inlineStr"/>
      <c r="H65" s="14" t="n">
        <v>13402000000</v>
      </c>
      <c r="I65" s="14" t="n">
        <v>13402000000</v>
      </c>
      <c r="J65" s="14" t="n">
        <v>33506000000</v>
      </c>
      <c r="K65" s="14" t="n">
        <v>27631500000</v>
      </c>
      <c r="L65" t="inlineStr">
        <is>
          <t>reported</t>
        </is>
      </c>
      <c r="M65" t="inlineStr">
        <is>
          <t>투하자본(분모) +21.3%</t>
        </is>
      </c>
    </row>
    <row r="66">
      <c r="A66" t="inlineStr">
        <is>
          <t>엔비디아</t>
        </is>
      </c>
      <c r="B66" t="inlineStr">
        <is>
          <t>NVDA</t>
        </is>
      </c>
      <c r="C66" t="inlineStr">
        <is>
          <t>FY2023</t>
        </is>
      </c>
      <c r="D66" s="15" t="n">
        <v>1.249026753509302</v>
      </c>
      <c r="E66" s="15" t="n">
        <v>1.185250137758536</v>
      </c>
      <c r="F66" s="15">
        <f>D66-E66</f>
        <v>0.06377661575076599</v>
      </c>
      <c r="G66" t="inlineStr"/>
      <c r="H66" s="14" t="n">
        <v>32972000000</v>
      </c>
      <c r="I66" s="14" t="n">
        <v>32972000000</v>
      </c>
      <c r="J66" s="14" t="n">
        <v>23230500000</v>
      </c>
      <c r="K66" s="14" t="n">
        <v>24480500000</v>
      </c>
      <c r="L66" t="inlineStr">
        <is>
          <t>reported</t>
        </is>
      </c>
      <c r="M66" t="inlineStr">
        <is>
          <t>투하자본(분모) -5.1%</t>
        </is>
      </c>
    </row>
    <row r="67">
      <c r="A67" t="inlineStr">
        <is>
          <t>램리서치</t>
        </is>
      </c>
      <c r="B67" t="inlineStr">
        <is>
          <t>LRCX</t>
        </is>
      </c>
      <c r="C67" t="inlineStr">
        <is>
          <t>FY2016</t>
        </is>
      </c>
      <c r="D67" s="15" t="n">
        <v>0.3017667614656166</v>
      </c>
      <c r="E67" s="15" t="n">
        <v>0.2386565642392779</v>
      </c>
      <c r="F67" s="15">
        <f>D67-E67</f>
        <v>0.0631101972263387</v>
      </c>
      <c r="G67" t="inlineStr"/>
      <c r="H67" s="14" t="n">
        <v>1074256000</v>
      </c>
      <c r="I67" s="14" t="n">
        <v>1074256000</v>
      </c>
      <c r="J67" s="14" t="n">
        <v>3381894000</v>
      </c>
      <c r="K67" s="14" t="n">
        <v>4276200000</v>
      </c>
      <c r="L67" t="inlineStr">
        <is>
          <t>reported</t>
        </is>
      </c>
      <c r="M67" t="inlineStr">
        <is>
          <t>투하자본(분모) -20.9%</t>
        </is>
      </c>
    </row>
    <row r="68">
      <c r="A68" t="inlineStr">
        <is>
          <t>일라이 릴리</t>
        </is>
      </c>
      <c r="B68" t="inlineStr">
        <is>
          <t>LLY</t>
        </is>
      </c>
      <c r="C68" t="inlineStr">
        <is>
          <t>FY2020</t>
        </is>
      </c>
      <c r="D68" s="15" t="n">
        <v>0.3024599147686603</v>
      </c>
      <c r="E68" s="15" t="n">
        <v>0.3638943398000071</v>
      </c>
      <c r="F68" s="15">
        <f>D68-E68</f>
        <v>-0.06143442503134683</v>
      </c>
      <c r="G68" t="inlineStr"/>
      <c r="H68" s="14" t="n">
        <v>6058000000</v>
      </c>
      <c r="I68" s="14" t="n">
        <v>7229900000</v>
      </c>
      <c r="J68" s="14" t="n">
        <v>17158500000</v>
      </c>
      <c r="K68" s="14" t="n">
        <v>17020600000</v>
      </c>
      <c r="L68" t="inlineStr">
        <is>
          <t>pretax_less_nonoperating</t>
        </is>
      </c>
      <c r="M68" t="inlineStr">
        <is>
          <t>영업이익(분자) -16.2%, 신규 분자 추정경로(pretax_less_nonoperating), 구 분자 = 세전이익+이자</t>
        </is>
      </c>
    </row>
    <row r="69">
      <c r="A69" t="inlineStr">
        <is>
          <t>존슨앤드존슨</t>
        </is>
      </c>
      <c r="B69" t="inlineStr">
        <is>
          <t>JNJ</t>
        </is>
      </c>
      <c r="C69" t="inlineStr">
        <is>
          <t>FY2023</t>
        </is>
      </c>
      <c r="D69" s="15" t="n">
        <v>0.2265784388696295</v>
      </c>
      <c r="E69" s="15" t="n">
        <v>0.1653596515976085</v>
      </c>
      <c r="F69" s="15">
        <f>D69-E69</f>
        <v>0.061218787272021014</v>
      </c>
      <c r="G69" t="inlineStr"/>
      <c r="H69" s="14" t="n">
        <v>21696000000</v>
      </c>
      <c r="I69" s="14" t="n">
        <v>15834000000</v>
      </c>
      <c r="J69" s="14" t="n">
        <v>84718500000</v>
      </c>
      <c r="K69" s="14" t="n">
        <v>84718500000</v>
      </c>
      <c r="L69" t="inlineStr">
        <is>
          <t>pretax_less_nonoperating</t>
        </is>
      </c>
      <c r="M69" t="inlineStr">
        <is>
          <t>영업이익(분자) +37.0%, 신규 분자 추정경로(pretax_less_nonoperating), 구 분자 = 세전이익+이자</t>
        </is>
      </c>
    </row>
    <row r="70">
      <c r="A70" t="inlineStr">
        <is>
          <t>애플</t>
        </is>
      </c>
      <c r="B70" t="inlineStr">
        <is>
          <t>AAPL</t>
        </is>
      </c>
      <c r="C70" t="inlineStr">
        <is>
          <t>FY2023</t>
        </is>
      </c>
      <c r="D70" s="15" t="n">
        <v>0.8327225534829878</v>
      </c>
      <c r="E70" s="15" t="n">
        <v>0.8936720926120366</v>
      </c>
      <c r="F70" s="15">
        <f>D70-E70</f>
        <v>-0.06094953912904877</v>
      </c>
      <c r="G70" t="inlineStr"/>
      <c r="H70" s="14" t="n">
        <v>114301000000</v>
      </c>
      <c r="I70" s="14" t="n">
        <v>114301000000</v>
      </c>
      <c r="J70" s="14" t="n">
        <v>117058000000</v>
      </c>
      <c r="K70" s="14" t="n">
        <v>109074500000</v>
      </c>
      <c r="L70" t="inlineStr">
        <is>
          <t>reported</t>
        </is>
      </c>
      <c r="M70" t="inlineStr">
        <is>
          <t>투하자본(분모) +7.3%</t>
        </is>
      </c>
    </row>
    <row r="71">
      <c r="A71" t="inlineStr">
        <is>
          <t>애플</t>
        </is>
      </c>
      <c r="B71" t="inlineStr">
        <is>
          <t>AAPL</t>
        </is>
      </c>
      <c r="C71" t="inlineStr">
        <is>
          <t>FY2017</t>
        </is>
      </c>
      <c r="D71" s="15" t="n">
        <v>0.2859689764349539</v>
      </c>
      <c r="E71" s="15" t="n">
        <v>0.2290225497290739</v>
      </c>
      <c r="F71" s="15">
        <f>D71-E71</f>
        <v>0.05694642670587999</v>
      </c>
      <c r="G71" t="inlineStr"/>
      <c r="H71" s="14" t="n">
        <v>61344000000</v>
      </c>
      <c r="I71" s="14" t="n">
        <v>61344000000</v>
      </c>
      <c r="J71" s="14" t="n">
        <v>161836000000</v>
      </c>
      <c r="K71" s="14" t="n">
        <v>202076500000</v>
      </c>
      <c r="L71" t="inlineStr">
        <is>
          <t>reported</t>
        </is>
      </c>
      <c r="M71" t="inlineStr">
        <is>
          <t>투하자본(분모) -19.9%</t>
        </is>
      </c>
    </row>
    <row r="72">
      <c r="A72" t="inlineStr">
        <is>
          <t>오라클</t>
        </is>
      </c>
      <c r="B72" t="inlineStr">
        <is>
          <t>ORCL</t>
        </is>
      </c>
      <c r="C72" t="inlineStr">
        <is>
          <t>FY2016</t>
        </is>
      </c>
      <c r="D72" s="15" t="n">
        <v>0.2715750896640609</v>
      </c>
      <c r="E72" s="15" t="n">
        <v>0.3277437881179701</v>
      </c>
      <c r="F72" s="15">
        <f>D72-E72</f>
        <v>-0.056168698453909205</v>
      </c>
      <c r="G72" t="inlineStr"/>
      <c r="H72" s="14" t="n">
        <v>12604000000</v>
      </c>
      <c r="I72" s="14" t="n">
        <v>12604000000</v>
      </c>
      <c r="J72" s="14" t="n">
        <v>36104000000</v>
      </c>
      <c r="K72" s="14" t="n">
        <v>29916500000</v>
      </c>
      <c r="L72" t="inlineStr">
        <is>
          <t>reported</t>
        </is>
      </c>
      <c r="M72" t="inlineStr">
        <is>
          <t>투하자본(분모) +20.7%</t>
        </is>
      </c>
    </row>
    <row r="73">
      <c r="A73" t="inlineStr">
        <is>
          <t>마스터카드</t>
        </is>
      </c>
      <c r="B73" t="inlineStr">
        <is>
          <t>MA</t>
        </is>
      </c>
      <c r="C73" t="inlineStr">
        <is>
          <t>FY2020</t>
        </is>
      </c>
      <c r="D73" s="15" t="n">
        <v>0.8708840717211626</v>
      </c>
      <c r="E73" s="15" t="n">
        <v>0.8150649852050338</v>
      </c>
      <c r="F73" s="15">
        <f>D73-E73</f>
        <v>0.05581908651612877</v>
      </c>
      <c r="G73" t="inlineStr"/>
      <c r="H73" s="14" t="n">
        <v>8081000000</v>
      </c>
      <c r="I73" s="14" t="n">
        <v>8081000000</v>
      </c>
      <c r="J73" s="14" t="n">
        <v>7666000000</v>
      </c>
      <c r="K73" s="14" t="n">
        <v>8191000000</v>
      </c>
      <c r="L73" t="inlineStr">
        <is>
          <t>reported</t>
        </is>
      </c>
      <c r="M73" t="inlineStr">
        <is>
          <t>투하자본(분모) -6.4%</t>
        </is>
      </c>
    </row>
    <row r="74">
      <c r="A74" t="inlineStr">
        <is>
          <t>애플</t>
        </is>
      </c>
      <c r="B74" t="inlineStr">
        <is>
          <t>AAPL</t>
        </is>
      </c>
      <c r="C74" t="inlineStr">
        <is>
          <t>FY2022</t>
        </is>
      </c>
      <c r="D74" s="15" t="n">
        <v>0.8084010314568976</v>
      </c>
      <c r="E74" s="15" t="n">
        <v>0.8641802663613515</v>
      </c>
      <c r="F74" s="15">
        <f>D74-E74</f>
        <v>-0.05577923490445391</v>
      </c>
      <c r="G74" t="inlineStr"/>
      <c r="H74" s="14" t="n">
        <v>119437000000</v>
      </c>
      <c r="I74" s="14" t="n">
        <v>119437000000</v>
      </c>
      <c r="J74" s="14" t="n">
        <v>123803500000</v>
      </c>
      <c r="K74" s="14" t="n">
        <v>115812500000</v>
      </c>
      <c r="L74" t="inlineStr">
        <is>
          <t>reported</t>
        </is>
      </c>
      <c r="M74" t="inlineStr">
        <is>
          <t>투하자본(분모) +6.9%</t>
        </is>
      </c>
    </row>
    <row r="75">
      <c r="A75" t="inlineStr">
        <is>
          <t>KLA</t>
        </is>
      </c>
      <c r="B75" t="inlineStr">
        <is>
          <t>KLAC</t>
        </is>
      </c>
      <c r="C75" t="inlineStr">
        <is>
          <t>FY2023</t>
        </is>
      </c>
      <c r="D75" s="15" t="n">
        <v>0.4931657137783704</v>
      </c>
      <c r="E75" s="15" t="n">
        <v>0.5468352781784991</v>
      </c>
      <c r="F75" s="15">
        <f>D75-E75</f>
        <v>-0.05366956440012871</v>
      </c>
      <c r="G75" t="inlineStr"/>
      <c r="H75" s="14" t="n">
        <v>3684470000</v>
      </c>
      <c r="I75" s="14" t="n">
        <v>4086130000</v>
      </c>
      <c r="J75" s="14" t="n">
        <v>6678762000</v>
      </c>
      <c r="K75" s="14" t="n">
        <v>6679892500</v>
      </c>
      <c r="L75" t="inlineStr">
        <is>
          <t>pretax_less_nonoperating</t>
        </is>
      </c>
      <c r="M75" t="inlineStr">
        <is>
          <t>영업이익(분자) -9.8%, 신규 분자 추정경로(pretax_less_nonoperating), 구 분자 = 세전이익+이자</t>
        </is>
      </c>
    </row>
    <row r="76">
      <c r="A76" t="inlineStr">
        <is>
          <t>필립모리스 인터내셔널</t>
        </is>
      </c>
      <c r="B76" t="inlineStr">
        <is>
          <t>PM</t>
        </is>
      </c>
      <c r="C76" t="inlineStr">
        <is>
          <t>FY2023</t>
        </is>
      </c>
      <c r="D76" s="15" t="n">
        <v>0.2599538171567654</v>
      </c>
      <c r="E76" s="15" t="n">
        <v>0.3132118066549231</v>
      </c>
      <c r="F76" s="15">
        <f>D76-E76</f>
        <v>-0.05325798949815769</v>
      </c>
      <c r="G76" t="inlineStr"/>
      <c r="H76" s="14" t="n">
        <v>11556000000</v>
      </c>
      <c r="I76" s="14" t="n">
        <v>11556000000</v>
      </c>
      <c r="J76" s="14" t="n">
        <v>34504000000</v>
      </c>
      <c r="K76" s="14" t="n">
        <v>28637000000</v>
      </c>
      <c r="L76" t="inlineStr">
        <is>
          <t>reported</t>
        </is>
      </c>
      <c r="M76" t="inlineStr">
        <is>
          <t>투하자본(분모) +20.5%</t>
        </is>
      </c>
    </row>
    <row r="77">
      <c r="A77" t="inlineStr">
        <is>
          <t>애플</t>
        </is>
      </c>
      <c r="B77" t="inlineStr">
        <is>
          <t>AAPL</t>
        </is>
      </c>
      <c r="C77" t="inlineStr">
        <is>
          <t>FY2021</t>
        </is>
      </c>
      <c r="D77" s="15" t="n">
        <v>0.8910889504153521</v>
      </c>
      <c r="E77" s="15" t="n">
        <v>0.9398358241343814</v>
      </c>
      <c r="F77" s="15">
        <f>D77-E77</f>
        <v>-0.048746873719029304</v>
      </c>
      <c r="G77" t="inlineStr"/>
      <c r="H77" s="14" t="n">
        <v>108949000000</v>
      </c>
      <c r="I77" s="14" t="n">
        <v>108949000000</v>
      </c>
      <c r="J77" s="14" t="n">
        <v>106001000000</v>
      </c>
      <c r="K77" s="14" t="n">
        <v>100503000000</v>
      </c>
      <c r="L77" t="inlineStr">
        <is>
          <t>reported</t>
        </is>
      </c>
      <c r="M77" t="inlineStr">
        <is>
          <t>투하자본(분모) +5.5%</t>
        </is>
      </c>
    </row>
    <row r="78">
      <c r="A78" t="inlineStr">
        <is>
          <t>KLA</t>
        </is>
      </c>
      <c r="B78" t="inlineStr">
        <is>
          <t>KLAC</t>
        </is>
      </c>
      <c r="C78" t="inlineStr">
        <is>
          <t>FY2024</t>
        </is>
      </c>
      <c r="D78" s="15" t="n">
        <v>0.3584589810147777</v>
      </c>
      <c r="E78" s="15" t="n">
        <v>0.4067879899725882</v>
      </c>
      <c r="F78" s="15">
        <f>D78-E78</f>
        <v>-0.048329008957810504</v>
      </c>
      <c r="G78" t="inlineStr"/>
      <c r="H78" s="14" t="n">
        <v>3085310000</v>
      </c>
      <c r="I78" s="14" t="n">
        <v>3501285000</v>
      </c>
      <c r="J78" s="14" t="n">
        <v>7451979000</v>
      </c>
      <c r="K78" s="14" t="n">
        <v>7451979000</v>
      </c>
      <c r="L78" t="inlineStr">
        <is>
          <t>verified_line_build</t>
        </is>
      </c>
      <c r="M78" t="inlineStr">
        <is>
          <t>영업이익(분자) -11.9%, 신규 분자 추정경로(verified_line_build), 구 분자 = 세전이익+이자</t>
        </is>
      </c>
    </row>
    <row r="79">
      <c r="A79" t="inlineStr">
        <is>
          <t>애플</t>
        </is>
      </c>
      <c r="B79" t="inlineStr">
        <is>
          <t>AAPL</t>
        </is>
      </c>
      <c r="C79" t="inlineStr">
        <is>
          <t>FY2016</t>
        </is>
      </c>
      <c r="D79" s="15" t="n">
        <v>0.3079412823181911</v>
      </c>
      <c r="E79" s="15" t="n">
        <v>0.2622610420916949</v>
      </c>
      <c r="F79" s="15">
        <f>D79-E79</f>
        <v>0.04568024022649625</v>
      </c>
      <c r="G79" t="inlineStr"/>
      <c r="H79" s="14" t="n">
        <v>60024000000</v>
      </c>
      <c r="I79" s="14" t="n">
        <v>60024000000</v>
      </c>
      <c r="J79" s="14" t="n">
        <v>145104000000</v>
      </c>
      <c r="K79" s="14" t="n">
        <v>170378000000</v>
      </c>
      <c r="L79" t="inlineStr">
        <is>
          <t>reported</t>
        </is>
      </c>
      <c r="M79" t="inlineStr">
        <is>
          <t>투하자본(분모) -14.8%</t>
        </is>
      </c>
    </row>
    <row r="80">
      <c r="A80" t="inlineStr">
        <is>
          <t>KLA</t>
        </is>
      </c>
      <c r="B80" t="inlineStr">
        <is>
          <t>KLAC</t>
        </is>
      </c>
      <c r="C80" t="inlineStr">
        <is>
          <t>FY2025</t>
        </is>
      </c>
      <c r="D80" s="15" t="n">
        <v>0.4814352033385058</v>
      </c>
      <c r="E80" s="15" t="n">
        <v>0.5237431220283274</v>
      </c>
      <c r="F80" s="15">
        <f>D80-E80</f>
        <v>-0.04230791868982159</v>
      </c>
      <c r="G80" t="inlineStr"/>
      <c r="H80" s="14" t="n">
        <v>4547027000</v>
      </c>
      <c r="I80" s="14" t="n">
        <v>4946614000</v>
      </c>
      <c r="J80" s="14" t="n">
        <v>8259568000</v>
      </c>
      <c r="K80" s="14" t="n">
        <v>8259568000</v>
      </c>
      <c r="L80" t="inlineStr">
        <is>
          <t>verified_line_build</t>
        </is>
      </c>
      <c r="M80" t="inlineStr">
        <is>
          <t>영업이익(분자) -8.1%, 신규 분자 추정경로(verified_line_build), 구 분자 = 세전이익+이자</t>
        </is>
      </c>
    </row>
    <row r="81">
      <c r="A81" t="inlineStr">
        <is>
          <t>존슨앤드존슨</t>
        </is>
      </c>
      <c r="B81" t="inlineStr">
        <is>
          <t>JNJ</t>
        </is>
      </c>
      <c r="C81" t="inlineStr">
        <is>
          <t>FY2024</t>
        </is>
      </c>
      <c r="D81" s="15" t="n">
        <v>0.2269192498483547</v>
      </c>
      <c r="E81" s="15" t="n">
        <v>0.1851141460107105</v>
      </c>
      <c r="F81" s="15">
        <f>D81-E81</f>
        <v>0.041805103837644214</v>
      </c>
      <c r="G81" t="inlineStr"/>
      <c r="H81" s="14" t="n">
        <v>21381000000</v>
      </c>
      <c r="I81" s="14" t="n">
        <v>17442000000</v>
      </c>
      <c r="J81" s="14" t="n">
        <v>79423500000</v>
      </c>
      <c r="K81" s="14" t="n">
        <v>79423500000</v>
      </c>
      <c r="L81" t="inlineStr">
        <is>
          <t>pretax_less_nonoperating</t>
        </is>
      </c>
      <c r="M81" t="inlineStr">
        <is>
          <t>영업이익(분자) +22.6%, 신규 분자 추정경로(pretax_less_nonoperating), 구 분자 = 세전이익+이자</t>
        </is>
      </c>
    </row>
    <row r="82">
      <c r="A82" t="inlineStr">
        <is>
          <t>AMD</t>
        </is>
      </c>
      <c r="B82" t="inlineStr">
        <is>
          <t>AMD</t>
        </is>
      </c>
      <c r="C82" t="inlineStr">
        <is>
          <t>FY2016</t>
        </is>
      </c>
      <c r="D82" s="15" t="n">
        <v>-0.2976464646464647</v>
      </c>
      <c r="E82" s="15" t="n">
        <v>-0.3367657142857143</v>
      </c>
      <c r="F82" s="15">
        <f>D82-E82</f>
        <v>0.039119249639249565</v>
      </c>
      <c r="G82" t="inlineStr"/>
      <c r="H82" s="14" t="n">
        <v>-373000000</v>
      </c>
      <c r="I82" s="14" t="n">
        <v>-373000000</v>
      </c>
      <c r="J82" s="14" t="n">
        <v>990000000</v>
      </c>
      <c r="K82" s="14" t="n">
        <v>875000000</v>
      </c>
      <c r="L82" t="inlineStr">
        <is>
          <t>reported</t>
        </is>
      </c>
      <c r="M82" t="inlineStr">
        <is>
          <t>투하자본(분모) +13.1%</t>
        </is>
      </c>
    </row>
    <row r="83">
      <c r="A83" t="inlineStr">
        <is>
          <t>애플</t>
        </is>
      </c>
      <c r="B83" t="inlineStr">
        <is>
          <t>AAPL</t>
        </is>
      </c>
      <c r="C83" t="inlineStr">
        <is>
          <t>FY2020</t>
        </is>
      </c>
      <c r="D83" s="15" t="n">
        <v>0.6138613512558175</v>
      </c>
      <c r="E83" s="15" t="n">
        <v>0.6526209851098613</v>
      </c>
      <c r="F83" s="15">
        <f>D83-E83</f>
        <v>-0.038759633854043796</v>
      </c>
      <c r="G83" t="inlineStr"/>
      <c r="H83" s="14" t="n">
        <v>66288000000</v>
      </c>
      <c r="I83" s="14" t="n">
        <v>66288000000</v>
      </c>
      <c r="J83" s="14" t="n">
        <v>92405000000</v>
      </c>
      <c r="K83" s="14" t="n">
        <v>86917000000</v>
      </c>
      <c r="L83" t="inlineStr">
        <is>
          <t>reported</t>
        </is>
      </c>
      <c r="M83" t="inlineStr">
        <is>
          <t>투하자본(분모) +6.3%</t>
        </is>
      </c>
    </row>
    <row r="84">
      <c r="A84" t="inlineStr">
        <is>
          <t>IBM</t>
        </is>
      </c>
      <c r="B84" t="inlineStr">
        <is>
          <t>IBM</t>
        </is>
      </c>
      <c r="C84" t="inlineStr">
        <is>
          <t>FY2016</t>
        </is>
      </c>
      <c r="D84" s="15" t="n">
        <v>0.2508761920286902</v>
      </c>
      <c r="E84" s="15" t="n">
        <v>0.289425122533175</v>
      </c>
      <c r="F84" s="15">
        <f>D84-E84</f>
        <v>-0.03854893050448477</v>
      </c>
      <c r="G84" t="inlineStr"/>
      <c r="H84" s="14" t="n">
        <v>12960000000</v>
      </c>
      <c r="I84" s="14" t="n">
        <v>12960000000</v>
      </c>
      <c r="J84" s="14" t="n">
        <v>49076000000</v>
      </c>
      <c r="K84" s="14" t="n">
        <v>42539500000</v>
      </c>
      <c r="L84" t="inlineStr">
        <is>
          <t>pretax_plus_interest_less_investment_income</t>
        </is>
      </c>
      <c r="M84" t="inlineStr">
        <is>
          <t>투하자본(분모) +15.4%, 신규 분자 추정경로(pretax_plus_interest_less_investment_income), 구 분자 = 세전이익+이자</t>
        </is>
      </c>
    </row>
    <row r="85">
      <c r="A85" t="inlineStr">
        <is>
          <t>메타 플랫폼스</t>
        </is>
      </c>
      <c r="B85" t="inlineStr">
        <is>
          <t>META</t>
        </is>
      </c>
      <c r="C85" t="inlineStr">
        <is>
          <t>FY2021</t>
        </is>
      </c>
      <c r="D85" s="15" t="n">
        <v>0.5436208597277238</v>
      </c>
      <c r="E85" s="15" t="n">
        <v>0.5063393339552387</v>
      </c>
      <c r="F85" s="15">
        <f>D85-E85</f>
        <v>0.03728152577248511</v>
      </c>
      <c r="G85" t="inlineStr"/>
      <c r="H85" s="14" t="n">
        <v>46753000000</v>
      </c>
      <c r="I85" s="14" t="n">
        <v>46753000000</v>
      </c>
      <c r="J85" s="14" t="n">
        <v>71608500000</v>
      </c>
      <c r="K85" s="14" t="n">
        <v>76881000000</v>
      </c>
      <c r="L85" t="inlineStr">
        <is>
          <t>reported</t>
        </is>
      </c>
      <c r="M85" t="inlineStr">
        <is>
          <t>투하자본(분모) -6.9%</t>
        </is>
      </c>
    </row>
    <row r="86">
      <c r="A86" t="inlineStr">
        <is>
          <t>존슨앤드존슨</t>
        </is>
      </c>
      <c r="B86" t="inlineStr">
        <is>
          <t>JNJ</t>
        </is>
      </c>
      <c r="C86" t="inlineStr">
        <is>
          <t>FY2020</t>
        </is>
      </c>
      <c r="D86" s="15" t="n">
        <v>0.2450274823294956</v>
      </c>
      <c r="E86" s="15" t="n">
        <v>0.20840474200813</v>
      </c>
      <c r="F86" s="15">
        <f>D86-E86</f>
        <v>0.03662274032136559</v>
      </c>
      <c r="G86" t="inlineStr"/>
      <c r="H86" s="14" t="n">
        <v>19396000000</v>
      </c>
      <c r="I86" s="14" t="n">
        <v>16497000000</v>
      </c>
      <c r="J86" s="14" t="n">
        <v>70603000000</v>
      </c>
      <c r="K86" s="14" t="n">
        <v>70603000000</v>
      </c>
      <c r="L86" t="inlineStr">
        <is>
          <t>pretax_less_nonoperating</t>
        </is>
      </c>
      <c r="M86" t="inlineStr">
        <is>
          <t>영업이익(분자) +17.6%, 신규 분자 추정경로(pretax_less_nonoperating), 구 분자 = 세전이익+이자</t>
        </is>
      </c>
    </row>
    <row r="87">
      <c r="A87" t="inlineStr">
        <is>
          <t>비자</t>
        </is>
      </c>
      <c r="B87" t="inlineStr">
        <is>
          <t>V</t>
        </is>
      </c>
      <c r="C87" t="inlineStr">
        <is>
          <t>FY2024</t>
        </is>
      </c>
      <c r="D87" s="15" t="n">
        <v>0.4645031338011565</v>
      </c>
      <c r="E87" s="15" t="n">
        <v>0.4285213602693689</v>
      </c>
      <c r="F87" s="15">
        <f>D87-E87</f>
        <v>0.03598177353178761</v>
      </c>
      <c r="G87" t="inlineStr"/>
      <c r="H87" s="14" t="n">
        <v>23595000000</v>
      </c>
      <c r="I87" s="14" t="n">
        <v>23595000000</v>
      </c>
      <c r="J87" s="14" t="n">
        <v>41933000000</v>
      </c>
      <c r="K87" s="14" t="n">
        <v>45454000000</v>
      </c>
      <c r="L87" t="inlineStr">
        <is>
          <t>reported</t>
        </is>
      </c>
      <c r="M87" t="inlineStr">
        <is>
          <t>투하자본(분모) -7.7%</t>
        </is>
      </c>
    </row>
    <row r="88">
      <c r="A88" t="inlineStr">
        <is>
          <t>제너럴 일렉트릭</t>
        </is>
      </c>
      <c r="B88" t="inlineStr">
        <is>
          <t>GE</t>
        </is>
      </c>
      <c r="C88" t="inlineStr">
        <is>
          <t>FY2018</t>
        </is>
      </c>
      <c r="D88" s="15" t="n">
        <v>-0.1703233803233803</v>
      </c>
      <c r="E88" s="15" t="n">
        <v>-0.1346538778593096</v>
      </c>
      <c r="F88" s="15">
        <f>D88-E88</f>
        <v>-0.03566950246407069</v>
      </c>
      <c r="G88" t="inlineStr"/>
      <c r="H88" s="14" t="n">
        <v>-23308000000</v>
      </c>
      <c r="I88" s="14" t="n">
        <v>-20987000000</v>
      </c>
      <c r="J88" s="14" t="n">
        <v>108108000000</v>
      </c>
      <c r="K88" s="14" t="n">
        <v>123128500000</v>
      </c>
      <c r="L88" t="inlineStr">
        <is>
          <t>pretax_less_nonoperating</t>
        </is>
      </c>
      <c r="M88" t="inlineStr">
        <is>
          <t>영업이익(분자) -11.1%, 투하자본(분모) -12.2%, 신규 분자 추정경로(pretax_less_nonoperating), 구 분자 = 세전이익+이자</t>
        </is>
      </c>
    </row>
    <row r="89">
      <c r="A89" t="inlineStr">
        <is>
          <t>비자</t>
        </is>
      </c>
      <c r="B89" t="inlineStr">
        <is>
          <t>V</t>
        </is>
      </c>
      <c r="C89" t="inlineStr">
        <is>
          <t>FY2023</t>
        </is>
      </c>
      <c r="D89" s="15" t="n">
        <v>0.4388719382378559</v>
      </c>
      <c r="E89" s="15" t="n">
        <v>0.4045094577360765</v>
      </c>
      <c r="F89" s="15">
        <f>D89-E89</f>
        <v>0.034362480501779424</v>
      </c>
      <c r="G89" t="inlineStr"/>
      <c r="H89" s="14" t="n">
        <v>21000000000</v>
      </c>
      <c r="I89" s="14" t="n">
        <v>21000000000</v>
      </c>
      <c r="J89" s="14" t="n">
        <v>39288500000</v>
      </c>
      <c r="K89" s="14" t="n">
        <v>42626000000</v>
      </c>
      <c r="L89" t="inlineStr">
        <is>
          <t>reported</t>
        </is>
      </c>
      <c r="M89" t="inlineStr">
        <is>
          <t>투하자본(분모) -7.8%</t>
        </is>
      </c>
    </row>
    <row r="90">
      <c r="A90" t="inlineStr">
        <is>
          <t>엔비디아</t>
        </is>
      </c>
      <c r="B90" t="inlineStr">
        <is>
          <t>NVDA</t>
        </is>
      </c>
      <c r="C90" t="inlineStr">
        <is>
          <t>FY2024</t>
        </is>
      </c>
      <c r="D90" s="15" t="n">
        <v>1.982192302585747</v>
      </c>
      <c r="E90" s="15" t="n">
        <v>1.948032122002672</v>
      </c>
      <c r="F90" s="15">
        <f>D90-E90</f>
        <v>0.03416018058307513</v>
      </c>
      <c r="G90" t="inlineStr"/>
      <c r="H90" s="14" t="n">
        <v>81453000000</v>
      </c>
      <c r="I90" s="14" t="n">
        <v>81453000000</v>
      </c>
      <c r="J90" s="14" t="n">
        <v>35641500000</v>
      </c>
      <c r="K90" s="14" t="n">
        <v>36266500000</v>
      </c>
      <c r="L90" t="inlineStr">
        <is>
          <t>reported</t>
        </is>
      </c>
      <c r="M90" t="inlineStr">
        <is>
          <t>원인 불명 — 개별 확인 필요</t>
        </is>
      </c>
    </row>
    <row r="91">
      <c r="A91" t="inlineStr">
        <is>
          <t>제너럴 일렉트릭</t>
        </is>
      </c>
      <c r="B91" t="inlineStr">
        <is>
          <t>GE</t>
        </is>
      </c>
      <c r="C91" t="inlineStr">
        <is>
          <t>FY2021</t>
        </is>
      </c>
      <c r="D91" s="15" t="n">
        <v>-0.1034091742260563</v>
      </c>
      <c r="E91" s="15" t="n">
        <v>-0.06956236036272835</v>
      </c>
      <c r="F91" s="15">
        <f>D91-E91</f>
        <v>-0.033846813863327954</v>
      </c>
      <c r="G91" t="inlineStr"/>
      <c r="H91" s="14" t="n">
        <v>-8391000000</v>
      </c>
      <c r="I91" s="14" t="n">
        <v>-5695000000</v>
      </c>
      <c r="J91" s="14" t="n">
        <v>64103500000</v>
      </c>
      <c r="K91" s="14" t="n">
        <v>64676500000</v>
      </c>
      <c r="L91" t="inlineStr">
        <is>
          <t>pretax_less_nonoperating</t>
        </is>
      </c>
      <c r="M91" t="inlineStr">
        <is>
          <t>영업이익(분자) -47.3%, 신규 분자 추정경로(pretax_less_nonoperating), 구 분자 = 세전이익+이자</t>
        </is>
      </c>
    </row>
    <row r="92">
      <c r="A92" t="inlineStr">
        <is>
          <t>오라클</t>
        </is>
      </c>
      <c r="B92" t="inlineStr">
        <is>
          <t>ORCL</t>
        </is>
      </c>
      <c r="C92" t="inlineStr">
        <is>
          <t>FY2017</t>
        </is>
      </c>
      <c r="D92" s="15" t="n">
        <v>0.2525415403290308</v>
      </c>
      <c r="E92" s="15" t="n">
        <v>0.2862820064304397</v>
      </c>
      <c r="F92" s="15">
        <f>D92-E92</f>
        <v>-0.033740466101408906</v>
      </c>
      <c r="G92" t="inlineStr"/>
      <c r="H92" s="14" t="n">
        <v>12913000000</v>
      </c>
      <c r="I92" s="14" t="n">
        <v>12913000000</v>
      </c>
      <c r="J92" s="14" t="n">
        <v>41240500000</v>
      </c>
      <c r="K92" s="14" t="n">
        <v>36380000000</v>
      </c>
      <c r="L92" t="inlineStr">
        <is>
          <t>reported</t>
        </is>
      </c>
      <c r="M92" t="inlineStr">
        <is>
          <t>투하자본(분모) +13.4%</t>
        </is>
      </c>
    </row>
    <row r="93">
      <c r="A93" t="inlineStr">
        <is>
          <t>애브비</t>
        </is>
      </c>
      <c r="B93" t="inlineStr">
        <is>
          <t>ABBV</t>
        </is>
      </c>
      <c r="C93" t="inlineStr">
        <is>
          <t>FY2018</t>
        </is>
      </c>
      <c r="D93" s="15" t="n">
        <v>0.2147293684378264</v>
      </c>
      <c r="E93" s="15" t="n">
        <v>0.2482386654385426</v>
      </c>
      <c r="F93" s="15">
        <f>D93-E93</f>
        <v>-0.0335092970007162</v>
      </c>
      <c r="G93" t="inlineStr"/>
      <c r="H93" s="14" t="n">
        <v>6383000000</v>
      </c>
      <c r="I93" s="14" t="n">
        <v>6383000000</v>
      </c>
      <c r="J93" s="14" t="n">
        <v>28239500000</v>
      </c>
      <c r="K93" s="14" t="n">
        <v>24427500000</v>
      </c>
      <c r="L93" t="inlineStr">
        <is>
          <t>reported</t>
        </is>
      </c>
      <c r="M93" t="inlineStr">
        <is>
          <t>투하자본(분모) +15.6%</t>
        </is>
      </c>
    </row>
    <row r="94">
      <c r="A94" t="inlineStr">
        <is>
          <t>엔비디아</t>
        </is>
      </c>
      <c r="B94" t="inlineStr">
        <is>
          <t>NVDA</t>
        </is>
      </c>
      <c r="C94" t="inlineStr">
        <is>
          <t>FY2020</t>
        </is>
      </c>
      <c r="D94" s="15" t="n">
        <v>0.5522221509651767</v>
      </c>
      <c r="E94" s="15" t="n">
        <v>0.5189729990356798</v>
      </c>
      <c r="F94" s="15">
        <f>D94-E94</f>
        <v>0.033249151929496845</v>
      </c>
      <c r="G94" t="inlineStr"/>
      <c r="H94" s="14" t="n">
        <v>4532000000</v>
      </c>
      <c r="I94" s="14" t="n">
        <v>4532000000</v>
      </c>
      <c r="J94" s="14" t="n">
        <v>7796500000</v>
      </c>
      <c r="K94" s="14" t="n">
        <v>8296000000</v>
      </c>
      <c r="L94" t="inlineStr">
        <is>
          <t>reported</t>
        </is>
      </c>
      <c r="M94" t="inlineStr">
        <is>
          <t>투하자본(분모) -6.0%</t>
        </is>
      </c>
    </row>
    <row r="95">
      <c r="A95" t="inlineStr">
        <is>
          <t>델 테크놀로지스</t>
        </is>
      </c>
      <c r="B95" t="inlineStr">
        <is>
          <t>DELL</t>
        </is>
      </c>
      <c r="C95" t="inlineStr">
        <is>
          <t>FY2025</t>
        </is>
      </c>
      <c r="D95" s="15" t="n">
        <v>0.393484681129083</v>
      </c>
      <c r="E95" s="15" t="n">
        <v>0.3604254518922455</v>
      </c>
      <c r="F95" s="15">
        <f>D95-E95</f>
        <v>0.03305922923683752</v>
      </c>
      <c r="G95" t="inlineStr"/>
      <c r="H95" s="14" t="n">
        <v>8149000000</v>
      </c>
      <c r="I95" s="14" t="n">
        <v>8149000000</v>
      </c>
      <c r="J95" s="14" t="n">
        <v>16926000000</v>
      </c>
      <c r="K95" s="14" t="n">
        <v>18478500000</v>
      </c>
      <c r="L95" t="inlineStr">
        <is>
          <t>reported</t>
        </is>
      </c>
      <c r="M95" t="inlineStr">
        <is>
          <t>투하자본(분모) -8.4%</t>
        </is>
      </c>
    </row>
    <row r="96">
      <c r="A96" t="inlineStr">
        <is>
          <t>애플</t>
        </is>
      </c>
      <c r="B96" t="inlineStr">
        <is>
          <t>AAPL</t>
        </is>
      </c>
      <c r="C96" t="inlineStr">
        <is>
          <t>FY2019</t>
        </is>
      </c>
      <c r="D96" s="15" t="n">
        <v>0.424284406913765</v>
      </c>
      <c r="E96" s="15" t="n">
        <v>0.4566317146794741</v>
      </c>
      <c r="F96" s="15">
        <f>D96-E96</f>
        <v>-0.0323473077657091</v>
      </c>
      <c r="G96" t="inlineStr"/>
      <c r="H96" s="14" t="n">
        <v>63930000000</v>
      </c>
      <c r="I96" s="14" t="n">
        <v>63930000000</v>
      </c>
      <c r="J96" s="14" t="n">
        <v>126653500000</v>
      </c>
      <c r="K96" s="14" t="n">
        <v>117681500000</v>
      </c>
      <c r="L96" t="inlineStr">
        <is>
          <t>reported</t>
        </is>
      </c>
      <c r="M96" t="inlineStr">
        <is>
          <t>투하자본(분모) +7.6%</t>
        </is>
      </c>
    </row>
    <row r="97">
      <c r="A97" t="inlineStr">
        <is>
          <t>존슨앤드존슨</t>
        </is>
      </c>
      <c r="B97" t="inlineStr">
        <is>
          <t>JNJ</t>
        </is>
      </c>
      <c r="C97" t="inlineStr">
        <is>
          <t>FY2019</t>
        </is>
      </c>
      <c r="D97" s="15" t="n">
        <v>0.2502706716136624</v>
      </c>
      <c r="E97" s="15" t="n">
        <v>0.2184400442110282</v>
      </c>
      <c r="F97" s="15">
        <f>D97-E97</f>
        <v>0.031830627402634204</v>
      </c>
      <c r="G97" t="inlineStr"/>
      <c r="H97" s="14" t="n">
        <v>19853000000</v>
      </c>
      <c r="I97" s="14" t="n">
        <v>17328000000</v>
      </c>
      <c r="J97" s="14" t="n">
        <v>69213500000</v>
      </c>
      <c r="K97" s="14" t="n">
        <v>69213500000</v>
      </c>
      <c r="L97" t="inlineStr">
        <is>
          <t>pretax_less_nonoperating</t>
        </is>
      </c>
      <c r="M97" t="inlineStr">
        <is>
          <t>영업이익(분자) +14.6%, 신규 분자 추정경로(pretax_less_nonoperating), 구 분자 = 세전이익+이자</t>
        </is>
      </c>
    </row>
    <row r="98">
      <c r="A98" t="inlineStr">
        <is>
          <t>비자</t>
        </is>
      </c>
      <c r="B98" t="inlineStr">
        <is>
          <t>V</t>
        </is>
      </c>
      <c r="C98" t="inlineStr">
        <is>
          <t>FY2016</t>
        </is>
      </c>
      <c r="D98" s="15" t="n">
        <v>0.1847239052108143</v>
      </c>
      <c r="E98" s="15" t="n">
        <v>0.2159725869372031</v>
      </c>
      <c r="F98" s="15">
        <f>D98-E98</f>
        <v>-0.031248681726388783</v>
      </c>
      <c r="G98" t="inlineStr"/>
      <c r="H98" s="14" t="n">
        <v>7883000000</v>
      </c>
      <c r="I98" s="14" t="n">
        <v>7883000000</v>
      </c>
      <c r="J98" s="14" t="n">
        <v>31910000000</v>
      </c>
      <c r="K98" s="14" t="n">
        <v>27293000000</v>
      </c>
      <c r="L98" t="inlineStr">
        <is>
          <t>reported</t>
        </is>
      </c>
      <c r="M98" t="inlineStr">
        <is>
          <t>투하자본(분모) +16.9%</t>
        </is>
      </c>
    </row>
    <row r="99">
      <c r="A99" t="inlineStr">
        <is>
          <t>제너럴 일렉트릭</t>
        </is>
      </c>
      <c r="B99" t="inlineStr">
        <is>
          <t>GE</t>
        </is>
      </c>
      <c r="C99" t="inlineStr">
        <is>
          <t>FY2019</t>
        </is>
      </c>
      <c r="D99" s="15" t="n">
        <v>-0.03162946922517624</v>
      </c>
      <c r="E99" s="15" t="n">
        <v>-0.0004612664824916608</v>
      </c>
      <c r="F99" s="15">
        <f>D99-E99</f>
        <v>-0.03116820274268458</v>
      </c>
      <c r="G99" t="inlineStr"/>
      <c r="H99" s="14" t="n">
        <v>-2533000000</v>
      </c>
      <c r="I99" s="14" t="n">
        <v>-54000000</v>
      </c>
      <c r="J99" s="14" t="n">
        <v>63266000000</v>
      </c>
      <c r="K99" s="14" t="n">
        <v>92484500000</v>
      </c>
      <c r="L99" t="inlineStr">
        <is>
          <t>pretax_less_nonoperating</t>
        </is>
      </c>
      <c r="M99" t="inlineStr">
        <is>
          <t>영업이익(분자) -4590.7%, 투하자본(분모) -31.6%, 신규 분자 추정경로(pretax_less_nonoperating), 구 분자 = 세전이익+이자</t>
        </is>
      </c>
    </row>
    <row r="100">
      <c r="A100" t="inlineStr">
        <is>
          <t>일라이 릴리</t>
        </is>
      </c>
      <c r="B100" t="inlineStr">
        <is>
          <t>LLY</t>
        </is>
      </c>
      <c r="C100" t="inlineStr">
        <is>
          <t>FY2019</t>
        </is>
      </c>
      <c r="D100" s="15" t="n">
        <v>0.298269751701393</v>
      </c>
      <c r="E100" s="15" t="n">
        <v>0.3288824280243937</v>
      </c>
      <c r="F100" s="15">
        <f>D100-E100</f>
        <v>-0.030612676323000687</v>
      </c>
      <c r="G100" t="inlineStr"/>
      <c r="H100" s="14" t="n">
        <v>4974300000</v>
      </c>
      <c r="I100" s="14" t="n">
        <v>5265900000</v>
      </c>
      <c r="J100" s="14" t="n">
        <v>14688300000</v>
      </c>
      <c r="K100" s="14" t="n">
        <v>14102000000</v>
      </c>
      <c r="L100" t="inlineStr">
        <is>
          <t>pretax_less_nonoperating</t>
        </is>
      </c>
      <c r="M100" t="inlineStr">
        <is>
          <t>영업이익(분자) -5.5%, 투하자본(분모) +4.2%, 신규 분자 추정경로(pretax_less_nonoperating), 구 분자 = 세전이익+이자</t>
        </is>
      </c>
    </row>
    <row r="101">
      <c r="A101" t="inlineStr">
        <is>
          <t>애플</t>
        </is>
      </c>
      <c r="B101" t="inlineStr">
        <is>
          <t>AAPL</t>
        </is>
      </c>
      <c r="C101" t="inlineStr">
        <is>
          <t>FY2018</t>
        </is>
      </c>
      <c r="D101" s="15" t="n">
        <v>0.3499433968909871</v>
      </c>
      <c r="E101" s="15" t="n">
        <v>0.3208957266003707</v>
      </c>
      <c r="F101" s="15">
        <f>D101-E101</f>
        <v>0.02904767029061639</v>
      </c>
      <c r="G101" t="inlineStr"/>
      <c r="H101" s="14" t="n">
        <v>70898000000</v>
      </c>
      <c r="I101" s="14" t="n">
        <v>70898000000</v>
      </c>
      <c r="J101" s="14" t="n">
        <v>165437500000</v>
      </c>
      <c r="K101" s="14" t="n">
        <v>180413000000</v>
      </c>
      <c r="L101" t="inlineStr">
        <is>
          <t>reported</t>
        </is>
      </c>
      <c r="M101" t="inlineStr">
        <is>
          <t>투하자본(분모) -8.3%</t>
        </is>
      </c>
    </row>
    <row r="102">
      <c r="A102" t="inlineStr">
        <is>
          <t>홈디포</t>
        </is>
      </c>
      <c r="B102" t="inlineStr">
        <is>
          <t>HD</t>
        </is>
      </c>
      <c r="C102" t="inlineStr">
        <is>
          <t>FY2018</t>
        </is>
      </c>
      <c r="D102" s="15" t="n">
        <v>0.4705312177907827</v>
      </c>
      <c r="E102" s="15" t="n">
        <v>0.4992174378214482</v>
      </c>
      <c r="F102" s="15">
        <f>D102-E102</f>
        <v>-0.028686220030665455</v>
      </c>
      <c r="G102" t="inlineStr"/>
      <c r="H102" s="14" t="n">
        <v>15530000000</v>
      </c>
      <c r="I102" s="14" t="n">
        <v>15530000000</v>
      </c>
      <c r="J102" s="14" t="n">
        <v>25216500000</v>
      </c>
      <c r="K102" s="14" t="n">
        <v>23767500000</v>
      </c>
      <c r="L102" t="inlineStr">
        <is>
          <t>reported</t>
        </is>
      </c>
      <c r="M102" t="inlineStr">
        <is>
          <t>투하자본(분모) +6.1%</t>
        </is>
      </c>
    </row>
    <row r="103">
      <c r="A103" t="inlineStr">
        <is>
          <t>제너럴 일렉트릭</t>
        </is>
      </c>
      <c r="B103" t="inlineStr">
        <is>
          <t>GE</t>
        </is>
      </c>
      <c r="C103" t="inlineStr">
        <is>
          <t>FY2017</t>
        </is>
      </c>
      <c r="D103" s="15" t="n">
        <v>-0.08778358875906127</v>
      </c>
      <c r="E103" s="15" t="n">
        <v>-0.05938452466141899</v>
      </c>
      <c r="F103" s="15">
        <f>D103-E103</f>
        <v>-0.028399064097642278</v>
      </c>
      <c r="G103" t="inlineStr"/>
      <c r="H103" s="14" t="n">
        <v>-13428000000</v>
      </c>
      <c r="I103" s="14" t="n">
        <v>-11345000000</v>
      </c>
      <c r="J103" s="14" t="n">
        <v>120844000000</v>
      </c>
      <c r="K103" s="14" t="n">
        <v>150924000000</v>
      </c>
      <c r="L103" t="inlineStr">
        <is>
          <t>pretax_less_nonoperating</t>
        </is>
      </c>
      <c r="M103" t="inlineStr">
        <is>
          <t>영업이익(분자) -18.4%, 투하자본(분모) -19.9%, 신규 분자 추정경로(pretax_less_nonoperating), 구 분자 = 세전이익+이자</t>
        </is>
      </c>
    </row>
    <row r="104">
      <c r="A104" t="inlineStr">
        <is>
          <t>마스터카드</t>
        </is>
      </c>
      <c r="B104" t="inlineStr">
        <is>
          <t>MA</t>
        </is>
      </c>
      <c r="C104" t="inlineStr">
        <is>
          <t>FY2023</t>
        </is>
      </c>
      <c r="D104" s="15" t="n">
        <v>0.8695033949830915</v>
      </c>
      <c r="E104" s="15" t="n">
        <v>0.8412568606957315</v>
      </c>
      <c r="F104" s="15">
        <f>D104-E104</f>
        <v>0.028246534287360014</v>
      </c>
      <c r="G104" t="inlineStr"/>
      <c r="H104" s="14" t="n">
        <v>14008000000</v>
      </c>
      <c r="I104" s="14" t="n">
        <v>14008000000</v>
      </c>
      <c r="J104" s="14" t="n">
        <v>13223500000</v>
      </c>
      <c r="K104" s="14" t="n">
        <v>13667500000</v>
      </c>
      <c r="L104" t="inlineStr">
        <is>
          <t>reported</t>
        </is>
      </c>
      <c r="M104" t="inlineStr">
        <is>
          <t>투하자본(분모) -3.2%</t>
        </is>
      </c>
    </row>
    <row r="105">
      <c r="A105" t="inlineStr">
        <is>
          <t>델 테크놀로지스</t>
        </is>
      </c>
      <c r="B105" t="inlineStr">
        <is>
          <t>DELL</t>
        </is>
      </c>
      <c r="C105" t="inlineStr">
        <is>
          <t>FY2024</t>
        </is>
      </c>
      <c r="D105" s="15" t="n">
        <v>0.3432489860385559</v>
      </c>
      <c r="E105" s="15" t="n">
        <v>0.315389265809504</v>
      </c>
      <c r="F105" s="15">
        <f>D105-E105</f>
        <v>0.02785972022905192</v>
      </c>
      <c r="G105" t="inlineStr"/>
      <c r="H105" s="14" t="n">
        <v>6237000000</v>
      </c>
      <c r="I105" s="14" t="n">
        <v>6237000000</v>
      </c>
      <c r="J105" s="14" t="n">
        <v>16471500000</v>
      </c>
      <c r="K105" s="14" t="n">
        <v>17926500000</v>
      </c>
      <c r="L105" t="inlineStr">
        <is>
          <t>reported</t>
        </is>
      </c>
      <c r="M105" t="inlineStr">
        <is>
          <t>투하자본(분모) -8.1%</t>
        </is>
      </c>
    </row>
    <row r="106">
      <c r="A106" t="inlineStr">
        <is>
          <t>테슬라</t>
        </is>
      </c>
      <c r="B106" t="inlineStr">
        <is>
          <t>TSLA</t>
        </is>
      </c>
      <c r="C106" t="inlineStr">
        <is>
          <t>FY2016</t>
        </is>
      </c>
      <c r="D106" s="15" t="n">
        <v>-0.090593159081374</v>
      </c>
      <c r="E106" s="15" t="n">
        <v>-0.06301244511048064</v>
      </c>
      <c r="F106" s="15">
        <f>D106-E106</f>
        <v>-0.02758071397089336</v>
      </c>
      <c r="G106" t="inlineStr"/>
      <c r="H106" s="14" t="n">
        <v>-667340000</v>
      </c>
      <c r="I106" s="14" t="n">
        <v>-667340000</v>
      </c>
      <c r="J106" s="14" t="n">
        <v>5819408500</v>
      </c>
      <c r="K106" s="14" t="n">
        <v>8366579000</v>
      </c>
      <c r="L106" t="inlineStr">
        <is>
          <t>reported</t>
        </is>
      </c>
      <c r="M106" t="inlineStr">
        <is>
          <t>투하자본(분모) -30.4%</t>
        </is>
      </c>
    </row>
    <row r="107">
      <c r="A107" t="inlineStr">
        <is>
          <t>델 테크놀로지스</t>
        </is>
      </c>
      <c r="B107" t="inlineStr">
        <is>
          <t>DELL</t>
        </is>
      </c>
      <c r="C107" t="inlineStr">
        <is>
          <t>FY2022</t>
        </is>
      </c>
      <c r="D107" s="15" t="n">
        <v>0.284639656942443</v>
      </c>
      <c r="E107" s="15" t="n">
        <v>0.2575891198736506</v>
      </c>
      <c r="F107" s="15">
        <f>D107-E107</f>
        <v>0.027050537068792402</v>
      </c>
      <c r="G107" t="inlineStr"/>
      <c r="H107" s="14" t="n">
        <v>5771000000</v>
      </c>
      <c r="I107" s="14" t="n">
        <v>5771000000</v>
      </c>
      <c r="J107" s="14" t="n">
        <v>15226500000</v>
      </c>
      <c r="K107" s="14" t="n">
        <v>16825500000</v>
      </c>
      <c r="L107" t="inlineStr">
        <is>
          <t>reported</t>
        </is>
      </c>
      <c r="M107" t="inlineStr">
        <is>
          <t>투하자본(분모) -9.5%</t>
        </is>
      </c>
    </row>
    <row r="108">
      <c r="A108" t="inlineStr">
        <is>
          <t>마스터카드</t>
        </is>
      </c>
      <c r="B108" t="inlineStr">
        <is>
          <t>MA</t>
        </is>
      </c>
      <c r="C108" t="inlineStr">
        <is>
          <t>FY2021</t>
        </is>
      </c>
      <c r="D108" s="15" t="n">
        <v>0.7741062508439217</v>
      </c>
      <c r="E108" s="15" t="n">
        <v>0.7472838198499454</v>
      </c>
      <c r="F108" s="15">
        <f>D108-E108</f>
        <v>0.0268224309939763</v>
      </c>
      <c r="G108" t="inlineStr"/>
      <c r="H108" s="14" t="n">
        <v>10082000000</v>
      </c>
      <c r="I108" s="14" t="n">
        <v>10082000000</v>
      </c>
      <c r="J108" s="14" t="n">
        <v>10977000000</v>
      </c>
      <c r="K108" s="14" t="n">
        <v>11371000000</v>
      </c>
      <c r="L108" t="inlineStr">
        <is>
          <t>reported</t>
        </is>
      </c>
      <c r="M108" t="inlineStr">
        <is>
          <t>투하자본(분모) -3.5%</t>
        </is>
      </c>
    </row>
    <row r="109">
      <c r="A109" t="inlineStr">
        <is>
          <t>팔로알토 네트웍스</t>
        </is>
      </c>
      <c r="B109" t="inlineStr">
        <is>
          <t>PANW</t>
        </is>
      </c>
      <c r="C109" t="inlineStr">
        <is>
          <t>FY2025</t>
        </is>
      </c>
      <c r="D109" s="15" t="n">
        <v>0.2351896598120781</v>
      </c>
      <c r="E109" s="15" t="n">
        <v>0.2084004948646349</v>
      </c>
      <c r="F109" s="15">
        <f>D109-E109</f>
        <v>0.026789164947443184</v>
      </c>
      <c r="G109" t="inlineStr"/>
      <c r="H109" s="14" t="n">
        <v>1243000000</v>
      </c>
      <c r="I109" s="14" t="n">
        <v>1242900000</v>
      </c>
      <c r="J109" s="14" t="n">
        <v>3755200000</v>
      </c>
      <c r="K109" s="14" t="n">
        <v>4238000000</v>
      </c>
      <c r="L109" t="inlineStr">
        <is>
          <t>reported</t>
        </is>
      </c>
      <c r="M109" t="inlineStr">
        <is>
          <t>투하자본(분모) -11.4%</t>
        </is>
      </c>
    </row>
    <row r="110">
      <c r="A110" t="inlineStr">
        <is>
          <t>KLA</t>
        </is>
      </c>
      <c r="B110" t="inlineStr">
        <is>
          <t>KLAC</t>
        </is>
      </c>
      <c r="C110" t="inlineStr">
        <is>
          <t>FY2022</t>
        </is>
      </c>
      <c r="D110" s="15" t="n">
        <v>0.559783143159296</v>
      </c>
      <c r="E110" s="15" t="n">
        <v>0.5855162835501388</v>
      </c>
      <c r="F110" s="15">
        <f>D110-E110</f>
        <v>-0.025733140390842846</v>
      </c>
      <c r="G110" t="inlineStr"/>
      <c r="H110" s="14" t="n">
        <v>3493842000</v>
      </c>
      <c r="I110" s="14" t="n">
        <v>3649576000</v>
      </c>
      <c r="J110" s="14" t="n">
        <v>5929349500</v>
      </c>
      <c r="K110" s="14" t="n">
        <v>5921436000</v>
      </c>
      <c r="L110" t="inlineStr">
        <is>
          <t>pretax_less_nonoperating</t>
        </is>
      </c>
      <c r="M110" t="inlineStr">
        <is>
          <t>영업이익(분자) -4.3%, 신규 분자 추정경로(pretax_less_nonoperating), 구 분자 = 세전이익+이자</t>
        </is>
      </c>
    </row>
    <row r="111">
      <c r="A111" t="inlineStr">
        <is>
          <t>애브비</t>
        </is>
      </c>
      <c r="B111" t="inlineStr">
        <is>
          <t>ABBV</t>
        </is>
      </c>
      <c r="C111" t="inlineStr">
        <is>
          <t>FY2021</t>
        </is>
      </c>
      <c r="D111" s="15" t="n">
        <v>0.1842798606379492</v>
      </c>
      <c r="E111" s="15" t="n">
        <v>0.2097428491595636</v>
      </c>
      <c r="F111" s="15">
        <f>D111-E111</f>
        <v>-0.025462988521614383</v>
      </c>
      <c r="G111" t="inlineStr"/>
      <c r="H111" s="14" t="n">
        <v>17924000000</v>
      </c>
      <c r="I111" s="14" t="n">
        <v>17924000000</v>
      </c>
      <c r="J111" s="14" t="n">
        <v>86482000000</v>
      </c>
      <c r="K111" s="14" t="n">
        <v>75983000000</v>
      </c>
      <c r="L111" t="inlineStr">
        <is>
          <t>reported</t>
        </is>
      </c>
      <c r="M111" t="inlineStr">
        <is>
          <t>투하자본(분모) +13.8%</t>
        </is>
      </c>
    </row>
    <row r="112">
      <c r="A112" t="inlineStr">
        <is>
          <t>애브비</t>
        </is>
      </c>
      <c r="B112" t="inlineStr">
        <is>
          <t>ABBV</t>
        </is>
      </c>
      <c r="C112" t="inlineStr">
        <is>
          <t>FY2022</t>
        </is>
      </c>
      <c r="D112" s="15" t="n">
        <v>0.2073066258155647</v>
      </c>
      <c r="E112" s="15" t="n">
        <v>0.2325527343777748</v>
      </c>
      <c r="F112" s="15">
        <f>D112-E112</f>
        <v>-0.0252461085622101</v>
      </c>
      <c r="G112" t="inlineStr"/>
      <c r="H112" s="14" t="n">
        <v>18117000000</v>
      </c>
      <c r="I112" s="14" t="n">
        <v>18117000000</v>
      </c>
      <c r="J112" s="14" t="n">
        <v>76809500000</v>
      </c>
      <c r="K112" s="14" t="n">
        <v>68471000000</v>
      </c>
      <c r="L112" t="inlineStr">
        <is>
          <t>reported</t>
        </is>
      </c>
      <c r="M112" t="inlineStr">
        <is>
          <t>투하자본(분모) +12.2%</t>
        </is>
      </c>
    </row>
    <row r="113">
      <c r="A113" t="inlineStr">
        <is>
          <t>델 테크놀로지스</t>
        </is>
      </c>
      <c r="B113" t="inlineStr">
        <is>
          <t>DELL</t>
        </is>
      </c>
      <c r="C113" t="inlineStr">
        <is>
          <t>FY2023</t>
        </is>
      </c>
      <c r="D113" s="15" t="n">
        <v>0.2857015800364847</v>
      </c>
      <c r="E113" s="15" t="n">
        <v>0.2606172148073619</v>
      </c>
      <c r="F113" s="15">
        <f>D113-E113</f>
        <v>0.02508436522912283</v>
      </c>
      <c r="G113" t="inlineStr"/>
      <c r="H113" s="14" t="n">
        <v>5411000000</v>
      </c>
      <c r="I113" s="14" t="n">
        <v>5411000000</v>
      </c>
      <c r="J113" s="14" t="n">
        <v>15626000000</v>
      </c>
      <c r="K113" s="14" t="n">
        <v>17130000000</v>
      </c>
      <c r="L113" t="inlineStr">
        <is>
          <t>reported</t>
        </is>
      </c>
      <c r="M113" t="inlineStr">
        <is>
          <t>투하자본(분모) -8.8%</t>
        </is>
      </c>
    </row>
    <row r="114">
      <c r="A114" t="inlineStr">
        <is>
          <t>마스터카드</t>
        </is>
      </c>
      <c r="B114" t="inlineStr">
        <is>
          <t>MA</t>
        </is>
      </c>
      <c r="C114" t="inlineStr">
        <is>
          <t>FY2024</t>
        </is>
      </c>
      <c r="D114" s="15" t="n">
        <v>0.8932466574996555</v>
      </c>
      <c r="E114" s="15" t="n">
        <v>0.8682990931325263</v>
      </c>
      <c r="F114" s="15">
        <f>D114-E114</f>
        <v>0.024947564367129194</v>
      </c>
      <c r="G114" t="inlineStr"/>
      <c r="H114" s="14" t="n">
        <v>15582000000</v>
      </c>
      <c r="I114" s="14" t="n">
        <v>15582000000</v>
      </c>
      <c r="J114" s="14" t="n">
        <v>14722500000</v>
      </c>
      <c r="K114" s="14" t="n">
        <v>15145500000</v>
      </c>
      <c r="L114" t="inlineStr">
        <is>
          <t>reported</t>
        </is>
      </c>
      <c r="M114" t="inlineStr">
        <is>
          <t>투하자본(분모) -2.8%</t>
        </is>
      </c>
    </row>
    <row r="115">
      <c r="A115" t="inlineStr">
        <is>
          <t>애브비</t>
        </is>
      </c>
      <c r="B115" t="inlineStr">
        <is>
          <t>ABBV</t>
        </is>
      </c>
      <c r="C115" t="inlineStr">
        <is>
          <t>FY2020</t>
        </is>
      </c>
      <c r="D115" s="15" t="n">
        <v>0.1975161473295153</v>
      </c>
      <c r="E115" s="15" t="n">
        <v>0.2224274705349048</v>
      </c>
      <c r="F115" s="15">
        <f>D115-E115</f>
        <v>-0.024911323205389496</v>
      </c>
      <c r="G115" t="inlineStr"/>
      <c r="H115" s="14" t="n">
        <v>11363000000</v>
      </c>
      <c r="I115" s="14" t="n">
        <v>11363000000</v>
      </c>
      <c r="J115" s="14" t="n">
        <v>54653000000</v>
      </c>
      <c r="K115" s="14" t="n">
        <v>48532000000</v>
      </c>
      <c r="L115" t="inlineStr">
        <is>
          <t>reported</t>
        </is>
      </c>
      <c r="M115" t="inlineStr">
        <is>
          <t>투하자본(분모) +12.6%</t>
        </is>
      </c>
    </row>
    <row r="116">
      <c r="A116" t="inlineStr">
        <is>
          <t>AMD</t>
        </is>
      </c>
      <c r="B116" t="inlineStr">
        <is>
          <t>AMD</t>
        </is>
      </c>
      <c r="C116" t="inlineStr">
        <is>
          <t>FY2018</t>
        </is>
      </c>
      <c r="D116" s="15" t="n">
        <v>0.3956140350877193</v>
      </c>
      <c r="E116" s="15" t="n">
        <v>0.4204612365063788</v>
      </c>
      <c r="F116" s="15">
        <f>D116-E116</f>
        <v>-0.02484720141865948</v>
      </c>
      <c r="G116" t="inlineStr"/>
      <c r="H116" s="14" t="n">
        <v>451000000</v>
      </c>
      <c r="I116" s="14" t="n">
        <v>451000000</v>
      </c>
      <c r="J116" s="14" t="n">
        <v>1083000000</v>
      </c>
      <c r="K116" s="14" t="n">
        <v>1019000000</v>
      </c>
      <c r="L116" t="inlineStr">
        <is>
          <t>reported</t>
        </is>
      </c>
      <c r="M116" t="inlineStr">
        <is>
          <t>투하자본(분모) +6.3%</t>
        </is>
      </c>
    </row>
    <row r="117">
      <c r="A117" t="inlineStr">
        <is>
          <t>제너럴 일렉트릭</t>
        </is>
      </c>
      <c r="B117" t="inlineStr">
        <is>
          <t>GE</t>
        </is>
      </c>
      <c r="C117" t="inlineStr">
        <is>
          <t>FY2016</t>
        </is>
      </c>
      <c r="D117" s="15" t="n">
        <v>0.01784602688811348</v>
      </c>
      <c r="E117" s="15" t="n">
        <v>0.04249743912758552</v>
      </c>
      <c r="F117" s="15">
        <f>D117-E117</f>
        <v>-0.024651412239472044</v>
      </c>
      <c r="G117" t="inlineStr"/>
      <c r="H117" s="14" t="n">
        <v>2891000000</v>
      </c>
      <c r="I117" s="14" t="n">
        <v>7031000000</v>
      </c>
      <c r="J117" s="14" t="n">
        <v>153897000000</v>
      </c>
      <c r="K117" s="14" t="n">
        <v>157173000000</v>
      </c>
      <c r="L117" t="inlineStr">
        <is>
          <t>pretax_less_nonoperating</t>
        </is>
      </c>
      <c r="M117" t="inlineStr">
        <is>
          <t>영업이익(분자) -58.9%, 투하자본(분모) -2.1%, 신규 분자 추정경로(pretax_less_nonoperating), 구 분자 = 세전이익+이자</t>
        </is>
      </c>
    </row>
    <row r="118">
      <c r="A118" t="inlineStr">
        <is>
          <t>GE 버노바</t>
        </is>
      </c>
      <c r="B118" t="inlineStr">
        <is>
          <t>GEV</t>
        </is>
      </c>
      <c r="C118" t="inlineStr">
        <is>
          <t>FY2024</t>
        </is>
      </c>
      <c r="D118" s="15" t="n">
        <v>0.06239668023954294</v>
      </c>
      <c r="E118" s="15" t="n">
        <v>0.08680075612239385</v>
      </c>
      <c r="F118" s="15">
        <f>D118-E118</f>
        <v>-0.024404075882850915</v>
      </c>
      <c r="G118" t="inlineStr"/>
      <c r="H118" s="14" t="n">
        <v>471000000</v>
      </c>
      <c r="I118" s="14" t="n">
        <v>471000000</v>
      </c>
      <c r="J118" s="14" t="n">
        <v>4711000000</v>
      </c>
      <c r="K118" s="14" t="n">
        <v>3386500000</v>
      </c>
      <c r="L118" t="inlineStr">
        <is>
          <t>reported</t>
        </is>
      </c>
      <c r="M118" t="inlineStr">
        <is>
          <t>투하자본(분모) +39.1%</t>
        </is>
      </c>
    </row>
    <row r="119">
      <c r="A119" t="inlineStr">
        <is>
          <t>비자</t>
        </is>
      </c>
      <c r="B119" t="inlineStr">
        <is>
          <t>V</t>
        </is>
      </c>
      <c r="C119" t="inlineStr">
        <is>
          <t>FY2025</t>
        </is>
      </c>
      <c r="D119" s="15" t="n">
        <v>0.4476140073832313</v>
      </c>
      <c r="E119" s="15" t="n">
        <v>0.4236256638012328</v>
      </c>
      <c r="F119" s="15">
        <f>D119-E119</f>
        <v>0.023988343581998528</v>
      </c>
      <c r="G119" t="inlineStr"/>
      <c r="H119" s="14" t="n">
        <v>23994000000</v>
      </c>
      <c r="I119" s="14" t="n">
        <v>23994000000</v>
      </c>
      <c r="J119" s="14" t="n">
        <v>44440500000</v>
      </c>
      <c r="K119" s="14" t="n">
        <v>46957000000</v>
      </c>
      <c r="L119" t="inlineStr">
        <is>
          <t>reported</t>
        </is>
      </c>
      <c r="M119" t="inlineStr">
        <is>
          <t>투하자본(분모) -5.4%</t>
        </is>
      </c>
    </row>
    <row r="120">
      <c r="A120" t="inlineStr">
        <is>
          <t>엔비디아</t>
        </is>
      </c>
      <c r="B120" t="inlineStr">
        <is>
          <t>NVDA</t>
        </is>
      </c>
      <c r="C120" t="inlineStr">
        <is>
          <t>FY2021</t>
        </is>
      </c>
      <c r="D120" s="15" t="n">
        <v>0.666011520335137</v>
      </c>
      <c r="E120" s="15" t="n">
        <v>0.6435669950074214</v>
      </c>
      <c r="F120" s="15">
        <f>D120-E120</f>
        <v>0.02244452532771557</v>
      </c>
      <c r="G120" t="inlineStr"/>
      <c r="H120" s="14" t="n">
        <v>10041000000</v>
      </c>
      <c r="I120" s="14" t="n">
        <v>10041000000</v>
      </c>
      <c r="J120" s="14" t="n">
        <v>14322500000</v>
      </c>
      <c r="K120" s="14" t="n">
        <v>14822000000</v>
      </c>
      <c r="L120" t="inlineStr">
        <is>
          <t>reported</t>
        </is>
      </c>
      <c r="M120" t="inlineStr">
        <is>
          <t>투하자본(분모) -3.4%</t>
        </is>
      </c>
    </row>
    <row r="121">
      <c r="A121" t="inlineStr">
        <is>
          <t>비자</t>
        </is>
      </c>
      <c r="B121" t="inlineStr">
        <is>
          <t>V</t>
        </is>
      </c>
      <c r="C121" t="inlineStr">
        <is>
          <t>FY2022</t>
        </is>
      </c>
      <c r="D121" s="15" t="n">
        <v>0.3900137221783964</v>
      </c>
      <c r="E121" s="15" t="n">
        <v>0.3675704123106781</v>
      </c>
      <c r="F121" s="15">
        <f>D121-E121</f>
        <v>0.02244330986771831</v>
      </c>
      <c r="G121" t="inlineStr"/>
      <c r="H121" s="14" t="n">
        <v>18813000000</v>
      </c>
      <c r="I121" s="14" t="n">
        <v>18813000000</v>
      </c>
      <c r="J121" s="14" t="n">
        <v>39781500000</v>
      </c>
      <c r="K121" s="14" t="n">
        <v>42210500000</v>
      </c>
      <c r="L121" t="inlineStr">
        <is>
          <t>reported</t>
        </is>
      </c>
      <c r="M121" t="inlineStr">
        <is>
          <t>투하자본(분모) -5.8%</t>
        </is>
      </c>
    </row>
    <row r="122">
      <c r="A122" t="inlineStr">
        <is>
          <t>홈디포</t>
        </is>
      </c>
      <c r="B122" t="inlineStr">
        <is>
          <t>HD</t>
        </is>
      </c>
      <c r="C122" t="inlineStr">
        <is>
          <t>FY2019</t>
        </is>
      </c>
      <c r="D122" s="15" t="n">
        <v>0.4675076117928553</v>
      </c>
      <c r="E122" s="15" t="n">
        <v>0.4893675407571522</v>
      </c>
      <c r="F122" s="15">
        <f>D122-E122</f>
        <v>-0.021859928964296893</v>
      </c>
      <c r="G122" t="inlineStr"/>
      <c r="H122" s="14" t="n">
        <v>15843000000</v>
      </c>
      <c r="I122" s="14" t="n">
        <v>15843000000</v>
      </c>
      <c r="J122" s="14" t="n">
        <v>25890000000</v>
      </c>
      <c r="K122" s="14" t="n">
        <v>24733500000</v>
      </c>
      <c r="L122" t="inlineStr">
        <is>
          <t>reported</t>
        </is>
      </c>
      <c r="M122" t="inlineStr">
        <is>
          <t>투하자본(분모) +4.7%</t>
        </is>
      </c>
    </row>
    <row r="123">
      <c r="A123" t="inlineStr">
        <is>
          <t>IBM</t>
        </is>
      </c>
      <c r="B123" t="inlineStr">
        <is>
          <t>IBM</t>
        </is>
      </c>
      <c r="C123" t="inlineStr">
        <is>
          <t>FY2017</t>
        </is>
      </c>
      <c r="D123" s="15" t="n">
        <v>0.1386319493855887</v>
      </c>
      <c r="E123" s="15" t="n">
        <v>0.1603318283922336</v>
      </c>
      <c r="F123" s="15">
        <f>D123-E123</f>
        <v>-0.021699879006644884</v>
      </c>
      <c r="G123" t="inlineStr"/>
      <c r="H123" s="14" t="n">
        <v>12015000000</v>
      </c>
      <c r="I123" s="14" t="n">
        <v>12015000000</v>
      </c>
      <c r="J123" s="14" t="n">
        <v>52001000000</v>
      </c>
      <c r="K123" s="14" t="n">
        <v>44963000000</v>
      </c>
      <c r="L123" t="inlineStr">
        <is>
          <t>pretax_plus_interest_less_investment_income</t>
        </is>
      </c>
      <c r="M123" t="inlineStr">
        <is>
          <t>투하자본(분모) +15.7%, 신규 분자 추정경로(pretax_plus_interest_less_investment_income), 구 분자 = 세전이익+이자</t>
        </is>
      </c>
    </row>
    <row r="124">
      <c r="A124" t="inlineStr">
        <is>
          <t>마스터카드</t>
        </is>
      </c>
      <c r="B124" t="inlineStr">
        <is>
          <t>MA</t>
        </is>
      </c>
      <c r="C124" t="inlineStr">
        <is>
          <t>FY2022</t>
        </is>
      </c>
      <c r="D124" s="15" t="n">
        <v>0.7875487573446671</v>
      </c>
      <c r="E124" s="15" t="n">
        <v>0.7659314809947526</v>
      </c>
      <c r="F124" s="15">
        <f>D124-E124</f>
        <v>0.021617276349914505</v>
      </c>
      <c r="G124" t="inlineStr"/>
      <c r="H124" s="14" t="n">
        <v>12264000000</v>
      </c>
      <c r="I124" s="14" t="n">
        <v>12264000000</v>
      </c>
      <c r="J124" s="14" t="n">
        <v>13180500000</v>
      </c>
      <c r="K124" s="14" t="n">
        <v>13552500000</v>
      </c>
      <c r="L124" t="inlineStr">
        <is>
          <t>reported</t>
        </is>
      </c>
      <c r="M124" t="inlineStr">
        <is>
          <t>투하자본(분모) -2.7%</t>
        </is>
      </c>
    </row>
    <row r="125">
      <c r="A125" t="inlineStr">
        <is>
          <t>머크</t>
        </is>
      </c>
      <c r="B125" t="inlineStr">
        <is>
          <t>MRK</t>
        </is>
      </c>
      <c r="C125" t="inlineStr">
        <is>
          <t>FY2021</t>
        </is>
      </c>
      <c r="D125" s="15" t="n">
        <v>0.1986204728493904</v>
      </c>
      <c r="E125" s="15" t="n">
        <v>0.2201910056303898</v>
      </c>
      <c r="F125" s="15">
        <f>D125-E125</f>
        <v>-0.02157053278099938</v>
      </c>
      <c r="G125" t="inlineStr"/>
      <c r="H125" s="14" t="n">
        <v>12538000000</v>
      </c>
      <c r="I125" s="14" t="n">
        <v>13879000000</v>
      </c>
      <c r="J125" s="14" t="n">
        <v>56207500000</v>
      </c>
      <c r="K125" s="14" t="n">
        <v>56124000000</v>
      </c>
      <c r="L125" t="inlineStr">
        <is>
          <t>pretax_less_nonoperating</t>
        </is>
      </c>
      <c r="M125" t="inlineStr">
        <is>
          <t>영업이익(분자) -9.7%, 신규 분자 추정경로(pretax_less_nonoperating), 구 분자 = 세전이익+이자</t>
        </is>
      </c>
    </row>
    <row r="126">
      <c r="A126" t="inlineStr">
        <is>
          <t>GE 버노바</t>
        </is>
      </c>
      <c r="B126" t="inlineStr">
        <is>
          <t>GEV</t>
        </is>
      </c>
      <c r="C126" t="inlineStr">
        <is>
          <t>FY2025</t>
        </is>
      </c>
      <c r="D126" s="15" t="n">
        <v>0.4220870678617157</v>
      </c>
      <c r="E126" s="15" t="n">
        <v>0.4425574760865917</v>
      </c>
      <c r="F126" s="15">
        <f>D126-E126</f>
        <v>-0.020470408224876002</v>
      </c>
      <c r="G126" t="inlineStr"/>
      <c r="H126" s="14" t="n">
        <v>1388000000</v>
      </c>
      <c r="I126" s="14" t="n">
        <v>1388000000</v>
      </c>
      <c r="J126" s="14" t="n">
        <v>3124000000</v>
      </c>
      <c r="K126" s="14" t="n">
        <v>2979500000</v>
      </c>
      <c r="L126" t="inlineStr">
        <is>
          <t>reported</t>
        </is>
      </c>
      <c r="M126" t="inlineStr">
        <is>
          <t>투하자본(분모) +4.8%</t>
        </is>
      </c>
    </row>
    <row r="127">
      <c r="A127" t="inlineStr">
        <is>
          <t>KLA</t>
        </is>
      </c>
      <c r="B127" t="inlineStr">
        <is>
          <t>KLAC</t>
        </is>
      </c>
      <c r="C127" t="inlineStr">
        <is>
          <t>FY2019</t>
        </is>
      </c>
      <c r="D127" s="15" t="n">
        <v>0.4420926405853845</v>
      </c>
      <c r="E127" s="15" t="n">
        <v>0.4218562158896038</v>
      </c>
      <c r="F127" s="15">
        <f>D127-E127</f>
        <v>0.020236424695780686</v>
      </c>
      <c r="G127" t="inlineStr"/>
      <c r="H127" s="14" t="n">
        <v>1301981000</v>
      </c>
      <c r="I127" s="14" t="n">
        <v>1296231000</v>
      </c>
      <c r="J127" s="14" t="n">
        <v>2669642500</v>
      </c>
      <c r="K127" s="14" t="n">
        <v>2785349500</v>
      </c>
      <c r="L127" t="inlineStr">
        <is>
          <t>verified_line_build</t>
        </is>
      </c>
      <c r="M127" t="inlineStr">
        <is>
          <t>투하자본(분모) -4.2%, 신규 분자 추정경로(verified_line_build), 구 분자 = 세전이익+이자</t>
        </is>
      </c>
    </row>
    <row r="128">
      <c r="A128" t="inlineStr">
        <is>
          <t>애브비</t>
        </is>
      </c>
      <c r="B128" t="inlineStr">
        <is>
          <t>ABBV</t>
        </is>
      </c>
      <c r="C128" t="inlineStr">
        <is>
          <t>FY2017</t>
        </is>
      </c>
      <c r="D128" s="15" t="n">
        <v>0.1936512273159883</v>
      </c>
      <c r="E128" s="15" t="n">
        <v>0.2126110984963641</v>
      </c>
      <c r="F128" s="15">
        <f>D128-E128</f>
        <v>-0.018959871180375787</v>
      </c>
      <c r="G128" t="inlineStr"/>
      <c r="H128" s="14" t="n">
        <v>9545000000</v>
      </c>
      <c r="I128" s="14" t="n">
        <v>9545000000</v>
      </c>
      <c r="J128" s="14" t="n">
        <v>33865500000</v>
      </c>
      <c r="K128" s="14" t="n">
        <v>30845500000</v>
      </c>
      <c r="L128" t="inlineStr">
        <is>
          <t>reported</t>
        </is>
      </c>
      <c r="M128" t="inlineStr">
        <is>
          <t>투하자본(분모) +9.8%</t>
        </is>
      </c>
    </row>
    <row r="129">
      <c r="A129" t="inlineStr">
        <is>
          <t>애브비</t>
        </is>
      </c>
      <c r="B129" t="inlineStr">
        <is>
          <t>ABBV</t>
        </is>
      </c>
      <c r="C129" t="inlineStr">
        <is>
          <t>FY2024</t>
        </is>
      </c>
      <c r="D129" s="15" t="n">
        <v>0.1423920799875327</v>
      </c>
      <c r="E129" s="15" t="n">
        <v>0.1609700689859803</v>
      </c>
      <c r="F129" s="15">
        <f>D129-E129</f>
        <v>-0.018577988998447592</v>
      </c>
      <c r="G129" t="inlineStr"/>
      <c r="H129" s="14" t="n">
        <v>9137000000</v>
      </c>
      <c r="I129" s="14" t="n">
        <v>9137000000</v>
      </c>
      <c r="J129" s="14" t="n">
        <v>60959500000</v>
      </c>
      <c r="K129" s="14" t="n">
        <v>53924000000</v>
      </c>
      <c r="L129" t="inlineStr">
        <is>
          <t>reported</t>
        </is>
      </c>
      <c r="M129" t="inlineStr">
        <is>
          <t>투하자본(분모) +13.0%</t>
        </is>
      </c>
    </row>
    <row r="130">
      <c r="A130" t="inlineStr">
        <is>
          <t>마스터카드</t>
        </is>
      </c>
      <c r="B130" t="inlineStr">
        <is>
          <t>MA</t>
        </is>
      </c>
      <c r="C130" t="inlineStr">
        <is>
          <t>FY2025</t>
        </is>
      </c>
      <c r="D130" s="15" t="n">
        <v>0.9570363793863911</v>
      </c>
      <c r="E130" s="15" t="n">
        <v>0.9386567966380026</v>
      </c>
      <c r="F130" s="15">
        <f>D130-E130</f>
        <v>0.018379582748388468</v>
      </c>
      <c r="G130" t="inlineStr"/>
      <c r="H130" s="14" t="n">
        <v>18897000000</v>
      </c>
      <c r="I130" s="14" t="n">
        <v>18897000000</v>
      </c>
      <c r="J130" s="14" t="n">
        <v>15908500000</v>
      </c>
      <c r="K130" s="14" t="n">
        <v>16220000000</v>
      </c>
      <c r="L130" t="inlineStr">
        <is>
          <t>reported</t>
        </is>
      </c>
      <c r="M130" t="inlineStr">
        <is>
          <t>원인 불명 — 개별 확인 필요</t>
        </is>
      </c>
    </row>
    <row r="131">
      <c r="A131" t="inlineStr">
        <is>
          <t>애브비</t>
        </is>
      </c>
      <c r="B131" t="inlineStr">
        <is>
          <t>ABBV</t>
        </is>
      </c>
      <c r="C131" t="inlineStr">
        <is>
          <t>FY2025</t>
        </is>
      </c>
      <c r="D131" s="15" t="n">
        <v>0.156060688833527</v>
      </c>
      <c r="E131" s="15" t="n">
        <v>0.1742513463927235</v>
      </c>
      <c r="F131" s="15">
        <f>D131-E131</f>
        <v>-0.018190657559196494</v>
      </c>
      <c r="G131" t="inlineStr"/>
      <c r="H131" s="14" t="n">
        <v>15075000000</v>
      </c>
      <c r="I131" s="14" t="n">
        <v>15075000000</v>
      </c>
      <c r="J131" s="14" t="n">
        <v>61982000000</v>
      </c>
      <c r="K131" s="14" t="n">
        <v>55511500000</v>
      </c>
      <c r="L131" t="inlineStr">
        <is>
          <t>reported</t>
        </is>
      </c>
      <c r="M131" t="inlineStr">
        <is>
          <t>투하자본(분모) +11.7%</t>
        </is>
      </c>
    </row>
    <row r="132">
      <c r="A132" t="inlineStr">
        <is>
          <t>홈디포</t>
        </is>
      </c>
      <c r="B132" t="inlineStr">
        <is>
          <t>HD</t>
        </is>
      </c>
      <c r="C132" t="inlineStr">
        <is>
          <t>FY2017</t>
        </is>
      </c>
      <c r="D132" s="15" t="n">
        <v>0.3678900884274318</v>
      </c>
      <c r="E132" s="15" t="n">
        <v>0.3852754887407122</v>
      </c>
      <c r="F132" s="15">
        <f>D132-E132</f>
        <v>-0.017385400313280397</v>
      </c>
      <c r="G132" t="inlineStr"/>
      <c r="H132" s="14" t="n">
        <v>14681000000</v>
      </c>
      <c r="I132" s="14" t="n">
        <v>14681000000</v>
      </c>
      <c r="J132" s="14" t="n">
        <v>25141500000</v>
      </c>
      <c r="K132" s="14" t="n">
        <v>24007000000</v>
      </c>
      <c r="L132" t="inlineStr">
        <is>
          <t>reported</t>
        </is>
      </c>
      <c r="M132" t="inlineStr">
        <is>
          <t>투하자본(분모) +4.7%</t>
        </is>
      </c>
    </row>
    <row r="133">
      <c r="A133" t="inlineStr">
        <is>
          <t>일라이 릴리</t>
        </is>
      </c>
      <c r="B133" t="inlineStr">
        <is>
          <t>LLY</t>
        </is>
      </c>
      <c r="C133" t="inlineStr">
        <is>
          <t>FY2023</t>
        </is>
      </c>
      <c r="D133" s="15" t="n">
        <v>0.1781275237137371</v>
      </c>
      <c r="E133" s="15" t="n">
        <v>0.1949417435911878</v>
      </c>
      <c r="F133" s="15">
        <f>D133-E133</f>
        <v>-0.016814219877450687</v>
      </c>
      <c r="G133" t="inlineStr"/>
      <c r="H133" s="14" t="n">
        <v>6457000000</v>
      </c>
      <c r="I133" s="14" t="n">
        <v>7040000000</v>
      </c>
      <c r="J133" s="14" t="n">
        <v>28981750000</v>
      </c>
      <c r="K133" s="14" t="n">
        <v>28873050000</v>
      </c>
      <c r="L133" t="inlineStr">
        <is>
          <t>pretax_less_nonoperating</t>
        </is>
      </c>
      <c r="M133" t="inlineStr">
        <is>
          <t>영업이익(분자) -8.3%, 신규 분자 추정경로(pretax_less_nonoperating), 구 분자 = 세전이익+이자</t>
        </is>
      </c>
    </row>
    <row r="134">
      <c r="A134" t="inlineStr">
        <is>
          <t>머크</t>
        </is>
      </c>
      <c r="B134" t="inlineStr">
        <is>
          <t>MRK</t>
        </is>
      </c>
      <c r="C134" t="inlineStr">
        <is>
          <t>FY2024</t>
        </is>
      </c>
      <c r="D134" s="15" t="n">
        <v>0.252721054429741</v>
      </c>
      <c r="E134" s="15" t="n">
        <v>0.2694495409749763</v>
      </c>
      <c r="F134" s="15">
        <f>D134-E134</f>
        <v>-0.016728486545235288</v>
      </c>
      <c r="G134" t="inlineStr"/>
      <c r="H134" s="14" t="n">
        <v>19912000000</v>
      </c>
      <c r="I134" s="14" t="n">
        <v>21207000000</v>
      </c>
      <c r="J134" s="14" t="n">
        <v>67712500000</v>
      </c>
      <c r="K134" s="14" t="n">
        <v>67639000000</v>
      </c>
      <c r="L134" t="inlineStr">
        <is>
          <t>pretax_less_nonoperating</t>
        </is>
      </c>
      <c r="M134" t="inlineStr">
        <is>
          <t>영업이익(분자) -6.1%, 신규 분자 추정경로(pretax_less_nonoperating), 구 분자 = 세전이익+이자</t>
        </is>
      </c>
    </row>
    <row r="135">
      <c r="A135" t="inlineStr">
        <is>
          <t>월마트</t>
        </is>
      </c>
      <c r="B135" t="inlineStr">
        <is>
          <t>WMT</t>
        </is>
      </c>
      <c r="C135" t="inlineStr">
        <is>
          <t>FY2021</t>
        </is>
      </c>
      <c r="D135" s="15" t="n">
        <v>0.1690080629999136</v>
      </c>
      <c r="E135" s="15" t="n">
        <v>0.1856583205586782</v>
      </c>
      <c r="F135" s="15">
        <f>D135-E135</f>
        <v>-0.016650257558764592</v>
      </c>
      <c r="G135" t="inlineStr"/>
      <c r="H135" s="14" t="n">
        <v>25942000000</v>
      </c>
      <c r="I135" s="14" t="n">
        <v>25942000000</v>
      </c>
      <c r="J135" s="14" t="n">
        <v>114448500000</v>
      </c>
      <c r="K135" s="14" t="n">
        <v>104184500000</v>
      </c>
      <c r="L135" t="inlineStr">
        <is>
          <t>reported</t>
        </is>
      </c>
      <c r="M135" t="inlineStr">
        <is>
          <t>투하자본(분모) +9.9%</t>
        </is>
      </c>
    </row>
    <row r="136">
      <c r="A136" t="inlineStr">
        <is>
          <t>존슨앤드존슨</t>
        </is>
      </c>
      <c r="B136" t="inlineStr">
        <is>
          <t>JNJ</t>
        </is>
      </c>
      <c r="C136" t="inlineStr">
        <is>
          <t>FY2018</t>
        </is>
      </c>
      <c r="D136" s="15" t="n">
        <v>0.2243867822030606</v>
      </c>
      <c r="E136" s="15" t="n">
        <v>0.208139439954282</v>
      </c>
      <c r="F136" s="15">
        <f>D136-E136</f>
        <v>0.016247342248778607</v>
      </c>
      <c r="G136" t="inlineStr"/>
      <c r="H136" s="14" t="n">
        <v>19404000000</v>
      </c>
      <c r="I136" s="14" t="n">
        <v>17999000000</v>
      </c>
      <c r="J136" s="14" t="n">
        <v>73494000000</v>
      </c>
      <c r="K136" s="14" t="n">
        <v>73494000000</v>
      </c>
      <c r="L136" t="inlineStr">
        <is>
          <t>pretax_less_nonoperating</t>
        </is>
      </c>
      <c r="M136" t="inlineStr">
        <is>
          <t>영업이익(분자) +7.8%, 신규 분자 추정경로(pretax_less_nonoperating), 구 분자 = 세전이익+이자</t>
        </is>
      </c>
    </row>
    <row r="137">
      <c r="A137" t="inlineStr">
        <is>
          <t>월마트</t>
        </is>
      </c>
      <c r="B137" t="inlineStr">
        <is>
          <t>WMT</t>
        </is>
      </c>
      <c r="C137" t="inlineStr">
        <is>
          <t>FY2023</t>
        </is>
      </c>
      <c r="D137" s="15" t="n">
        <v>0.1719060137958447</v>
      </c>
      <c r="E137" s="15" t="n">
        <v>0.1879144316191633</v>
      </c>
      <c r="F137" s="15">
        <f>D137-E137</f>
        <v>-0.016008417823318605</v>
      </c>
      <c r="G137" t="inlineStr"/>
      <c r="H137" s="14" t="n">
        <v>27012000000</v>
      </c>
      <c r="I137" s="14" t="n">
        <v>27012000000</v>
      </c>
      <c r="J137" s="14" t="n">
        <v>117015000000</v>
      </c>
      <c r="K137" s="14" t="n">
        <v>107046500000</v>
      </c>
      <c r="L137" t="inlineStr">
        <is>
          <t>reported</t>
        </is>
      </c>
      <c r="M137" t="inlineStr">
        <is>
          <t>투하자본(분모) +9.3%</t>
        </is>
      </c>
    </row>
    <row r="138">
      <c r="A138" t="inlineStr">
        <is>
          <t>일라이 릴리</t>
        </is>
      </c>
      <c r="B138" t="inlineStr">
        <is>
          <t>LLY</t>
        </is>
      </c>
      <c r="C138" t="inlineStr">
        <is>
          <t>FY2018</t>
        </is>
      </c>
      <c r="D138" s="15" t="n">
        <v>0.1947219061533151</v>
      </c>
      <c r="E138" s="15" t="n">
        <v>0.2105762675613896</v>
      </c>
      <c r="F138" s="15">
        <f>D138-E138</f>
        <v>-0.015854361408074502</v>
      </c>
      <c r="G138" t="inlineStr"/>
      <c r="H138" s="14" t="n">
        <v>3534500000</v>
      </c>
      <c r="I138" s="14" t="n">
        <v>3680100000</v>
      </c>
      <c r="J138" s="14" t="n">
        <v>15539850000</v>
      </c>
      <c r="K138" s="14" t="n">
        <v>14961800000</v>
      </c>
      <c r="L138" t="inlineStr">
        <is>
          <t>pretax_less_nonoperating</t>
        </is>
      </c>
      <c r="M138" t="inlineStr">
        <is>
          <t>영업이익(분자) -4.0%, 투하자본(분모) +3.9%, 신규 분자 추정경로(pretax_less_nonoperating), 구 분자 = 세전이익+이자</t>
        </is>
      </c>
    </row>
    <row r="139">
      <c r="A139" t="inlineStr">
        <is>
          <t>제너럴 일렉트릭</t>
        </is>
      </c>
      <c r="B139" t="inlineStr">
        <is>
          <t>GE</t>
        </is>
      </c>
      <c r="C139" t="inlineStr">
        <is>
          <t>FY2022</t>
        </is>
      </c>
      <c r="D139" s="15" t="n">
        <v>0.01317584568406933</v>
      </c>
      <c r="E139" s="15" t="n">
        <v>0.02891952548893876</v>
      </c>
      <c r="F139" s="15">
        <f>D139-E139</f>
        <v>-0.01574367980486943</v>
      </c>
      <c r="G139" t="inlineStr"/>
      <c r="H139" s="14" t="n">
        <v>711000000</v>
      </c>
      <c r="I139" s="14" t="n">
        <v>1522000000</v>
      </c>
      <c r="J139" s="14" t="n">
        <v>47970500000</v>
      </c>
      <c r="K139" s="14" t="n">
        <v>46785000000</v>
      </c>
      <c r="L139" t="inlineStr">
        <is>
          <t>pretax_less_nonoperating</t>
        </is>
      </c>
      <c r="M139" t="inlineStr">
        <is>
          <t>영업이익(분자) -53.3%, 투하자본(분모) +2.5%, 신규 분자 추정경로(pretax_less_nonoperating), 구 분자 = 세전이익+이자</t>
        </is>
      </c>
    </row>
    <row r="140">
      <c r="A140" t="inlineStr">
        <is>
          <t>델 테크놀로지스</t>
        </is>
      </c>
      <c r="B140" t="inlineStr">
        <is>
          <t>DELL</t>
        </is>
      </c>
      <c r="C140" t="inlineStr">
        <is>
          <t>FY2016</t>
        </is>
      </c>
      <c r="D140" s="15" t="n">
        <v>-0.07635390970963236</v>
      </c>
      <c r="E140" s="15" t="n">
        <v>-0.06097135660541867</v>
      </c>
      <c r="F140" s="15">
        <f>D140-E140</f>
        <v>-0.015382553104213693</v>
      </c>
      <c r="G140" t="inlineStr"/>
      <c r="H140" s="14" t="n">
        <v>-3252000000</v>
      </c>
      <c r="I140" s="14" t="n">
        <v>-2390000000</v>
      </c>
      <c r="J140" s="14" t="n">
        <v>33647000000</v>
      </c>
      <c r="K140" s="14" t="n">
        <v>30967000000</v>
      </c>
      <c r="L140" t="inlineStr">
        <is>
          <t>reported</t>
        </is>
      </c>
      <c r="M140" t="inlineStr">
        <is>
          <t>영업이익(분자) -36.1%, 투하자본(분모) +8.7%</t>
        </is>
      </c>
    </row>
    <row r="141">
      <c r="A141" t="inlineStr">
        <is>
          <t>머크</t>
        </is>
      </c>
      <c r="B141" t="inlineStr">
        <is>
          <t>MRK</t>
        </is>
      </c>
      <c r="C141" t="inlineStr">
        <is>
          <t>FY2020</t>
        </is>
      </c>
      <c r="D141" s="15" t="n">
        <v>0.08428894261064304</v>
      </c>
      <c r="E141" s="15" t="n">
        <v>0.0995586665345968</v>
      </c>
      <c r="F141" s="15">
        <f>D141-E141</f>
        <v>-0.01526972392395376</v>
      </c>
      <c r="G141" t="inlineStr"/>
      <c r="H141" s="14" t="n">
        <v>4973000000</v>
      </c>
      <c r="I141" s="14" t="n">
        <v>5863000000</v>
      </c>
      <c r="J141" s="14" t="n">
        <v>45515000000</v>
      </c>
      <c r="K141" s="14" t="n">
        <v>45430500000</v>
      </c>
      <c r="L141" t="inlineStr">
        <is>
          <t>pretax_less_nonoperating</t>
        </is>
      </c>
      <c r="M141" t="inlineStr">
        <is>
          <t>영업이익(분자) -15.2%, 신규 분자 추정경로(pretax_less_nonoperating), 구 분자 = 세전이익+이자</t>
        </is>
      </c>
    </row>
    <row r="142">
      <c r="A142" t="inlineStr">
        <is>
          <t>애브비</t>
        </is>
      </c>
      <c r="B142" t="inlineStr">
        <is>
          <t>ABBV</t>
        </is>
      </c>
      <c r="C142" t="inlineStr">
        <is>
          <t>FY2023</t>
        </is>
      </c>
      <c r="D142" s="15" t="n">
        <v>0.1550547996414513</v>
      </c>
      <c r="E142" s="15" t="n">
        <v>0.1701704507309729</v>
      </c>
      <c r="F142" s="15">
        <f>D142-E142</f>
        <v>-0.015115651089521592</v>
      </c>
      <c r="G142" t="inlineStr"/>
      <c r="H142" s="14" t="n">
        <v>12757000000</v>
      </c>
      <c r="I142" s="14" t="n">
        <v>12757000000</v>
      </c>
      <c r="J142" s="14" t="n">
        <v>64147500000</v>
      </c>
      <c r="K142" s="14" t="n">
        <v>58449500000</v>
      </c>
      <c r="L142" t="inlineStr">
        <is>
          <t>reported</t>
        </is>
      </c>
      <c r="M142" t="inlineStr">
        <is>
          <t>투하자본(분모) +9.7%</t>
        </is>
      </c>
    </row>
    <row r="143">
      <c r="A143" t="inlineStr">
        <is>
          <t>테슬라</t>
        </is>
      </c>
      <c r="B143" t="inlineStr">
        <is>
          <t>TSLA</t>
        </is>
      </c>
      <c r="C143" t="inlineStr">
        <is>
          <t>FY2017</t>
        </is>
      </c>
      <c r="D143" s="15" t="n">
        <v>-0.1216079952201176</v>
      </c>
      <c r="E143" s="15" t="n">
        <v>-0.1366873658701948</v>
      </c>
      <c r="F143" s="15">
        <f>D143-E143</f>
        <v>0.015079370650077209</v>
      </c>
      <c r="G143" t="inlineStr"/>
      <c r="H143" s="14" t="n">
        <v>-1632000000</v>
      </c>
      <c r="I143" s="14" t="n">
        <v>-1632000000</v>
      </c>
      <c r="J143" s="14" t="n">
        <v>10601934500</v>
      </c>
      <c r="K143" s="14" t="n">
        <v>9432327500</v>
      </c>
      <c r="L143" t="inlineStr">
        <is>
          <t>reported</t>
        </is>
      </c>
      <c r="M143" t="inlineStr">
        <is>
          <t>투하자본(분모) +12.4%</t>
        </is>
      </c>
    </row>
    <row r="144">
      <c r="A144" t="inlineStr">
        <is>
          <t>테슬라</t>
        </is>
      </c>
      <c r="B144" t="inlineStr">
        <is>
          <t>TSLA</t>
        </is>
      </c>
      <c r="C144" t="inlineStr">
        <is>
          <t>FY2021</t>
        </is>
      </c>
      <c r="D144" s="15" t="n">
        <v>0.3906554911843288</v>
      </c>
      <c r="E144" s="15" t="n">
        <v>0.3758564973463601</v>
      </c>
      <c r="F144" s="15">
        <f>D144-E144</f>
        <v>0.014798993837968677</v>
      </c>
      <c r="G144" t="inlineStr"/>
      <c r="H144" s="14" t="n">
        <v>6523000000</v>
      </c>
      <c r="I144" s="14" t="n">
        <v>6523000000</v>
      </c>
      <c r="J144" s="14" t="n">
        <v>14857500000</v>
      </c>
      <c r="K144" s="14" t="n">
        <v>15442500000</v>
      </c>
      <c r="L144" t="inlineStr">
        <is>
          <t>reported</t>
        </is>
      </c>
      <c r="M144" t="inlineStr">
        <is>
          <t>투하자본(분모) -3.8%</t>
        </is>
      </c>
    </row>
    <row r="145">
      <c r="A145" t="inlineStr">
        <is>
          <t>코스트코</t>
        </is>
      </c>
      <c r="B145" t="inlineStr">
        <is>
          <t>COST</t>
        </is>
      </c>
      <c r="C145" t="inlineStr">
        <is>
          <t>FY2021</t>
        </is>
      </c>
      <c r="D145" s="15" t="n">
        <v>0.385742642683171</v>
      </c>
      <c r="E145" s="15" t="n">
        <v>0.4005253040330522</v>
      </c>
      <c r="F145" s="15">
        <f>D145-E145</f>
        <v>-0.01478266134988121</v>
      </c>
      <c r="G145" t="inlineStr"/>
      <c r="H145" s="14" t="n">
        <v>6708000000</v>
      </c>
      <c r="I145" s="14" t="n">
        <v>6708000000</v>
      </c>
      <c r="J145" s="14" t="n">
        <v>13222000000</v>
      </c>
      <c r="K145" s="14" t="n">
        <v>12734000000</v>
      </c>
      <c r="L145" t="inlineStr">
        <is>
          <t>reported</t>
        </is>
      </c>
      <c r="M145" t="inlineStr">
        <is>
          <t>투하자본(분모) +3.8%</t>
        </is>
      </c>
    </row>
    <row r="146">
      <c r="A146" t="inlineStr">
        <is>
          <t>인텔</t>
        </is>
      </c>
      <c r="B146" t="inlineStr">
        <is>
          <t>INTC</t>
        </is>
      </c>
      <c r="C146" t="inlineStr">
        <is>
          <t>FY2016</t>
        </is>
      </c>
      <c r="D146" s="15" t="n">
        <v>0.1410623075748823</v>
      </c>
      <c r="E146" s="15" t="n">
        <v>0.1266029265357496</v>
      </c>
      <c r="F146" s="15">
        <f>D146-E146</f>
        <v>0.014459381039132718</v>
      </c>
      <c r="G146" t="inlineStr"/>
      <c r="H146" s="14" t="n">
        <v>13133000000</v>
      </c>
      <c r="I146" s="14" t="n">
        <v>13133000000</v>
      </c>
      <c r="J146" s="14" t="n">
        <v>74244500000</v>
      </c>
      <c r="K146" s="14" t="n">
        <v>82724000000</v>
      </c>
      <c r="L146" t="inlineStr">
        <is>
          <t>reported</t>
        </is>
      </c>
      <c r="M146" t="inlineStr">
        <is>
          <t>투하자본(분모) -10.3%</t>
        </is>
      </c>
    </row>
    <row r="147">
      <c r="A147" t="inlineStr">
        <is>
          <t>IBM</t>
        </is>
      </c>
      <c r="B147" t="inlineStr">
        <is>
          <t>IBM</t>
        </is>
      </c>
      <c r="C147" t="inlineStr">
        <is>
          <t>FY2018</t>
        </is>
      </c>
      <c r="D147" s="15" t="n">
        <v>0.1806791910052657</v>
      </c>
      <c r="E147" s="15" t="n">
        <v>0.1944030268140607</v>
      </c>
      <c r="F147" s="15">
        <f>D147-E147</f>
        <v>-0.013723835808794993</v>
      </c>
      <c r="G147" t="inlineStr"/>
      <c r="H147" s="14" t="n">
        <v>12065000000</v>
      </c>
      <c r="I147" s="14" t="n">
        <v>12065000000</v>
      </c>
      <c r="J147" s="14" t="n">
        <v>51356500000</v>
      </c>
      <c r="K147" s="14" t="n">
        <v>47731000000</v>
      </c>
      <c r="L147" t="inlineStr">
        <is>
          <t>pretax_plus_interest_less_investment_income</t>
        </is>
      </c>
      <c r="M147" t="inlineStr">
        <is>
          <t>투하자본(분모) +7.6%, 신규 분자 추정경로(pretax_plus_interest_less_investment_income), 구 분자 = 세전이익+이자</t>
        </is>
      </c>
    </row>
    <row r="148">
      <c r="A148" t="inlineStr">
        <is>
          <t>머크</t>
        </is>
      </c>
      <c r="B148" t="inlineStr">
        <is>
          <t>MRK</t>
        </is>
      </c>
      <c r="C148" t="inlineStr">
        <is>
          <t>FY2025</t>
        </is>
      </c>
      <c r="D148" s="15" t="n">
        <v>0.2340488869686558</v>
      </c>
      <c r="E148" s="15" t="n">
        <v>0.2474542143031489</v>
      </c>
      <c r="F148" s="15">
        <f>D148-E148</f>
        <v>-0.013405327334493095</v>
      </c>
      <c r="G148" t="inlineStr"/>
      <c r="H148" s="14" t="n">
        <v>21218000000</v>
      </c>
      <c r="I148" s="14" t="n">
        <v>22424000000</v>
      </c>
      <c r="J148" s="14" t="n">
        <v>78590000000</v>
      </c>
      <c r="K148" s="14" t="n">
        <v>78557500000</v>
      </c>
      <c r="L148" t="inlineStr">
        <is>
          <t>pretax_less_nonoperating</t>
        </is>
      </c>
      <c r="M148" t="inlineStr">
        <is>
          <t>영업이익(분자) -5.4%, 신규 분자 추정경로(pretax_less_nonoperating), 구 분자 = 세전이익+이자</t>
        </is>
      </c>
    </row>
    <row r="149">
      <c r="A149" t="inlineStr">
        <is>
          <t>마이크론 테크놀로지</t>
        </is>
      </c>
      <c r="B149" t="inlineStr">
        <is>
          <t>MU</t>
        </is>
      </c>
      <c r="C149" t="inlineStr">
        <is>
          <t>FY2018</t>
        </is>
      </c>
      <c r="D149" s="15" t="n">
        <v>0.5071492149392958</v>
      </c>
      <c r="E149" s="15" t="n">
        <v>0.5201117318435754</v>
      </c>
      <c r="F149" s="15">
        <f>D149-E149</f>
        <v>-0.01296251690427963</v>
      </c>
      <c r="G149" t="inlineStr"/>
      <c r="H149" s="14" t="n">
        <v>14994000000</v>
      </c>
      <c r="I149" s="14" t="n">
        <v>14994000000</v>
      </c>
      <c r="J149" s="14" t="n">
        <v>28087000000</v>
      </c>
      <c r="K149" s="14" t="n">
        <v>27387000000</v>
      </c>
      <c r="L149" t="inlineStr">
        <is>
          <t>reported</t>
        </is>
      </c>
      <c r="M149" t="inlineStr">
        <is>
          <t>투하자본(분모) +2.6%</t>
        </is>
      </c>
    </row>
    <row r="150">
      <c r="A150" t="inlineStr">
        <is>
          <t>어플라이드 머티리얼즈</t>
        </is>
      </c>
      <c r="B150" t="inlineStr">
        <is>
          <t>AMAT</t>
        </is>
      </c>
      <c r="C150" t="inlineStr">
        <is>
          <t>FY2024</t>
        </is>
      </c>
      <c r="D150" s="15" t="n">
        <v>0.4393331257331756</v>
      </c>
      <c r="E150" s="15" t="n">
        <v>0.4522272682696297</v>
      </c>
      <c r="F150" s="15">
        <f>D150-E150</f>
        <v>-0.0128941425364541</v>
      </c>
      <c r="G150" t="inlineStr"/>
      <c r="H150" s="14" t="n">
        <v>7867000000</v>
      </c>
      <c r="I150" s="14" t="n">
        <v>7867000000</v>
      </c>
      <c r="J150" s="14" t="n">
        <v>15765000000</v>
      </c>
      <c r="K150" s="14" t="n">
        <v>15315500000</v>
      </c>
      <c r="L150" t="inlineStr">
        <is>
          <t>reported</t>
        </is>
      </c>
      <c r="M150" t="inlineStr">
        <is>
          <t>투하자본(분모) +2.9%</t>
        </is>
      </c>
    </row>
    <row r="151">
      <c r="A151" t="inlineStr">
        <is>
          <t>월마트</t>
        </is>
      </c>
      <c r="B151" t="inlineStr">
        <is>
          <t>WMT</t>
        </is>
      </c>
      <c r="C151" t="inlineStr">
        <is>
          <t>FY2020</t>
        </is>
      </c>
      <c r="D151" s="15" t="n">
        <v>0.1277583721047403</v>
      </c>
      <c r="E151" s="15" t="n">
        <v>0.140389500633389</v>
      </c>
      <c r="F151" s="15">
        <f>D151-E151</f>
        <v>-0.0126311285286487</v>
      </c>
      <c r="G151" t="inlineStr"/>
      <c r="H151" s="14" t="n">
        <v>22548000000</v>
      </c>
      <c r="I151" s="14" t="n">
        <v>22548000000</v>
      </c>
      <c r="J151" s="14" t="n">
        <v>117631000000</v>
      </c>
      <c r="K151" s="14" t="n">
        <v>107047500000</v>
      </c>
      <c r="L151" t="inlineStr">
        <is>
          <t>reported</t>
        </is>
      </c>
      <c r="M151" t="inlineStr">
        <is>
          <t>투하자본(분모) +9.9%</t>
        </is>
      </c>
    </row>
    <row r="152">
      <c r="A152" t="inlineStr">
        <is>
          <t>월마트</t>
        </is>
      </c>
      <c r="B152" t="inlineStr">
        <is>
          <t>WMT</t>
        </is>
      </c>
      <c r="C152" t="inlineStr">
        <is>
          <t>FY2022</t>
        </is>
      </c>
      <c r="D152" s="15" t="n">
        <v>0.1185156930355343</v>
      </c>
      <c r="E152" s="15" t="n">
        <v>0.1310693407426426</v>
      </c>
      <c r="F152" s="15">
        <f>D152-E152</f>
        <v>-0.01255364770710829</v>
      </c>
      <c r="G152" t="inlineStr"/>
      <c r="H152" s="14" t="n">
        <v>20428000000</v>
      </c>
      <c r="I152" s="14" t="n">
        <v>20428000000</v>
      </c>
      <c r="J152" s="14" t="n">
        <v>114383500000</v>
      </c>
      <c r="K152" s="14" t="n">
        <v>103428000000</v>
      </c>
      <c r="L152" t="inlineStr">
        <is>
          <t>reported</t>
        </is>
      </c>
      <c r="M152" t="inlineStr">
        <is>
          <t>투하자본(분모) +10.6%</t>
        </is>
      </c>
    </row>
    <row r="153">
      <c r="A153" t="inlineStr">
        <is>
          <t>일라이 릴리</t>
        </is>
      </c>
      <c r="B153" t="inlineStr">
        <is>
          <t>LLY</t>
        </is>
      </c>
      <c r="C153" t="inlineStr">
        <is>
          <t>FY2024</t>
        </is>
      </c>
      <c r="D153" s="15" t="n">
        <v>0.2774587046104565</v>
      </c>
      <c r="E153" s="15" t="n">
        <v>0.2898885805865928</v>
      </c>
      <c r="F153" s="15">
        <f>D153-E153</f>
        <v>-0.012429875976136262</v>
      </c>
      <c r="G153" t="inlineStr"/>
      <c r="H153" s="14" t="n">
        <v>12899000000</v>
      </c>
      <c r="I153" s="14" t="n">
        <v>13461000000</v>
      </c>
      <c r="J153" s="14" t="n">
        <v>38827050000</v>
      </c>
      <c r="K153" s="14" t="n">
        <v>38781350000</v>
      </c>
      <c r="L153" t="inlineStr">
        <is>
          <t>pretax_less_nonoperating</t>
        </is>
      </c>
      <c r="M153" t="inlineStr">
        <is>
          <t>영업이익(분자) -4.2%, 신규 분자 추정경로(pretax_less_nonoperating), 구 분자 = 세전이익+이자</t>
        </is>
      </c>
    </row>
    <row r="154">
      <c r="A154" t="inlineStr">
        <is>
          <t>월마트</t>
        </is>
      </c>
      <c r="B154" t="inlineStr">
        <is>
          <t>WMT</t>
        </is>
      </c>
      <c r="C154" t="inlineStr">
        <is>
          <t>FY2024</t>
        </is>
      </c>
      <c r="D154" s="15" t="n">
        <v>0.183971554988624</v>
      </c>
      <c r="E154" s="15" t="n">
        <v>0.1959945032998148</v>
      </c>
      <c r="F154" s="15">
        <f>D154-E154</f>
        <v>-0.012022948311190801</v>
      </c>
      <c r="G154" t="inlineStr"/>
      <c r="H154" s="14" t="n">
        <v>29348000000</v>
      </c>
      <c r="I154" s="14" t="n">
        <v>29348000000</v>
      </c>
      <c r="J154" s="14" t="n">
        <v>122222000000</v>
      </c>
      <c r="K154" s="14" t="n">
        <v>114724500000</v>
      </c>
      <c r="L154" t="inlineStr">
        <is>
          <t>reported</t>
        </is>
      </c>
      <c r="M154" t="inlineStr">
        <is>
          <t>투하자본(분모) +6.5%</t>
        </is>
      </c>
    </row>
    <row r="155">
      <c r="A155" t="inlineStr">
        <is>
          <t>엑슨모빌</t>
        </is>
      </c>
      <c r="B155" t="inlineStr">
        <is>
          <t>XOM</t>
        </is>
      </c>
      <c r="C155" t="inlineStr">
        <is>
          <t>FY2023</t>
        </is>
      </c>
      <c r="D155" s="15" t="n">
        <v>0.1685885391538364</v>
      </c>
      <c r="E155" s="15" t="n">
        <v>0.1801205813883532</v>
      </c>
      <c r="F155" s="15">
        <f>D155-E155</f>
        <v>-0.011532042234516815</v>
      </c>
      <c r="G155" t="inlineStr"/>
      <c r="H155" s="14" t="n">
        <v>52004000000</v>
      </c>
      <c r="I155" s="14" t="n">
        <v>53632000000</v>
      </c>
      <c r="J155" s="14" t="n">
        <v>218299000000</v>
      </c>
      <c r="K155" s="14" t="n">
        <v>210719000000</v>
      </c>
      <c r="L155" t="inlineStr">
        <is>
          <t>pretax_plus_interest_less_investment_income</t>
        </is>
      </c>
      <c r="M155" t="inlineStr">
        <is>
          <t>영업이익(분자) -3.0%, 투하자본(분모) +3.6%, 신규 분자 추정경로(pretax_plus_interest_less_investment_income), 구 분자 = 세전이익+이자</t>
        </is>
      </c>
    </row>
    <row r="156">
      <c r="A156" t="inlineStr">
        <is>
          <t>IBM</t>
        </is>
      </c>
      <c r="B156" t="inlineStr">
        <is>
          <t>IBM</t>
        </is>
      </c>
      <c r="C156" t="inlineStr">
        <is>
          <t>FY2025</t>
        </is>
      </c>
      <c r="D156" s="15" t="n">
        <v>0.145336992795434</v>
      </c>
      <c r="E156" s="15" t="n">
        <v>0.1567377938030595</v>
      </c>
      <c r="F156" s="15">
        <f>D156-E156</f>
        <v>-0.0114008010076255</v>
      </c>
      <c r="G156" t="inlineStr"/>
      <c r="H156" s="14" t="n">
        <v>12263000000</v>
      </c>
      <c r="I156" s="14" t="n">
        <v>12263000000</v>
      </c>
      <c r="J156" s="14" t="n">
        <v>80157500000</v>
      </c>
      <c r="K156" s="14" t="n">
        <v>74327000000</v>
      </c>
      <c r="L156" t="inlineStr">
        <is>
          <t>pretax_plus_interest_less_investment_income</t>
        </is>
      </c>
      <c r="M156" t="inlineStr">
        <is>
          <t>투하자본(분모) +7.8%, 신규 분자 추정경로(pretax_plus_interest_less_investment_income), 구 분자 = 세전이익+이자</t>
        </is>
      </c>
    </row>
    <row r="157">
      <c r="A157" t="inlineStr">
        <is>
          <t>엑슨모빌</t>
        </is>
      </c>
      <c r="B157" t="inlineStr">
        <is>
          <t>XOM</t>
        </is>
      </c>
      <c r="C157" t="inlineStr">
        <is>
          <t>FY2022</t>
        </is>
      </c>
      <c r="D157" s="15" t="n">
        <v>0.2686306670767161</v>
      </c>
      <c r="E157" s="15" t="n">
        <v>0.2795990601486925</v>
      </c>
      <c r="F157" s="15">
        <f>D157-E157</f>
        <v>-0.01096839307197639</v>
      </c>
      <c r="G157" t="inlineStr"/>
      <c r="H157" s="14" t="n">
        <v>78105000000</v>
      </c>
      <c r="I157" s="14" t="n">
        <v>78551000000</v>
      </c>
      <c r="J157" s="14" t="n">
        <v>215305500000</v>
      </c>
      <c r="K157" s="14" t="n">
        <v>208040500000</v>
      </c>
      <c r="L157" t="inlineStr">
        <is>
          <t>pretax_plus_interest_less_investment_income</t>
        </is>
      </c>
      <c r="M157" t="inlineStr">
        <is>
          <t>투하자본(분모) +3.5%, 신규 분자 추정경로(pretax_plus_interest_less_investment_income), 구 분자 = 세전이익+이자</t>
        </is>
      </c>
    </row>
    <row r="158">
      <c r="A158" t="inlineStr">
        <is>
          <t>셰브론</t>
        </is>
      </c>
      <c r="B158" t="inlineStr">
        <is>
          <t>CVX</t>
        </is>
      </c>
      <c r="C158" t="inlineStr">
        <is>
          <t>FY2017</t>
        </is>
      </c>
      <c r="D158" s="15" t="n">
        <v>0.04666735409362755</v>
      </c>
      <c r="E158" s="15" t="n">
        <v>0.05759242586683549</v>
      </c>
      <c r="F158" s="15">
        <f>D158-E158</f>
        <v>-0.010925071773207937</v>
      </c>
      <c r="G158" t="inlineStr"/>
      <c r="H158" s="14" t="n">
        <v>9528000000</v>
      </c>
      <c r="I158" s="14" t="n">
        <v>9528000000</v>
      </c>
      <c r="J158" s="14" t="n">
        <v>193960000000</v>
      </c>
      <c r="K158" s="14" t="n">
        <v>157166500000</v>
      </c>
      <c r="L158" t="inlineStr">
        <is>
          <t>pretax_plus_interest_less_investment_income</t>
        </is>
      </c>
      <c r="M158" t="inlineStr">
        <is>
          <t>투하자본(분모) +23.4%, 신규 분자 추정경로(pretax_plus_interest_less_investment_income), 구 분자 = 세전이익+이자</t>
        </is>
      </c>
    </row>
    <row r="159">
      <c r="A159" t="inlineStr">
        <is>
          <t>IBM</t>
        </is>
      </c>
      <c r="B159" t="inlineStr">
        <is>
          <t>IBM</t>
        </is>
      </c>
      <c r="C159" t="inlineStr">
        <is>
          <t>FY2023</t>
        </is>
      </c>
      <c r="D159" s="15" t="n">
        <v>0.1250917157915037</v>
      </c>
      <c r="E159" s="15" t="n">
        <v>0.1359120121993919</v>
      </c>
      <c r="F159" s="15">
        <f>D159-E159</f>
        <v>-0.010820296407888202</v>
      </c>
      <c r="G159" t="inlineStr"/>
      <c r="H159" s="14" t="n">
        <v>10297000000</v>
      </c>
      <c r="I159" s="14" t="n">
        <v>10297000000</v>
      </c>
      <c r="J159" s="14" t="n">
        <v>71176000000</v>
      </c>
      <c r="K159" s="14" t="n">
        <v>65509500000</v>
      </c>
      <c r="L159" t="inlineStr">
        <is>
          <t>pretax_plus_interest_less_investment_income</t>
        </is>
      </c>
      <c r="M159" t="inlineStr">
        <is>
          <t>투하자본(분모) +8.6%, 신규 분자 추정경로(pretax_plus_interest_less_investment_income), 구 분자 = 세전이익+이자</t>
        </is>
      </c>
    </row>
    <row r="160">
      <c r="A160" t="inlineStr">
        <is>
          <t>일라이 릴리</t>
        </is>
      </c>
      <c r="B160" t="inlineStr">
        <is>
          <t>LLY</t>
        </is>
      </c>
      <c r="C160" t="inlineStr">
        <is>
          <t>FY2017</t>
        </is>
      </c>
      <c r="D160" s="15" t="n">
        <v>0.06747389693499495</v>
      </c>
      <c r="E160" s="15" t="n">
        <v>0.07795374793895066</v>
      </c>
      <c r="F160" s="15">
        <f>D160-E160</f>
        <v>-0.010479851003955709</v>
      </c>
      <c r="G160" t="inlineStr"/>
      <c r="H160" s="14" t="n">
        <v>2003300000</v>
      </c>
      <c r="I160" s="14" t="n">
        <v>2304800000</v>
      </c>
      <c r="J160" s="14" t="n">
        <v>17814000000</v>
      </c>
      <c r="K160" s="14" t="n">
        <v>17739750000</v>
      </c>
      <c r="L160" t="inlineStr">
        <is>
          <t>pretax_less_nonoperating</t>
        </is>
      </c>
      <c r="M160" t="inlineStr">
        <is>
          <t>영업이익(분자) -13.1%, 신규 분자 추정경로(pretax_less_nonoperating), 구 분자 = 세전이익+이자</t>
        </is>
      </c>
    </row>
    <row r="161">
      <c r="A161" t="inlineStr">
        <is>
          <t>홈디포</t>
        </is>
      </c>
      <c r="B161" t="inlineStr">
        <is>
          <t>HD</t>
        </is>
      </c>
      <c r="C161" t="inlineStr">
        <is>
          <t>FY2025</t>
        </is>
      </c>
      <c r="D161" s="15" t="n">
        <v>0.2532200222093292</v>
      </c>
      <c r="E161" s="15" t="n">
        <v>0.2632414802831874</v>
      </c>
      <c r="F161" s="15">
        <f>D161-E161</f>
        <v>-0.01002145807385818</v>
      </c>
      <c r="G161" t="inlineStr"/>
      <c r="H161" s="14" t="n">
        <v>20890000000</v>
      </c>
      <c r="I161" s="14" t="n">
        <v>20890000000</v>
      </c>
      <c r="J161" s="14" t="n">
        <v>62780000000</v>
      </c>
      <c r="K161" s="14" t="n">
        <v>60390000000</v>
      </c>
      <c r="L161" t="inlineStr">
        <is>
          <t>reported</t>
        </is>
      </c>
      <c r="M161" t="inlineStr">
        <is>
          <t>투하자본(분모) +4.0%</t>
        </is>
      </c>
    </row>
  </sheetData>
  <autoFilter ref="A2:M1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9" customWidth="1" min="3" max="3"/>
    <col width="19" customWidth="1" min="4" max="4"/>
    <col width="18" customWidth="1" min="5" max="5"/>
    <col width="34" customWidth="1" min="6" max="6"/>
    <col width="11" customWidth="1" min="7" max="7"/>
    <col width="13" customWidth="1" min="8" max="8"/>
  </cols>
  <sheetData>
    <row r="1">
      <c r="A1" s="7" t="inlineStr">
        <is>
          <t>1차 조사가 장기차입금을 0으로 기록했으나 10-K에 해당 태그가 존재하는 기업-연도. 어느 쪽이 맞는지 판단이 필요 없는 유형의 오류입니다.</t>
        </is>
      </c>
    </row>
    <row r="2">
      <c r="A2" s="8" t="inlineStr">
        <is>
          <t>기업</t>
        </is>
      </c>
      <c r="B2" s="8" t="inlineStr">
        <is>
          <t>기업-연도</t>
        </is>
      </c>
      <c r="C2" s="8" t="inlineStr">
        <is>
          <t>공시된 장기차입금</t>
        </is>
      </c>
      <c r="D2" s="8" t="inlineStr">
        <is>
          <t>1차 조사 총차입금</t>
        </is>
      </c>
      <c r="E2" s="8" t="inlineStr">
        <is>
          <t>재산출 총차입금</t>
        </is>
      </c>
      <c r="F2" s="8" t="inlineStr">
        <is>
          <t>사용 태그</t>
        </is>
      </c>
      <c r="G2" s="8" t="inlineStr">
        <is>
          <t>1차 ROIC</t>
        </is>
      </c>
      <c r="H2" s="8" t="inlineStr">
        <is>
          <t>재산출 ROIC</t>
        </is>
      </c>
    </row>
    <row r="3">
      <c r="A3" t="inlineStr">
        <is>
          <t>오라클</t>
        </is>
      </c>
      <c r="B3" t="inlineStr">
        <is>
          <t>ORCL FY2023</t>
        </is>
      </c>
      <c r="C3" s="14" t="n">
        <v>86420000000</v>
      </c>
      <c r="D3" s="14" t="n">
        <v>4061000000</v>
      </c>
      <c r="E3" s="14" t="n">
        <v>90481000000</v>
      </c>
      <c r="F3" t="inlineStr">
        <is>
          <t>LongTermNotesAndLoans</t>
        </is>
      </c>
      <c r="G3" s="15" t="n"/>
      <c r="H3" s="15" t="n">
        <v>0.1590825829174325</v>
      </c>
    </row>
    <row r="4">
      <c r="A4" t="inlineStr">
        <is>
          <t>오라클</t>
        </is>
      </c>
      <c r="B4" t="inlineStr">
        <is>
          <t>ORCL FY2025</t>
        </is>
      </c>
      <c r="C4" s="14" t="n">
        <v>85297000000</v>
      </c>
      <c r="D4" s="14" t="n">
        <v>7271000000</v>
      </c>
      <c r="E4" s="14" t="n">
        <v>92568000000</v>
      </c>
      <c r="F4" t="inlineStr">
        <is>
          <t>LongTermNotesAndLoans</t>
        </is>
      </c>
      <c r="G4" s="15" t="n">
        <v>1.234506906295326</v>
      </c>
      <c r="H4" s="15" t="n">
        <v>0.1487436961140904</v>
      </c>
    </row>
    <row r="5">
      <c r="A5" t="inlineStr">
        <is>
          <t>오라클</t>
        </is>
      </c>
      <c r="B5" t="inlineStr">
        <is>
          <t>ORCL FY2024</t>
        </is>
      </c>
      <c r="C5" s="14" t="n">
        <v>76264000000</v>
      </c>
      <c r="D5" s="14" t="n">
        <v>10605000000</v>
      </c>
      <c r="E5" s="14" t="n">
        <v>86869000000</v>
      </c>
      <c r="F5" t="inlineStr">
        <is>
          <t>LongTermNotesAndLoans</t>
        </is>
      </c>
      <c r="G5" s="15" t="n">
        <v>7.61450168264296</v>
      </c>
      <c r="H5" s="15" t="n">
        <v>0.1449980573471132</v>
      </c>
    </row>
    <row r="6">
      <c r="A6" t="inlineStr">
        <is>
          <t>오라클</t>
        </is>
      </c>
      <c r="B6" t="inlineStr">
        <is>
          <t>ORCL FY2021</t>
        </is>
      </c>
      <c r="C6" s="14" t="n">
        <v>75995000000</v>
      </c>
      <c r="D6" s="14" t="n">
        <v>8250000000</v>
      </c>
      <c r="E6" s="14" t="n">
        <v>84245000000</v>
      </c>
      <c r="F6" t="inlineStr">
        <is>
          <t>LongTermNotesAndLoans</t>
        </is>
      </c>
      <c r="G6" s="15" t="n"/>
      <c r="H6" s="15" t="n">
        <v>0.2831159010600707</v>
      </c>
    </row>
    <row r="7">
      <c r="A7" t="inlineStr">
        <is>
          <t>오라클</t>
        </is>
      </c>
      <c r="B7" t="inlineStr">
        <is>
          <t>ORCL FY2022</t>
        </is>
      </c>
      <c r="C7" s="14" t="n">
        <v>72110000000</v>
      </c>
      <c r="D7" s="14" t="n">
        <v>3749000000</v>
      </c>
      <c r="E7" s="14" t="n">
        <v>75859000000</v>
      </c>
      <c r="F7" t="inlineStr">
        <is>
          <t>LongTermNotesAndLoans</t>
        </is>
      </c>
      <c r="G7" s="15" t="n"/>
      <c r="H7" s="15" t="n">
        <v>0.1879854516943985</v>
      </c>
    </row>
    <row r="8">
      <c r="A8" t="inlineStr">
        <is>
          <t>오라클</t>
        </is>
      </c>
      <c r="B8" t="inlineStr">
        <is>
          <t>ORCL FY2020</t>
        </is>
      </c>
      <c r="C8" s="14" t="n">
        <v>69226000000</v>
      </c>
      <c r="D8" s="14" t="n">
        <v>2371000000</v>
      </c>
      <c r="E8" s="14" t="n">
        <v>71597000000</v>
      </c>
      <c r="F8" t="inlineStr">
        <is>
          <t>LongTermNotesAndLoans</t>
        </is>
      </c>
      <c r="G8" s="15" t="n"/>
      <c r="H8" s="15" t="n">
        <v>0.2678828696925329</v>
      </c>
    </row>
    <row r="9">
      <c r="A9" t="inlineStr">
        <is>
          <t>오라클</t>
        </is>
      </c>
      <c r="B9" t="inlineStr">
        <is>
          <t>ORCL FY2018</t>
        </is>
      </c>
      <c r="C9" s="14" t="n">
        <v>56128000000</v>
      </c>
      <c r="D9" s="14" t="n">
        <v>4491000000</v>
      </c>
      <c r="E9" s="14" t="n">
        <v>60619000000</v>
      </c>
      <c r="F9" t="inlineStr">
        <is>
          <t>LongTermNotesAndLoans</t>
        </is>
      </c>
      <c r="G9" s="15" t="n">
        <v>0.6248007850834151</v>
      </c>
      <c r="H9" s="15" t="n">
        <v>0.1825488576933664</v>
      </c>
    </row>
    <row r="10">
      <c r="A10" t="inlineStr">
        <is>
          <t>오라클</t>
        </is>
      </c>
      <c r="B10" t="inlineStr">
        <is>
          <t>ORCL FY2019</t>
        </is>
      </c>
      <c r="C10" s="14" t="n">
        <v>51673000000</v>
      </c>
      <c r="D10" s="14" t="n">
        <v>4494000000</v>
      </c>
      <c r="E10" s="14" t="n">
        <v>56167000000</v>
      </c>
      <c r="F10" t="inlineStr">
        <is>
          <t>LongTermNotesAndLoans</t>
        </is>
      </c>
      <c r="G10" s="15" t="n"/>
      <c r="H10" s="15" t="n">
        <v>0.2642313490004201</v>
      </c>
    </row>
    <row r="11">
      <c r="A11" t="inlineStr">
        <is>
          <t>오라클</t>
        </is>
      </c>
      <c r="B11" t="inlineStr">
        <is>
          <t>ORCL FY2017</t>
        </is>
      </c>
      <c r="C11" s="14" t="n">
        <v>48112000000</v>
      </c>
      <c r="D11" s="14" t="n">
        <v>9797000000</v>
      </c>
      <c r="E11" s="14" t="n">
        <v>57909000000</v>
      </c>
      <c r="F11" t="inlineStr">
        <is>
          <t>LongTermNotesAndLoans</t>
        </is>
      </c>
      <c r="G11" s="15" t="n">
        <v>0.2862820064304397</v>
      </c>
      <c r="H11" s="15" t="n">
        <v>0.2525415403290308</v>
      </c>
    </row>
    <row r="12">
      <c r="A12" t="inlineStr">
        <is>
          <t>브로드컴</t>
        </is>
      </c>
      <c r="B12" t="inlineStr">
        <is>
          <t>AVGO FY2020</t>
        </is>
      </c>
      <c r="C12" s="14" t="n">
        <v>40235000000</v>
      </c>
      <c r="D12" s="14" t="n">
        <v>827000000</v>
      </c>
      <c r="E12" s="14" t="n">
        <v>41498000000</v>
      </c>
      <c r="F12" t="inlineStr">
        <is>
          <t>LongTermDebtNoncurrent</t>
        </is>
      </c>
      <c r="G12" s="15" t="n">
        <v>0.1918351946875943</v>
      </c>
      <c r="H12" s="15" t="n">
        <v>0.06889493130019242</v>
      </c>
    </row>
    <row r="13">
      <c r="A13" t="inlineStr">
        <is>
          <t>코카콜라</t>
        </is>
      </c>
      <c r="B13" t="inlineStr">
        <is>
          <t>KO FY2020</t>
        </is>
      </c>
      <c r="C13" s="14" t="n">
        <v>40125000000</v>
      </c>
      <c r="D13" s="14" t="n">
        <v>1329000000</v>
      </c>
      <c r="E13" s="14" t="n">
        <v>42793000000</v>
      </c>
      <c r="F13" t="inlineStr">
        <is>
          <t>LongTermDebtNoncurrent</t>
        </is>
      </c>
      <c r="G13" s="15" t="n">
        <v>0.4331212667634699</v>
      </c>
      <c r="H13" s="15" t="n">
        <v>0.1286750127320722</v>
      </c>
    </row>
    <row r="14">
      <c r="A14" t="inlineStr">
        <is>
          <t>오라클</t>
        </is>
      </c>
      <c r="B14" t="inlineStr">
        <is>
          <t>ORCL FY2016</t>
        </is>
      </c>
      <c r="C14" s="14" t="n">
        <v>40105000000</v>
      </c>
      <c r="D14" s="14" t="n">
        <v>3750000000</v>
      </c>
      <c r="E14" s="14" t="n">
        <v>43855000000</v>
      </c>
      <c r="F14" t="inlineStr">
        <is>
          <t>LongTermNotesAndLoans</t>
        </is>
      </c>
      <c r="G14" s="15" t="n">
        <v>0.3277437881179701</v>
      </c>
      <c r="H14" s="15" t="n">
        <v>0.2715750896640609</v>
      </c>
    </row>
    <row r="15">
      <c r="A15" t="inlineStr">
        <is>
          <t>코카콜라</t>
        </is>
      </c>
      <c r="B15" t="inlineStr">
        <is>
          <t>KO FY2021</t>
        </is>
      </c>
      <c r="C15" s="14" t="n">
        <v>38116000000</v>
      </c>
      <c r="D15" s="14" t="n">
        <v>2462000000</v>
      </c>
      <c r="E15" s="14" t="n">
        <v>42761000000</v>
      </c>
      <c r="F15" t="inlineStr">
        <is>
          <t>LongTermDebtNoncurrent</t>
        </is>
      </c>
      <c r="G15" s="15" t="n">
        <v>0.6116157455315796</v>
      </c>
      <c r="H15" s="15" t="n">
        <v>0.1449757052555427</v>
      </c>
    </row>
    <row r="16">
      <c r="A16" t="inlineStr">
        <is>
          <t>코카콜라</t>
        </is>
      </c>
      <c r="B16" t="inlineStr">
        <is>
          <t>KO FY2022</t>
        </is>
      </c>
      <c r="C16" s="14" t="n">
        <v>36377000000</v>
      </c>
      <c r="D16" s="14" t="n">
        <v>2146000000</v>
      </c>
      <c r="E16" s="14" t="n">
        <v>39149000000</v>
      </c>
      <c r="F16" t="inlineStr">
        <is>
          <t>LongTermDebtNoncurrent</t>
        </is>
      </c>
      <c r="G16" s="15" t="n">
        <v>0.5912272341642667</v>
      </c>
      <c r="H16" s="15" t="n">
        <v>0.1608277705060014</v>
      </c>
    </row>
    <row r="17">
      <c r="A17" t="inlineStr">
        <is>
          <t>셰브론</t>
        </is>
      </c>
      <c r="B17" t="inlineStr">
        <is>
          <t>CVX FY2016</t>
        </is>
      </c>
      <c r="C17" s="14" t="n">
        <v>35193000000</v>
      </c>
      <c r="D17" s="14" t="n">
        <v>19840000000</v>
      </c>
      <c r="E17" s="14" t="n">
        <v>55033000000</v>
      </c>
      <c r="F17" t="inlineStr">
        <is>
          <t>LongTermDebtNoncurrent</t>
        </is>
      </c>
      <c r="G17" s="15" t="n">
        <v>-0.009978786511058095</v>
      </c>
      <c r="H17" s="15" t="n">
        <v>-0.008065152419243467</v>
      </c>
    </row>
    <row r="18">
      <c r="A18" t="inlineStr">
        <is>
          <t>셰브론</t>
        </is>
      </c>
      <c r="B18" t="inlineStr">
        <is>
          <t>CVX FY2017</t>
        </is>
      </c>
      <c r="C18" s="14" t="n">
        <v>33477000000</v>
      </c>
      <c r="D18" s="14" t="n">
        <v>15192000000</v>
      </c>
      <c r="E18" s="14" t="n">
        <v>48669000000</v>
      </c>
      <c r="F18" t="inlineStr">
        <is>
          <t>LongTermDebtNoncurrent</t>
        </is>
      </c>
      <c r="G18" s="15" t="n">
        <v>0.05759242586683549</v>
      </c>
      <c r="H18" s="15" t="n">
        <v>0.04666735409362755</v>
      </c>
    </row>
    <row r="19">
      <c r="A19" t="inlineStr">
        <is>
          <t>코카콜라</t>
        </is>
      </c>
      <c r="B19" t="inlineStr">
        <is>
          <t>KO FY2017</t>
        </is>
      </c>
      <c r="C19" s="14" t="n">
        <v>31182000000</v>
      </c>
      <c r="D19" s="14" t="n">
        <v>12931000000</v>
      </c>
      <c r="E19" s="14" t="n">
        <v>47411000000</v>
      </c>
      <c r="F19" t="inlineStr">
        <is>
          <t>LongTermDebtNoncurrent</t>
        </is>
      </c>
      <c r="G19" s="15" t="n">
        <v>0.2918430708439176</v>
      </c>
      <c r="H19" s="15" t="n">
        <v>0.09155754075619091</v>
      </c>
    </row>
    <row r="20">
      <c r="A20" t="inlineStr">
        <is>
          <t>브로드컴</t>
        </is>
      </c>
      <c r="B20" t="inlineStr">
        <is>
          <t>AVGO FY2019</t>
        </is>
      </c>
      <c r="C20" s="14" t="n">
        <v>30011000000</v>
      </c>
      <c r="D20" s="14" t="n">
        <v>2787000000</v>
      </c>
      <c r="E20" s="14" t="n">
        <v>33059000000</v>
      </c>
      <c r="F20" t="inlineStr">
        <is>
          <t>LongTermDebtNoncurrent</t>
        </is>
      </c>
      <c r="G20" s="15" t="n">
        <v>0.1452906434566366</v>
      </c>
      <c r="H20" s="15" t="n">
        <v>0.07042262615826687</v>
      </c>
    </row>
    <row r="21">
      <c r="A21" t="inlineStr">
        <is>
          <t>코카콜라</t>
        </is>
      </c>
      <c r="B21" t="inlineStr">
        <is>
          <t>KO FY2016</t>
        </is>
      </c>
      <c r="C21" s="14" t="n">
        <v>29684000000</v>
      </c>
      <c r="D21" s="14" t="n">
        <v>12330000000</v>
      </c>
      <c r="E21" s="14" t="n">
        <v>45541000000</v>
      </c>
      <c r="F21" t="inlineStr">
        <is>
          <t>LongTermDebtNoncurrent</t>
        </is>
      </c>
      <c r="G21" s="15" t="n">
        <v>0.3467382238267854</v>
      </c>
      <c r="H21" s="15" t="n">
        <v>0.1330477120233356</v>
      </c>
    </row>
    <row r="22">
      <c r="A22" t="inlineStr">
        <is>
          <t>코카콜라</t>
        </is>
      </c>
      <c r="B22" t="inlineStr">
        <is>
          <t>KO FY2019</t>
        </is>
      </c>
      <c r="C22" s="14" t="n">
        <v>27516000000</v>
      </c>
      <c r="D22" s="14" t="n">
        <v>10007000000</v>
      </c>
      <c r="E22" s="14" t="n">
        <v>42763000000</v>
      </c>
      <c r="F22" t="inlineStr">
        <is>
          <t>LongTermDebtNoncurrent</t>
        </is>
      </c>
      <c r="G22" s="15" t="n">
        <v>0.4202727657492892</v>
      </c>
      <c r="H22" s="15" t="n">
        <v>0.1565879490919359</v>
      </c>
    </row>
    <row r="23">
      <c r="A23" t="inlineStr">
        <is>
          <t>코카콜라</t>
        </is>
      </c>
      <c r="B23" t="inlineStr">
        <is>
          <t>KO FY2018</t>
        </is>
      </c>
      <c r="C23" s="14" t="n">
        <v>25376000000</v>
      </c>
      <c r="D23" s="14" t="n">
        <v>13063000000</v>
      </c>
      <c r="E23" s="14" t="n">
        <v>43442000000</v>
      </c>
      <c r="F23" t="inlineStr">
        <is>
          <t>LongTermDebtNoncurrent</t>
        </is>
      </c>
      <c r="G23" s="15" t="n">
        <v>0.4290873649098747</v>
      </c>
      <c r="H23" s="15" t="n">
        <v>0.1407013446052638</v>
      </c>
    </row>
    <row r="24">
      <c r="A24" t="inlineStr">
        <is>
          <t>브로드컴</t>
        </is>
      </c>
      <c r="B24" t="inlineStr">
        <is>
          <t>AVGO FY2018</t>
        </is>
      </c>
      <c r="C24" s="14" t="n">
        <v>17493000000</v>
      </c>
      <c r="D24" s="14" t="n">
        <v>0</v>
      </c>
      <c r="E24" s="14" t="n">
        <v>17609000000</v>
      </c>
      <c r="F24" t="inlineStr">
        <is>
          <t>LongTermDebtNoncurrent</t>
        </is>
      </c>
      <c r="G24" s="15" t="n">
        <v>0.2830925023212628</v>
      </c>
      <c r="H24" s="15" t="n">
        <v>0.1403732159300184</v>
      </c>
    </row>
    <row r="25">
      <c r="A25" t="inlineStr">
        <is>
          <t>브로드컴</t>
        </is>
      </c>
      <c r="B25" t="inlineStr">
        <is>
          <t>AVGO FY2017</t>
        </is>
      </c>
      <c r="C25" s="14" t="n">
        <v>17431000000</v>
      </c>
      <c r="D25" s="14" t="n">
        <v>117000000</v>
      </c>
      <c r="E25" s="14" t="n">
        <v>17548000000</v>
      </c>
      <c r="F25" t="inlineStr">
        <is>
          <t>LongTermDebtNoncurrent</t>
        </is>
      </c>
      <c r="G25" s="15" t="n">
        <v>0.1861682783701132</v>
      </c>
      <c r="H25" s="15" t="n">
        <v>0.09325177503156762</v>
      </c>
    </row>
    <row r="26">
      <c r="A26" t="inlineStr">
        <is>
          <t>비자</t>
        </is>
      </c>
      <c r="B26" t="inlineStr">
        <is>
          <t>V FY2018</t>
        </is>
      </c>
      <c r="C26" s="14" t="n">
        <v>16630000000</v>
      </c>
      <c r="D26" s="14" t="n">
        <v>0</v>
      </c>
      <c r="E26" s="14" t="n">
        <v>16630000000</v>
      </c>
      <c r="F26" t="inlineStr">
        <is>
          <t>LongTermDebtNoncurrent</t>
        </is>
      </c>
      <c r="G26" s="15" t="n">
        <v>0.4429822301219302</v>
      </c>
      <c r="H26" s="15" t="n">
        <v>0.2713165954887478</v>
      </c>
    </row>
    <row r="27">
      <c r="A27" t="inlineStr">
        <is>
          <t>비자</t>
        </is>
      </c>
      <c r="B27" t="inlineStr">
        <is>
          <t>V FY2017</t>
        </is>
      </c>
      <c r="C27" s="14" t="n">
        <v>16618000000</v>
      </c>
      <c r="D27" s="14" t="n">
        <v>1749000000</v>
      </c>
      <c r="E27" s="14" t="n">
        <v>18367000000</v>
      </c>
      <c r="F27" t="inlineStr">
        <is>
          <t>LongTermDebtNoncurrent</t>
        </is>
      </c>
      <c r="G27" s="15" t="n">
        <v>0.2806347250038515</v>
      </c>
      <c r="H27" s="15" t="n">
        <v>0.187556951272877</v>
      </c>
    </row>
    <row r="28">
      <c r="A28" t="inlineStr">
        <is>
          <t>비자</t>
        </is>
      </c>
      <c r="B28" t="inlineStr">
        <is>
          <t>V FY2016</t>
        </is>
      </c>
      <c r="C28" s="14" t="n">
        <v>15882000000</v>
      </c>
      <c r="D28" s="14" t="n">
        <v>0</v>
      </c>
      <c r="E28" s="14" t="n">
        <v>15882000000</v>
      </c>
      <c r="F28" t="inlineStr">
        <is>
          <t>LongTermDebtNoncurrent</t>
        </is>
      </c>
      <c r="G28" s="15" t="n">
        <v>0.2159725869372031</v>
      </c>
      <c r="H28" s="15" t="n">
        <v>0.1847239052108143</v>
      </c>
    </row>
    <row r="29">
      <c r="A29" t="inlineStr">
        <is>
          <t>GE 버노바</t>
        </is>
      </c>
      <c r="B29" t="inlineStr">
        <is>
          <t>GEV FY2025</t>
        </is>
      </c>
      <c r="C29" s="14" t="n">
        <v>265000000</v>
      </c>
      <c r="D29" s="14" t="n">
        <v>63000000</v>
      </c>
      <c r="E29" s="14" t="n">
        <v>352000000</v>
      </c>
      <c r="F29" t="inlineStr">
        <is>
          <t>LongTermDebtAndCapitalLeaseObligations</t>
        </is>
      </c>
      <c r="G29" s="15" t="n">
        <v>0.4425574760865917</v>
      </c>
      <c r="H29" s="15" t="n">
        <v>0.4220870678617157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pane xSplit="2" ySplit="325" topLeftCell="C32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1" customWidth="1" min="4" max="4"/>
    <col width="12" customWidth="1" min="5" max="5"/>
    <col width="11" customWidth="1" min="6" max="6"/>
    <col width="16" customWidth="1" min="7" max="7"/>
    <col width="16" customWidth="1" min="8" max="8"/>
    <col width="16" customWidth="1" min="9" max="9"/>
    <col width="16" customWidth="1" min="10" max="10"/>
    <col width="44" customWidth="1" min="11" max="11"/>
  </cols>
  <sheetData>
    <row r="1">
      <c r="A1" s="7" t="inlineStr">
        <is>
          <t>analysis.json에 반영한 정정 319건. 원본은 analysis.json.pre-roic-correction에 보존.</t>
        </is>
      </c>
    </row>
    <row r="2">
      <c r="A2" s="8" t="inlineStr">
        <is>
          <t>기업</t>
        </is>
      </c>
      <c r="B2" s="8" t="inlineStr">
        <is>
          <t>티커</t>
        </is>
      </c>
      <c r="C2" s="8" t="inlineStr">
        <is>
          <t>연도</t>
        </is>
      </c>
      <c r="D2" s="8" t="inlineStr">
        <is>
          <t>구 ROIC</t>
        </is>
      </c>
      <c r="E2" s="8" t="inlineStr">
        <is>
          <t>정정 ROIC</t>
        </is>
      </c>
      <c r="F2" s="8" t="inlineStr">
        <is>
          <t>변화(%p)</t>
        </is>
      </c>
      <c r="G2" s="8" t="inlineStr">
        <is>
          <t>구 영업이익</t>
        </is>
      </c>
      <c r="H2" s="8" t="inlineStr">
        <is>
          <t>정정 영업이익</t>
        </is>
      </c>
      <c r="I2" s="8" t="inlineStr">
        <is>
          <t>구 평균자본</t>
        </is>
      </c>
      <c r="J2" s="8" t="inlineStr">
        <is>
          <t>정정 평균자본</t>
        </is>
      </c>
      <c r="K2" s="8" t="inlineStr">
        <is>
          <t>바뀐 항목</t>
        </is>
      </c>
    </row>
    <row r="3">
      <c r="A3" t="inlineStr">
        <is>
          <t>팔란티어 테크놀로지스</t>
        </is>
      </c>
      <c r="B3" t="inlineStr">
        <is>
          <t>PLTR</t>
        </is>
      </c>
      <c r="C3" t="inlineStr">
        <is>
          <t>FY2022</t>
        </is>
      </c>
      <c r="D3" s="15" t="n"/>
      <c r="E3" s="15" t="n">
        <v>-14.53421479114357</v>
      </c>
      <c r="F3" s="15" t="inlineStr">
        <is>
          <t>—</t>
        </is>
      </c>
      <c r="G3" s="14" t="n">
        <v>-161201000</v>
      </c>
      <c r="H3" s="14" t="n">
        <v>-161201000</v>
      </c>
      <c r="I3" s="14" t="n">
        <v>-203590500</v>
      </c>
      <c r="J3" s="14" t="n">
        <v>8762000</v>
      </c>
      <c r="K3" t="inlineStr">
        <is>
          <t>roic, invested_capital, invested_capital_avg</t>
        </is>
      </c>
    </row>
    <row r="4">
      <c r="A4" t="inlineStr">
        <is>
          <t>오라클</t>
        </is>
      </c>
      <c r="B4" t="inlineStr">
        <is>
          <t>ORCL</t>
        </is>
      </c>
      <c r="C4" t="inlineStr">
        <is>
          <t>FY2024</t>
        </is>
      </c>
      <c r="D4" s="15" t="n">
        <v>7.61450168264296</v>
      </c>
      <c r="E4" s="15" t="n">
        <v>0.1449980573471132</v>
      </c>
      <c r="F4" s="15">
        <f>E4-D4</f>
        <v>-7.469503625295847</v>
      </c>
      <c r="G4" s="14" t="n">
        <v>15353000000</v>
      </c>
      <c r="H4" s="14" t="n">
        <v>15353000000</v>
      </c>
      <c r="I4" s="14" t="n">
        <v>1797500000</v>
      </c>
      <c r="J4" s="14" t="n">
        <v>83648500000</v>
      </c>
      <c r="K4" t="inlineStr">
        <is>
          <t>roic, tax_rate, nopat, invested_capital, invested_capital_avg</t>
        </is>
      </c>
    </row>
    <row r="5">
      <c r="A5" t="inlineStr">
        <is>
          <t>엔비디아</t>
        </is>
      </c>
      <c r="B5" t="inlineStr">
        <is>
          <t>NVDA</t>
        </is>
      </c>
      <c r="C5" t="inlineStr">
        <is>
          <t>FY2016</t>
        </is>
      </c>
      <c r="D5" s="15" t="n">
        <v>8.925391450079294</v>
      </c>
      <c r="E5" s="15" t="n">
        <v>1.78602078119327</v>
      </c>
      <c r="F5" s="15">
        <f>E5-D5</f>
        <v>-7.139370668886024</v>
      </c>
      <c r="G5" s="14" t="n">
        <v>1934000000</v>
      </c>
      <c r="H5" s="14" t="n">
        <v>1934000000</v>
      </c>
      <c r="I5" s="14" t="n">
        <v>189500000</v>
      </c>
      <c r="J5" s="14" t="n">
        <v>947000000</v>
      </c>
      <c r="K5" t="inlineStr">
        <is>
          <t>roic, invested_capital_avg</t>
        </is>
      </c>
    </row>
    <row r="6">
      <c r="A6" t="inlineStr">
        <is>
          <t>팔란티어 테크놀로지스</t>
        </is>
      </c>
      <c r="B6" t="inlineStr">
        <is>
          <t>PLTR</t>
        </is>
      </c>
      <c r="C6" t="inlineStr">
        <is>
          <t>FY2025</t>
        </is>
      </c>
      <c r="D6" s="15" t="n"/>
      <c r="E6" s="15" t="n">
        <v>4.319782903707134</v>
      </c>
      <c r="F6" s="15" t="inlineStr">
        <is>
          <t>—</t>
        </is>
      </c>
      <c r="G6" s="14" t="n">
        <v>1414015000</v>
      </c>
      <c r="H6" s="14" t="n">
        <v>1414015000</v>
      </c>
      <c r="I6" s="14" t="n">
        <v>-32764000</v>
      </c>
      <c r="J6" s="14" t="n">
        <v>310968000</v>
      </c>
      <c r="K6" t="inlineStr">
        <is>
          <t>roic, invested_capital, invested_capital_avg</t>
        </is>
      </c>
    </row>
    <row r="7">
      <c r="A7" t="inlineStr">
        <is>
          <t>오라클</t>
        </is>
      </c>
      <c r="B7" t="inlineStr">
        <is>
          <t>ORCL</t>
        </is>
      </c>
      <c r="C7" t="inlineStr">
        <is>
          <t>FY2025</t>
        </is>
      </c>
      <c r="D7" s="15" t="n">
        <v>1.234506906295326</v>
      </c>
      <c r="E7" s="15" t="n">
        <v>0.1487436961140904</v>
      </c>
      <c r="F7" s="15">
        <f>E7-D7</f>
        <v>-1.0857632101812356</v>
      </c>
      <c r="G7" s="14" t="n">
        <v>17678000000</v>
      </c>
      <c r="H7" s="14" t="n">
        <v>17678000000</v>
      </c>
      <c r="I7" s="14" t="n">
        <v>12583500000</v>
      </c>
      <c r="J7" s="14" t="n">
        <v>93890500000</v>
      </c>
      <c r="K7" t="inlineStr">
        <is>
          <t>roic, tax_rate, nopat, invested_capital, invested_capital_avg</t>
        </is>
      </c>
    </row>
    <row r="8">
      <c r="A8" t="inlineStr">
        <is>
          <t>마이크로소프트</t>
        </is>
      </c>
      <c r="B8" t="inlineStr">
        <is>
          <t>MSFT</t>
        </is>
      </c>
      <c r="C8" t="inlineStr">
        <is>
          <t>FY2016</t>
        </is>
      </c>
      <c r="D8" s="15" t="n">
        <v>1.721451609031693</v>
      </c>
      <c r="E8" s="15" t="n">
        <v>0.9910187856453563</v>
      </c>
      <c r="F8" s="15">
        <f>E8-D8</f>
        <v>-0.7304328233863366</v>
      </c>
      <c r="G8" s="14" t="n">
        <v>26078000000</v>
      </c>
      <c r="H8" s="14" t="n">
        <v>26078000000</v>
      </c>
      <c r="I8" s="14" t="n">
        <v>12135500000</v>
      </c>
      <c r="J8" s="14" t="n">
        <v>21080000000</v>
      </c>
      <c r="K8" t="inlineStr">
        <is>
          <t>roic, invested_capital, invested_capital_avg</t>
        </is>
      </c>
    </row>
    <row r="9">
      <c r="A9" t="inlineStr">
        <is>
          <t>마스터카드</t>
        </is>
      </c>
      <c r="B9" t="inlineStr">
        <is>
          <t>MA</t>
        </is>
      </c>
      <c r="C9" t="inlineStr">
        <is>
          <t>FY2018</t>
        </is>
      </c>
      <c r="D9" s="15" t="n">
        <v>1.183777185104817</v>
      </c>
      <c r="E9" s="15" t="n">
        <v>1.818651084624413</v>
      </c>
      <c r="F9" s="15">
        <f>E9-D9</f>
        <v>0.6348738995195959</v>
      </c>
      <c r="G9" s="14" t="n">
        <v>7282000000</v>
      </c>
      <c r="H9" s="14" t="n">
        <v>7282000000</v>
      </c>
      <c r="I9" s="14" t="n">
        <v>5003000000</v>
      </c>
      <c r="J9" s="14" t="n">
        <v>3256500000</v>
      </c>
      <c r="K9" t="inlineStr">
        <is>
          <t>roic, invested_capital, invested_capital_avg</t>
        </is>
      </c>
    </row>
    <row r="10">
      <c r="A10" t="inlineStr">
        <is>
          <t>메타 플랫폼스</t>
        </is>
      </c>
      <c r="B10" t="inlineStr">
        <is>
          <t>META</t>
        </is>
      </c>
      <c r="C10" t="inlineStr">
        <is>
          <t>FY2018</t>
        </is>
      </c>
      <c r="D10" s="15" t="n"/>
      <c r="E10" s="15" t="n">
        <v>0.5742678243057453</v>
      </c>
      <c r="F10" s="15" t="inlineStr">
        <is>
          <t>—</t>
        </is>
      </c>
      <c r="G10" s="14" t="n">
        <v>24913000000</v>
      </c>
      <c r="H10" s="14" t="n">
        <v>24913000000</v>
      </c>
      <c r="I10" s="14" t="n"/>
      <c r="J10" s="14" t="n">
        <v>37824500000</v>
      </c>
      <c r="K10" t="inlineStr">
        <is>
          <t>roic, invested_capital, invested_capital_avg</t>
        </is>
      </c>
    </row>
    <row r="11">
      <c r="A11" t="inlineStr">
        <is>
          <t>팔로알토 네트웍스</t>
        </is>
      </c>
      <c r="B11" t="inlineStr">
        <is>
          <t>PANW</t>
        </is>
      </c>
      <c r="C11" t="inlineStr">
        <is>
          <t>FY2017</t>
        </is>
      </c>
      <c r="D11" s="15" t="n">
        <v>-0.2181760639626884</v>
      </c>
      <c r="E11" s="15" t="n">
        <v>-0.7668735362997658</v>
      </c>
      <c r="F11" s="15">
        <f>E11-D11</f>
        <v>-0.5486974723370774</v>
      </c>
      <c r="G11" s="14" t="n">
        <v>-165800000</v>
      </c>
      <c r="H11" s="14" t="n">
        <v>-165800000</v>
      </c>
      <c r="I11" s="14" t="n">
        <v>600350000</v>
      </c>
      <c r="J11" s="14" t="n">
        <v>170800000</v>
      </c>
      <c r="K11" t="inlineStr">
        <is>
          <t>roic, invested_capital, invested_capital_avg</t>
        </is>
      </c>
    </row>
    <row r="12">
      <c r="A12" t="inlineStr">
        <is>
          <t>마스터카드</t>
        </is>
      </c>
      <c r="B12" t="inlineStr">
        <is>
          <t>MA</t>
        </is>
      </c>
      <c r="C12" t="inlineStr">
        <is>
          <t>FY2016</t>
        </is>
      </c>
      <c r="D12" s="15" t="n">
        <v>1.080812981570266</v>
      </c>
      <c r="E12" s="15" t="n">
        <v>1.617526008739409</v>
      </c>
      <c r="F12" s="15">
        <f>E12-D12</f>
        <v>0.5367130271691429</v>
      </c>
      <c r="G12" s="14" t="n">
        <v>5761000000</v>
      </c>
      <c r="H12" s="14" t="n">
        <v>5761000000</v>
      </c>
      <c r="I12" s="14" t="n">
        <v>3832000000</v>
      </c>
      <c r="J12" s="14" t="n">
        <v>2560500000</v>
      </c>
      <c r="K12" t="inlineStr">
        <is>
          <t>roic, invested_capital, invested_capital_avg</t>
        </is>
      </c>
    </row>
    <row r="13">
      <c r="A13" t="inlineStr">
        <is>
          <t>마스터카드</t>
        </is>
      </c>
      <c r="B13" t="inlineStr">
        <is>
          <t>MA</t>
        </is>
      </c>
      <c r="C13" t="inlineStr">
        <is>
          <t>FY2017</t>
        </is>
      </c>
      <c r="D13" s="15" t="n">
        <v>0.876135684129611</v>
      </c>
      <c r="E13" s="15" t="n">
        <v>1.402620888813001</v>
      </c>
      <c r="F13" s="15">
        <f>E13-D13</f>
        <v>0.52648520468339</v>
      </c>
      <c r="G13" s="14" t="n">
        <v>6622000000</v>
      </c>
      <c r="H13" s="14" t="n">
        <v>6622000000</v>
      </c>
      <c r="I13" s="14" t="n">
        <v>4537000000</v>
      </c>
      <c r="J13" s="14" t="n">
        <v>2834000000</v>
      </c>
      <c r="K13" t="inlineStr">
        <is>
          <t>roic, invested_capital, invested_capital_avg</t>
        </is>
      </c>
    </row>
    <row r="14">
      <c r="A14" t="inlineStr">
        <is>
          <t>메타 플랫폼스</t>
        </is>
      </c>
      <c r="B14" t="inlineStr">
        <is>
          <t>META</t>
        </is>
      </c>
      <c r="C14" t="inlineStr">
        <is>
          <t>FY2020</t>
        </is>
      </c>
      <c r="D14" s="15" t="n"/>
      <c r="E14" s="15" t="n">
        <v>0.5100436992169578</v>
      </c>
      <c r="F14" s="15" t="inlineStr">
        <is>
          <t>—</t>
        </is>
      </c>
      <c r="G14" s="14" t="n">
        <v>32671000000</v>
      </c>
      <c r="H14" s="14" t="n">
        <v>32671000000</v>
      </c>
      <c r="I14" s="14" t="n"/>
      <c r="J14" s="14" t="n">
        <v>56267500000</v>
      </c>
      <c r="K14" t="inlineStr">
        <is>
          <t>roic, invested_capital, invested_capital_avg</t>
        </is>
      </c>
    </row>
    <row r="15">
      <c r="A15" t="inlineStr">
        <is>
          <t>메타 플랫폼스</t>
        </is>
      </c>
      <c r="B15" t="inlineStr">
        <is>
          <t>META</t>
        </is>
      </c>
      <c r="C15" t="inlineStr">
        <is>
          <t>FY2017</t>
        </is>
      </c>
      <c r="D15" s="15" t="n"/>
      <c r="E15" s="15" t="n">
        <v>0.5011614204345335</v>
      </c>
      <c r="F15" s="15" t="inlineStr">
        <is>
          <t>—</t>
        </is>
      </c>
      <c r="G15" s="14" t="n">
        <v>20203000000</v>
      </c>
      <c r="H15" s="14" t="n">
        <v>20203000000</v>
      </c>
      <c r="I15" s="14" t="n"/>
      <c r="J15" s="14" t="n">
        <v>31190500000</v>
      </c>
      <c r="K15" t="inlineStr">
        <is>
          <t>roic, invested_capital, invested_capital_avg</t>
        </is>
      </c>
    </row>
    <row r="16">
      <c r="A16" t="inlineStr">
        <is>
          <t>KLA</t>
        </is>
      </c>
      <c r="B16" t="inlineStr">
        <is>
          <t>KLAC</t>
        </is>
      </c>
      <c r="C16" t="inlineStr">
        <is>
          <t>FY2017</t>
        </is>
      </c>
      <c r="D16" s="15" t="n">
        <v>0.3090851563188375</v>
      </c>
      <c r="E16" s="15" t="n">
        <v>0.8070096707999566</v>
      </c>
      <c r="F16" s="15">
        <f>E16-D16</f>
        <v>0.4979245144811191</v>
      </c>
      <c r="G16" s="14" t="n">
        <v>1173246000</v>
      </c>
      <c r="H16" s="14" t="n">
        <v>1275900000</v>
      </c>
      <c r="I16" s="14" t="n">
        <v>2996184000</v>
      </c>
      <c r="J16" s="14" t="n">
        <v>1247945000</v>
      </c>
      <c r="K16" t="inlineStr">
        <is>
          <t>roic, ebit, nopat, invested_capital, invested_capital_avg</t>
        </is>
      </c>
    </row>
    <row r="17">
      <c r="A17" t="inlineStr">
        <is>
          <t>코카콜라</t>
        </is>
      </c>
      <c r="B17" t="inlineStr">
        <is>
          <t>KO</t>
        </is>
      </c>
      <c r="C17" t="inlineStr">
        <is>
          <t>FY2021</t>
        </is>
      </c>
      <c r="D17" s="15" t="n">
        <v>0.6116157455315796</v>
      </c>
      <c r="E17" s="15" t="n">
        <v>0.1449757052555427</v>
      </c>
      <c r="F17" s="15">
        <f>E17-D17</f>
        <v>-0.4666400402760369</v>
      </c>
      <c r="G17" s="14" t="n">
        <v>10308000000</v>
      </c>
      <c r="H17" s="14" t="n">
        <v>10308000000</v>
      </c>
      <c r="I17" s="14" t="n">
        <v>13298500000</v>
      </c>
      <c r="J17" s="14" t="n">
        <v>56103000000</v>
      </c>
      <c r="K17" t="inlineStr">
        <is>
          <t>roic, invested_capital, invested_capital_avg</t>
        </is>
      </c>
    </row>
    <row r="18">
      <c r="A18" t="inlineStr">
        <is>
          <t>오라클</t>
        </is>
      </c>
      <c r="B18" t="inlineStr">
        <is>
          <t>ORCL</t>
        </is>
      </c>
      <c r="C18" t="inlineStr">
        <is>
          <t>FY2018</t>
        </is>
      </c>
      <c r="D18" s="15" t="n">
        <v>0.6248007850834151</v>
      </c>
      <c r="E18" s="15" t="n">
        <v>0.1825488576933664</v>
      </c>
      <c r="F18" s="15">
        <f>E18-D18</f>
        <v>-0.4422519273900487</v>
      </c>
      <c r="G18" s="14" t="n">
        <v>13264000000</v>
      </c>
      <c r="H18" s="14" t="n">
        <v>13264000000</v>
      </c>
      <c r="I18" s="14" t="n">
        <v>12737500000</v>
      </c>
      <c r="J18" s="14" t="n">
        <v>43596000000</v>
      </c>
      <c r="K18" t="inlineStr">
        <is>
          <t>roic, invested_capital, invested_capital_avg</t>
        </is>
      </c>
    </row>
    <row r="19">
      <c r="A19" t="inlineStr">
        <is>
          <t>코카콜라</t>
        </is>
      </c>
      <c r="B19" t="inlineStr">
        <is>
          <t>KO</t>
        </is>
      </c>
      <c r="C19" t="inlineStr">
        <is>
          <t>FY2022</t>
        </is>
      </c>
      <c r="D19" s="15" t="n">
        <v>0.5912272341642667</v>
      </c>
      <c r="E19" s="15" t="n">
        <v>0.1608277705060014</v>
      </c>
      <c r="F19" s="15">
        <f>E19-D19</f>
        <v>-0.4303994636582653</v>
      </c>
      <c r="G19" s="14" t="n">
        <v>10909000000</v>
      </c>
      <c r="H19" s="14" t="n">
        <v>10909000000</v>
      </c>
      <c r="I19" s="14" t="n">
        <v>15112000000</v>
      </c>
      <c r="J19" s="14" t="n">
        <v>55554000000</v>
      </c>
      <c r="K19" t="inlineStr">
        <is>
          <t>roic, invested_capital, invested_capital_avg</t>
        </is>
      </c>
    </row>
    <row r="20">
      <c r="A20" t="inlineStr">
        <is>
          <t>KLA</t>
        </is>
      </c>
      <c r="B20" t="inlineStr">
        <is>
          <t>KLAC</t>
        </is>
      </c>
      <c r="C20" t="inlineStr">
        <is>
          <t>FY2018</t>
        </is>
      </c>
      <c r="D20" s="15" t="n">
        <v>0.4033607601789814</v>
      </c>
      <c r="E20" s="15" t="n">
        <v>0.830684903340309</v>
      </c>
      <c r="F20" s="15">
        <f>E20-D20</f>
        <v>0.42732414316132755</v>
      </c>
      <c r="G20" s="14" t="n">
        <v>1455931000</v>
      </c>
      <c r="H20" s="14" t="n">
        <v>1535195000</v>
      </c>
      <c r="I20" s="14" t="n">
        <v>2165700500</v>
      </c>
      <c r="J20" s="14" t="n">
        <v>1108864500</v>
      </c>
      <c r="K20" t="inlineStr">
        <is>
          <t>roic, ebit, nopat, invested_capital_avg</t>
        </is>
      </c>
    </row>
    <row r="21">
      <c r="A21" t="inlineStr">
        <is>
          <t>필립모리스 인터내셔널</t>
        </is>
      </c>
      <c r="B21" t="inlineStr">
        <is>
          <t>PM</t>
        </is>
      </c>
      <c r="C21" t="inlineStr">
        <is>
          <t>FY2020</t>
        </is>
      </c>
      <c r="D21" s="15" t="n">
        <v>1.067207757665454</v>
      </c>
      <c r="E21" s="15" t="n">
        <v>0.6477016667490333</v>
      </c>
      <c r="F21" s="15">
        <f>E21-D21</f>
        <v>-0.41950609091642066</v>
      </c>
      <c r="G21" s="14" t="n">
        <v>11668000000</v>
      </c>
      <c r="H21" s="14" t="n">
        <v>11668000000</v>
      </c>
      <c r="I21" s="14" t="n">
        <v>8560500000</v>
      </c>
      <c r="J21" s="14" t="n">
        <v>14105000000</v>
      </c>
      <c r="K21" t="inlineStr">
        <is>
          <t>roic, invested_capital, invested_capital_avg</t>
        </is>
      </c>
    </row>
    <row r="22">
      <c r="A22" t="inlineStr">
        <is>
          <t>마이크로소프트</t>
        </is>
      </c>
      <c r="B22" t="inlineStr">
        <is>
          <t>MSFT</t>
        </is>
      </c>
      <c r="C22" t="inlineStr">
        <is>
          <t>FY2017</t>
        </is>
      </c>
      <c r="D22" s="15" t="n">
        <v>1.170981658246914</v>
      </c>
      <c r="E22" s="15" t="n">
        <v>0.7703668388862197</v>
      </c>
      <c r="F22" s="15">
        <f>E22-D22</f>
        <v>-0.4006148193606942</v>
      </c>
      <c r="G22" s="14" t="n">
        <v>29025000000</v>
      </c>
      <c r="H22" s="14" t="n">
        <v>29025000000</v>
      </c>
      <c r="I22" s="14" t="n">
        <v>21129500000</v>
      </c>
      <c r="J22" s="14" t="n">
        <v>32117500000</v>
      </c>
      <c r="K22" t="inlineStr">
        <is>
          <t>roic, invested_capital, invested_capital_avg</t>
        </is>
      </c>
    </row>
    <row r="23">
      <c r="A23" t="inlineStr">
        <is>
          <t>메타 플랫폼스</t>
        </is>
      </c>
      <c r="B23" t="inlineStr">
        <is>
          <t>META</t>
        </is>
      </c>
      <c r="C23" t="inlineStr">
        <is>
          <t>FY2019</t>
        </is>
      </c>
      <c r="D23" s="15" t="n"/>
      <c r="E23" s="15" t="n">
        <v>0.4006104112132762</v>
      </c>
      <c r="F23" s="15" t="inlineStr">
        <is>
          <t>—</t>
        </is>
      </c>
      <c r="G23" s="14" t="n">
        <v>23986000000</v>
      </c>
      <c r="H23" s="14" t="n">
        <v>23986000000</v>
      </c>
      <c r="I23" s="14" t="n"/>
      <c r="J23" s="14" t="n">
        <v>44606000000</v>
      </c>
      <c r="K23" t="inlineStr">
        <is>
          <t>roic, invested_capital, invested_capital_avg</t>
        </is>
      </c>
    </row>
    <row r="24">
      <c r="A24" t="inlineStr">
        <is>
          <t>필립모리스 인터내셔널</t>
        </is>
      </c>
      <c r="B24" t="inlineStr">
        <is>
          <t>PM</t>
        </is>
      </c>
      <c r="C24" t="inlineStr">
        <is>
          <t>FY2019</t>
        </is>
      </c>
      <c r="D24" s="15" t="n">
        <v>0.9396167156701485</v>
      </c>
      <c r="E24" s="15" t="n">
        <v>0.5573508913541839</v>
      </c>
      <c r="F24" s="15">
        <f>E24-D24</f>
        <v>-0.38226582431596456</v>
      </c>
      <c r="G24" s="14" t="n">
        <v>10531000000</v>
      </c>
      <c r="H24" s="14" t="n">
        <v>10531000000</v>
      </c>
      <c r="I24" s="14" t="n">
        <v>8604500000</v>
      </c>
      <c r="J24" s="14" t="n">
        <v>14506000000</v>
      </c>
      <c r="K24" t="inlineStr">
        <is>
          <t>roic, invested_capital, invested_capital_avg</t>
        </is>
      </c>
    </row>
    <row r="25">
      <c r="A25" t="inlineStr">
        <is>
          <t>KLA</t>
        </is>
      </c>
      <c r="B25" t="inlineStr">
        <is>
          <t>KLAC</t>
        </is>
      </c>
      <c r="C25" t="inlineStr">
        <is>
          <t>FY2016</t>
        </is>
      </c>
      <c r="D25" s="15" t="n">
        <v>0.2594855796424375</v>
      </c>
      <c r="E25" s="15" t="n">
        <v>0.624720710865556</v>
      </c>
      <c r="F25" s="15">
        <f>E25-D25</f>
        <v>0.3652351312231185</v>
      </c>
      <c r="G25" s="14" t="n">
        <v>858192000</v>
      </c>
      <c r="H25" s="14" t="n">
        <v>943945000</v>
      </c>
      <c r="I25" s="14" t="n">
        <v>2714686500</v>
      </c>
      <c r="J25" s="14" t="n">
        <v>1240250000</v>
      </c>
      <c r="K25" t="inlineStr">
        <is>
          <t>roic, ebit, nopat, invested_capital, invested_capital_avg</t>
        </is>
      </c>
    </row>
    <row r="26">
      <c r="A26" t="inlineStr">
        <is>
          <t>필립모리스 인터내셔널</t>
        </is>
      </c>
      <c r="B26" t="inlineStr">
        <is>
          <t>PM</t>
        </is>
      </c>
      <c r="C26" t="inlineStr">
        <is>
          <t>FY2021</t>
        </is>
      </c>
      <c r="D26" s="15" t="n">
        <v>1.06918531189683</v>
      </c>
      <c r="E26" s="15" t="n">
        <v>0.7060784123644922</v>
      </c>
      <c r="F26" s="15">
        <f>E26-D26</f>
        <v>-0.36310689953233777</v>
      </c>
      <c r="G26" s="14" t="n">
        <v>12975000000</v>
      </c>
      <c r="H26" s="14" t="n">
        <v>12975000000</v>
      </c>
      <c r="I26" s="14" t="n">
        <v>9485500000</v>
      </c>
      <c r="J26" s="14" t="n">
        <v>14363500000</v>
      </c>
      <c r="K26" t="inlineStr">
        <is>
          <t>roic, invested_capital, invested_capital_avg</t>
        </is>
      </c>
    </row>
    <row r="27">
      <c r="A27" t="inlineStr">
        <is>
          <t>팔로알토 네트웍스</t>
        </is>
      </c>
      <c r="B27" t="inlineStr">
        <is>
          <t>PANW</t>
        </is>
      </c>
      <c r="C27" t="inlineStr">
        <is>
          <t>FY2016</t>
        </is>
      </c>
      <c r="D27" s="15" t="n">
        <v>-0.1422633085289067</v>
      </c>
      <c r="E27" s="15" t="n">
        <v>-0.4762100019160759</v>
      </c>
      <c r="F27" s="15">
        <f>E27-D27</f>
        <v>-0.3339466933871692</v>
      </c>
      <c r="G27" s="14" t="n">
        <v>-157300000</v>
      </c>
      <c r="H27" s="14" t="n">
        <v>-157300000</v>
      </c>
      <c r="I27" s="14" t="n">
        <v>873500000</v>
      </c>
      <c r="J27" s="14" t="n">
        <v>260950000</v>
      </c>
      <c r="K27" t="inlineStr">
        <is>
          <t>roic, invested_capital, invested_capital_avg</t>
        </is>
      </c>
    </row>
    <row r="28">
      <c r="A28" t="inlineStr">
        <is>
          <t>코카콜라</t>
        </is>
      </c>
      <c r="B28" t="inlineStr">
        <is>
          <t>KO</t>
        </is>
      </c>
      <c r="C28" t="inlineStr">
        <is>
          <t>FY2020</t>
        </is>
      </c>
      <c r="D28" s="15" t="n">
        <v>0.4331212667634699</v>
      </c>
      <c r="E28" s="15" t="n">
        <v>0.1286750127320722</v>
      </c>
      <c r="F28" s="15">
        <f>E28-D28</f>
        <v>-0.3044462540313977</v>
      </c>
      <c r="G28" s="14" t="n">
        <v>8997000000</v>
      </c>
      <c r="H28" s="14" t="n">
        <v>8997000000</v>
      </c>
      <c r="I28" s="14" t="n">
        <v>16551500000</v>
      </c>
      <c r="J28" s="14" t="n">
        <v>55712500000</v>
      </c>
      <c r="K28" t="inlineStr">
        <is>
          <t>roic, invested_capital, invested_capital_avg</t>
        </is>
      </c>
    </row>
    <row r="29">
      <c r="A29" t="inlineStr">
        <is>
          <t>마스터카드</t>
        </is>
      </c>
      <c r="B29" t="inlineStr">
        <is>
          <t>MA</t>
        </is>
      </c>
      <c r="C29" t="inlineStr">
        <is>
          <t>FY2019</t>
        </is>
      </c>
      <c r="D29" s="15" t="n">
        <v>1.292107676463204</v>
      </c>
      <c r="E29" s="15" t="n">
        <v>1.589845365271575</v>
      </c>
      <c r="F29" s="15">
        <f>E29-D29</f>
        <v>0.2977376888083709</v>
      </c>
      <c r="G29" s="14" t="n">
        <v>9664000000</v>
      </c>
      <c r="H29" s="14" t="n">
        <v>9664000000</v>
      </c>
      <c r="I29" s="14" t="n">
        <v>6239500000</v>
      </c>
      <c r="J29" s="14" t="n">
        <v>5071000000</v>
      </c>
      <c r="K29" t="inlineStr">
        <is>
          <t>roic, invested_capital, invested_capital_avg</t>
        </is>
      </c>
    </row>
    <row r="30">
      <c r="A30" t="inlineStr">
        <is>
          <t>필립모리스 인터내셔널</t>
        </is>
      </c>
      <c r="B30" t="inlineStr">
        <is>
          <t>PM</t>
        </is>
      </c>
      <c r="C30" t="inlineStr">
        <is>
          <t>FY2018</t>
        </is>
      </c>
      <c r="D30" s="15" t="n">
        <v>0.8790895883932808</v>
      </c>
      <c r="E30" s="15" t="n">
        <v>0.5829530578354593</v>
      </c>
      <c r="F30" s="15">
        <f>E30-D30</f>
        <v>-0.2961365305578215</v>
      </c>
      <c r="G30" s="14" t="n">
        <v>11377000000</v>
      </c>
      <c r="H30" s="14" t="n">
        <v>11377000000</v>
      </c>
      <c r="I30" s="14" t="n">
        <v>9976500000</v>
      </c>
      <c r="J30" s="14" t="n">
        <v>15044500000</v>
      </c>
      <c r="K30" t="inlineStr">
        <is>
          <t>roic, invested_capital, invested_capital_avg</t>
        </is>
      </c>
    </row>
    <row r="31">
      <c r="A31" t="inlineStr">
        <is>
          <t>팔로알토 네트웍스</t>
        </is>
      </c>
      <c r="B31" t="inlineStr">
        <is>
          <t>PANW</t>
        </is>
      </c>
      <c r="C31" t="inlineStr">
        <is>
          <t>FY2023</t>
        </is>
      </c>
      <c r="D31" s="15" t="n">
        <v>0.08272239845287337</v>
      </c>
      <c r="E31" s="15" t="n">
        <v>0.3753796017673298</v>
      </c>
      <c r="F31" s="15">
        <f>E31-D31</f>
        <v>0.29265720331445644</v>
      </c>
      <c r="G31" s="14" t="n">
        <v>387300000</v>
      </c>
      <c r="H31" s="14" t="n">
        <v>387300000</v>
      </c>
      <c r="I31" s="14" t="n">
        <v>3635250000</v>
      </c>
      <c r="J31" s="14" t="n">
        <v>801100000</v>
      </c>
      <c r="K31" t="inlineStr">
        <is>
          <t>roic, invested_capital, invested_capital_avg</t>
        </is>
      </c>
    </row>
    <row r="32">
      <c r="A32" t="inlineStr">
        <is>
          <t>코카콜라</t>
        </is>
      </c>
      <c r="B32" t="inlineStr">
        <is>
          <t>KO</t>
        </is>
      </c>
      <c r="C32" t="inlineStr">
        <is>
          <t>FY2018</t>
        </is>
      </c>
      <c r="D32" s="15" t="n">
        <v>0.4290873649098747</v>
      </c>
      <c r="E32" s="15" t="n">
        <v>0.1407013446052638</v>
      </c>
      <c r="F32" s="15">
        <f>E32-D32</f>
        <v>-0.2883860203046109</v>
      </c>
      <c r="G32" s="14" t="n">
        <v>9152000000</v>
      </c>
      <c r="H32" s="14" t="n">
        <v>9152000000</v>
      </c>
      <c r="I32" s="14" t="n">
        <v>16793500000</v>
      </c>
      <c r="J32" s="14" t="n">
        <v>51214000000</v>
      </c>
      <c r="K32" t="inlineStr">
        <is>
          <t>roic, invested_capital, invested_capital_avg</t>
        </is>
      </c>
    </row>
    <row r="33">
      <c r="A33" t="inlineStr">
        <is>
          <t>오라클</t>
        </is>
      </c>
      <c r="B33" t="inlineStr">
        <is>
          <t>ORCL</t>
        </is>
      </c>
      <c r="C33" t="inlineStr">
        <is>
          <t>FY2021</t>
        </is>
      </c>
      <c r="D33" s="15" t="n"/>
      <c r="E33" s="15" t="n">
        <v>0.2831159010600707</v>
      </c>
      <c r="F33" s="15" t="inlineStr">
        <is>
          <t>—</t>
        </is>
      </c>
      <c r="G33" s="14" t="n">
        <v>15213000000</v>
      </c>
      <c r="H33" s="14" t="n">
        <v>15213000000</v>
      </c>
      <c r="I33" s="14" t="n">
        <v>-30839000000</v>
      </c>
      <c r="J33" s="14" t="n">
        <v>42450000000</v>
      </c>
      <c r="K33" t="inlineStr">
        <is>
          <t>roic, tax_rate, nopat, invested_capital, invested_capital_avg</t>
        </is>
      </c>
    </row>
    <row r="34">
      <c r="A34" t="inlineStr">
        <is>
          <t>시스코 시스템즈</t>
        </is>
      </c>
      <c r="B34" t="inlineStr">
        <is>
          <t>CSCO</t>
        </is>
      </c>
      <c r="C34" t="inlineStr">
        <is>
          <t>FY2016</t>
        </is>
      </c>
      <c r="D34" s="15" t="n">
        <v>0.1292952773848151</v>
      </c>
      <c r="E34" s="15" t="n">
        <v>0.4117178274499387</v>
      </c>
      <c r="F34" s="15">
        <f>E34-D34</f>
        <v>0.28242255006512357</v>
      </c>
      <c r="G34" s="14" t="n">
        <v>12660000000</v>
      </c>
      <c r="H34" s="14" t="n">
        <v>12660000000</v>
      </c>
      <c r="I34" s="14" t="n">
        <v>81386500000</v>
      </c>
      <c r="J34" s="14" t="n">
        <v>25558500000</v>
      </c>
      <c r="K34" t="inlineStr">
        <is>
          <t>roic, invested_capital, invested_capital_avg</t>
        </is>
      </c>
    </row>
    <row r="35">
      <c r="A35" t="inlineStr">
        <is>
          <t>오라클</t>
        </is>
      </c>
      <c r="B35" t="inlineStr">
        <is>
          <t>ORCL</t>
        </is>
      </c>
      <c r="C35" t="inlineStr">
        <is>
          <t>FY2020</t>
        </is>
      </c>
      <c r="D35" s="15" t="n"/>
      <c r="E35" s="15" t="n">
        <v>0.2678828696925329</v>
      </c>
      <c r="F35" s="15" t="inlineStr">
        <is>
          <t>—</t>
        </is>
      </c>
      <c r="G35" s="14" t="n">
        <v>13896000000</v>
      </c>
      <c r="H35" s="14" t="n">
        <v>13896000000</v>
      </c>
      <c r="I35" s="14" t="n">
        <v>-20080000000</v>
      </c>
      <c r="J35" s="14" t="n">
        <v>40980000000</v>
      </c>
      <c r="K35" t="inlineStr">
        <is>
          <t>roic, tax_rate, nopat, invested_capital, invested_capital_avg</t>
        </is>
      </c>
    </row>
    <row r="36">
      <c r="A36" t="inlineStr">
        <is>
          <t>오라클</t>
        </is>
      </c>
      <c r="B36" t="inlineStr">
        <is>
          <t>ORCL</t>
        </is>
      </c>
      <c r="C36" t="inlineStr">
        <is>
          <t>FY2019</t>
        </is>
      </c>
      <c r="D36" s="15" t="n"/>
      <c r="E36" s="15" t="n">
        <v>0.2642313490004201</v>
      </c>
      <c r="F36" s="15" t="inlineStr">
        <is>
          <t>—</t>
        </is>
      </c>
      <c r="G36" s="14" t="n">
        <v>13535000000</v>
      </c>
      <c r="H36" s="14" t="n">
        <v>13535000000</v>
      </c>
      <c r="I36" s="14" t="n">
        <v>-13973000000</v>
      </c>
      <c r="J36" s="14" t="n">
        <v>40467000000</v>
      </c>
      <c r="K36" t="inlineStr">
        <is>
          <t>roic, tax_rate, nopat, invested_capital, invested_capital_avg</t>
        </is>
      </c>
    </row>
    <row r="37">
      <c r="A37" t="inlineStr">
        <is>
          <t>코카콜라</t>
        </is>
      </c>
      <c r="B37" t="inlineStr">
        <is>
          <t>KO</t>
        </is>
      </c>
      <c r="C37" t="inlineStr">
        <is>
          <t>FY2019</t>
        </is>
      </c>
      <c r="D37" s="15" t="n">
        <v>0.4202727657492892</v>
      </c>
      <c r="E37" s="15" t="n">
        <v>0.1565879490919359</v>
      </c>
      <c r="F37" s="15">
        <f>E37-D37</f>
        <v>-0.26368481665735327</v>
      </c>
      <c r="G37" s="14" t="n">
        <v>10086000000</v>
      </c>
      <c r="H37" s="14" t="n">
        <v>10086000000</v>
      </c>
      <c r="I37" s="14" t="n">
        <v>19991500000</v>
      </c>
      <c r="J37" s="14" t="n">
        <v>53656000000</v>
      </c>
      <c r="K37" t="inlineStr">
        <is>
          <t>roic, invested_capital, invested_capital_avg</t>
        </is>
      </c>
    </row>
    <row r="38">
      <c r="A38" t="inlineStr">
        <is>
          <t>필립모리스 인터내셔널</t>
        </is>
      </c>
      <c r="B38" t="inlineStr">
        <is>
          <t>PM</t>
        </is>
      </c>
      <c r="C38" t="inlineStr">
        <is>
          <t>FY2016</t>
        </is>
      </c>
      <c r="D38" s="15" t="n">
        <v>0.8284007718446293</v>
      </c>
      <c r="E38" s="15" t="n">
        <v>0.5714655660687955</v>
      </c>
      <c r="F38" s="15">
        <f>E38-D38</f>
        <v>-0.25693520577583384</v>
      </c>
      <c r="G38" s="14" t="n">
        <v>10903000000</v>
      </c>
      <c r="H38" s="14" t="n">
        <v>10903000000</v>
      </c>
      <c r="I38" s="14" t="n">
        <v>9490500000</v>
      </c>
      <c r="J38" s="14" t="n">
        <v>13757500000</v>
      </c>
      <c r="K38" t="inlineStr">
        <is>
          <t>roic, invested_capital, invested_capital_avg</t>
        </is>
      </c>
    </row>
    <row r="39">
      <c r="A39" t="inlineStr">
        <is>
          <t>램리서치</t>
        </is>
      </c>
      <c r="B39" t="inlineStr">
        <is>
          <t>LRCX</t>
        </is>
      </c>
      <c r="C39" t="inlineStr">
        <is>
          <t>FY2018</t>
        </is>
      </c>
      <c r="D39" s="15" t="n">
        <v>0.4175989916830424</v>
      </c>
      <c r="E39" s="15" t="n">
        <v>0.6572223362695518</v>
      </c>
      <c r="F39" s="15">
        <f>E39-D39</f>
        <v>0.23962334458650947</v>
      </c>
      <c r="G39" s="14" t="n">
        <v>3213299000</v>
      </c>
      <c r="H39" s="14" t="n">
        <v>3213299000</v>
      </c>
      <c r="I39" s="14" t="n">
        <v>5812136000</v>
      </c>
      <c r="J39" s="14" t="n">
        <v>3693030500</v>
      </c>
      <c r="K39" t="inlineStr">
        <is>
          <t>roic, invested_capital, invested_capital_avg</t>
        </is>
      </c>
    </row>
    <row r="40">
      <c r="A40" t="inlineStr">
        <is>
          <t>GE 버노바</t>
        </is>
      </c>
      <c r="B40" t="inlineStr">
        <is>
          <t>GEV</t>
        </is>
      </c>
      <c r="C40" t="inlineStr">
        <is>
          <t>FY2022</t>
        </is>
      </c>
      <c r="D40" s="15" t="n"/>
      <c r="E40" s="15" t="n">
        <v>-0.2385733752620545</v>
      </c>
      <c r="F40" s="15" t="inlineStr">
        <is>
          <t>—</t>
        </is>
      </c>
      <c r="G40" s="14" t="n">
        <v>-2881000000</v>
      </c>
      <c r="H40" s="14" t="n">
        <v>-2881000000</v>
      </c>
      <c r="I40" s="14" t="n"/>
      <c r="J40" s="14" t="n">
        <v>9540000000</v>
      </c>
      <c r="K40" t="inlineStr">
        <is>
          <t>roic, invested_capital, invested_capital_avg</t>
        </is>
      </c>
    </row>
    <row r="41">
      <c r="A41" t="inlineStr">
        <is>
          <t>램리서치</t>
        </is>
      </c>
      <c r="B41" t="inlineStr">
        <is>
          <t>LRCX</t>
        </is>
      </c>
      <c r="C41" t="inlineStr">
        <is>
          <t>FY2017</t>
        </is>
      </c>
      <c r="D41" s="15" t="n">
        <v>0.2898375384074804</v>
      </c>
      <c r="E41" s="15" t="n">
        <v>0.520554144382932</v>
      </c>
      <c r="F41" s="15">
        <f>E41-D41</f>
        <v>0.23071660597545163</v>
      </c>
      <c r="G41" s="14" t="n">
        <v>1902132000</v>
      </c>
      <c r="H41" s="14" t="n">
        <v>1902132000</v>
      </c>
      <c r="I41" s="14" t="n">
        <v>6150115500</v>
      </c>
      <c r="J41" s="14" t="n">
        <v>3424301500</v>
      </c>
      <c r="K41" t="inlineStr">
        <is>
          <t>roic, invested_capital, invested_capital_avg</t>
        </is>
      </c>
    </row>
    <row r="42">
      <c r="A42" t="inlineStr">
        <is>
          <t>시스코 시스템즈</t>
        </is>
      </c>
      <c r="B42" t="inlineStr">
        <is>
          <t>CSCO</t>
        </is>
      </c>
      <c r="C42" t="inlineStr">
        <is>
          <t>FY2017</t>
        </is>
      </c>
      <c r="D42" s="15" t="n">
        <v>0.1084082519289439</v>
      </c>
      <c r="E42" s="15" t="n">
        <v>0.3354027128848637</v>
      </c>
      <c r="F42" s="15">
        <f>E42-D42</f>
        <v>0.22699446095591977</v>
      </c>
      <c r="G42" s="14" t="n">
        <v>11973000000</v>
      </c>
      <c r="H42" s="14" t="n">
        <v>11973000000</v>
      </c>
      <c r="I42" s="14" t="n">
        <v>86372000000</v>
      </c>
      <c r="J42" s="14" t="n">
        <v>27917000000</v>
      </c>
      <c r="K42" t="inlineStr">
        <is>
          <t>roic, invested_capital, invested_capital_avg</t>
        </is>
      </c>
    </row>
    <row r="43">
      <c r="A43" t="inlineStr">
        <is>
          <t>팔로알토 네트웍스</t>
        </is>
      </c>
      <c r="B43" t="inlineStr">
        <is>
          <t>PANW</t>
        </is>
      </c>
      <c r="C43" t="inlineStr">
        <is>
          <t>FY2018</t>
        </is>
      </c>
      <c r="D43" s="15" t="n">
        <v>-0.2145373990096429</v>
      </c>
      <c r="E43" s="15" t="n"/>
      <c r="F43" s="15" t="inlineStr">
        <is>
          <t>—</t>
        </is>
      </c>
      <c r="G43" s="14" t="n">
        <v>-104200000</v>
      </c>
      <c r="H43" s="14" t="n">
        <v>-104200000</v>
      </c>
      <c r="I43" s="14" t="n">
        <v>383700000</v>
      </c>
      <c r="J43" s="14" t="n">
        <v>-323000000</v>
      </c>
      <c r="K43" t="inlineStr">
        <is>
          <t>roic, invested_capital, invested_capital_avg</t>
        </is>
      </c>
    </row>
    <row r="44">
      <c r="A44" t="inlineStr">
        <is>
          <t>코카콜라</t>
        </is>
      </c>
      <c r="B44" t="inlineStr">
        <is>
          <t>KO</t>
        </is>
      </c>
      <c r="C44" t="inlineStr">
        <is>
          <t>FY2016</t>
        </is>
      </c>
      <c r="D44" s="15" t="n">
        <v>0.3467382238267854</v>
      </c>
      <c r="E44" s="15" t="n">
        <v>0.1330477120233356</v>
      </c>
      <c r="F44" s="15">
        <f>E44-D44</f>
        <v>-0.21369051180344978</v>
      </c>
      <c r="G44" s="14" t="n">
        <v>8657000000</v>
      </c>
      <c r="H44" s="14" t="n">
        <v>8657000000</v>
      </c>
      <c r="I44" s="14" t="n">
        <v>20100000000</v>
      </c>
      <c r="J44" s="14" t="n">
        <v>52383000000</v>
      </c>
      <c r="K44" t="inlineStr">
        <is>
          <t>roic, invested_capital, invested_capital_avg</t>
        </is>
      </c>
    </row>
    <row r="45">
      <c r="A45" t="inlineStr">
        <is>
          <t>램리서치</t>
        </is>
      </c>
      <c r="B45" t="inlineStr">
        <is>
          <t>LRCX</t>
        </is>
      </c>
      <c r="C45" t="inlineStr">
        <is>
          <t>FY2021</t>
        </is>
      </c>
      <c r="D45" s="15" t="n">
        <v>0.6350344846979754</v>
      </c>
      <c r="E45" s="15" t="n">
        <v>0.8419560854631192</v>
      </c>
      <c r="F45" s="15">
        <f>E45-D45</f>
        <v>0.20692160076514376</v>
      </c>
      <c r="G45" s="14" t="n">
        <v>4482023000</v>
      </c>
      <c r="H45" s="14" t="n">
        <v>4482023000</v>
      </c>
      <c r="I45" s="14" t="n">
        <v>6311330000</v>
      </c>
      <c r="J45" s="14" t="n">
        <v>4760239000</v>
      </c>
      <c r="K45" t="inlineStr">
        <is>
          <t>roic, invested_capital, invested_capital_avg</t>
        </is>
      </c>
    </row>
    <row r="46">
      <c r="A46" t="inlineStr">
        <is>
          <t>코카콜라</t>
        </is>
      </c>
      <c r="B46" t="inlineStr">
        <is>
          <t>KO</t>
        </is>
      </c>
      <c r="C46" t="inlineStr">
        <is>
          <t>FY2017</t>
        </is>
      </c>
      <c r="D46" s="15" t="n">
        <v>0.2918430708439176</v>
      </c>
      <c r="E46" s="15" t="n">
        <v>0.09155754075619091</v>
      </c>
      <c r="F46" s="15">
        <f>E46-D46</f>
        <v>-0.20028553008772668</v>
      </c>
      <c r="G46" s="14" t="n">
        <v>7755000000</v>
      </c>
      <c r="H46" s="14" t="n">
        <v>7755000000</v>
      </c>
      <c r="I46" s="14" t="n">
        <v>15943500000</v>
      </c>
      <c r="J46" s="14" t="n">
        <v>50820500000</v>
      </c>
      <c r="K46" t="inlineStr">
        <is>
          <t>roic, invested_capital, invested_capital_avg</t>
        </is>
      </c>
    </row>
    <row r="47">
      <c r="A47" t="inlineStr">
        <is>
          <t>팔로알토 네트웍스</t>
        </is>
      </c>
      <c r="B47" t="inlineStr">
        <is>
          <t>PANW</t>
        </is>
      </c>
      <c r="C47" t="inlineStr">
        <is>
          <t>FY2022</t>
        </is>
      </c>
      <c r="D47" s="15" t="n">
        <v>-0.04627450980392157</v>
      </c>
      <c r="E47" s="15" t="n">
        <v>-0.2461863497565404</v>
      </c>
      <c r="F47" s="15">
        <f>E47-D47</f>
        <v>-0.19991183995261885</v>
      </c>
      <c r="G47" s="14" t="n">
        <v>-188800000</v>
      </c>
      <c r="H47" s="14" t="n">
        <v>-188800000</v>
      </c>
      <c r="I47" s="14" t="n">
        <v>3223200000</v>
      </c>
      <c r="J47" s="14" t="n">
        <v>605850000</v>
      </c>
      <c r="K47" t="inlineStr">
        <is>
          <t>roic, invested_capital, invested_capital_avg</t>
        </is>
      </c>
    </row>
    <row r="48">
      <c r="A48" t="inlineStr">
        <is>
          <t>필립모리스 인터내셔널</t>
        </is>
      </c>
      <c r="B48" t="inlineStr">
        <is>
          <t>PM</t>
        </is>
      </c>
      <c r="C48" t="inlineStr">
        <is>
          <t>FY2017</t>
        </is>
      </c>
      <c r="D48" s="15" t="n">
        <v>0.6659893611923132</v>
      </c>
      <c r="E48" s="15" t="n">
        <v>0.4696586684690774</v>
      </c>
      <c r="F48" s="15">
        <f>E48-D48</f>
        <v>-0.19633069272323583</v>
      </c>
      <c r="G48" s="14" t="n">
        <v>11581000000</v>
      </c>
      <c r="H48" s="14" t="n">
        <v>11581000000</v>
      </c>
      <c r="I48" s="14" t="n">
        <v>10433500000</v>
      </c>
      <c r="J48" s="14" t="n">
        <v>14795000000</v>
      </c>
      <c r="K48" t="inlineStr">
        <is>
          <t>roic, invested_capital, invested_capital_avg</t>
        </is>
      </c>
    </row>
    <row r="49">
      <c r="A49" t="inlineStr">
        <is>
          <t>오라클</t>
        </is>
      </c>
      <c r="B49" t="inlineStr">
        <is>
          <t>ORCL</t>
        </is>
      </c>
      <c r="C49" t="inlineStr">
        <is>
          <t>FY2022</t>
        </is>
      </c>
      <c r="D49" s="15" t="n"/>
      <c r="E49" s="15" t="n">
        <v>0.1879854516943985</v>
      </c>
      <c r="F49" s="15" t="inlineStr">
        <is>
          <t>—</t>
        </is>
      </c>
      <c r="G49" s="14" t="n">
        <v>10926000000</v>
      </c>
      <c r="H49" s="14" t="n">
        <v>10926000000</v>
      </c>
      <c r="I49" s="14" t="n">
        <v>-28719500000</v>
      </c>
      <c r="J49" s="14" t="n">
        <v>45916000000</v>
      </c>
      <c r="K49" t="inlineStr">
        <is>
          <t>roic, tax_rate, nopat, invested_capital, invested_capital_avg</t>
        </is>
      </c>
    </row>
    <row r="50">
      <c r="A50" t="inlineStr">
        <is>
          <t>제너럴 일렉트릭</t>
        </is>
      </c>
      <c r="B50" t="inlineStr">
        <is>
          <t>GE</t>
        </is>
      </c>
      <c r="C50" t="inlineStr">
        <is>
          <t>FY2023</t>
        </is>
      </c>
      <c r="D50" s="15" t="n">
        <v>0.2706023889318553</v>
      </c>
      <c r="E50" s="15" t="n">
        <v>0.08737603033627693</v>
      </c>
      <c r="F50" s="15">
        <f>E50-D50</f>
        <v>-0.18322635859557834</v>
      </c>
      <c r="G50" s="14" t="n">
        <v>10441000000</v>
      </c>
      <c r="H50" s="14" t="n">
        <v>3723000000</v>
      </c>
      <c r="I50" s="14" t="n">
        <v>34911000000</v>
      </c>
      <c r="J50" s="14" t="n">
        <v>38552500000</v>
      </c>
      <c r="K50" t="inlineStr">
        <is>
          <t>roic, ebit, nopat, invested_capital, invested_capital_avg</t>
        </is>
      </c>
    </row>
    <row r="51">
      <c r="A51" t="inlineStr">
        <is>
          <t>램리서치</t>
        </is>
      </c>
      <c r="B51" t="inlineStr">
        <is>
          <t>LRCX</t>
        </is>
      </c>
      <c r="C51" t="inlineStr">
        <is>
          <t>FY2020</t>
        </is>
      </c>
      <c r="D51" s="15" t="n">
        <v>0.4066931908125533</v>
      </c>
      <c r="E51" s="15" t="n">
        <v>0.5890354469388079</v>
      </c>
      <c r="F51" s="15">
        <f>E51-D51</f>
        <v>0.18234225612625465</v>
      </c>
      <c r="G51" s="14" t="n">
        <v>2673802000</v>
      </c>
      <c r="H51" s="14" t="n">
        <v>2673802000</v>
      </c>
      <c r="I51" s="14" t="n">
        <v>5749228500</v>
      </c>
      <c r="J51" s="14" t="n">
        <v>3969493000</v>
      </c>
      <c r="K51" t="inlineStr">
        <is>
          <t>roic, invested_capital, invested_capital_avg</t>
        </is>
      </c>
    </row>
    <row r="52">
      <c r="A52" t="inlineStr">
        <is>
          <t>팔로알토 네트웍스</t>
        </is>
      </c>
      <c r="B52" t="inlineStr">
        <is>
          <t>PANW</t>
        </is>
      </c>
      <c r="C52" t="inlineStr">
        <is>
          <t>FY2021</t>
        </is>
      </c>
      <c r="D52" s="15" t="n">
        <v>-0.1625763010083237</v>
      </c>
      <c r="E52" s="15" t="n">
        <v>-0.3438125223613596</v>
      </c>
      <c r="F52" s="15">
        <f>E52-D52</f>
        <v>-0.1812362213530359</v>
      </c>
      <c r="G52" s="14" t="n">
        <v>-304100000</v>
      </c>
      <c r="H52" s="14" t="n">
        <v>-304100000</v>
      </c>
      <c r="I52" s="14" t="n">
        <v>1477700000</v>
      </c>
      <c r="J52" s="14" t="n">
        <v>698750000</v>
      </c>
      <c r="K52" t="inlineStr">
        <is>
          <t>roic, invested_capital, invested_capital_avg</t>
        </is>
      </c>
    </row>
    <row r="53">
      <c r="A53" t="inlineStr">
        <is>
          <t>비자</t>
        </is>
      </c>
      <c r="B53" t="inlineStr">
        <is>
          <t>V</t>
        </is>
      </c>
      <c r="C53" t="inlineStr">
        <is>
          <t>FY2018</t>
        </is>
      </c>
      <c r="D53" s="15" t="n">
        <v>0.4429822301219302</v>
      </c>
      <c r="E53" s="15" t="n">
        <v>0.2713165954887478</v>
      </c>
      <c r="F53" s="15">
        <f>E53-D53</f>
        <v>-0.1716656346331824</v>
      </c>
      <c r="G53" s="14" t="n">
        <v>12954000000</v>
      </c>
      <c r="H53" s="14" t="n">
        <v>12954000000</v>
      </c>
      <c r="I53" s="14" t="n">
        <v>23522500000</v>
      </c>
      <c r="J53" s="14" t="n">
        <v>38405500000</v>
      </c>
      <c r="K53" t="inlineStr">
        <is>
          <t>roic, invested_capital, invested_capital_avg</t>
        </is>
      </c>
    </row>
    <row r="54">
      <c r="A54" t="inlineStr">
        <is>
          <t>제너럴 일렉트릭</t>
        </is>
      </c>
      <c r="B54" t="inlineStr">
        <is>
          <t>GE</t>
        </is>
      </c>
      <c r="C54" t="inlineStr">
        <is>
          <t>FY2020</t>
        </is>
      </c>
      <c r="D54" s="15" t="n">
        <v>0.0720757930052867</v>
      </c>
      <c r="E54" s="15" t="n">
        <v>-0.09216671434701759</v>
      </c>
      <c r="F54" s="15">
        <f>E54-D54</f>
        <v>-0.16424250735230428</v>
      </c>
      <c r="G54" s="14" t="n">
        <v>5970000000</v>
      </c>
      <c r="H54" s="14" t="n">
        <v>-5426000000</v>
      </c>
      <c r="I54" s="14" t="n">
        <v>78688000000</v>
      </c>
      <c r="J54" s="14" t="n">
        <v>55928000000</v>
      </c>
      <c r="K54" t="inlineStr">
        <is>
          <t>roic, ebit, nopat, invested_capital, invested_capital_avg</t>
        </is>
      </c>
    </row>
    <row r="55">
      <c r="A55" t="inlineStr">
        <is>
          <t>오라클</t>
        </is>
      </c>
      <c r="B55" t="inlineStr">
        <is>
          <t>ORCL</t>
        </is>
      </c>
      <c r="C55" t="inlineStr">
        <is>
          <t>FY2023</t>
        </is>
      </c>
      <c r="D55" s="15" t="n"/>
      <c r="E55" s="15" t="n">
        <v>0.1590825829174325</v>
      </c>
      <c r="F55" s="15" t="inlineStr">
        <is>
          <t>—</t>
        </is>
      </c>
      <c r="G55" s="14" t="n">
        <v>13093000000</v>
      </c>
      <c r="H55" s="14" t="n">
        <v>13093000000</v>
      </c>
      <c r="I55" s="14" t="n">
        <v>-14713000000</v>
      </c>
      <c r="J55" s="14" t="n">
        <v>65019500000</v>
      </c>
      <c r="K55" t="inlineStr">
        <is>
          <t>roic, tax_rate, nopat, invested_capital, invested_capital_avg</t>
        </is>
      </c>
    </row>
    <row r="56">
      <c r="A56" t="inlineStr">
        <is>
          <t>시스코 시스템즈</t>
        </is>
      </c>
      <c r="B56" t="inlineStr">
        <is>
          <t>CSCO</t>
        </is>
      </c>
      <c r="C56" t="inlineStr">
        <is>
          <t>FY2018</t>
        </is>
      </c>
      <c r="D56" s="15" t="n">
        <v>0.1338286325212239</v>
      </c>
      <c r="E56" s="15" t="n">
        <v>0.286327950840328</v>
      </c>
      <c r="F56" s="15">
        <f>E56-D56</f>
        <v>0.15249931831910413</v>
      </c>
      <c r="G56" s="14" t="n">
        <v>12309000000</v>
      </c>
      <c r="H56" s="14" t="n">
        <v>12309000000</v>
      </c>
      <c r="I56" s="14" t="n">
        <v>55185500000</v>
      </c>
      <c r="J56" s="14" t="n">
        <v>25793500000</v>
      </c>
      <c r="K56" t="inlineStr">
        <is>
          <t>roic, invested_capital_avg</t>
        </is>
      </c>
    </row>
    <row r="57">
      <c r="A57" t="inlineStr">
        <is>
          <t>브로드컴</t>
        </is>
      </c>
      <c r="B57" t="inlineStr">
        <is>
          <t>AVGO</t>
        </is>
      </c>
      <c r="C57" t="inlineStr">
        <is>
          <t>FY2018</t>
        </is>
      </c>
      <c r="D57" s="15" t="n">
        <v>0.2830925023212628</v>
      </c>
      <c r="E57" s="15" t="n">
        <v>0.1403732159300184</v>
      </c>
      <c r="F57" s="15">
        <f>E57-D57</f>
        <v>-0.14271928639124443</v>
      </c>
      <c r="G57" s="14" t="n">
        <v>5135000000</v>
      </c>
      <c r="H57" s="14" t="n">
        <v>5135000000</v>
      </c>
      <c r="I57" s="14" t="n">
        <v>17232000000</v>
      </c>
      <c r="J57" s="14" t="n">
        <v>34752000000</v>
      </c>
      <c r="K57" t="inlineStr">
        <is>
          <t>roic, invested_capital, invested_capital_avg</t>
        </is>
      </c>
    </row>
    <row r="58">
      <c r="A58" t="inlineStr">
        <is>
          <t>팔로알토 네트웍스</t>
        </is>
      </c>
      <c r="B58" t="inlineStr">
        <is>
          <t>PANW</t>
        </is>
      </c>
      <c r="C58" t="inlineStr">
        <is>
          <t>FY2024</t>
        </is>
      </c>
      <c r="D58" s="15" t="n">
        <v>0.188424059627041</v>
      </c>
      <c r="E58" s="15" t="n">
        <v>0.3298226023399233</v>
      </c>
      <c r="F58" s="15">
        <f>E58-D58</f>
        <v>0.14139854271288227</v>
      </c>
      <c r="G58" s="14" t="n">
        <v>683900000</v>
      </c>
      <c r="H58" s="14" t="n">
        <v>684000000</v>
      </c>
      <c r="I58" s="14" t="n">
        <v>3448100000</v>
      </c>
      <c r="J58" s="14" t="n">
        <v>1970150000</v>
      </c>
      <c r="K58" t="inlineStr">
        <is>
          <t>roic, ebit, nopat, invested_capital, invested_capital_avg</t>
        </is>
      </c>
    </row>
    <row r="59">
      <c r="A59" t="inlineStr">
        <is>
          <t>램리서치</t>
        </is>
      </c>
      <c r="B59" t="inlineStr">
        <is>
          <t>LRCX</t>
        </is>
      </c>
      <c r="C59" t="inlineStr">
        <is>
          <t>FY2019</t>
        </is>
      </c>
      <c r="D59" s="15" t="n">
        <v>0.4440548083809405</v>
      </c>
      <c r="E59" s="15" t="n">
        <v>0.5809730680368415</v>
      </c>
      <c r="F59" s="15">
        <f>E59-D59</f>
        <v>0.13691825965590093</v>
      </c>
      <c r="G59" s="14" t="n">
        <v>2464732000</v>
      </c>
      <c r="H59" s="14" t="n">
        <v>2464732000</v>
      </c>
      <c r="I59" s="14" t="n">
        <v>4971677000</v>
      </c>
      <c r="J59" s="14" t="n">
        <v>3799999000</v>
      </c>
      <c r="K59" t="inlineStr">
        <is>
          <t>roic, invested_capital, invested_capital_avg</t>
        </is>
      </c>
    </row>
    <row r="60">
      <c r="A60" t="inlineStr">
        <is>
          <t>브로드컴</t>
        </is>
      </c>
      <c r="B60" t="inlineStr">
        <is>
          <t>AVGO</t>
        </is>
      </c>
      <c r="C60" t="inlineStr">
        <is>
          <t>FY2020</t>
        </is>
      </c>
      <c r="D60" s="15" t="n">
        <v>0.1918351946875943</v>
      </c>
      <c r="E60" s="15" t="n">
        <v>0.06889493130019242</v>
      </c>
      <c r="F60" s="15">
        <f>E60-D60</f>
        <v>-0.12294026338740188</v>
      </c>
      <c r="G60" s="14" t="n">
        <v>4014000000</v>
      </c>
      <c r="H60" s="14" t="n">
        <v>4014000000</v>
      </c>
      <c r="I60" s="14" t="n">
        <v>19878000000</v>
      </c>
      <c r="J60" s="14" t="n">
        <v>55349500000</v>
      </c>
      <c r="K60" t="inlineStr">
        <is>
          <t>roic, invested_capital, invested_capital_avg</t>
        </is>
      </c>
    </row>
    <row r="61">
      <c r="A61" t="inlineStr">
        <is>
          <t>프록터앤드갬블</t>
        </is>
      </c>
      <c r="B61" t="inlineStr">
        <is>
          <t>PG</t>
        </is>
      </c>
      <c r="C61" t="inlineStr">
        <is>
          <t>FY2016</t>
        </is>
      </c>
      <c r="D61" s="15" t="n"/>
      <c r="E61" s="15" t="n">
        <v>0.114864717373916</v>
      </c>
      <c r="F61" s="15" t="inlineStr">
        <is>
          <t>—</t>
        </is>
      </c>
      <c r="G61" s="14" t="n">
        <v>13441000000</v>
      </c>
      <c r="H61" s="14" t="n">
        <v>13441000000</v>
      </c>
      <c r="I61" s="14" t="n"/>
      <c r="J61" s="14" t="n">
        <v>78014500000</v>
      </c>
      <c r="K61" t="inlineStr">
        <is>
          <t>roic, tax_rate, nopat, invested_capital, invested_capital_avg</t>
        </is>
      </c>
    </row>
    <row r="62">
      <c r="A62" t="inlineStr">
        <is>
          <t>필립모리스 인터내셔널</t>
        </is>
      </c>
      <c r="B62" t="inlineStr">
        <is>
          <t>PM</t>
        </is>
      </c>
      <c r="C62" t="inlineStr">
        <is>
          <t>FY2022</t>
        </is>
      </c>
      <c r="D62" s="15" t="n">
        <v>0.510086992168078</v>
      </c>
      <c r="E62" s="15" t="n">
        <v>0.4058535999852525</v>
      </c>
      <c r="F62" s="15">
        <f>E62-D62</f>
        <v>-0.10423339218282546</v>
      </c>
      <c r="G62" s="14" t="n">
        <v>12246000000</v>
      </c>
      <c r="H62" s="14" t="n">
        <v>12246000000</v>
      </c>
      <c r="I62" s="14" t="n">
        <v>19377000000</v>
      </c>
      <c r="J62" s="14" t="n">
        <v>24353500000</v>
      </c>
      <c r="K62" t="inlineStr">
        <is>
          <t>roic, invested_capital, invested_capital_avg</t>
        </is>
      </c>
    </row>
    <row r="63">
      <c r="A63" t="inlineStr">
        <is>
          <t>코카콜라</t>
        </is>
      </c>
      <c r="B63" t="inlineStr">
        <is>
          <t>KO</t>
        </is>
      </c>
      <c r="C63" t="inlineStr">
        <is>
          <t>FY2023</t>
        </is>
      </c>
      <c r="D63" s="15" t="n">
        <v>0.2708356665170476</v>
      </c>
      <c r="E63" s="15" t="n">
        <v>0.1680410101037896</v>
      </c>
      <c r="F63" s="15">
        <f>E63-D63</f>
        <v>-0.102794656413258</v>
      </c>
      <c r="G63" s="14" t="n">
        <v>11311000000</v>
      </c>
      <c r="H63" s="14" t="n">
        <v>11311000000</v>
      </c>
      <c r="I63" s="14" t="n">
        <v>34511500000</v>
      </c>
      <c r="J63" s="14" t="n">
        <v>55623000000</v>
      </c>
      <c r="K63" t="inlineStr">
        <is>
          <t>roic, invested_capital, invested_capital_avg</t>
        </is>
      </c>
    </row>
    <row r="64">
      <c r="A64" t="inlineStr">
        <is>
          <t>마이크로소프트</t>
        </is>
      </c>
      <c r="B64" t="inlineStr">
        <is>
          <t>MSFT</t>
        </is>
      </c>
      <c r="C64" t="inlineStr">
        <is>
          <t>FY2018</t>
        </is>
      </c>
      <c r="D64" s="15" t="n">
        <v>0.7375197223098769</v>
      </c>
      <c r="E64" s="15" t="n">
        <v>0.6363190852164443</v>
      </c>
      <c r="F64" s="15">
        <f>E64-D64</f>
        <v>-0.10120063709343263</v>
      </c>
      <c r="G64" s="14" t="n">
        <v>35058000000</v>
      </c>
      <c r="H64" s="14" t="n">
        <v>35058000000</v>
      </c>
      <c r="I64" s="14" t="n">
        <v>28521000000</v>
      </c>
      <c r="J64" s="14" t="n">
        <v>33057000000</v>
      </c>
      <c r="K64" t="inlineStr">
        <is>
          <t>roic, invested_capital_avg</t>
        </is>
      </c>
    </row>
    <row r="65">
      <c r="A65" t="inlineStr">
        <is>
          <t>애플</t>
        </is>
      </c>
      <c r="B65" t="inlineStr">
        <is>
          <t>AAPL</t>
        </is>
      </c>
      <c r="C65" t="inlineStr">
        <is>
          <t>FY2025</t>
        </is>
      </c>
      <c r="D65" s="15" t="n">
        <v>1.1332632726149</v>
      </c>
      <c r="E65" s="15" t="n">
        <v>1.039151988121321</v>
      </c>
      <c r="F65" s="15">
        <f>E65-D65</f>
        <v>-0.09411128449357897</v>
      </c>
      <c r="G65" s="14" t="n">
        <v>133050000000</v>
      </c>
      <c r="H65" s="14" t="n">
        <v>133050000000</v>
      </c>
      <c r="I65" s="14" t="n">
        <v>99077500000</v>
      </c>
      <c r="J65" s="14" t="n">
        <v>108050500000</v>
      </c>
      <c r="K65" t="inlineStr">
        <is>
          <t>roic, invested_capital, invested_capital_avg</t>
        </is>
      </c>
    </row>
    <row r="66">
      <c r="A66" t="inlineStr">
        <is>
          <t>비자</t>
        </is>
      </c>
      <c r="B66" t="inlineStr">
        <is>
          <t>V</t>
        </is>
      </c>
      <c r="C66" t="inlineStr">
        <is>
          <t>FY2017</t>
        </is>
      </c>
      <c r="D66" s="15" t="n">
        <v>0.2806347250038515</v>
      </c>
      <c r="E66" s="15" t="n">
        <v>0.187556951272877</v>
      </c>
      <c r="F66" s="15">
        <f>E66-D66</f>
        <v>-0.0930777737309745</v>
      </c>
      <c r="G66" s="14" t="n">
        <v>12144000000</v>
      </c>
      <c r="H66" s="14" t="n">
        <v>12144000000</v>
      </c>
      <c r="I66" s="14" t="n">
        <v>25964000000</v>
      </c>
      <c r="J66" s="14" t="n">
        <v>38849000000</v>
      </c>
      <c r="K66" t="inlineStr">
        <is>
          <t>roic, invested_capital, invested_capital_avg</t>
        </is>
      </c>
    </row>
    <row r="67">
      <c r="A67" t="inlineStr">
        <is>
          <t>브로드컴</t>
        </is>
      </c>
      <c r="B67" t="inlineStr">
        <is>
          <t>AVGO</t>
        </is>
      </c>
      <c r="C67" t="inlineStr">
        <is>
          <t>FY2017</t>
        </is>
      </c>
      <c r="D67" s="15" t="n">
        <v>0.1861682783701132</v>
      </c>
      <c r="E67" s="15" t="n">
        <v>0.09325177503156762</v>
      </c>
      <c r="F67" s="15">
        <f>E67-D67</f>
        <v>-0.09291650333854559</v>
      </c>
      <c r="G67" s="14" t="n">
        <v>2371000000</v>
      </c>
      <c r="H67" s="14" t="n">
        <v>2371000000</v>
      </c>
      <c r="I67" s="14" t="n">
        <v>12099000000</v>
      </c>
      <c r="J67" s="14" t="n">
        <v>24154500000</v>
      </c>
      <c r="K67" t="inlineStr">
        <is>
          <t>roic, invested_capital, invested_capital_avg</t>
        </is>
      </c>
    </row>
    <row r="68">
      <c r="A68" t="inlineStr">
        <is>
          <t>브로드컴</t>
        </is>
      </c>
      <c r="B68" t="inlineStr">
        <is>
          <t>AVGO</t>
        </is>
      </c>
      <c r="C68" t="inlineStr">
        <is>
          <t>FY2021</t>
        </is>
      </c>
      <c r="D68" s="15" t="n">
        <v>0.2326056965481562</v>
      </c>
      <c r="E68" s="15" t="n">
        <v>0.1468033775633293</v>
      </c>
      <c r="F68" s="15">
        <f>E68-D68</f>
        <v>-0.08580231898482688</v>
      </c>
      <c r="G68" s="14" t="n">
        <v>8519000000</v>
      </c>
      <c r="H68" s="14" t="n">
        <v>8519000000</v>
      </c>
      <c r="I68" s="14" t="n">
        <v>34793000000</v>
      </c>
      <c r="J68" s="14" t="n">
        <v>55128500000</v>
      </c>
      <c r="K68" t="inlineStr">
        <is>
          <t>roic, invested_capital_avg</t>
        </is>
      </c>
    </row>
    <row r="69">
      <c r="A69" t="inlineStr">
        <is>
          <t>제너럴 일렉트릭</t>
        </is>
      </c>
      <c r="B69" t="inlineStr">
        <is>
          <t>GE</t>
        </is>
      </c>
      <c r="C69" t="inlineStr">
        <is>
          <t>FY2024</t>
        </is>
      </c>
      <c r="D69" s="15" t="n">
        <v>0.2440034449269785</v>
      </c>
      <c r="E69" s="15" t="n">
        <v>0.1582518115845556</v>
      </c>
      <c r="F69" s="15">
        <f>E69-D69</f>
        <v>-0.08575163334242292</v>
      </c>
      <c r="G69" s="14" t="n">
        <v>7620000000</v>
      </c>
      <c r="H69" s="14" t="n">
        <v>5356000000</v>
      </c>
      <c r="I69" s="14" t="n">
        <v>27286500000</v>
      </c>
      <c r="J69" s="14" t="n">
        <v>29572000000</v>
      </c>
      <c r="K69" t="inlineStr">
        <is>
          <t>roic, ebit, nopat, invested_capital, invested_capital_avg</t>
        </is>
      </c>
    </row>
    <row r="70">
      <c r="A70" t="inlineStr">
        <is>
          <t>비자</t>
        </is>
      </c>
      <c r="B70" t="inlineStr">
        <is>
          <t>V</t>
        </is>
      </c>
      <c r="C70" t="inlineStr">
        <is>
          <t>FY2019</t>
        </is>
      </c>
      <c r="D70" s="15" t="n">
        <v>0.3935340070959528</v>
      </c>
      <c r="E70" s="15" t="n">
        <v>0.3101702654488514</v>
      </c>
      <c r="F70" s="15">
        <f>E70-D70</f>
        <v>-0.08336374164710142</v>
      </c>
      <c r="G70" s="14" t="n">
        <v>15001000000</v>
      </c>
      <c r="H70" s="14" t="n">
        <v>15001000000</v>
      </c>
      <c r="I70" s="14" t="n">
        <v>30937500000</v>
      </c>
      <c r="J70" s="14" t="n">
        <v>39252500000</v>
      </c>
      <c r="K70" t="inlineStr">
        <is>
          <t>roic, invested_capital_avg</t>
        </is>
      </c>
    </row>
    <row r="71">
      <c r="A71" t="inlineStr">
        <is>
          <t>애브비</t>
        </is>
      </c>
      <c r="B71" t="inlineStr">
        <is>
          <t>ABBV</t>
        </is>
      </c>
      <c r="C71" t="inlineStr">
        <is>
          <t>FY2019</t>
        </is>
      </c>
      <c r="D71" s="15" t="n">
        <v>0.655182512771791</v>
      </c>
      <c r="E71" s="15" t="n">
        <v>0.5723949875336068</v>
      </c>
      <c r="F71" s="15">
        <f>E71-D71</f>
        <v>-0.08278752523818411</v>
      </c>
      <c r="G71" s="14" t="n">
        <v>12983000000</v>
      </c>
      <c r="H71" s="14" t="n">
        <v>12983000000</v>
      </c>
      <c r="I71" s="14" t="n">
        <v>18536500000</v>
      </c>
      <c r="J71" s="14" t="n">
        <v>21217500000</v>
      </c>
      <c r="K71" t="inlineStr">
        <is>
          <t>roic, invested_capital, invested_capital_avg</t>
        </is>
      </c>
    </row>
    <row r="72">
      <c r="A72" t="inlineStr">
        <is>
          <t>GE 버노바</t>
        </is>
      </c>
      <c r="B72" t="inlineStr">
        <is>
          <t>GEV</t>
        </is>
      </c>
      <c r="C72" t="inlineStr">
        <is>
          <t>FY2023</t>
        </is>
      </c>
      <c r="D72" s="15" t="n">
        <v>-0.1685942196531792</v>
      </c>
      <c r="E72" s="15" t="n">
        <v>-0.08830931330991885</v>
      </c>
      <c r="F72" s="15">
        <f>E72-D72</f>
        <v>0.08028490634326034</v>
      </c>
      <c r="G72" s="14" t="n">
        <v>-923000000</v>
      </c>
      <c r="H72" s="14" t="n">
        <v>-923000000</v>
      </c>
      <c r="I72" s="14" t="n">
        <v>4325000000</v>
      </c>
      <c r="J72" s="14" t="n">
        <v>8257000000</v>
      </c>
      <c r="K72" t="inlineStr">
        <is>
          <t>roic, invested_capital, invested_capital_avg</t>
        </is>
      </c>
    </row>
    <row r="73">
      <c r="A73" t="inlineStr">
        <is>
          <t>제너럴 일렉트릭</t>
        </is>
      </c>
      <c r="B73" t="inlineStr">
        <is>
          <t>GE</t>
        </is>
      </c>
      <c r="C73" t="inlineStr">
        <is>
          <t>FY2025</t>
        </is>
      </c>
      <c r="D73" s="15" t="n">
        <v>0.3575663026521061</v>
      </c>
      <c r="E73" s="15" t="n">
        <v>0.2802452602550844</v>
      </c>
      <c r="F73" s="15">
        <f>E73-D73</f>
        <v>-0.0773210423970217</v>
      </c>
      <c r="G73" s="14" t="n">
        <v>10000000000</v>
      </c>
      <c r="H73" s="14" t="n">
        <v>8513000000</v>
      </c>
      <c r="I73" s="14" t="n">
        <v>24037500000</v>
      </c>
      <c r="J73" s="14" t="n">
        <v>26109000000</v>
      </c>
      <c r="K73" t="inlineStr">
        <is>
          <t>roic, ebit, nopat, invested_capital, invested_capital_avg</t>
        </is>
      </c>
    </row>
    <row r="74">
      <c r="A74" t="inlineStr">
        <is>
          <t>램리서치</t>
        </is>
      </c>
      <c r="B74" t="inlineStr">
        <is>
          <t>LRCX</t>
        </is>
      </c>
      <c r="C74" t="inlineStr">
        <is>
          <t>FY2022</t>
        </is>
      </c>
      <c r="D74" s="15" t="n">
        <v>0.6680298109417669</v>
      </c>
      <c r="E74" s="15" t="n">
        <v>0.7432803819822231</v>
      </c>
      <c r="F74" s="15">
        <f>E74-D74</f>
        <v>0.07525057104045618</v>
      </c>
      <c r="G74" s="14" t="n">
        <v>5381822000</v>
      </c>
      <c r="H74" s="14" t="n">
        <v>5381822000</v>
      </c>
      <c r="I74" s="14" t="n">
        <v>7144342000</v>
      </c>
      <c r="J74" s="14" t="n">
        <v>6421040500</v>
      </c>
      <c r="K74" t="inlineStr">
        <is>
          <t>roic, invested_capital, invested_capital_avg</t>
        </is>
      </c>
    </row>
    <row r="75">
      <c r="A75" t="inlineStr">
        <is>
          <t>브로드컴</t>
        </is>
      </c>
      <c r="B75" t="inlineStr">
        <is>
          <t>AVGO</t>
        </is>
      </c>
      <c r="C75" t="inlineStr">
        <is>
          <t>FY2019</t>
        </is>
      </c>
      <c r="D75" s="15" t="n">
        <v>0.1452906434566366</v>
      </c>
      <c r="E75" s="15" t="n">
        <v>0.07042262615826687</v>
      </c>
      <c r="F75" s="15">
        <f>E75-D75</f>
        <v>-0.07486801729836971</v>
      </c>
      <c r="G75" s="14" t="n">
        <v>3444000000</v>
      </c>
      <c r="H75" s="14" t="n">
        <v>3444000000</v>
      </c>
      <c r="I75" s="14" t="n">
        <v>22519000000</v>
      </c>
      <c r="J75" s="14" t="n">
        <v>46459500000</v>
      </c>
      <c r="K75" t="inlineStr">
        <is>
          <t>roic, invested_capital, invested_capital_avg</t>
        </is>
      </c>
    </row>
    <row r="76">
      <c r="A76" t="inlineStr">
        <is>
          <t>애플</t>
        </is>
      </c>
      <c r="B76" t="inlineStr">
        <is>
          <t>AAPL</t>
        </is>
      </c>
      <c r="C76" t="inlineStr">
        <is>
          <t>FY2024</t>
        </is>
      </c>
      <c r="D76" s="15" t="n">
        <v>0.9635748864253398</v>
      </c>
      <c r="E76" s="15" t="n">
        <v>0.8904102137504146</v>
      </c>
      <c r="F76" s="15">
        <f>E76-D76</f>
        <v>-0.07316467267492521</v>
      </c>
      <c r="G76" s="14" t="n">
        <v>123216000000</v>
      </c>
      <c r="H76" s="14" t="n">
        <v>123216000000</v>
      </c>
      <c r="I76" s="14" t="n">
        <v>97067500000</v>
      </c>
      <c r="J76" s="14" t="n">
        <v>105043500000</v>
      </c>
      <c r="K76" t="inlineStr">
        <is>
          <t>roic, invested_capital, invested_capital_avg</t>
        </is>
      </c>
    </row>
    <row r="77">
      <c r="A77" t="inlineStr">
        <is>
          <t>존슨앤드존슨</t>
        </is>
      </c>
      <c r="B77" t="inlineStr">
        <is>
          <t>JNJ</t>
        </is>
      </c>
      <c r="C77" t="inlineStr">
        <is>
          <t>FY2025</t>
        </is>
      </c>
      <c r="D77" s="15" t="n">
        <v>0.2860411723968685</v>
      </c>
      <c r="E77" s="15" t="n">
        <v>0.2163041435995871</v>
      </c>
      <c r="F77" s="15">
        <f>E77-D77</f>
        <v>-0.06973702879728139</v>
      </c>
      <c r="G77" s="14" t="n">
        <v>33552000000</v>
      </c>
      <c r="H77" s="14" t="n">
        <v>25372000000</v>
      </c>
      <c r="I77" s="14" t="n">
        <v>96499500000</v>
      </c>
      <c r="J77" s="14" t="n">
        <v>96499500000</v>
      </c>
      <c r="K77" t="inlineStr">
        <is>
          <t>roic, ebit, nopat</t>
        </is>
      </c>
    </row>
    <row r="78">
      <c r="A78" t="inlineStr">
        <is>
          <t>필립모리스 인터내셔널</t>
        </is>
      </c>
      <c r="B78" t="inlineStr">
        <is>
          <t>PM</t>
        </is>
      </c>
      <c r="C78" t="inlineStr">
        <is>
          <t>FY2025</t>
        </is>
      </c>
      <c r="D78" s="15" t="n">
        <v>0.4211665233773147</v>
      </c>
      <c r="E78" s="15" t="n">
        <v>0.3540046048753447</v>
      </c>
      <c r="F78" s="15">
        <f>E78-D78</f>
        <v>-0.06716191850197001</v>
      </c>
      <c r="G78" s="14" t="n">
        <v>14892000000</v>
      </c>
      <c r="H78" s="14" t="n">
        <v>14892000000</v>
      </c>
      <c r="I78" s="14" t="n">
        <v>28386500000</v>
      </c>
      <c r="J78" s="14" t="n">
        <v>33772000000</v>
      </c>
      <c r="K78" t="inlineStr">
        <is>
          <t>roic, invested_capital, invested_capital_avg</t>
        </is>
      </c>
    </row>
    <row r="79">
      <c r="A79" t="inlineStr">
        <is>
          <t>필립모리스 인터내셔널</t>
        </is>
      </c>
      <c r="B79" t="inlineStr">
        <is>
          <t>PM</t>
        </is>
      </c>
      <c r="C79" t="inlineStr">
        <is>
          <t>FY2024</t>
        </is>
      </c>
      <c r="D79" s="15" t="n">
        <v>0.3650717344146291</v>
      </c>
      <c r="E79" s="15" t="n">
        <v>0.301064872843008</v>
      </c>
      <c r="F79" s="15">
        <f>E79-D79</f>
        <v>-0.06400686157162111</v>
      </c>
      <c r="G79" s="14" t="n">
        <v>13402000000</v>
      </c>
      <c r="H79" s="14" t="n">
        <v>13402000000</v>
      </c>
      <c r="I79" s="14" t="n">
        <v>27631500000</v>
      </c>
      <c r="J79" s="14" t="n">
        <v>33506000000</v>
      </c>
      <c r="K79" t="inlineStr">
        <is>
          <t>roic, invested_capital, invested_capital_avg</t>
        </is>
      </c>
    </row>
    <row r="80">
      <c r="A80" t="inlineStr">
        <is>
          <t>엔비디아</t>
        </is>
      </c>
      <c r="B80" t="inlineStr">
        <is>
          <t>NVDA</t>
        </is>
      </c>
      <c r="C80" t="inlineStr">
        <is>
          <t>FY2023</t>
        </is>
      </c>
      <c r="D80" s="15" t="n">
        <v>1.185250137758536</v>
      </c>
      <c r="E80" s="15" t="n">
        <v>1.249026753509302</v>
      </c>
      <c r="F80" s="15">
        <f>E80-D80</f>
        <v>0.06377661575076599</v>
      </c>
      <c r="G80" s="14" t="n">
        <v>32972000000</v>
      </c>
      <c r="H80" s="14" t="n">
        <v>32972000000</v>
      </c>
      <c r="I80" s="14" t="n">
        <v>24480500000</v>
      </c>
      <c r="J80" s="14" t="n">
        <v>23230500000</v>
      </c>
      <c r="K80" t="inlineStr">
        <is>
          <t>roic, invested_capital, invested_capital_avg</t>
        </is>
      </c>
    </row>
    <row r="81">
      <c r="A81" t="inlineStr">
        <is>
          <t>램리서치</t>
        </is>
      </c>
      <c r="B81" t="inlineStr">
        <is>
          <t>LRCX</t>
        </is>
      </c>
      <c r="C81" t="inlineStr">
        <is>
          <t>FY2016</t>
        </is>
      </c>
      <c r="D81" s="15" t="n">
        <v>0.2386565642392779</v>
      </c>
      <c r="E81" s="15" t="n">
        <v>0.3017667614656166</v>
      </c>
      <c r="F81" s="15">
        <f>E81-D81</f>
        <v>0.0631101972263387</v>
      </c>
      <c r="G81" s="14" t="n">
        <v>1074256000</v>
      </c>
      <c r="H81" s="14" t="n">
        <v>1074256000</v>
      </c>
      <c r="I81" s="14" t="n">
        <v>4276200000</v>
      </c>
      <c r="J81" s="14" t="n">
        <v>3381894000</v>
      </c>
      <c r="K81" t="inlineStr">
        <is>
          <t>roic, invested_capital, invested_capital_avg</t>
        </is>
      </c>
    </row>
    <row r="82">
      <c r="A82" t="inlineStr">
        <is>
          <t>일라이 릴리</t>
        </is>
      </c>
      <c r="B82" t="inlineStr">
        <is>
          <t>LLY</t>
        </is>
      </c>
      <c r="C82" t="inlineStr">
        <is>
          <t>FY2020</t>
        </is>
      </c>
      <c r="D82" s="15" t="n">
        <v>0.3638943398000071</v>
      </c>
      <c r="E82" s="15" t="n">
        <v>0.3024599147686603</v>
      </c>
      <c r="F82" s="15">
        <f>E82-D82</f>
        <v>-0.06143442503134683</v>
      </c>
      <c r="G82" s="14" t="n">
        <v>7229900000</v>
      </c>
      <c r="H82" s="14" t="n">
        <v>6058000000</v>
      </c>
      <c r="I82" s="14" t="n">
        <v>17020600000</v>
      </c>
      <c r="J82" s="14" t="n">
        <v>17158500000</v>
      </c>
      <c r="K82" t="inlineStr">
        <is>
          <t>roic, ebit, nopat, invested_capital, invested_capital_avg</t>
        </is>
      </c>
    </row>
    <row r="83">
      <c r="A83" t="inlineStr">
        <is>
          <t>존슨앤드존슨</t>
        </is>
      </c>
      <c r="B83" t="inlineStr">
        <is>
          <t>JNJ</t>
        </is>
      </c>
      <c r="C83" t="inlineStr">
        <is>
          <t>FY2023</t>
        </is>
      </c>
      <c r="D83" s="15" t="n">
        <v>0.1653596515976085</v>
      </c>
      <c r="E83" s="15" t="n">
        <v>0.2265784388696295</v>
      </c>
      <c r="F83" s="15">
        <f>E83-D83</f>
        <v>0.061218787272021014</v>
      </c>
      <c r="G83" s="14" t="n">
        <v>15834000000</v>
      </c>
      <c r="H83" s="14" t="n">
        <v>21696000000</v>
      </c>
      <c r="I83" s="14" t="n">
        <v>84718500000</v>
      </c>
      <c r="J83" s="14" t="n">
        <v>84718500000</v>
      </c>
      <c r="K83" t="inlineStr">
        <is>
          <t>roic, ebit, nopat</t>
        </is>
      </c>
    </row>
    <row r="84">
      <c r="A84" t="inlineStr">
        <is>
          <t>애플</t>
        </is>
      </c>
      <c r="B84" t="inlineStr">
        <is>
          <t>AAPL</t>
        </is>
      </c>
      <c r="C84" t="inlineStr">
        <is>
          <t>FY2023</t>
        </is>
      </c>
      <c r="D84" s="15" t="n">
        <v>0.8936720926120366</v>
      </c>
      <c r="E84" s="15" t="n">
        <v>0.8327225534829878</v>
      </c>
      <c r="F84" s="15">
        <f>E84-D84</f>
        <v>-0.06094953912904877</v>
      </c>
      <c r="G84" s="14" t="n">
        <v>114301000000</v>
      </c>
      <c r="H84" s="14" t="n">
        <v>114301000000</v>
      </c>
      <c r="I84" s="14" t="n">
        <v>109074500000</v>
      </c>
      <c r="J84" s="14" t="n">
        <v>117058000000</v>
      </c>
      <c r="K84" t="inlineStr">
        <is>
          <t>roic, invested_capital, invested_capital_avg</t>
        </is>
      </c>
    </row>
    <row r="85">
      <c r="A85" t="inlineStr">
        <is>
          <t>애플</t>
        </is>
      </c>
      <c r="B85" t="inlineStr">
        <is>
          <t>AAPL</t>
        </is>
      </c>
      <c r="C85" t="inlineStr">
        <is>
          <t>FY2017</t>
        </is>
      </c>
      <c r="D85" s="15" t="n">
        <v>0.2290225497290739</v>
      </c>
      <c r="E85" s="15" t="n">
        <v>0.2859689764349539</v>
      </c>
      <c r="F85" s="15">
        <f>E85-D85</f>
        <v>0.05694642670587999</v>
      </c>
      <c r="G85" s="14" t="n">
        <v>61344000000</v>
      </c>
      <c r="H85" s="14" t="n">
        <v>61344000000</v>
      </c>
      <c r="I85" s="14" t="n">
        <v>202076500000</v>
      </c>
      <c r="J85" s="14" t="n">
        <v>161836000000</v>
      </c>
      <c r="K85" t="inlineStr">
        <is>
          <t>roic, invested_capital, invested_capital_avg</t>
        </is>
      </c>
    </row>
    <row r="86">
      <c r="A86" t="inlineStr">
        <is>
          <t>오라클</t>
        </is>
      </c>
      <c r="B86" t="inlineStr">
        <is>
          <t>ORCL</t>
        </is>
      </c>
      <c r="C86" t="inlineStr">
        <is>
          <t>FY2016</t>
        </is>
      </c>
      <c r="D86" s="15" t="n">
        <v>0.3277437881179701</v>
      </c>
      <c r="E86" s="15" t="n">
        <v>0.2715750896640609</v>
      </c>
      <c r="F86" s="15">
        <f>E86-D86</f>
        <v>-0.056168698453909205</v>
      </c>
      <c r="G86" s="14" t="n">
        <v>12604000000</v>
      </c>
      <c r="H86" s="14" t="n">
        <v>12604000000</v>
      </c>
      <c r="I86" s="14" t="n">
        <v>29916500000</v>
      </c>
      <c r="J86" s="14" t="n">
        <v>36104000000</v>
      </c>
      <c r="K86" t="inlineStr">
        <is>
          <t>roic, invested_capital, invested_capital_avg</t>
        </is>
      </c>
    </row>
    <row r="87">
      <c r="A87" t="inlineStr">
        <is>
          <t>마스터카드</t>
        </is>
      </c>
      <c r="B87" t="inlineStr">
        <is>
          <t>MA</t>
        </is>
      </c>
      <c r="C87" t="inlineStr">
        <is>
          <t>FY2020</t>
        </is>
      </c>
      <c r="D87" s="15" t="n">
        <v>0.8150649852050338</v>
      </c>
      <c r="E87" s="15" t="n">
        <v>0.8708840717211626</v>
      </c>
      <c r="F87" s="15">
        <f>E87-D87</f>
        <v>0.05581908651612877</v>
      </c>
      <c r="G87" s="14" t="n">
        <v>8081000000</v>
      </c>
      <c r="H87" s="14" t="n">
        <v>8081000000</v>
      </c>
      <c r="I87" s="14" t="n">
        <v>8191000000</v>
      </c>
      <c r="J87" s="14" t="n">
        <v>7666000000</v>
      </c>
      <c r="K87" t="inlineStr">
        <is>
          <t>roic, invested_capital, invested_capital_avg</t>
        </is>
      </c>
    </row>
    <row r="88">
      <c r="A88" t="inlineStr">
        <is>
          <t>애플</t>
        </is>
      </c>
      <c r="B88" t="inlineStr">
        <is>
          <t>AAPL</t>
        </is>
      </c>
      <c r="C88" t="inlineStr">
        <is>
          <t>FY2022</t>
        </is>
      </c>
      <c r="D88" s="15" t="n">
        <v>0.8641802663613515</v>
      </c>
      <c r="E88" s="15" t="n">
        <v>0.8084010314568976</v>
      </c>
      <c r="F88" s="15">
        <f>E88-D88</f>
        <v>-0.05577923490445391</v>
      </c>
      <c r="G88" s="14" t="n">
        <v>119437000000</v>
      </c>
      <c r="H88" s="14" t="n">
        <v>119437000000</v>
      </c>
      <c r="I88" s="14" t="n">
        <v>115812500000</v>
      </c>
      <c r="J88" s="14" t="n">
        <v>123803500000</v>
      </c>
      <c r="K88" t="inlineStr">
        <is>
          <t>roic, invested_capital, invested_capital_avg</t>
        </is>
      </c>
    </row>
    <row r="89">
      <c r="A89" t="inlineStr">
        <is>
          <t>KLA</t>
        </is>
      </c>
      <c r="B89" t="inlineStr">
        <is>
          <t>KLAC</t>
        </is>
      </c>
      <c r="C89" t="inlineStr">
        <is>
          <t>FY2023</t>
        </is>
      </c>
      <c r="D89" s="15" t="n">
        <v>0.5468352781784991</v>
      </c>
      <c r="E89" s="15" t="n">
        <v>0.4931657137783704</v>
      </c>
      <c r="F89" s="15">
        <f>E89-D89</f>
        <v>-0.05366956440012871</v>
      </c>
      <c r="G89" s="14" t="n">
        <v>4086130000</v>
      </c>
      <c r="H89" s="14" t="n">
        <v>3684470000</v>
      </c>
      <c r="I89" s="14" t="n">
        <v>6679892500</v>
      </c>
      <c r="J89" s="14" t="n">
        <v>6678762000</v>
      </c>
      <c r="K89" t="inlineStr">
        <is>
          <t>roic, ebit, nopat, invested_capital_avg</t>
        </is>
      </c>
    </row>
    <row r="90">
      <c r="A90" t="inlineStr">
        <is>
          <t>필립모리스 인터내셔널</t>
        </is>
      </c>
      <c r="B90" t="inlineStr">
        <is>
          <t>PM</t>
        </is>
      </c>
      <c r="C90" t="inlineStr">
        <is>
          <t>FY2023</t>
        </is>
      </c>
      <c r="D90" s="15" t="n">
        <v>0.3132118066549231</v>
      </c>
      <c r="E90" s="15" t="n">
        <v>0.2599538171567654</v>
      </c>
      <c r="F90" s="15">
        <f>E90-D90</f>
        <v>-0.05325798949815769</v>
      </c>
      <c r="G90" s="14" t="n">
        <v>11556000000</v>
      </c>
      <c r="H90" s="14" t="n">
        <v>11556000000</v>
      </c>
      <c r="I90" s="14" t="n">
        <v>28637000000</v>
      </c>
      <c r="J90" s="14" t="n">
        <v>34504000000</v>
      </c>
      <c r="K90" t="inlineStr">
        <is>
          <t>roic, invested_capital, invested_capital_avg</t>
        </is>
      </c>
    </row>
    <row r="91">
      <c r="A91" t="inlineStr">
        <is>
          <t>애플</t>
        </is>
      </c>
      <c r="B91" t="inlineStr">
        <is>
          <t>AAPL</t>
        </is>
      </c>
      <c r="C91" t="inlineStr">
        <is>
          <t>FY2021</t>
        </is>
      </c>
      <c r="D91" s="15" t="n">
        <v>0.9398358241343814</v>
      </c>
      <c r="E91" s="15" t="n">
        <v>0.8910889504153521</v>
      </c>
      <c r="F91" s="15">
        <f>E91-D91</f>
        <v>-0.048746873719029304</v>
      </c>
      <c r="G91" s="14" t="n">
        <v>108949000000</v>
      </c>
      <c r="H91" s="14" t="n">
        <v>108949000000</v>
      </c>
      <c r="I91" s="14" t="n">
        <v>100503000000</v>
      </c>
      <c r="J91" s="14" t="n">
        <v>106001000000</v>
      </c>
      <c r="K91" t="inlineStr">
        <is>
          <t>roic, invested_capital, invested_capital_avg</t>
        </is>
      </c>
    </row>
    <row r="92">
      <c r="A92" t="inlineStr">
        <is>
          <t>KLA</t>
        </is>
      </c>
      <c r="B92" t="inlineStr">
        <is>
          <t>KLAC</t>
        </is>
      </c>
      <c r="C92" t="inlineStr">
        <is>
          <t>FY2024</t>
        </is>
      </c>
      <c r="D92" s="15" t="n">
        <v>0.4067879899725882</v>
      </c>
      <c r="E92" s="15" t="n">
        <v>0.3584589810147777</v>
      </c>
      <c r="F92" s="15">
        <f>E92-D92</f>
        <v>-0.048329008957810504</v>
      </c>
      <c r="G92" s="14" t="n">
        <v>3501285000</v>
      </c>
      <c r="H92" s="14" t="n">
        <v>3085310000</v>
      </c>
      <c r="I92" s="14" t="n">
        <v>7451979000</v>
      </c>
      <c r="J92" s="14" t="n">
        <v>7451979000</v>
      </c>
      <c r="K92" t="inlineStr">
        <is>
          <t>roic, ebit, nopat</t>
        </is>
      </c>
    </row>
    <row r="93">
      <c r="A93" t="inlineStr">
        <is>
          <t>델 테크놀로지스</t>
        </is>
      </c>
      <c r="B93" t="inlineStr">
        <is>
          <t>DELL</t>
        </is>
      </c>
      <c r="C93" t="inlineStr">
        <is>
          <t>FY2019</t>
        </is>
      </c>
      <c r="D93" s="15" t="n">
        <v>0.04716477416098915</v>
      </c>
      <c r="E93" s="15" t="n"/>
      <c r="F93" s="15" t="inlineStr">
        <is>
          <t>—</t>
        </is>
      </c>
      <c r="G93" s="14" t="n">
        <v>2366000000</v>
      </c>
      <c r="H93" s="14" t="n">
        <v>2366000000</v>
      </c>
      <c r="I93" s="14" t="n">
        <v>39630000000</v>
      </c>
      <c r="J93" s="14" t="n">
        <v>44406000000</v>
      </c>
      <c r="K93" t="inlineStr">
        <is>
          <t>roic, invested_capital, invested_capital_avg</t>
        </is>
      </c>
    </row>
    <row r="94">
      <c r="A94" t="inlineStr">
        <is>
          <t>애플</t>
        </is>
      </c>
      <c r="B94" t="inlineStr">
        <is>
          <t>AAPL</t>
        </is>
      </c>
      <c r="C94" t="inlineStr">
        <is>
          <t>FY2016</t>
        </is>
      </c>
      <c r="D94" s="15" t="n">
        <v>0.2622610420916949</v>
      </c>
      <c r="E94" s="15" t="n">
        <v>0.3079412823181911</v>
      </c>
      <c r="F94" s="15">
        <f>E94-D94</f>
        <v>0.04568024022649625</v>
      </c>
      <c r="G94" s="14" t="n">
        <v>60024000000</v>
      </c>
      <c r="H94" s="14" t="n">
        <v>60024000000</v>
      </c>
      <c r="I94" s="14" t="n">
        <v>170378000000</v>
      </c>
      <c r="J94" s="14" t="n">
        <v>145104000000</v>
      </c>
      <c r="K94" t="inlineStr">
        <is>
          <t>roic, invested_capital, invested_capital_avg</t>
        </is>
      </c>
    </row>
    <row r="95">
      <c r="A95" t="inlineStr">
        <is>
          <t>KLA</t>
        </is>
      </c>
      <c r="B95" t="inlineStr">
        <is>
          <t>KLAC</t>
        </is>
      </c>
      <c r="C95" t="inlineStr">
        <is>
          <t>FY2025</t>
        </is>
      </c>
      <c r="D95" s="15" t="n">
        <v>0.5237431220283274</v>
      </c>
      <c r="E95" s="15" t="n">
        <v>0.4814352033385058</v>
      </c>
      <c r="F95" s="15">
        <f>E95-D95</f>
        <v>-0.04230791868982159</v>
      </c>
      <c r="G95" s="14" t="n">
        <v>4946614000</v>
      </c>
      <c r="H95" s="14" t="n">
        <v>4547027000</v>
      </c>
      <c r="I95" s="14" t="n">
        <v>8259568000</v>
      </c>
      <c r="J95" s="14" t="n">
        <v>8259568000</v>
      </c>
      <c r="K95" t="inlineStr">
        <is>
          <t>roic, ebit, nopat</t>
        </is>
      </c>
    </row>
    <row r="96">
      <c r="A96" t="inlineStr">
        <is>
          <t>존슨앤드존슨</t>
        </is>
      </c>
      <c r="B96" t="inlineStr">
        <is>
          <t>JNJ</t>
        </is>
      </c>
      <c r="C96" t="inlineStr">
        <is>
          <t>FY2024</t>
        </is>
      </c>
      <c r="D96" s="15" t="n">
        <v>0.1851141460107105</v>
      </c>
      <c r="E96" s="15" t="n">
        <v>0.2269192498483547</v>
      </c>
      <c r="F96" s="15">
        <f>E96-D96</f>
        <v>0.041805103837644214</v>
      </c>
      <c r="G96" s="14" t="n">
        <v>17442000000</v>
      </c>
      <c r="H96" s="14" t="n">
        <v>21381000000</v>
      </c>
      <c r="I96" s="14" t="n">
        <v>79423500000</v>
      </c>
      <c r="J96" s="14" t="n">
        <v>79423500000</v>
      </c>
      <c r="K96" t="inlineStr">
        <is>
          <t>roic, ebit, nopat</t>
        </is>
      </c>
    </row>
    <row r="97">
      <c r="A97" t="inlineStr">
        <is>
          <t>AMD</t>
        </is>
      </c>
      <c r="B97" t="inlineStr">
        <is>
          <t>AMD</t>
        </is>
      </c>
      <c r="C97" t="inlineStr">
        <is>
          <t>FY2016</t>
        </is>
      </c>
      <c r="D97" s="15" t="n">
        <v>-0.3367657142857143</v>
      </c>
      <c r="E97" s="15" t="n">
        <v>-0.2976464646464647</v>
      </c>
      <c r="F97" s="15">
        <f>E97-D97</f>
        <v>0.039119249639249565</v>
      </c>
      <c r="G97" s="14" t="n">
        <v>-373000000</v>
      </c>
      <c r="H97" s="14" t="n">
        <v>-373000000</v>
      </c>
      <c r="I97" s="14" t="n">
        <v>875000000</v>
      </c>
      <c r="J97" s="14" t="n">
        <v>990000000</v>
      </c>
      <c r="K97" t="inlineStr">
        <is>
          <t>roic, invested_capital_avg</t>
        </is>
      </c>
    </row>
    <row r="98">
      <c r="A98" t="inlineStr">
        <is>
          <t>애플</t>
        </is>
      </c>
      <c r="B98" t="inlineStr">
        <is>
          <t>AAPL</t>
        </is>
      </c>
      <c r="C98" t="inlineStr">
        <is>
          <t>FY2020</t>
        </is>
      </c>
      <c r="D98" s="15" t="n">
        <v>0.6526209851098613</v>
      </c>
      <c r="E98" s="15" t="n">
        <v>0.6138613512558175</v>
      </c>
      <c r="F98" s="15">
        <f>E98-D98</f>
        <v>-0.038759633854043796</v>
      </c>
      <c r="G98" s="14" t="n">
        <v>66288000000</v>
      </c>
      <c r="H98" s="14" t="n">
        <v>66288000000</v>
      </c>
      <c r="I98" s="14" t="n">
        <v>86917000000</v>
      </c>
      <c r="J98" s="14" t="n">
        <v>92405000000</v>
      </c>
      <c r="K98" t="inlineStr">
        <is>
          <t>roic, invested_capital, invested_capital_avg</t>
        </is>
      </c>
    </row>
    <row r="99">
      <c r="A99" t="inlineStr">
        <is>
          <t>IBM</t>
        </is>
      </c>
      <c r="B99" t="inlineStr">
        <is>
          <t>IBM</t>
        </is>
      </c>
      <c r="C99" t="inlineStr">
        <is>
          <t>FY2016</t>
        </is>
      </c>
      <c r="D99" s="15" t="n">
        <v>0.289425122533175</v>
      </c>
      <c r="E99" s="15" t="n">
        <v>0.2508761920286902</v>
      </c>
      <c r="F99" s="15">
        <f>E99-D99</f>
        <v>-0.03854893050448477</v>
      </c>
      <c r="G99" s="14" t="n">
        <v>12960000000</v>
      </c>
      <c r="H99" s="14" t="n">
        <v>12960000000</v>
      </c>
      <c r="I99" s="14" t="n">
        <v>42539500000</v>
      </c>
      <c r="J99" s="14" t="n">
        <v>49076000000</v>
      </c>
      <c r="K99" t="inlineStr">
        <is>
          <t>roic, invested_capital, invested_capital_avg</t>
        </is>
      </c>
    </row>
    <row r="100">
      <c r="A100" t="inlineStr">
        <is>
          <t>메타 플랫폼스</t>
        </is>
      </c>
      <c r="B100" t="inlineStr">
        <is>
          <t>META</t>
        </is>
      </c>
      <c r="C100" t="inlineStr">
        <is>
          <t>FY2021</t>
        </is>
      </c>
      <c r="D100" s="15" t="n">
        <v>0.5063393339552387</v>
      </c>
      <c r="E100" s="15" t="n">
        <v>0.5436208597277238</v>
      </c>
      <c r="F100" s="15">
        <f>E100-D100</f>
        <v>0.03728152577248511</v>
      </c>
      <c r="G100" s="14" t="n">
        <v>46753000000</v>
      </c>
      <c r="H100" s="14" t="n">
        <v>46753000000</v>
      </c>
      <c r="I100" s="14" t="n">
        <v>76881000000</v>
      </c>
      <c r="J100" s="14" t="n">
        <v>71608500000</v>
      </c>
      <c r="K100" t="inlineStr">
        <is>
          <t>roic, invested_capital_avg</t>
        </is>
      </c>
    </row>
    <row r="101">
      <c r="A101" t="inlineStr">
        <is>
          <t>존슨앤드존슨</t>
        </is>
      </c>
      <c r="B101" t="inlineStr">
        <is>
          <t>JNJ</t>
        </is>
      </c>
      <c r="C101" t="inlineStr">
        <is>
          <t>FY2020</t>
        </is>
      </c>
      <c r="D101" s="15" t="n">
        <v>0.20840474200813</v>
      </c>
      <c r="E101" s="15" t="n">
        <v>0.2450274823294956</v>
      </c>
      <c r="F101" s="15">
        <f>E101-D101</f>
        <v>0.03662274032136559</v>
      </c>
      <c r="G101" s="14" t="n">
        <v>16497000000</v>
      </c>
      <c r="H101" s="14" t="n">
        <v>19396000000</v>
      </c>
      <c r="I101" s="14" t="n">
        <v>70603000000</v>
      </c>
      <c r="J101" s="14" t="n">
        <v>70603000000</v>
      </c>
      <c r="K101" t="inlineStr">
        <is>
          <t>roic, ebit, nopat</t>
        </is>
      </c>
    </row>
    <row r="102">
      <c r="A102" t="inlineStr">
        <is>
          <t>비자</t>
        </is>
      </c>
      <c r="B102" t="inlineStr">
        <is>
          <t>V</t>
        </is>
      </c>
      <c r="C102" t="inlineStr">
        <is>
          <t>FY2024</t>
        </is>
      </c>
      <c r="D102" s="15" t="n">
        <v>0.4285213602693689</v>
      </c>
      <c r="E102" s="15" t="n">
        <v>0.4645031338011565</v>
      </c>
      <c r="F102" s="15">
        <f>E102-D102</f>
        <v>0.03598177353178761</v>
      </c>
      <c r="G102" s="14" t="n">
        <v>23595000000</v>
      </c>
      <c r="H102" s="14" t="n">
        <v>23595000000</v>
      </c>
      <c r="I102" s="14" t="n">
        <v>45454000000</v>
      </c>
      <c r="J102" s="14" t="n">
        <v>41933000000</v>
      </c>
      <c r="K102" t="inlineStr">
        <is>
          <t>roic, invested_capital, invested_capital_avg</t>
        </is>
      </c>
    </row>
    <row r="103">
      <c r="A103" t="inlineStr">
        <is>
          <t>제너럴 일렉트릭</t>
        </is>
      </c>
      <c r="B103" t="inlineStr">
        <is>
          <t>GE</t>
        </is>
      </c>
      <c r="C103" t="inlineStr">
        <is>
          <t>FY2018</t>
        </is>
      </c>
      <c r="D103" s="15" t="n">
        <v>-0.1346538778593096</v>
      </c>
      <c r="E103" s="15" t="n">
        <v>-0.1703233803233803</v>
      </c>
      <c r="F103" s="15">
        <f>E103-D103</f>
        <v>-0.03566950246407069</v>
      </c>
      <c r="G103" s="14" t="n">
        <v>-20987000000</v>
      </c>
      <c r="H103" s="14" t="n">
        <v>-23308000000</v>
      </c>
      <c r="I103" s="14" t="n">
        <v>123128500000</v>
      </c>
      <c r="J103" s="14" t="n">
        <v>108108000000</v>
      </c>
      <c r="K103" t="inlineStr">
        <is>
          <t>roic, ebit, nopat, invested_capital, invested_capital_avg</t>
        </is>
      </c>
    </row>
    <row r="104">
      <c r="A104" t="inlineStr">
        <is>
          <t>비자</t>
        </is>
      </c>
      <c r="B104" t="inlineStr">
        <is>
          <t>V</t>
        </is>
      </c>
      <c r="C104" t="inlineStr">
        <is>
          <t>FY2023</t>
        </is>
      </c>
      <c r="D104" s="15" t="n">
        <v>0.4045094577360765</v>
      </c>
      <c r="E104" s="15" t="n">
        <v>0.4388719382378559</v>
      </c>
      <c r="F104" s="15">
        <f>E104-D104</f>
        <v>0.034362480501779424</v>
      </c>
      <c r="G104" s="14" t="n">
        <v>21000000000</v>
      </c>
      <c r="H104" s="14" t="n">
        <v>21000000000</v>
      </c>
      <c r="I104" s="14" t="n">
        <v>42626000000</v>
      </c>
      <c r="J104" s="14" t="n">
        <v>39288500000</v>
      </c>
      <c r="K104" t="inlineStr">
        <is>
          <t>roic, invested_capital, invested_capital_avg</t>
        </is>
      </c>
    </row>
    <row r="105">
      <c r="A105" t="inlineStr">
        <is>
          <t>엔비디아</t>
        </is>
      </c>
      <c r="B105" t="inlineStr">
        <is>
          <t>NVDA</t>
        </is>
      </c>
      <c r="C105" t="inlineStr">
        <is>
          <t>FY2024</t>
        </is>
      </c>
      <c r="D105" s="15" t="n">
        <v>1.948032122002672</v>
      </c>
      <c r="E105" s="15" t="n">
        <v>1.982192302585747</v>
      </c>
      <c r="F105" s="15">
        <f>E105-D105</f>
        <v>0.03416018058307513</v>
      </c>
      <c r="G105" s="14" t="n">
        <v>81453000000</v>
      </c>
      <c r="H105" s="14" t="n">
        <v>81453000000</v>
      </c>
      <c r="I105" s="14" t="n">
        <v>36266500000</v>
      </c>
      <c r="J105" s="14" t="n">
        <v>35641500000</v>
      </c>
      <c r="K105" t="inlineStr">
        <is>
          <t>roic, invested_capital_avg</t>
        </is>
      </c>
    </row>
    <row r="106">
      <c r="A106" t="inlineStr">
        <is>
          <t>제너럴 일렉트릭</t>
        </is>
      </c>
      <c r="B106" t="inlineStr">
        <is>
          <t>GE</t>
        </is>
      </c>
      <c r="C106" t="inlineStr">
        <is>
          <t>FY2021</t>
        </is>
      </c>
      <c r="D106" s="15" t="n">
        <v>-0.06956236036272835</v>
      </c>
      <c r="E106" s="15" t="n">
        <v>-0.1034091742260563</v>
      </c>
      <c r="F106" s="15">
        <f>E106-D106</f>
        <v>-0.033846813863327954</v>
      </c>
      <c r="G106" s="14" t="n">
        <v>-5695000000</v>
      </c>
      <c r="H106" s="14" t="n">
        <v>-8391000000</v>
      </c>
      <c r="I106" s="14" t="n">
        <v>64676500000</v>
      </c>
      <c r="J106" s="14" t="n">
        <v>64103500000</v>
      </c>
      <c r="K106" t="inlineStr">
        <is>
          <t>roic, ebit, nopat, invested_capital, invested_capital_avg</t>
        </is>
      </c>
    </row>
    <row r="107">
      <c r="A107" t="inlineStr">
        <is>
          <t>오라클</t>
        </is>
      </c>
      <c r="B107" t="inlineStr">
        <is>
          <t>ORCL</t>
        </is>
      </c>
      <c r="C107" t="inlineStr">
        <is>
          <t>FY2017</t>
        </is>
      </c>
      <c r="D107" s="15" t="n">
        <v>0.2862820064304397</v>
      </c>
      <c r="E107" s="15" t="n">
        <v>0.2525415403290308</v>
      </c>
      <c r="F107" s="15">
        <f>E107-D107</f>
        <v>-0.033740466101408906</v>
      </c>
      <c r="G107" s="14" t="n">
        <v>12913000000</v>
      </c>
      <c r="H107" s="14" t="n">
        <v>12913000000</v>
      </c>
      <c r="I107" s="14" t="n">
        <v>36380000000</v>
      </c>
      <c r="J107" s="14" t="n">
        <v>41240500000</v>
      </c>
      <c r="K107" t="inlineStr">
        <is>
          <t>roic, invested_capital, invested_capital_avg</t>
        </is>
      </c>
    </row>
    <row r="108">
      <c r="A108" t="inlineStr">
        <is>
          <t>애브비</t>
        </is>
      </c>
      <c r="B108" t="inlineStr">
        <is>
          <t>ABBV</t>
        </is>
      </c>
      <c r="C108" t="inlineStr">
        <is>
          <t>FY2018</t>
        </is>
      </c>
      <c r="D108" s="15" t="n">
        <v>0.2482386654385426</v>
      </c>
      <c r="E108" s="15" t="n">
        <v>0.2147293684378264</v>
      </c>
      <c r="F108" s="15">
        <f>E108-D108</f>
        <v>-0.0335092970007162</v>
      </c>
      <c r="G108" s="14" t="n">
        <v>6383000000</v>
      </c>
      <c r="H108" s="14" t="n">
        <v>6383000000</v>
      </c>
      <c r="I108" s="14" t="n">
        <v>24427500000</v>
      </c>
      <c r="J108" s="14" t="n">
        <v>28239500000</v>
      </c>
      <c r="K108" t="inlineStr">
        <is>
          <t>roic, invested_capital, invested_capital_avg</t>
        </is>
      </c>
    </row>
    <row r="109">
      <c r="A109" t="inlineStr">
        <is>
          <t>엔비디아</t>
        </is>
      </c>
      <c r="B109" t="inlineStr">
        <is>
          <t>NVDA</t>
        </is>
      </c>
      <c r="C109" t="inlineStr">
        <is>
          <t>FY2020</t>
        </is>
      </c>
      <c r="D109" s="15" t="n">
        <v>0.5189729990356798</v>
      </c>
      <c r="E109" s="15" t="n">
        <v>0.5522221509651767</v>
      </c>
      <c r="F109" s="15">
        <f>E109-D109</f>
        <v>0.033249151929496845</v>
      </c>
      <c r="G109" s="14" t="n">
        <v>4532000000</v>
      </c>
      <c r="H109" s="14" t="n">
        <v>4532000000</v>
      </c>
      <c r="I109" s="14" t="n">
        <v>8296000000</v>
      </c>
      <c r="J109" s="14" t="n">
        <v>7796500000</v>
      </c>
      <c r="K109" t="inlineStr">
        <is>
          <t>roic, invested_capital, invested_capital_avg</t>
        </is>
      </c>
    </row>
    <row r="110">
      <c r="A110" t="inlineStr">
        <is>
          <t>델 테크놀로지스</t>
        </is>
      </c>
      <c r="B110" t="inlineStr">
        <is>
          <t>DELL</t>
        </is>
      </c>
      <c r="C110" t="inlineStr">
        <is>
          <t>FY2025</t>
        </is>
      </c>
      <c r="D110" s="15" t="n">
        <v>0.3604254518922455</v>
      </c>
      <c r="E110" s="15" t="n">
        <v>0.393484681129083</v>
      </c>
      <c r="F110" s="15">
        <f>E110-D110</f>
        <v>0.03305922923683752</v>
      </c>
      <c r="G110" s="14" t="n">
        <v>8149000000</v>
      </c>
      <c r="H110" s="14" t="n">
        <v>8149000000</v>
      </c>
      <c r="I110" s="14" t="n">
        <v>18478500000</v>
      </c>
      <c r="J110" s="14" t="n">
        <v>16926000000</v>
      </c>
      <c r="K110" t="inlineStr">
        <is>
          <t>roic, invested_capital, invested_capital_avg</t>
        </is>
      </c>
    </row>
    <row r="111">
      <c r="A111" t="inlineStr">
        <is>
          <t>애플</t>
        </is>
      </c>
      <c r="B111" t="inlineStr">
        <is>
          <t>AAPL</t>
        </is>
      </c>
      <c r="C111" t="inlineStr">
        <is>
          <t>FY2019</t>
        </is>
      </c>
      <c r="D111" s="15" t="n">
        <v>0.4566317146794741</v>
      </c>
      <c r="E111" s="15" t="n">
        <v>0.424284406913765</v>
      </c>
      <c r="F111" s="15">
        <f>E111-D111</f>
        <v>-0.0323473077657091</v>
      </c>
      <c r="G111" s="14" t="n">
        <v>63930000000</v>
      </c>
      <c r="H111" s="14" t="n">
        <v>63930000000</v>
      </c>
      <c r="I111" s="14" t="n">
        <v>117681500000</v>
      </c>
      <c r="J111" s="14" t="n">
        <v>126653500000</v>
      </c>
      <c r="K111" t="inlineStr">
        <is>
          <t>roic, invested_capital, invested_capital_avg</t>
        </is>
      </c>
    </row>
    <row r="112">
      <c r="A112" t="inlineStr">
        <is>
          <t>존슨앤드존슨</t>
        </is>
      </c>
      <c r="B112" t="inlineStr">
        <is>
          <t>JNJ</t>
        </is>
      </c>
      <c r="C112" t="inlineStr">
        <is>
          <t>FY2019</t>
        </is>
      </c>
      <c r="D112" s="15" t="n">
        <v>0.2184400442110282</v>
      </c>
      <c r="E112" s="15" t="n">
        <v>0.2502706716136624</v>
      </c>
      <c r="F112" s="15">
        <f>E112-D112</f>
        <v>0.031830627402634204</v>
      </c>
      <c r="G112" s="14" t="n">
        <v>17328000000</v>
      </c>
      <c r="H112" s="14" t="n">
        <v>19853000000</v>
      </c>
      <c r="I112" s="14" t="n">
        <v>69213500000</v>
      </c>
      <c r="J112" s="14" t="n">
        <v>69213500000</v>
      </c>
      <c r="K112" t="inlineStr">
        <is>
          <t>roic, ebit, nopat</t>
        </is>
      </c>
    </row>
    <row r="113">
      <c r="A113" t="inlineStr">
        <is>
          <t>비자</t>
        </is>
      </c>
      <c r="B113" t="inlineStr">
        <is>
          <t>V</t>
        </is>
      </c>
      <c r="C113" t="inlineStr">
        <is>
          <t>FY2016</t>
        </is>
      </c>
      <c r="D113" s="15" t="n">
        <v>0.2159725869372031</v>
      </c>
      <c r="E113" s="15" t="n">
        <v>0.1847239052108143</v>
      </c>
      <c r="F113" s="15">
        <f>E113-D113</f>
        <v>-0.031248681726388783</v>
      </c>
      <c r="G113" s="14" t="n">
        <v>7883000000</v>
      </c>
      <c r="H113" s="14" t="n">
        <v>7883000000</v>
      </c>
      <c r="I113" s="14" t="n">
        <v>27293000000</v>
      </c>
      <c r="J113" s="14" t="n">
        <v>31910000000</v>
      </c>
      <c r="K113" t="inlineStr">
        <is>
          <t>roic, invested_capital, invested_capital_avg</t>
        </is>
      </c>
    </row>
    <row r="114">
      <c r="A114" t="inlineStr">
        <is>
          <t>제너럴 일렉트릭</t>
        </is>
      </c>
      <c r="B114" t="inlineStr">
        <is>
          <t>GE</t>
        </is>
      </c>
      <c r="C114" t="inlineStr">
        <is>
          <t>FY2019</t>
        </is>
      </c>
      <c r="D114" s="15" t="n">
        <v>-0.0004612664824916608</v>
      </c>
      <c r="E114" s="15" t="n">
        <v>-0.03162946922517624</v>
      </c>
      <c r="F114" s="15">
        <f>E114-D114</f>
        <v>-0.03116820274268458</v>
      </c>
      <c r="G114" s="14" t="n">
        <v>-54000000</v>
      </c>
      <c r="H114" s="14" t="n">
        <v>-2533000000</v>
      </c>
      <c r="I114" s="14" t="n">
        <v>92484500000</v>
      </c>
      <c r="J114" s="14" t="n">
        <v>63266000000</v>
      </c>
      <c r="K114" t="inlineStr">
        <is>
          <t>roic, ebit, nopat, invested_capital, invested_capital_avg</t>
        </is>
      </c>
    </row>
    <row r="115">
      <c r="A115" t="inlineStr">
        <is>
          <t>일라이 릴리</t>
        </is>
      </c>
      <c r="B115" t="inlineStr">
        <is>
          <t>LLY</t>
        </is>
      </c>
      <c r="C115" t="inlineStr">
        <is>
          <t>FY2019</t>
        </is>
      </c>
      <c r="D115" s="15" t="n">
        <v>0.3288824280243937</v>
      </c>
      <c r="E115" s="15" t="n">
        <v>0.298269751701393</v>
      </c>
      <c r="F115" s="15">
        <f>E115-D115</f>
        <v>-0.030612676323000687</v>
      </c>
      <c r="G115" s="14" t="n">
        <v>5265900000</v>
      </c>
      <c r="H115" s="14" t="n">
        <v>4974300000</v>
      </c>
      <c r="I115" s="14" t="n">
        <v>14102000000</v>
      </c>
      <c r="J115" s="14" t="n">
        <v>14688300000</v>
      </c>
      <c r="K115" t="inlineStr">
        <is>
          <t>roic, ebit, nopat, invested_capital, invested_capital_avg</t>
        </is>
      </c>
    </row>
    <row r="116">
      <c r="A116" t="inlineStr">
        <is>
          <t>애플</t>
        </is>
      </c>
      <c r="B116" t="inlineStr">
        <is>
          <t>AAPL</t>
        </is>
      </c>
      <c r="C116" t="inlineStr">
        <is>
          <t>FY2018</t>
        </is>
      </c>
      <c r="D116" s="15" t="n">
        <v>0.3208957266003707</v>
      </c>
      <c r="E116" s="15" t="n">
        <v>0.3499433968909871</v>
      </c>
      <c r="F116" s="15">
        <f>E116-D116</f>
        <v>0.02904767029061639</v>
      </c>
      <c r="G116" s="14" t="n">
        <v>70898000000</v>
      </c>
      <c r="H116" s="14" t="n">
        <v>70898000000</v>
      </c>
      <c r="I116" s="14" t="n">
        <v>180413000000</v>
      </c>
      <c r="J116" s="14" t="n">
        <v>165437500000</v>
      </c>
      <c r="K116" t="inlineStr">
        <is>
          <t>roic, invested_capital, invested_capital_avg</t>
        </is>
      </c>
    </row>
    <row r="117">
      <c r="A117" t="inlineStr">
        <is>
          <t>홈디포</t>
        </is>
      </c>
      <c r="B117" t="inlineStr">
        <is>
          <t>HD</t>
        </is>
      </c>
      <c r="C117" t="inlineStr">
        <is>
          <t>FY2018</t>
        </is>
      </c>
      <c r="D117" s="15" t="n">
        <v>0.4992174378214482</v>
      </c>
      <c r="E117" s="15" t="n">
        <v>0.4705312177907827</v>
      </c>
      <c r="F117" s="15">
        <f>E117-D117</f>
        <v>-0.028686220030665455</v>
      </c>
      <c r="G117" s="14" t="n">
        <v>15530000000</v>
      </c>
      <c r="H117" s="14" t="n">
        <v>15530000000</v>
      </c>
      <c r="I117" s="14" t="n">
        <v>23767500000</v>
      </c>
      <c r="J117" s="14" t="n">
        <v>25216500000</v>
      </c>
      <c r="K117" t="inlineStr">
        <is>
          <t>roic, invested_capital, invested_capital_avg</t>
        </is>
      </c>
    </row>
    <row r="118">
      <c r="A118" t="inlineStr">
        <is>
          <t>제너럴 일렉트릭</t>
        </is>
      </c>
      <c r="B118" t="inlineStr">
        <is>
          <t>GE</t>
        </is>
      </c>
      <c r="C118" t="inlineStr">
        <is>
          <t>FY2017</t>
        </is>
      </c>
      <c r="D118" s="15" t="n">
        <v>-0.05938452466141899</v>
      </c>
      <c r="E118" s="15" t="n">
        <v>-0.08778358875906127</v>
      </c>
      <c r="F118" s="15">
        <f>E118-D118</f>
        <v>-0.028399064097642278</v>
      </c>
      <c r="G118" s="14" t="n">
        <v>-11345000000</v>
      </c>
      <c r="H118" s="14" t="n">
        <v>-13428000000</v>
      </c>
      <c r="I118" s="14" t="n">
        <v>150924000000</v>
      </c>
      <c r="J118" s="14" t="n">
        <v>120844000000</v>
      </c>
      <c r="K118" t="inlineStr">
        <is>
          <t>roic, ebit, nopat, invested_capital, invested_capital_avg</t>
        </is>
      </c>
    </row>
    <row r="119">
      <c r="A119" t="inlineStr">
        <is>
          <t>마스터카드</t>
        </is>
      </c>
      <c r="B119" t="inlineStr">
        <is>
          <t>MA</t>
        </is>
      </c>
      <c r="C119" t="inlineStr">
        <is>
          <t>FY2023</t>
        </is>
      </c>
      <c r="D119" s="15" t="n">
        <v>0.8412568606957315</v>
      </c>
      <c r="E119" s="15" t="n">
        <v>0.8695033949830915</v>
      </c>
      <c r="F119" s="15">
        <f>E119-D119</f>
        <v>0.028246534287360014</v>
      </c>
      <c r="G119" s="14" t="n">
        <v>14008000000</v>
      </c>
      <c r="H119" s="14" t="n">
        <v>14008000000</v>
      </c>
      <c r="I119" s="14" t="n">
        <v>13667500000</v>
      </c>
      <c r="J119" s="14" t="n">
        <v>13223500000</v>
      </c>
      <c r="K119" t="inlineStr">
        <is>
          <t>roic, invested_capital, invested_capital_avg</t>
        </is>
      </c>
    </row>
    <row r="120">
      <c r="A120" t="inlineStr">
        <is>
          <t>델 테크놀로지스</t>
        </is>
      </c>
      <c r="B120" t="inlineStr">
        <is>
          <t>DELL</t>
        </is>
      </c>
      <c r="C120" t="inlineStr">
        <is>
          <t>FY2024</t>
        </is>
      </c>
      <c r="D120" s="15" t="n">
        <v>0.315389265809504</v>
      </c>
      <c r="E120" s="15" t="n">
        <v>0.3432489860385559</v>
      </c>
      <c r="F120" s="15">
        <f>E120-D120</f>
        <v>0.02785972022905192</v>
      </c>
      <c r="G120" s="14" t="n">
        <v>6237000000</v>
      </c>
      <c r="H120" s="14" t="n">
        <v>6237000000</v>
      </c>
      <c r="I120" s="14" t="n">
        <v>17926500000</v>
      </c>
      <c r="J120" s="14" t="n">
        <v>16471500000</v>
      </c>
      <c r="K120" t="inlineStr">
        <is>
          <t>roic, invested_capital, invested_capital_avg</t>
        </is>
      </c>
    </row>
    <row r="121">
      <c r="A121" t="inlineStr">
        <is>
          <t>테슬라</t>
        </is>
      </c>
      <c r="B121" t="inlineStr">
        <is>
          <t>TSLA</t>
        </is>
      </c>
      <c r="C121" t="inlineStr">
        <is>
          <t>FY2016</t>
        </is>
      </c>
      <c r="D121" s="15" t="n">
        <v>-0.06301244511048064</v>
      </c>
      <c r="E121" s="15" t="n">
        <v>-0.090593159081374</v>
      </c>
      <c r="F121" s="15">
        <f>E121-D121</f>
        <v>-0.02758071397089336</v>
      </c>
      <c r="G121" s="14" t="n">
        <v>-667340000</v>
      </c>
      <c r="H121" s="14" t="n">
        <v>-667340000</v>
      </c>
      <c r="I121" s="14" t="n">
        <v>8366579000</v>
      </c>
      <c r="J121" s="14" t="n">
        <v>5819408500</v>
      </c>
      <c r="K121" t="inlineStr">
        <is>
          <t>roic, invested_capital, invested_capital_avg</t>
        </is>
      </c>
    </row>
    <row r="122">
      <c r="A122" t="inlineStr">
        <is>
          <t>델 테크놀로지스</t>
        </is>
      </c>
      <c r="B122" t="inlineStr">
        <is>
          <t>DELL</t>
        </is>
      </c>
      <c r="C122" t="inlineStr">
        <is>
          <t>FY2022</t>
        </is>
      </c>
      <c r="D122" s="15" t="n">
        <v>0.2575891198736506</v>
      </c>
      <c r="E122" s="15" t="n">
        <v>0.284639656942443</v>
      </c>
      <c r="F122" s="15">
        <f>E122-D122</f>
        <v>0.027050537068792402</v>
      </c>
      <c r="G122" s="14" t="n">
        <v>5771000000</v>
      </c>
      <c r="H122" s="14" t="n">
        <v>5771000000</v>
      </c>
      <c r="I122" s="14" t="n">
        <v>16825500000</v>
      </c>
      <c r="J122" s="14" t="n">
        <v>15226500000</v>
      </c>
      <c r="K122" t="inlineStr">
        <is>
          <t>roic, invested_capital, invested_capital_avg</t>
        </is>
      </c>
    </row>
    <row r="123">
      <c r="A123" t="inlineStr">
        <is>
          <t>마스터카드</t>
        </is>
      </c>
      <c r="B123" t="inlineStr">
        <is>
          <t>MA</t>
        </is>
      </c>
      <c r="C123" t="inlineStr">
        <is>
          <t>FY2021</t>
        </is>
      </c>
      <c r="D123" s="15" t="n">
        <v>0.7472838198499454</v>
      </c>
      <c r="E123" s="15" t="n">
        <v>0.7741062508439217</v>
      </c>
      <c r="F123" s="15">
        <f>E123-D123</f>
        <v>0.0268224309939763</v>
      </c>
      <c r="G123" s="14" t="n">
        <v>10082000000</v>
      </c>
      <c r="H123" s="14" t="n">
        <v>10082000000</v>
      </c>
      <c r="I123" s="14" t="n">
        <v>11371000000</v>
      </c>
      <c r="J123" s="14" t="n">
        <v>10977000000</v>
      </c>
      <c r="K123" t="inlineStr">
        <is>
          <t>roic, invested_capital, invested_capital_avg</t>
        </is>
      </c>
    </row>
    <row r="124">
      <c r="A124" t="inlineStr">
        <is>
          <t>팔로알토 네트웍스</t>
        </is>
      </c>
      <c r="B124" t="inlineStr">
        <is>
          <t>PANW</t>
        </is>
      </c>
      <c r="C124" t="inlineStr">
        <is>
          <t>FY2025</t>
        </is>
      </c>
      <c r="D124" s="15" t="n">
        <v>0.2084004948646349</v>
      </c>
      <c r="E124" s="15" t="n">
        <v>0.2351896598120781</v>
      </c>
      <c r="F124" s="15">
        <f>E124-D124</f>
        <v>0.026789164947443184</v>
      </c>
      <c r="G124" s="14" t="n">
        <v>1242900000</v>
      </c>
      <c r="H124" s="14" t="n">
        <v>1243000000</v>
      </c>
      <c r="I124" s="14" t="n">
        <v>4238000000</v>
      </c>
      <c r="J124" s="14" t="n">
        <v>3755200000</v>
      </c>
      <c r="K124" t="inlineStr">
        <is>
          <t>roic, ebit, tax_rate, nopat, invested_capital, invested_capital_avg</t>
        </is>
      </c>
    </row>
    <row r="125">
      <c r="A125" t="inlineStr">
        <is>
          <t>KLA</t>
        </is>
      </c>
      <c r="B125" t="inlineStr">
        <is>
          <t>KLAC</t>
        </is>
      </c>
      <c r="C125" t="inlineStr">
        <is>
          <t>FY2022</t>
        </is>
      </c>
      <c r="D125" s="15" t="n">
        <v>0.5855162835501388</v>
      </c>
      <c r="E125" s="15" t="n">
        <v>0.559783143159296</v>
      </c>
      <c r="F125" s="15">
        <f>E125-D125</f>
        <v>-0.025733140390842846</v>
      </c>
      <c r="G125" s="14" t="n">
        <v>3649576000</v>
      </c>
      <c r="H125" s="14" t="n">
        <v>3493842000</v>
      </c>
      <c r="I125" s="14" t="n">
        <v>5921436000</v>
      </c>
      <c r="J125" s="14" t="n">
        <v>5929349500</v>
      </c>
      <c r="K125" t="inlineStr">
        <is>
          <t>roic, ebit, nopat, invested_capital, invested_capital_avg</t>
        </is>
      </c>
    </row>
    <row r="126">
      <c r="A126" t="inlineStr">
        <is>
          <t>애브비</t>
        </is>
      </c>
      <c r="B126" t="inlineStr">
        <is>
          <t>ABBV</t>
        </is>
      </c>
      <c r="C126" t="inlineStr">
        <is>
          <t>FY2021</t>
        </is>
      </c>
      <c r="D126" s="15" t="n">
        <v>0.2097428491595636</v>
      </c>
      <c r="E126" s="15" t="n">
        <v>0.1842798606379492</v>
      </c>
      <c r="F126" s="15">
        <f>E126-D126</f>
        <v>-0.025462988521614383</v>
      </c>
      <c r="G126" s="14" t="n">
        <v>17924000000</v>
      </c>
      <c r="H126" s="14" t="n">
        <v>17924000000</v>
      </c>
      <c r="I126" s="14" t="n">
        <v>75983000000</v>
      </c>
      <c r="J126" s="14" t="n">
        <v>86482000000</v>
      </c>
      <c r="K126" t="inlineStr">
        <is>
          <t>roic, invested_capital, invested_capital_avg</t>
        </is>
      </c>
    </row>
    <row r="127">
      <c r="A127" t="inlineStr">
        <is>
          <t>애브비</t>
        </is>
      </c>
      <c r="B127" t="inlineStr">
        <is>
          <t>ABBV</t>
        </is>
      </c>
      <c r="C127" t="inlineStr">
        <is>
          <t>FY2022</t>
        </is>
      </c>
      <c r="D127" s="15" t="n">
        <v>0.2325527343777748</v>
      </c>
      <c r="E127" s="15" t="n">
        <v>0.2073066258155647</v>
      </c>
      <c r="F127" s="15">
        <f>E127-D127</f>
        <v>-0.0252461085622101</v>
      </c>
      <c r="G127" s="14" t="n">
        <v>18117000000</v>
      </c>
      <c r="H127" s="14" t="n">
        <v>18117000000</v>
      </c>
      <c r="I127" s="14" t="n">
        <v>68471000000</v>
      </c>
      <c r="J127" s="14" t="n">
        <v>76809500000</v>
      </c>
      <c r="K127" t="inlineStr">
        <is>
          <t>roic, invested_capital, invested_capital_avg</t>
        </is>
      </c>
    </row>
    <row r="128">
      <c r="A128" t="inlineStr">
        <is>
          <t>델 테크놀로지스</t>
        </is>
      </c>
      <c r="B128" t="inlineStr">
        <is>
          <t>DELL</t>
        </is>
      </c>
      <c r="C128" t="inlineStr">
        <is>
          <t>FY2023</t>
        </is>
      </c>
      <c r="D128" s="15" t="n">
        <v>0.2606172148073619</v>
      </c>
      <c r="E128" s="15" t="n">
        <v>0.2857015800364847</v>
      </c>
      <c r="F128" s="15">
        <f>E128-D128</f>
        <v>0.02508436522912283</v>
      </c>
      <c r="G128" s="14" t="n">
        <v>5411000000</v>
      </c>
      <c r="H128" s="14" t="n">
        <v>5411000000</v>
      </c>
      <c r="I128" s="14" t="n">
        <v>17130000000</v>
      </c>
      <c r="J128" s="14" t="n">
        <v>15626000000</v>
      </c>
      <c r="K128" t="inlineStr">
        <is>
          <t>roic, invested_capital, invested_capital_avg</t>
        </is>
      </c>
    </row>
    <row r="129">
      <c r="A129" t="inlineStr">
        <is>
          <t>마스터카드</t>
        </is>
      </c>
      <c r="B129" t="inlineStr">
        <is>
          <t>MA</t>
        </is>
      </c>
      <c r="C129" t="inlineStr">
        <is>
          <t>FY2024</t>
        </is>
      </c>
      <c r="D129" s="15" t="n">
        <v>0.8682990931325263</v>
      </c>
      <c r="E129" s="15" t="n">
        <v>0.8932466574996555</v>
      </c>
      <c r="F129" s="15">
        <f>E129-D129</f>
        <v>0.024947564367129194</v>
      </c>
      <c r="G129" s="14" t="n">
        <v>15582000000</v>
      </c>
      <c r="H129" s="14" t="n">
        <v>15582000000</v>
      </c>
      <c r="I129" s="14" t="n">
        <v>15145500000</v>
      </c>
      <c r="J129" s="14" t="n">
        <v>14722500000</v>
      </c>
      <c r="K129" t="inlineStr">
        <is>
          <t>roic, invested_capital, invested_capital_avg</t>
        </is>
      </c>
    </row>
    <row r="130">
      <c r="A130" t="inlineStr">
        <is>
          <t>애브비</t>
        </is>
      </c>
      <c r="B130" t="inlineStr">
        <is>
          <t>ABBV</t>
        </is>
      </c>
      <c r="C130" t="inlineStr">
        <is>
          <t>FY2020</t>
        </is>
      </c>
      <c r="D130" s="15" t="n">
        <v>0.2224274705349048</v>
      </c>
      <c r="E130" s="15" t="n">
        <v>0.1975161473295153</v>
      </c>
      <c r="F130" s="15">
        <f>E130-D130</f>
        <v>-0.024911323205389496</v>
      </c>
      <c r="G130" s="14" t="n">
        <v>11363000000</v>
      </c>
      <c r="H130" s="14" t="n">
        <v>11363000000</v>
      </c>
      <c r="I130" s="14" t="n">
        <v>48532000000</v>
      </c>
      <c r="J130" s="14" t="n">
        <v>54653000000</v>
      </c>
      <c r="K130" t="inlineStr">
        <is>
          <t>roic, invested_capital, invested_capital_avg</t>
        </is>
      </c>
    </row>
    <row r="131">
      <c r="A131" t="inlineStr">
        <is>
          <t>AMD</t>
        </is>
      </c>
      <c r="B131" t="inlineStr">
        <is>
          <t>AMD</t>
        </is>
      </c>
      <c r="C131" t="inlineStr">
        <is>
          <t>FY2018</t>
        </is>
      </c>
      <c r="D131" s="15" t="n">
        <v>0.4204612365063788</v>
      </c>
      <c r="E131" s="15" t="n">
        <v>0.3956140350877193</v>
      </c>
      <c r="F131" s="15">
        <f>E131-D131</f>
        <v>-0.02484720141865948</v>
      </c>
      <c r="G131" s="14" t="n">
        <v>451000000</v>
      </c>
      <c r="H131" s="14" t="n">
        <v>451000000</v>
      </c>
      <c r="I131" s="14" t="n">
        <v>1019000000</v>
      </c>
      <c r="J131" s="14" t="n">
        <v>1083000000</v>
      </c>
      <c r="K131" t="inlineStr">
        <is>
          <t>roic, invested_capital, invested_capital_avg</t>
        </is>
      </c>
    </row>
    <row r="132">
      <c r="A132" t="inlineStr">
        <is>
          <t>제너럴 일렉트릭</t>
        </is>
      </c>
      <c r="B132" t="inlineStr">
        <is>
          <t>GE</t>
        </is>
      </c>
      <c r="C132" t="inlineStr">
        <is>
          <t>FY2016</t>
        </is>
      </c>
      <c r="D132" s="15" t="n">
        <v>0.04249743912758552</v>
      </c>
      <c r="E132" s="15" t="n">
        <v>0.01784602688811348</v>
      </c>
      <c r="F132" s="15">
        <f>E132-D132</f>
        <v>-0.024651412239472044</v>
      </c>
      <c r="G132" s="14" t="n">
        <v>7031000000</v>
      </c>
      <c r="H132" s="14" t="n">
        <v>2891000000</v>
      </c>
      <c r="I132" s="14" t="n">
        <v>157173000000</v>
      </c>
      <c r="J132" s="14" t="n">
        <v>153897000000</v>
      </c>
      <c r="K132" t="inlineStr">
        <is>
          <t>roic, ebit, nopat, invested_capital, invested_capital_avg</t>
        </is>
      </c>
    </row>
    <row r="133">
      <c r="A133" t="inlineStr">
        <is>
          <t>GE 버노바</t>
        </is>
      </c>
      <c r="B133" t="inlineStr">
        <is>
          <t>GEV</t>
        </is>
      </c>
      <c r="C133" t="inlineStr">
        <is>
          <t>FY2024</t>
        </is>
      </c>
      <c r="D133" s="15" t="n">
        <v>0.08680075612239385</v>
      </c>
      <c r="E133" s="15" t="n">
        <v>0.06239668023954294</v>
      </c>
      <c r="F133" s="15">
        <f>E133-D133</f>
        <v>-0.024404075882850915</v>
      </c>
      <c r="G133" s="14" t="n">
        <v>471000000</v>
      </c>
      <c r="H133" s="14" t="n">
        <v>471000000</v>
      </c>
      <c r="I133" s="14" t="n">
        <v>3386500000</v>
      </c>
      <c r="J133" s="14" t="n">
        <v>4711000000</v>
      </c>
      <c r="K133" t="inlineStr">
        <is>
          <t>roic, invested_capital_avg</t>
        </is>
      </c>
    </row>
    <row r="134">
      <c r="A134" t="inlineStr">
        <is>
          <t>비자</t>
        </is>
      </c>
      <c r="B134" t="inlineStr">
        <is>
          <t>V</t>
        </is>
      </c>
      <c r="C134" t="inlineStr">
        <is>
          <t>FY2025</t>
        </is>
      </c>
      <c r="D134" s="15" t="n">
        <v>0.4236256638012328</v>
      </c>
      <c r="E134" s="15" t="n">
        <v>0.4476140073832313</v>
      </c>
      <c r="F134" s="15">
        <f>E134-D134</f>
        <v>0.023988343581998528</v>
      </c>
      <c r="G134" s="14" t="n">
        <v>23994000000</v>
      </c>
      <c r="H134" s="14" t="n">
        <v>23994000000</v>
      </c>
      <c r="I134" s="14" t="n">
        <v>46957000000</v>
      </c>
      <c r="J134" s="14" t="n">
        <v>44440500000</v>
      </c>
      <c r="K134" t="inlineStr">
        <is>
          <t>roic, invested_capital, invested_capital_avg</t>
        </is>
      </c>
    </row>
    <row r="135">
      <c r="A135" t="inlineStr">
        <is>
          <t>엔비디아</t>
        </is>
      </c>
      <c r="B135" t="inlineStr">
        <is>
          <t>NVDA</t>
        </is>
      </c>
      <c r="C135" t="inlineStr">
        <is>
          <t>FY2021</t>
        </is>
      </c>
      <c r="D135" s="15" t="n">
        <v>0.6435669950074214</v>
      </c>
      <c r="E135" s="15" t="n">
        <v>0.666011520335137</v>
      </c>
      <c r="F135" s="15">
        <f>E135-D135</f>
        <v>0.02244452532771557</v>
      </c>
      <c r="G135" s="14" t="n">
        <v>10041000000</v>
      </c>
      <c r="H135" s="14" t="n">
        <v>10041000000</v>
      </c>
      <c r="I135" s="14" t="n">
        <v>14822000000</v>
      </c>
      <c r="J135" s="14" t="n">
        <v>14322500000</v>
      </c>
      <c r="K135" t="inlineStr">
        <is>
          <t>roic, invested_capital_avg</t>
        </is>
      </c>
    </row>
    <row r="136">
      <c r="A136" t="inlineStr">
        <is>
          <t>비자</t>
        </is>
      </c>
      <c r="B136" t="inlineStr">
        <is>
          <t>V</t>
        </is>
      </c>
      <c r="C136" t="inlineStr">
        <is>
          <t>FY2022</t>
        </is>
      </c>
      <c r="D136" s="15" t="n">
        <v>0.3675704123106781</v>
      </c>
      <c r="E136" s="15" t="n">
        <v>0.3900137221783964</v>
      </c>
      <c r="F136" s="15">
        <f>E136-D136</f>
        <v>0.02244330986771831</v>
      </c>
      <c r="G136" s="14" t="n">
        <v>18813000000</v>
      </c>
      <c r="H136" s="14" t="n">
        <v>18813000000</v>
      </c>
      <c r="I136" s="14" t="n">
        <v>42210500000</v>
      </c>
      <c r="J136" s="14" t="n">
        <v>39781500000</v>
      </c>
      <c r="K136" t="inlineStr">
        <is>
          <t>roic, invested_capital, invested_capital_avg</t>
        </is>
      </c>
    </row>
    <row r="137">
      <c r="A137" t="inlineStr">
        <is>
          <t>홈디포</t>
        </is>
      </c>
      <c r="B137" t="inlineStr">
        <is>
          <t>HD</t>
        </is>
      </c>
      <c r="C137" t="inlineStr">
        <is>
          <t>FY2019</t>
        </is>
      </c>
      <c r="D137" s="15" t="n">
        <v>0.4893675407571522</v>
      </c>
      <c r="E137" s="15" t="n">
        <v>0.4675076117928553</v>
      </c>
      <c r="F137" s="15">
        <f>E137-D137</f>
        <v>-0.021859928964296893</v>
      </c>
      <c r="G137" s="14" t="n">
        <v>15843000000</v>
      </c>
      <c r="H137" s="14" t="n">
        <v>15843000000</v>
      </c>
      <c r="I137" s="14" t="n">
        <v>24733500000</v>
      </c>
      <c r="J137" s="14" t="n">
        <v>25890000000</v>
      </c>
      <c r="K137" t="inlineStr">
        <is>
          <t>roic, invested_capital, invested_capital_avg</t>
        </is>
      </c>
    </row>
    <row r="138">
      <c r="A138" t="inlineStr">
        <is>
          <t>IBM</t>
        </is>
      </c>
      <c r="B138" t="inlineStr">
        <is>
          <t>IBM</t>
        </is>
      </c>
      <c r="C138" t="inlineStr">
        <is>
          <t>FY2017</t>
        </is>
      </c>
      <c r="D138" s="15" t="n">
        <v>0.1603318283922336</v>
      </c>
      <c r="E138" s="15" t="n">
        <v>0.1386319493855887</v>
      </c>
      <c r="F138" s="15">
        <f>E138-D138</f>
        <v>-0.021699879006644884</v>
      </c>
      <c r="G138" s="14" t="n">
        <v>12015000000</v>
      </c>
      <c r="H138" s="14" t="n">
        <v>12015000000</v>
      </c>
      <c r="I138" s="14" t="n">
        <v>44963000000</v>
      </c>
      <c r="J138" s="14" t="n">
        <v>52001000000</v>
      </c>
      <c r="K138" t="inlineStr">
        <is>
          <t>roic, invested_capital, invested_capital_avg</t>
        </is>
      </c>
    </row>
    <row r="139">
      <c r="A139" t="inlineStr">
        <is>
          <t>마스터카드</t>
        </is>
      </c>
      <c r="B139" t="inlineStr">
        <is>
          <t>MA</t>
        </is>
      </c>
      <c r="C139" t="inlineStr">
        <is>
          <t>FY2022</t>
        </is>
      </c>
      <c r="D139" s="15" t="n">
        <v>0.7659314809947526</v>
      </c>
      <c r="E139" s="15" t="n">
        <v>0.7875487573446671</v>
      </c>
      <c r="F139" s="15">
        <f>E139-D139</f>
        <v>0.021617276349914505</v>
      </c>
      <c r="G139" s="14" t="n">
        <v>12264000000</v>
      </c>
      <c r="H139" s="14" t="n">
        <v>12264000000</v>
      </c>
      <c r="I139" s="14" t="n">
        <v>13552500000</v>
      </c>
      <c r="J139" s="14" t="n">
        <v>13180500000</v>
      </c>
      <c r="K139" t="inlineStr">
        <is>
          <t>roic, invested_capital, invested_capital_avg</t>
        </is>
      </c>
    </row>
    <row r="140">
      <c r="A140" t="inlineStr">
        <is>
          <t>머크</t>
        </is>
      </c>
      <c r="B140" t="inlineStr">
        <is>
          <t>MRK</t>
        </is>
      </c>
      <c r="C140" t="inlineStr">
        <is>
          <t>FY2021</t>
        </is>
      </c>
      <c r="D140" s="15" t="n">
        <v>0.2201910056303898</v>
      </c>
      <c r="E140" s="15" t="n">
        <v>0.1986204728493904</v>
      </c>
      <c r="F140" s="15">
        <f>E140-D140</f>
        <v>-0.02157053278099938</v>
      </c>
      <c r="G140" s="14" t="n">
        <v>13879000000</v>
      </c>
      <c r="H140" s="14" t="n">
        <v>12538000000</v>
      </c>
      <c r="I140" s="14" t="n">
        <v>56124000000</v>
      </c>
      <c r="J140" s="14" t="n">
        <v>56207500000</v>
      </c>
      <c r="K140" t="inlineStr">
        <is>
          <t>roic, ebit, nopat, invested_capital, invested_capital_avg</t>
        </is>
      </c>
    </row>
    <row r="141">
      <c r="A141" t="inlineStr">
        <is>
          <t>GE 버노바</t>
        </is>
      </c>
      <c r="B141" t="inlineStr">
        <is>
          <t>GEV</t>
        </is>
      </c>
      <c r="C141" t="inlineStr">
        <is>
          <t>FY2025</t>
        </is>
      </c>
      <c r="D141" s="15" t="n">
        <v>0.4425574760865917</v>
      </c>
      <c r="E141" s="15" t="n">
        <v>0.4220870678617157</v>
      </c>
      <c r="F141" s="15">
        <f>E141-D141</f>
        <v>-0.020470408224876002</v>
      </c>
      <c r="G141" s="14" t="n">
        <v>1388000000</v>
      </c>
      <c r="H141" s="14" t="n">
        <v>1388000000</v>
      </c>
      <c r="I141" s="14" t="n">
        <v>2979500000</v>
      </c>
      <c r="J141" s="14" t="n">
        <v>3124000000</v>
      </c>
      <c r="K141" t="inlineStr">
        <is>
          <t>roic, invested_capital, invested_capital_avg</t>
        </is>
      </c>
    </row>
    <row r="142">
      <c r="A142" t="inlineStr">
        <is>
          <t>KLA</t>
        </is>
      </c>
      <c r="B142" t="inlineStr">
        <is>
          <t>KLAC</t>
        </is>
      </c>
      <c r="C142" t="inlineStr">
        <is>
          <t>FY2019</t>
        </is>
      </c>
      <c r="D142" s="15" t="n">
        <v>0.4218562158896038</v>
      </c>
      <c r="E142" s="15" t="n">
        <v>0.4420926405853845</v>
      </c>
      <c r="F142" s="15">
        <f>E142-D142</f>
        <v>0.020236424695780686</v>
      </c>
      <c r="G142" s="14" t="n">
        <v>1296231000</v>
      </c>
      <c r="H142" s="14" t="n">
        <v>1301981000</v>
      </c>
      <c r="I142" s="14" t="n">
        <v>2785349500</v>
      </c>
      <c r="J142" s="14" t="n">
        <v>2669642500</v>
      </c>
      <c r="K142" t="inlineStr">
        <is>
          <t>roic, ebit, nopat, invested_capital, invested_capital_avg</t>
        </is>
      </c>
    </row>
    <row r="143">
      <c r="A143" t="inlineStr">
        <is>
          <t>애브비</t>
        </is>
      </c>
      <c r="B143" t="inlineStr">
        <is>
          <t>ABBV</t>
        </is>
      </c>
      <c r="C143" t="inlineStr">
        <is>
          <t>FY2017</t>
        </is>
      </c>
      <c r="D143" s="15" t="n">
        <v>0.2126110984963641</v>
      </c>
      <c r="E143" s="15" t="n">
        <v>0.1936512273159883</v>
      </c>
      <c r="F143" s="15">
        <f>E143-D143</f>
        <v>-0.018959871180375787</v>
      </c>
      <c r="G143" s="14" t="n">
        <v>9545000000</v>
      </c>
      <c r="H143" s="14" t="n">
        <v>9545000000</v>
      </c>
      <c r="I143" s="14" t="n">
        <v>30845500000</v>
      </c>
      <c r="J143" s="14" t="n">
        <v>33865500000</v>
      </c>
      <c r="K143" t="inlineStr">
        <is>
          <t>roic, invested_capital, invested_capital_avg</t>
        </is>
      </c>
    </row>
    <row r="144">
      <c r="A144" t="inlineStr">
        <is>
          <t>애브비</t>
        </is>
      </c>
      <c r="B144" t="inlineStr">
        <is>
          <t>ABBV</t>
        </is>
      </c>
      <c r="C144" t="inlineStr">
        <is>
          <t>FY2024</t>
        </is>
      </c>
      <c r="D144" s="15" t="n">
        <v>0.1609700689859803</v>
      </c>
      <c r="E144" s="15" t="n">
        <v>0.1423920799875327</v>
      </c>
      <c r="F144" s="15">
        <f>E144-D144</f>
        <v>-0.018577988998447592</v>
      </c>
      <c r="G144" s="14" t="n">
        <v>9137000000</v>
      </c>
      <c r="H144" s="14" t="n">
        <v>9137000000</v>
      </c>
      <c r="I144" s="14" t="n">
        <v>53924000000</v>
      </c>
      <c r="J144" s="14" t="n">
        <v>60959500000</v>
      </c>
      <c r="K144" t="inlineStr">
        <is>
          <t>roic, invested_capital, invested_capital_avg</t>
        </is>
      </c>
    </row>
    <row r="145">
      <c r="A145" t="inlineStr">
        <is>
          <t>마스터카드</t>
        </is>
      </c>
      <c r="B145" t="inlineStr">
        <is>
          <t>MA</t>
        </is>
      </c>
      <c r="C145" t="inlineStr">
        <is>
          <t>FY2025</t>
        </is>
      </c>
      <c r="D145" s="15" t="n">
        <v>0.9386567966380026</v>
      </c>
      <c r="E145" s="15" t="n">
        <v>0.9570363793863911</v>
      </c>
      <c r="F145" s="15">
        <f>E145-D145</f>
        <v>0.018379582748388468</v>
      </c>
      <c r="G145" s="14" t="n">
        <v>18897000000</v>
      </c>
      <c r="H145" s="14" t="n">
        <v>18897000000</v>
      </c>
      <c r="I145" s="14" t="n">
        <v>16220000000</v>
      </c>
      <c r="J145" s="14" t="n">
        <v>15908500000</v>
      </c>
      <c r="K145" t="inlineStr">
        <is>
          <t>roic, invested_capital, invested_capital_avg</t>
        </is>
      </c>
    </row>
    <row r="146">
      <c r="A146" t="inlineStr">
        <is>
          <t>애브비</t>
        </is>
      </c>
      <c r="B146" t="inlineStr">
        <is>
          <t>ABBV</t>
        </is>
      </c>
      <c r="C146" t="inlineStr">
        <is>
          <t>FY2025</t>
        </is>
      </c>
      <c r="D146" s="15" t="n">
        <v>0.1742513463927235</v>
      </c>
      <c r="E146" s="15" t="n">
        <v>0.156060688833527</v>
      </c>
      <c r="F146" s="15">
        <f>E146-D146</f>
        <v>-0.018190657559196494</v>
      </c>
      <c r="G146" s="14" t="n">
        <v>15075000000</v>
      </c>
      <c r="H146" s="14" t="n">
        <v>15075000000</v>
      </c>
      <c r="I146" s="14" t="n">
        <v>55511500000</v>
      </c>
      <c r="J146" s="14" t="n">
        <v>61982000000</v>
      </c>
      <c r="K146" t="inlineStr">
        <is>
          <t>roic, invested_capital, invested_capital_avg</t>
        </is>
      </c>
    </row>
    <row r="147">
      <c r="A147" t="inlineStr">
        <is>
          <t>홈디포</t>
        </is>
      </c>
      <c r="B147" t="inlineStr">
        <is>
          <t>HD</t>
        </is>
      </c>
      <c r="C147" t="inlineStr">
        <is>
          <t>FY2017</t>
        </is>
      </c>
      <c r="D147" s="15" t="n">
        <v>0.3852754887407122</v>
      </c>
      <c r="E147" s="15" t="n">
        <v>0.3678900884274318</v>
      </c>
      <c r="F147" s="15">
        <f>E147-D147</f>
        <v>-0.017385400313280397</v>
      </c>
      <c r="G147" s="14" t="n">
        <v>14681000000</v>
      </c>
      <c r="H147" s="14" t="n">
        <v>14681000000</v>
      </c>
      <c r="I147" s="14" t="n">
        <v>24007000000</v>
      </c>
      <c r="J147" s="14" t="n">
        <v>25141500000</v>
      </c>
      <c r="K147" t="inlineStr">
        <is>
          <t>roic, invested_capital, invested_capital_avg</t>
        </is>
      </c>
    </row>
    <row r="148">
      <c r="A148" t="inlineStr">
        <is>
          <t>브로드컴</t>
        </is>
      </c>
      <c r="B148" t="inlineStr">
        <is>
          <t>AVGO</t>
        </is>
      </c>
      <c r="C148" t="inlineStr">
        <is>
          <t>FY2016</t>
        </is>
      </c>
      <c r="D148" s="15" t="n"/>
      <c r="E148" s="15" t="n">
        <v>-0.01720592150806752</v>
      </c>
      <c r="F148" s="15" t="inlineStr">
        <is>
          <t>—</t>
        </is>
      </c>
      <c r="G148" s="14" t="n">
        <v>-409000000</v>
      </c>
      <c r="H148" s="14" t="n">
        <v>-409000000</v>
      </c>
      <c r="I148" s="14" t="n"/>
      <c r="J148" s="14" t="n">
        <v>18779000000</v>
      </c>
      <c r="K148" t="inlineStr">
        <is>
          <t>roic, invested_capital, invested_capital_avg</t>
        </is>
      </c>
    </row>
    <row r="149">
      <c r="A149" t="inlineStr">
        <is>
          <t>일라이 릴리</t>
        </is>
      </c>
      <c r="B149" t="inlineStr">
        <is>
          <t>LLY</t>
        </is>
      </c>
      <c r="C149" t="inlineStr">
        <is>
          <t>FY2023</t>
        </is>
      </c>
      <c r="D149" s="15" t="n">
        <v>0.1949417435911878</v>
      </c>
      <c r="E149" s="15" t="n">
        <v>0.1781275237137371</v>
      </c>
      <c r="F149" s="15">
        <f>E149-D149</f>
        <v>-0.016814219877450687</v>
      </c>
      <c r="G149" s="14" t="n">
        <v>7040000000</v>
      </c>
      <c r="H149" s="14" t="n">
        <v>6457000000</v>
      </c>
      <c r="I149" s="14" t="n">
        <v>28873050000</v>
      </c>
      <c r="J149" s="14" t="n">
        <v>28981750000</v>
      </c>
      <c r="K149" t="inlineStr">
        <is>
          <t>roic, ebit, nopat, invested_capital, invested_capital_avg</t>
        </is>
      </c>
    </row>
    <row r="150">
      <c r="A150" t="inlineStr">
        <is>
          <t>머크</t>
        </is>
      </c>
      <c r="B150" t="inlineStr">
        <is>
          <t>MRK</t>
        </is>
      </c>
      <c r="C150" t="inlineStr">
        <is>
          <t>FY2024</t>
        </is>
      </c>
      <c r="D150" s="15" t="n">
        <v>0.2694495409749763</v>
      </c>
      <c r="E150" s="15" t="n">
        <v>0.252721054429741</v>
      </c>
      <c r="F150" s="15">
        <f>E150-D150</f>
        <v>-0.016728486545235288</v>
      </c>
      <c r="G150" s="14" t="n">
        <v>21207000000</v>
      </c>
      <c r="H150" s="14" t="n">
        <v>19912000000</v>
      </c>
      <c r="I150" s="14" t="n">
        <v>67639000000</v>
      </c>
      <c r="J150" s="14" t="n">
        <v>67712500000</v>
      </c>
      <c r="K150" t="inlineStr">
        <is>
          <t>roic, ebit, nopat, invested_capital, invested_capital_avg</t>
        </is>
      </c>
    </row>
    <row r="151">
      <c r="A151" t="inlineStr">
        <is>
          <t>월마트</t>
        </is>
      </c>
      <c r="B151" t="inlineStr">
        <is>
          <t>WMT</t>
        </is>
      </c>
      <c r="C151" t="inlineStr">
        <is>
          <t>FY2021</t>
        </is>
      </c>
      <c r="D151" s="15" t="n">
        <v>0.1856583205586782</v>
      </c>
      <c r="E151" s="15" t="n">
        <v>0.1690080629999136</v>
      </c>
      <c r="F151" s="15">
        <f>E151-D151</f>
        <v>-0.016650257558764592</v>
      </c>
      <c r="G151" s="14" t="n">
        <v>25942000000</v>
      </c>
      <c r="H151" s="14" t="n">
        <v>25942000000</v>
      </c>
      <c r="I151" s="14" t="n">
        <v>104184500000</v>
      </c>
      <c r="J151" s="14" t="n">
        <v>114448500000</v>
      </c>
      <c r="K151" t="inlineStr">
        <is>
          <t>roic, invested_capital, invested_capital_avg</t>
        </is>
      </c>
    </row>
    <row r="152">
      <c r="A152" t="inlineStr">
        <is>
          <t>존슨앤드존슨</t>
        </is>
      </c>
      <c r="B152" t="inlineStr">
        <is>
          <t>JNJ</t>
        </is>
      </c>
      <c r="C152" t="inlineStr">
        <is>
          <t>FY2018</t>
        </is>
      </c>
      <c r="D152" s="15" t="n">
        <v>0.208139439954282</v>
      </c>
      <c r="E152" s="15" t="n">
        <v>0.2243867822030606</v>
      </c>
      <c r="F152" s="15">
        <f>E152-D152</f>
        <v>0.016247342248778607</v>
      </c>
      <c r="G152" s="14" t="n">
        <v>17999000000</v>
      </c>
      <c r="H152" s="14" t="n">
        <v>19404000000</v>
      </c>
      <c r="I152" s="14" t="n">
        <v>73494000000</v>
      </c>
      <c r="J152" s="14" t="n">
        <v>73494000000</v>
      </c>
      <c r="K152" t="inlineStr">
        <is>
          <t>roic, ebit, nopat</t>
        </is>
      </c>
    </row>
    <row r="153">
      <c r="A153" t="inlineStr">
        <is>
          <t>월마트</t>
        </is>
      </c>
      <c r="B153" t="inlineStr">
        <is>
          <t>WMT</t>
        </is>
      </c>
      <c r="C153" t="inlineStr">
        <is>
          <t>FY2023</t>
        </is>
      </c>
      <c r="D153" s="15" t="n">
        <v>0.1879144316191633</v>
      </c>
      <c r="E153" s="15" t="n">
        <v>0.1719060137958447</v>
      </c>
      <c r="F153" s="15">
        <f>E153-D153</f>
        <v>-0.016008417823318605</v>
      </c>
      <c r="G153" s="14" t="n">
        <v>27012000000</v>
      </c>
      <c r="H153" s="14" t="n">
        <v>27012000000</v>
      </c>
      <c r="I153" s="14" t="n">
        <v>107046500000</v>
      </c>
      <c r="J153" s="14" t="n">
        <v>117015000000</v>
      </c>
      <c r="K153" t="inlineStr">
        <is>
          <t>roic, invested_capital, invested_capital_avg</t>
        </is>
      </c>
    </row>
    <row r="154">
      <c r="A154" t="inlineStr">
        <is>
          <t>일라이 릴리</t>
        </is>
      </c>
      <c r="B154" t="inlineStr">
        <is>
          <t>LLY</t>
        </is>
      </c>
      <c r="C154" t="inlineStr">
        <is>
          <t>FY2018</t>
        </is>
      </c>
      <c r="D154" s="15" t="n">
        <v>0.2105762675613896</v>
      </c>
      <c r="E154" s="15" t="n">
        <v>0.1947219061533151</v>
      </c>
      <c r="F154" s="15">
        <f>E154-D154</f>
        <v>-0.015854361408074502</v>
      </c>
      <c r="G154" s="14" t="n">
        <v>3680100000</v>
      </c>
      <c r="H154" s="14" t="n">
        <v>3534500000</v>
      </c>
      <c r="I154" s="14" t="n">
        <v>14961800000</v>
      </c>
      <c r="J154" s="14" t="n">
        <v>15539850000</v>
      </c>
      <c r="K154" t="inlineStr">
        <is>
          <t>roic, ebit, nopat, invested_capital, invested_capital_avg</t>
        </is>
      </c>
    </row>
    <row r="155">
      <c r="A155" t="inlineStr">
        <is>
          <t>제너럴 일렉트릭</t>
        </is>
      </c>
      <c r="B155" t="inlineStr">
        <is>
          <t>GE</t>
        </is>
      </c>
      <c r="C155" t="inlineStr">
        <is>
          <t>FY2022</t>
        </is>
      </c>
      <c r="D155" s="15" t="n">
        <v>0.02891952548893876</v>
      </c>
      <c r="E155" s="15" t="n">
        <v>0.01317584568406933</v>
      </c>
      <c r="F155" s="15">
        <f>E155-D155</f>
        <v>-0.01574367980486943</v>
      </c>
      <c r="G155" s="14" t="n">
        <v>1522000000</v>
      </c>
      <c r="H155" s="14" t="n">
        <v>711000000</v>
      </c>
      <c r="I155" s="14" t="n">
        <v>46785000000</v>
      </c>
      <c r="J155" s="14" t="n">
        <v>47970500000</v>
      </c>
      <c r="K155" t="inlineStr">
        <is>
          <t>roic, ebit, nopat, invested_capital, invested_capital_avg</t>
        </is>
      </c>
    </row>
    <row r="156">
      <c r="A156" t="inlineStr">
        <is>
          <t>델 테크놀로지스</t>
        </is>
      </c>
      <c r="B156" t="inlineStr">
        <is>
          <t>DELL</t>
        </is>
      </c>
      <c r="C156" t="inlineStr">
        <is>
          <t>FY2016</t>
        </is>
      </c>
      <c r="D156" s="15" t="n">
        <v>-0.06097135660541867</v>
      </c>
      <c r="E156" s="15" t="n">
        <v>-0.07635390970963236</v>
      </c>
      <c r="F156" s="15">
        <f>E156-D156</f>
        <v>-0.015382553104213693</v>
      </c>
      <c r="G156" s="14" t="n">
        <v>-2390000000</v>
      </c>
      <c r="H156" s="14" t="n">
        <v>-3252000000</v>
      </c>
      <c r="I156" s="14" t="n">
        <v>30967000000</v>
      </c>
      <c r="J156" s="14" t="n">
        <v>33647000000</v>
      </c>
      <c r="K156" t="inlineStr">
        <is>
          <t>roic, ebit, nopat, invested_capital, invested_capital_avg</t>
        </is>
      </c>
    </row>
    <row r="157">
      <c r="A157" t="inlineStr">
        <is>
          <t>머크</t>
        </is>
      </c>
      <c r="B157" t="inlineStr">
        <is>
          <t>MRK</t>
        </is>
      </c>
      <c r="C157" t="inlineStr">
        <is>
          <t>FY2020</t>
        </is>
      </c>
      <c r="D157" s="15" t="n">
        <v>0.0995586665345968</v>
      </c>
      <c r="E157" s="15" t="n">
        <v>0.08428894261064304</v>
      </c>
      <c r="F157" s="15">
        <f>E157-D157</f>
        <v>-0.01526972392395376</v>
      </c>
      <c r="G157" s="14" t="n">
        <v>5863000000</v>
      </c>
      <c r="H157" s="14" t="n">
        <v>4973000000</v>
      </c>
      <c r="I157" s="14" t="n">
        <v>45430500000</v>
      </c>
      <c r="J157" s="14" t="n">
        <v>45515000000</v>
      </c>
      <c r="K157" t="inlineStr">
        <is>
          <t>roic, ebit, nopat, invested_capital, invested_capital_avg</t>
        </is>
      </c>
    </row>
    <row r="158">
      <c r="A158" t="inlineStr">
        <is>
          <t>애브비</t>
        </is>
      </c>
      <c r="B158" t="inlineStr">
        <is>
          <t>ABBV</t>
        </is>
      </c>
      <c r="C158" t="inlineStr">
        <is>
          <t>FY2023</t>
        </is>
      </c>
      <c r="D158" s="15" t="n">
        <v>0.1701704507309729</v>
      </c>
      <c r="E158" s="15" t="n">
        <v>0.1550547996414513</v>
      </c>
      <c r="F158" s="15">
        <f>E158-D158</f>
        <v>-0.015115651089521592</v>
      </c>
      <c r="G158" s="14" t="n">
        <v>12757000000</v>
      </c>
      <c r="H158" s="14" t="n">
        <v>12757000000</v>
      </c>
      <c r="I158" s="14" t="n">
        <v>58449500000</v>
      </c>
      <c r="J158" s="14" t="n">
        <v>64147500000</v>
      </c>
      <c r="K158" t="inlineStr">
        <is>
          <t>roic, invested_capital, invested_capital_avg</t>
        </is>
      </c>
    </row>
    <row r="159">
      <c r="A159" t="inlineStr">
        <is>
          <t>테슬라</t>
        </is>
      </c>
      <c r="B159" t="inlineStr">
        <is>
          <t>TSLA</t>
        </is>
      </c>
      <c r="C159" t="inlineStr">
        <is>
          <t>FY2017</t>
        </is>
      </c>
      <c r="D159" s="15" t="n">
        <v>-0.1366873658701948</v>
      </c>
      <c r="E159" s="15" t="n">
        <v>-0.1216079952201176</v>
      </c>
      <c r="F159" s="15">
        <f>E159-D159</f>
        <v>0.015079370650077209</v>
      </c>
      <c r="G159" s="14" t="n">
        <v>-1632000000</v>
      </c>
      <c r="H159" s="14" t="n">
        <v>-1632000000</v>
      </c>
      <c r="I159" s="14" t="n">
        <v>9432327500</v>
      </c>
      <c r="J159" s="14" t="n">
        <v>10601934500</v>
      </c>
      <c r="K159" t="inlineStr">
        <is>
          <t>roic, invested_capital, invested_capital_avg</t>
        </is>
      </c>
    </row>
    <row r="160">
      <c r="A160" t="inlineStr">
        <is>
          <t>테슬라</t>
        </is>
      </c>
      <c r="B160" t="inlineStr">
        <is>
          <t>TSLA</t>
        </is>
      </c>
      <c r="C160" t="inlineStr">
        <is>
          <t>FY2021</t>
        </is>
      </c>
      <c r="D160" s="15" t="n">
        <v>0.3758564973463601</v>
      </c>
      <c r="E160" s="15" t="n">
        <v>0.3906554911843288</v>
      </c>
      <c r="F160" s="15">
        <f>E160-D160</f>
        <v>0.014798993837968677</v>
      </c>
      <c r="G160" s="14" t="n">
        <v>6523000000</v>
      </c>
      <c r="H160" s="14" t="n">
        <v>6523000000</v>
      </c>
      <c r="I160" s="14" t="n">
        <v>15442500000</v>
      </c>
      <c r="J160" s="14" t="n">
        <v>14857500000</v>
      </c>
      <c r="K160" t="inlineStr">
        <is>
          <t>roic, invested_capital, invested_capital_avg</t>
        </is>
      </c>
    </row>
    <row r="161">
      <c r="A161" t="inlineStr">
        <is>
          <t>코스트코</t>
        </is>
      </c>
      <c r="B161" t="inlineStr">
        <is>
          <t>COST</t>
        </is>
      </c>
      <c r="C161" t="inlineStr">
        <is>
          <t>FY2021</t>
        </is>
      </c>
      <c r="D161" s="15" t="n">
        <v>0.4005253040330522</v>
      </c>
      <c r="E161" s="15" t="n">
        <v>0.385742642683171</v>
      </c>
      <c r="F161" s="15">
        <f>E161-D161</f>
        <v>-0.01478266134988121</v>
      </c>
      <c r="G161" s="14" t="n">
        <v>6708000000</v>
      </c>
      <c r="H161" s="14" t="n">
        <v>6708000000</v>
      </c>
      <c r="I161" s="14" t="n">
        <v>12734000000</v>
      </c>
      <c r="J161" s="14" t="n">
        <v>13222000000</v>
      </c>
      <c r="K161" t="inlineStr">
        <is>
          <t>roic, invested_capital, invested_capital_avg</t>
        </is>
      </c>
    </row>
    <row r="162">
      <c r="A162" t="inlineStr">
        <is>
          <t>인텔</t>
        </is>
      </c>
      <c r="B162" t="inlineStr">
        <is>
          <t>INTC</t>
        </is>
      </c>
      <c r="C162" t="inlineStr">
        <is>
          <t>FY2016</t>
        </is>
      </c>
      <c r="D162" s="15" t="n">
        <v>0.1266029265357496</v>
      </c>
      <c r="E162" s="15" t="n">
        <v>0.1410623075748823</v>
      </c>
      <c r="F162" s="15">
        <f>E162-D162</f>
        <v>0.014459381039132718</v>
      </c>
      <c r="G162" s="14" t="n">
        <v>13133000000</v>
      </c>
      <c r="H162" s="14" t="n">
        <v>13133000000</v>
      </c>
      <c r="I162" s="14" t="n">
        <v>82724000000</v>
      </c>
      <c r="J162" s="14" t="n">
        <v>74244500000</v>
      </c>
      <c r="K162" t="inlineStr">
        <is>
          <t>roic, invested_capital_avg</t>
        </is>
      </c>
    </row>
    <row r="163">
      <c r="A163" t="inlineStr">
        <is>
          <t>IBM</t>
        </is>
      </c>
      <c r="B163" t="inlineStr">
        <is>
          <t>IBM</t>
        </is>
      </c>
      <c r="C163" t="inlineStr">
        <is>
          <t>FY2018</t>
        </is>
      </c>
      <c r="D163" s="15" t="n">
        <v>0.1944030268140607</v>
      </c>
      <c r="E163" s="15" t="n">
        <v>0.1806791910052657</v>
      </c>
      <c r="F163" s="15">
        <f>E163-D163</f>
        <v>-0.013723835808794993</v>
      </c>
      <c r="G163" s="14" t="n">
        <v>12065000000</v>
      </c>
      <c r="H163" s="14" t="n">
        <v>12065000000</v>
      </c>
      <c r="I163" s="14" t="n">
        <v>47731000000</v>
      </c>
      <c r="J163" s="14" t="n">
        <v>51356500000</v>
      </c>
      <c r="K163" t="inlineStr">
        <is>
          <t>roic, invested_capital, invested_capital_avg</t>
        </is>
      </c>
    </row>
    <row r="164">
      <c r="A164" t="inlineStr">
        <is>
          <t>머크</t>
        </is>
      </c>
      <c r="B164" t="inlineStr">
        <is>
          <t>MRK</t>
        </is>
      </c>
      <c r="C164" t="inlineStr">
        <is>
          <t>FY2025</t>
        </is>
      </c>
      <c r="D164" s="15" t="n">
        <v>0.2474542143031489</v>
      </c>
      <c r="E164" s="15" t="n">
        <v>0.2340488869686558</v>
      </c>
      <c r="F164" s="15">
        <f>E164-D164</f>
        <v>-0.013405327334493095</v>
      </c>
      <c r="G164" s="14" t="n">
        <v>22424000000</v>
      </c>
      <c r="H164" s="14" t="n">
        <v>21218000000</v>
      </c>
      <c r="I164" s="14" t="n">
        <v>78557500000</v>
      </c>
      <c r="J164" s="14" t="n">
        <v>78590000000</v>
      </c>
      <c r="K164" t="inlineStr">
        <is>
          <t>roic, ebit, nopat, invested_capital, invested_capital_avg</t>
        </is>
      </c>
    </row>
    <row r="165">
      <c r="A165" t="inlineStr">
        <is>
          <t>마이크론 테크놀로지</t>
        </is>
      </c>
      <c r="B165" t="inlineStr">
        <is>
          <t>MU</t>
        </is>
      </c>
      <c r="C165" t="inlineStr">
        <is>
          <t>FY2018</t>
        </is>
      </c>
      <c r="D165" s="15" t="n">
        <v>0.5201117318435754</v>
      </c>
      <c r="E165" s="15" t="n">
        <v>0.5071492149392958</v>
      </c>
      <c r="F165" s="15">
        <f>E165-D165</f>
        <v>-0.01296251690427963</v>
      </c>
      <c r="G165" s="14" t="n">
        <v>14994000000</v>
      </c>
      <c r="H165" s="14" t="n">
        <v>14994000000</v>
      </c>
      <c r="I165" s="14" t="n">
        <v>27387000000</v>
      </c>
      <c r="J165" s="14" t="n">
        <v>28087000000</v>
      </c>
      <c r="K165" t="inlineStr">
        <is>
          <t>roic, invested_capital, invested_capital_avg</t>
        </is>
      </c>
    </row>
    <row r="166">
      <c r="A166" t="inlineStr">
        <is>
          <t>어플라이드 머티리얼즈</t>
        </is>
      </c>
      <c r="B166" t="inlineStr">
        <is>
          <t>AMAT</t>
        </is>
      </c>
      <c r="C166" t="inlineStr">
        <is>
          <t>FY2024</t>
        </is>
      </c>
      <c r="D166" s="15" t="n">
        <v>0.4522272682696297</v>
      </c>
      <c r="E166" s="15" t="n">
        <v>0.4393331257331756</v>
      </c>
      <c r="F166" s="15">
        <f>E166-D166</f>
        <v>-0.0128941425364541</v>
      </c>
      <c r="G166" s="14" t="n">
        <v>7867000000</v>
      </c>
      <c r="H166" s="14" t="n">
        <v>7867000000</v>
      </c>
      <c r="I166" s="14" t="n">
        <v>15315500000</v>
      </c>
      <c r="J166" s="14" t="n">
        <v>15765000000</v>
      </c>
      <c r="K166" t="inlineStr">
        <is>
          <t>roic, invested_capital, invested_capital_avg</t>
        </is>
      </c>
    </row>
    <row r="167">
      <c r="A167" t="inlineStr">
        <is>
          <t>월마트</t>
        </is>
      </c>
      <c r="B167" t="inlineStr">
        <is>
          <t>WMT</t>
        </is>
      </c>
      <c r="C167" t="inlineStr">
        <is>
          <t>FY2020</t>
        </is>
      </c>
      <c r="D167" s="15" t="n">
        <v>0.140389500633389</v>
      </c>
      <c r="E167" s="15" t="n">
        <v>0.1277583721047403</v>
      </c>
      <c r="F167" s="15">
        <f>E167-D167</f>
        <v>-0.0126311285286487</v>
      </c>
      <c r="G167" s="14" t="n">
        <v>22548000000</v>
      </c>
      <c r="H167" s="14" t="n">
        <v>22548000000</v>
      </c>
      <c r="I167" s="14" t="n">
        <v>107047500000</v>
      </c>
      <c r="J167" s="14" t="n">
        <v>117631000000</v>
      </c>
      <c r="K167" t="inlineStr">
        <is>
          <t>roic, invested_capital, invested_capital_avg</t>
        </is>
      </c>
    </row>
    <row r="168">
      <c r="A168" t="inlineStr">
        <is>
          <t>월마트</t>
        </is>
      </c>
      <c r="B168" t="inlineStr">
        <is>
          <t>WMT</t>
        </is>
      </c>
      <c r="C168" t="inlineStr">
        <is>
          <t>FY2022</t>
        </is>
      </c>
      <c r="D168" s="15" t="n">
        <v>0.1310693407426426</v>
      </c>
      <c r="E168" s="15" t="n">
        <v>0.1185156930355343</v>
      </c>
      <c r="F168" s="15">
        <f>E168-D168</f>
        <v>-0.01255364770710829</v>
      </c>
      <c r="G168" s="14" t="n">
        <v>20428000000</v>
      </c>
      <c r="H168" s="14" t="n">
        <v>20428000000</v>
      </c>
      <c r="I168" s="14" t="n">
        <v>103428000000</v>
      </c>
      <c r="J168" s="14" t="n">
        <v>114383500000</v>
      </c>
      <c r="K168" t="inlineStr">
        <is>
          <t>roic, invested_capital, invested_capital_avg</t>
        </is>
      </c>
    </row>
    <row r="169">
      <c r="A169" t="inlineStr">
        <is>
          <t>일라이 릴리</t>
        </is>
      </c>
      <c r="B169" t="inlineStr">
        <is>
          <t>LLY</t>
        </is>
      </c>
      <c r="C169" t="inlineStr">
        <is>
          <t>FY2024</t>
        </is>
      </c>
      <c r="D169" s="15" t="n">
        <v>0.2898885805865928</v>
      </c>
      <c r="E169" s="15" t="n">
        <v>0.2774587046104565</v>
      </c>
      <c r="F169" s="15">
        <f>E169-D169</f>
        <v>-0.012429875976136262</v>
      </c>
      <c r="G169" s="14" t="n">
        <v>13461000000</v>
      </c>
      <c r="H169" s="14" t="n">
        <v>12899000000</v>
      </c>
      <c r="I169" s="14" t="n">
        <v>38781350000</v>
      </c>
      <c r="J169" s="14" t="n">
        <v>38827050000</v>
      </c>
      <c r="K169" t="inlineStr">
        <is>
          <t>roic, ebit, nopat, invested_capital, invested_capital_avg</t>
        </is>
      </c>
    </row>
    <row r="170">
      <c r="A170" t="inlineStr">
        <is>
          <t>월마트</t>
        </is>
      </c>
      <c r="B170" t="inlineStr">
        <is>
          <t>WMT</t>
        </is>
      </c>
      <c r="C170" t="inlineStr">
        <is>
          <t>FY2024</t>
        </is>
      </c>
      <c r="D170" s="15" t="n">
        <v>0.1959945032998148</v>
      </c>
      <c r="E170" s="15" t="n">
        <v>0.183971554988624</v>
      </c>
      <c r="F170" s="15">
        <f>E170-D170</f>
        <v>-0.012022948311190801</v>
      </c>
      <c r="G170" s="14" t="n">
        <v>29348000000</v>
      </c>
      <c r="H170" s="14" t="n">
        <v>29348000000</v>
      </c>
      <c r="I170" s="14" t="n">
        <v>114724500000</v>
      </c>
      <c r="J170" s="14" t="n">
        <v>122222000000</v>
      </c>
      <c r="K170" t="inlineStr">
        <is>
          <t>roic, invested_capital, invested_capital_avg</t>
        </is>
      </c>
    </row>
    <row r="171">
      <c r="A171" t="inlineStr">
        <is>
          <t>엑슨모빌</t>
        </is>
      </c>
      <c r="B171" t="inlineStr">
        <is>
          <t>XOM</t>
        </is>
      </c>
      <c r="C171" t="inlineStr">
        <is>
          <t>FY2023</t>
        </is>
      </c>
      <c r="D171" s="15" t="n">
        <v>0.1801205813883532</v>
      </c>
      <c r="E171" s="15" t="n">
        <v>0.1685885391538364</v>
      </c>
      <c r="F171" s="15">
        <f>E171-D171</f>
        <v>-0.011532042234516815</v>
      </c>
      <c r="G171" s="14" t="n">
        <v>53632000000</v>
      </c>
      <c r="H171" s="14" t="n">
        <v>52004000000</v>
      </c>
      <c r="I171" s="14" t="n">
        <v>210719000000</v>
      </c>
      <c r="J171" s="14" t="n">
        <v>218299000000</v>
      </c>
      <c r="K171" t="inlineStr">
        <is>
          <t>roic, ebit, nopat, invested_capital, invested_capital_avg</t>
        </is>
      </c>
    </row>
    <row r="172">
      <c r="A172" t="inlineStr">
        <is>
          <t>IBM</t>
        </is>
      </c>
      <c r="B172" t="inlineStr">
        <is>
          <t>IBM</t>
        </is>
      </c>
      <c r="C172" t="inlineStr">
        <is>
          <t>FY2025</t>
        </is>
      </c>
      <c r="D172" s="15" t="n">
        <v>0.1567377938030595</v>
      </c>
      <c r="E172" s="15" t="n">
        <v>0.145336992795434</v>
      </c>
      <c r="F172" s="15">
        <f>E172-D172</f>
        <v>-0.0114008010076255</v>
      </c>
      <c r="G172" s="14" t="n">
        <v>12263000000</v>
      </c>
      <c r="H172" s="14" t="n">
        <v>12263000000</v>
      </c>
      <c r="I172" s="14" t="n">
        <v>74327000000</v>
      </c>
      <c r="J172" s="14" t="n">
        <v>80157500000</v>
      </c>
      <c r="K172" t="inlineStr">
        <is>
          <t>roic, invested_capital, invested_capital_avg</t>
        </is>
      </c>
    </row>
    <row r="173">
      <c r="A173" t="inlineStr">
        <is>
          <t>엑슨모빌</t>
        </is>
      </c>
      <c r="B173" t="inlineStr">
        <is>
          <t>XOM</t>
        </is>
      </c>
      <c r="C173" t="inlineStr">
        <is>
          <t>FY2022</t>
        </is>
      </c>
      <c r="D173" s="15" t="n">
        <v>0.2795990601486925</v>
      </c>
      <c r="E173" s="15" t="n">
        <v>0.2686306670767161</v>
      </c>
      <c r="F173" s="15">
        <f>E173-D173</f>
        <v>-0.01096839307197639</v>
      </c>
      <c r="G173" s="14" t="n">
        <v>78551000000</v>
      </c>
      <c r="H173" s="14" t="n">
        <v>78105000000</v>
      </c>
      <c r="I173" s="14" t="n">
        <v>208040500000</v>
      </c>
      <c r="J173" s="14" t="n">
        <v>215305500000</v>
      </c>
      <c r="K173" t="inlineStr">
        <is>
          <t>roic, ebit, nopat, invested_capital, invested_capital_avg</t>
        </is>
      </c>
    </row>
    <row r="174">
      <c r="A174" t="inlineStr">
        <is>
          <t>셰브론</t>
        </is>
      </c>
      <c r="B174" t="inlineStr">
        <is>
          <t>CVX</t>
        </is>
      </c>
      <c r="C174" t="inlineStr">
        <is>
          <t>FY2017</t>
        </is>
      </c>
      <c r="D174" s="15" t="n">
        <v>0.05759242586683549</v>
      </c>
      <c r="E174" s="15" t="n">
        <v>0.04666735409362755</v>
      </c>
      <c r="F174" s="15">
        <f>E174-D174</f>
        <v>-0.010925071773207937</v>
      </c>
      <c r="G174" s="14" t="n">
        <v>9528000000</v>
      </c>
      <c r="H174" s="14" t="n">
        <v>9528000000</v>
      </c>
      <c r="I174" s="14" t="n">
        <v>157166500000</v>
      </c>
      <c r="J174" s="14" t="n">
        <v>193960000000</v>
      </c>
      <c r="K174" t="inlineStr">
        <is>
          <t>roic, invested_capital, invested_capital_avg</t>
        </is>
      </c>
    </row>
    <row r="175">
      <c r="A175" t="inlineStr">
        <is>
          <t>IBM</t>
        </is>
      </c>
      <c r="B175" t="inlineStr">
        <is>
          <t>IBM</t>
        </is>
      </c>
      <c r="C175" t="inlineStr">
        <is>
          <t>FY2023</t>
        </is>
      </c>
      <c r="D175" s="15" t="n">
        <v>0.1359120121993919</v>
      </c>
      <c r="E175" s="15" t="n">
        <v>0.1250917157915037</v>
      </c>
      <c r="F175" s="15">
        <f>E175-D175</f>
        <v>-0.010820296407888202</v>
      </c>
      <c r="G175" s="14" t="n">
        <v>10297000000</v>
      </c>
      <c r="H175" s="14" t="n">
        <v>10297000000</v>
      </c>
      <c r="I175" s="14" t="n">
        <v>65509500000</v>
      </c>
      <c r="J175" s="14" t="n">
        <v>71176000000</v>
      </c>
      <c r="K175" t="inlineStr">
        <is>
          <t>roic, invested_capital, invested_capital_avg</t>
        </is>
      </c>
    </row>
    <row r="176">
      <c r="A176" t="inlineStr">
        <is>
          <t>일라이 릴리</t>
        </is>
      </c>
      <c r="B176" t="inlineStr">
        <is>
          <t>LLY</t>
        </is>
      </c>
      <c r="C176" t="inlineStr">
        <is>
          <t>FY2017</t>
        </is>
      </c>
      <c r="D176" s="15" t="n">
        <v>0.07795374793895066</v>
      </c>
      <c r="E176" s="15" t="n">
        <v>0.06747389693499495</v>
      </c>
      <c r="F176" s="15">
        <f>E176-D176</f>
        <v>-0.010479851003955709</v>
      </c>
      <c r="G176" s="14" t="n">
        <v>2304800000</v>
      </c>
      <c r="H176" s="14" t="n">
        <v>2003300000</v>
      </c>
      <c r="I176" s="14" t="n">
        <v>17739750000</v>
      </c>
      <c r="J176" s="14" t="n">
        <v>17814000000</v>
      </c>
      <c r="K176" t="inlineStr">
        <is>
          <t>roic, ebit, nopat, invested_capital, invested_capital_avg</t>
        </is>
      </c>
    </row>
    <row r="177">
      <c r="A177" t="inlineStr">
        <is>
          <t>홈디포</t>
        </is>
      </c>
      <c r="B177" t="inlineStr">
        <is>
          <t>HD</t>
        </is>
      </c>
      <c r="C177" t="inlineStr">
        <is>
          <t>FY2025</t>
        </is>
      </c>
      <c r="D177" s="15" t="n">
        <v>0.2632414802831874</v>
      </c>
      <c r="E177" s="15" t="n">
        <v>0.2532200222093292</v>
      </c>
      <c r="F177" s="15">
        <f>E177-D177</f>
        <v>-0.01002145807385818</v>
      </c>
      <c r="G177" s="14" t="n">
        <v>20890000000</v>
      </c>
      <c r="H177" s="14" t="n">
        <v>20890000000</v>
      </c>
      <c r="I177" s="14" t="n">
        <v>60390000000</v>
      </c>
      <c r="J177" s="14" t="n">
        <v>62780000000</v>
      </c>
      <c r="K177" t="inlineStr">
        <is>
          <t>roic, invested_capital, invested_capital_avg</t>
        </is>
      </c>
    </row>
    <row r="178">
      <c r="A178" t="inlineStr">
        <is>
          <t>델 테크놀로지스</t>
        </is>
      </c>
      <c r="B178" t="inlineStr">
        <is>
          <t>DELL</t>
        </is>
      </c>
      <c r="C178" t="inlineStr">
        <is>
          <t>FY2020</t>
        </is>
      </c>
      <c r="D178" s="15" t="n">
        <v>0.09542338462377169</v>
      </c>
      <c r="E178" s="15" t="n">
        <v>0.08551345937759539</v>
      </c>
      <c r="F178" s="15">
        <f>E178-D178</f>
        <v>-0.009909925246176302</v>
      </c>
      <c r="G178" s="14" t="n">
        <v>3685000000</v>
      </c>
      <c r="H178" s="14" t="n">
        <v>3685000000</v>
      </c>
      <c r="I178" s="14" t="n">
        <v>36686500000</v>
      </c>
      <c r="J178" s="14" t="n">
        <v>40938000000</v>
      </c>
      <c r="K178" t="inlineStr">
        <is>
          <t>roic, invested_capital, invested_capital_avg</t>
        </is>
      </c>
    </row>
    <row r="179">
      <c r="A179" t="inlineStr">
        <is>
          <t>코스트코</t>
        </is>
      </c>
      <c r="B179" t="inlineStr">
        <is>
          <t>COST</t>
        </is>
      </c>
      <c r="C179" t="inlineStr">
        <is>
          <t>FY2020</t>
        </is>
      </c>
      <c r="D179" s="15" t="n">
        <v>0.3260950109632469</v>
      </c>
      <c r="E179" s="15" t="n">
        <v>0.3165276153697618</v>
      </c>
      <c r="F179" s="15">
        <f>E179-D179</f>
        <v>-0.009567395593485073</v>
      </c>
      <c r="G179" s="14" t="n">
        <v>5435000000</v>
      </c>
      <c r="H179" s="14" t="n">
        <v>5435000000</v>
      </c>
      <c r="I179" s="14" t="n">
        <v>12605000000</v>
      </c>
      <c r="J179" s="14" t="n">
        <v>12986000000</v>
      </c>
      <c r="K179" t="inlineStr">
        <is>
          <t>roic, invested_capital, invested_capital_avg</t>
        </is>
      </c>
    </row>
    <row r="180">
      <c r="A180" t="inlineStr">
        <is>
          <t>코카콜라</t>
        </is>
      </c>
      <c r="B180" t="inlineStr">
        <is>
          <t>KO</t>
        </is>
      </c>
      <c r="C180" t="inlineStr">
        <is>
          <t>FY2025</t>
        </is>
      </c>
      <c r="D180" s="15" t="n">
        <v>0.1924650606616844</v>
      </c>
      <c r="E180" s="15" t="n">
        <v>0.182973078070703</v>
      </c>
      <c r="F180" s="15">
        <f>E180-D180</f>
        <v>-0.009491982590981385</v>
      </c>
      <c r="G180" s="14" t="n">
        <v>13762000000</v>
      </c>
      <c r="H180" s="14" t="n">
        <v>13762000000</v>
      </c>
      <c r="I180" s="14" t="n">
        <v>58716500000</v>
      </c>
      <c r="J180" s="14" t="n">
        <v>61762500000</v>
      </c>
      <c r="K180" t="inlineStr">
        <is>
          <t>roic, invested_capital, invested_capital_avg</t>
        </is>
      </c>
    </row>
    <row r="181">
      <c r="A181" t="inlineStr">
        <is>
          <t>어플라이드 머티리얼즈</t>
        </is>
      </c>
      <c r="B181" t="inlineStr">
        <is>
          <t>AMAT</t>
        </is>
      </c>
      <c r="C181" t="inlineStr">
        <is>
          <t>FY2025</t>
        </is>
      </c>
      <c r="D181" s="15" t="n">
        <v>0.3681854829384488</v>
      </c>
      <c r="E181" s="15" t="n">
        <v>0.3586974720125282</v>
      </c>
      <c r="F181" s="15">
        <f>E181-D181</f>
        <v>-0.009488010925920609</v>
      </c>
      <c r="G181" s="14" t="n">
        <v>8289000000</v>
      </c>
      <c r="H181" s="14" t="n">
        <v>8289000000</v>
      </c>
      <c r="I181" s="14" t="n">
        <v>16993500000</v>
      </c>
      <c r="J181" s="14" t="n">
        <v>17443000000</v>
      </c>
      <c r="K181" t="inlineStr">
        <is>
          <t>roic, invested_capital, invested_capital_avg</t>
        </is>
      </c>
    </row>
    <row r="182">
      <c r="A182" t="inlineStr">
        <is>
          <t>월마트</t>
        </is>
      </c>
      <c r="B182" t="inlineStr">
        <is>
          <t>WMT</t>
        </is>
      </c>
      <c r="C182" t="inlineStr">
        <is>
          <t>FY2019</t>
        </is>
      </c>
      <c r="D182" s="15" t="n">
        <v>0.1393876701078894</v>
      </c>
      <c r="E182" s="15" t="n">
        <v>0.130351795757558</v>
      </c>
      <c r="F182" s="15">
        <f>E182-D182</f>
        <v>-0.009035874350331402</v>
      </c>
      <c r="G182" s="14" t="n">
        <v>20568000000</v>
      </c>
      <c r="H182" s="14" t="n">
        <v>20568000000</v>
      </c>
      <c r="I182" s="14" t="n">
        <v>111506000000</v>
      </c>
      <c r="J182" s="14" t="n">
        <v>119235500000</v>
      </c>
      <c r="K182" t="inlineStr">
        <is>
          <t>roic, invested_capital, invested_capital_avg</t>
        </is>
      </c>
    </row>
    <row r="183">
      <c r="A183" t="inlineStr">
        <is>
          <t>코스트코</t>
        </is>
      </c>
      <c r="B183" t="inlineStr">
        <is>
          <t>COST</t>
        </is>
      </c>
      <c r="C183" t="inlineStr">
        <is>
          <t>FY2022</t>
        </is>
      </c>
      <c r="D183" s="15" t="n">
        <v>0.4050664952512179</v>
      </c>
      <c r="E183" s="15" t="n">
        <v>0.3962221294272814</v>
      </c>
      <c r="F183" s="15">
        <f>E183-D183</f>
        <v>-0.008844365823936495</v>
      </c>
      <c r="G183" s="14" t="n">
        <v>7793000000</v>
      </c>
      <c r="H183" s="14" t="n">
        <v>7793000000</v>
      </c>
      <c r="I183" s="14" t="n">
        <v>14515000000</v>
      </c>
      <c r="J183" s="14" t="n">
        <v>14839000000</v>
      </c>
      <c r="K183" t="inlineStr">
        <is>
          <t>roic, invested_capital, invested_capital_avg</t>
        </is>
      </c>
    </row>
    <row r="184">
      <c r="A184" t="inlineStr">
        <is>
          <t>셰브론</t>
        </is>
      </c>
      <c r="B184" t="inlineStr">
        <is>
          <t>CVX</t>
        </is>
      </c>
      <c r="C184" t="inlineStr">
        <is>
          <t>FY2018</t>
        </is>
      </c>
      <c r="D184" s="15" t="n">
        <v>0.08908485389886503</v>
      </c>
      <c r="E184" s="15" t="n">
        <v>0.0802571960475368</v>
      </c>
      <c r="F184" s="15">
        <f>E184-D184</f>
        <v>-0.008827657851328233</v>
      </c>
      <c r="G184" s="14" t="n">
        <v>21323000000</v>
      </c>
      <c r="H184" s="14" t="n">
        <v>21323000000</v>
      </c>
      <c r="I184" s="14" t="n">
        <v>172871500000</v>
      </c>
      <c r="J184" s="14" t="n">
        <v>191886000000</v>
      </c>
      <c r="K184" t="inlineStr">
        <is>
          <t>roic, invested_capital, invested_capital_avg</t>
        </is>
      </c>
    </row>
    <row r="185">
      <c r="A185" t="inlineStr">
        <is>
          <t>RTX</t>
        </is>
      </c>
      <c r="B185" t="inlineStr">
        <is>
          <t>RTX</t>
        </is>
      </c>
      <c r="C185" t="inlineStr">
        <is>
          <t>FY2017</t>
        </is>
      </c>
      <c r="D185" s="15" t="n">
        <v>0.1162605290632028</v>
      </c>
      <c r="E185" s="15" t="n">
        <v>0.1076374950608524</v>
      </c>
      <c r="F185" s="15">
        <f>E185-D185</f>
        <v>-0.0086230340023504</v>
      </c>
      <c r="G185" s="14" t="n">
        <v>8138000000</v>
      </c>
      <c r="H185" s="14" t="n">
        <v>8138000000</v>
      </c>
      <c r="I185" s="14" t="n">
        <v>44363000000</v>
      </c>
      <c r="J185" s="14" t="n">
        <v>47917000000</v>
      </c>
      <c r="K185" t="inlineStr">
        <is>
          <t>roic, invested_capital, invested_capital_avg</t>
        </is>
      </c>
    </row>
    <row r="186">
      <c r="A186" t="inlineStr">
        <is>
          <t>넷플릭스</t>
        </is>
      </c>
      <c r="B186" t="inlineStr">
        <is>
          <t>NFLX</t>
        </is>
      </c>
      <c r="C186" t="inlineStr">
        <is>
          <t>FY2016</t>
        </is>
      </c>
      <c r="D186" s="15" t="n">
        <v>0.07393588798924548</v>
      </c>
      <c r="E186" s="15" t="n">
        <v>0.0825420545829037</v>
      </c>
      <c r="F186" s="15">
        <f>E186-D186</f>
        <v>0.008606166593658218</v>
      </c>
      <c r="G186" s="14" t="n">
        <v>379793000</v>
      </c>
      <c r="H186" s="14" t="n">
        <v>379793000</v>
      </c>
      <c r="I186" s="14" t="n">
        <v>3680996500</v>
      </c>
      <c r="J186" s="14" t="n">
        <v>3297201000</v>
      </c>
      <c r="K186" t="inlineStr">
        <is>
          <t>roic, invested_capital, invested_capital_avg</t>
        </is>
      </c>
    </row>
    <row r="187">
      <c r="A187" t="inlineStr">
        <is>
          <t>프록터앤드갬블</t>
        </is>
      </c>
      <c r="B187" t="inlineStr">
        <is>
          <t>PG</t>
        </is>
      </c>
      <c r="C187" t="inlineStr">
        <is>
          <t>FY2020</t>
        </is>
      </c>
      <c r="D187" s="15" t="n">
        <v>0.1787227851839048</v>
      </c>
      <c r="E187" s="15" t="n">
        <v>0.187234558319661</v>
      </c>
      <c r="F187" s="15">
        <f>E187-D187</f>
        <v>0.008511773135756184</v>
      </c>
      <c r="G187" s="14" t="n">
        <v>15706000000</v>
      </c>
      <c r="H187" s="14" t="n">
        <v>15706000000</v>
      </c>
      <c r="I187" s="14" t="n">
        <v>69424500000</v>
      </c>
      <c r="J187" s="14" t="n">
        <v>66400500000</v>
      </c>
      <c r="K187" t="inlineStr">
        <is>
          <t>roic, tax_rate, nopat, invested_capital_avg</t>
        </is>
      </c>
    </row>
    <row r="188">
      <c r="A188" t="inlineStr">
        <is>
          <t>IBM</t>
        </is>
      </c>
      <c r="B188" t="inlineStr">
        <is>
          <t>IBM</t>
        </is>
      </c>
      <c r="C188" t="inlineStr">
        <is>
          <t>FY2024</t>
        </is>
      </c>
      <c r="D188" s="15" t="n">
        <v>0.1061974766459489</v>
      </c>
      <c r="E188" s="15" t="n">
        <v>0.0977232096989623</v>
      </c>
      <c r="F188" s="15">
        <f>E188-D188</f>
        <v>-0.008474266946986608</v>
      </c>
      <c r="G188" s="14" t="n">
        <v>7509000000</v>
      </c>
      <c r="H188" s="14" t="n">
        <v>7509000000</v>
      </c>
      <c r="I188" s="14" t="n">
        <v>67172500000</v>
      </c>
      <c r="J188" s="14" t="n">
        <v>72997500000</v>
      </c>
      <c r="K188" t="inlineStr">
        <is>
          <t>roic, invested_capital, invested_capital_avg</t>
        </is>
      </c>
    </row>
    <row r="189">
      <c r="A189" t="inlineStr">
        <is>
          <t>RTX</t>
        </is>
      </c>
      <c r="B189" t="inlineStr">
        <is>
          <t>RTX</t>
        </is>
      </c>
      <c r="C189" t="inlineStr">
        <is>
          <t>FY2016</t>
        </is>
      </c>
      <c r="D189" s="15" t="n">
        <v>0.1505160603716998</v>
      </c>
      <c r="E189" s="15" t="n">
        <v>0.1422169806018096</v>
      </c>
      <c r="F189" s="15">
        <f>E189-D189</f>
        <v>-0.008299079769890194</v>
      </c>
      <c r="G189" s="14" t="n">
        <v>8221000000</v>
      </c>
      <c r="H189" s="14" t="n">
        <v>8221000000</v>
      </c>
      <c r="I189" s="14" t="n">
        <v>41624500000</v>
      </c>
      <c r="J189" s="14" t="n">
        <v>44053500000</v>
      </c>
      <c r="K189" t="inlineStr">
        <is>
          <t>roic, invested_capital, invested_capital_avg</t>
        </is>
      </c>
    </row>
    <row r="190">
      <c r="A190" t="inlineStr">
        <is>
          <t>IBM</t>
        </is>
      </c>
      <c r="B190" t="inlineStr">
        <is>
          <t>IBM</t>
        </is>
      </c>
      <c r="C190" t="inlineStr">
        <is>
          <t>FY2021</t>
        </is>
      </c>
      <c r="D190" s="15" t="n">
        <v>0.0861851518202533</v>
      </c>
      <c r="E190" s="15" t="n">
        <v>0.07793964620187305</v>
      </c>
      <c r="F190" s="15">
        <f>E190-D190</f>
        <v>-0.00824550561838025</v>
      </c>
      <c r="G190" s="14" t="n">
        <v>5992000000</v>
      </c>
      <c r="H190" s="14" t="n">
        <v>5992000000</v>
      </c>
      <c r="I190" s="14" t="n">
        <v>66048500000</v>
      </c>
      <c r="J190" s="14" t="n">
        <v>73036000000</v>
      </c>
      <c r="K190" t="inlineStr">
        <is>
          <t>roic, invested_capital, invested_capital_avg</t>
        </is>
      </c>
    </row>
    <row r="191">
      <c r="A191" t="inlineStr">
        <is>
          <t>마이크로소프트</t>
        </is>
      </c>
      <c r="B191" t="inlineStr">
        <is>
          <t>MSFT</t>
        </is>
      </c>
      <c r="C191" t="inlineStr">
        <is>
          <t>FY2024</t>
        </is>
      </c>
      <c r="D191" s="15" t="n">
        <v>0.4708719330658367</v>
      </c>
      <c r="E191" s="15" t="n">
        <v>0.462723392495642</v>
      </c>
      <c r="F191" s="15">
        <f>E191-D191</f>
        <v>-0.008148540570194707</v>
      </c>
      <c r="G191" s="14" t="n">
        <v>109433000000</v>
      </c>
      <c r="H191" s="14" t="n">
        <v>109433000000</v>
      </c>
      <c r="I191" s="14" t="n">
        <v>190034500000</v>
      </c>
      <c r="J191" s="14" t="n">
        <v>193381000000</v>
      </c>
      <c r="K191" t="inlineStr">
        <is>
          <t>roic, invested_capital, invested_capital_avg</t>
        </is>
      </c>
    </row>
    <row r="192">
      <c r="A192" t="inlineStr">
        <is>
          <t>홈디포</t>
        </is>
      </c>
      <c r="B192" t="inlineStr">
        <is>
          <t>HD</t>
        </is>
      </c>
      <c r="C192" t="inlineStr">
        <is>
          <t>FY2020</t>
        </is>
      </c>
      <c r="D192" s="15" t="n">
        <v>0.4784340949324367</v>
      </c>
      <c r="E192" s="15" t="n">
        <v>0.4705192432362583</v>
      </c>
      <c r="F192" s="15">
        <f>E192-D192</f>
        <v>-0.007914851696178393</v>
      </c>
      <c r="G192" s="14" t="n">
        <v>18278000000</v>
      </c>
      <c r="H192" s="14" t="n">
        <v>18278000000</v>
      </c>
      <c r="I192" s="14" t="n">
        <v>28951000000</v>
      </c>
      <c r="J192" s="14" t="n">
        <v>29438000000</v>
      </c>
      <c r="K192" t="inlineStr">
        <is>
          <t>roic, invested_capital_avg</t>
        </is>
      </c>
    </row>
    <row r="193">
      <c r="A193" t="inlineStr">
        <is>
          <t>홈디포</t>
        </is>
      </c>
      <c r="B193" t="inlineStr">
        <is>
          <t>HD</t>
        </is>
      </c>
      <c r="C193" t="inlineStr">
        <is>
          <t>FY2021</t>
        </is>
      </c>
      <c r="D193" s="15" t="n">
        <v>0.5149158272874801</v>
      </c>
      <c r="E193" s="15" t="n">
        <v>0.5071571194704709</v>
      </c>
      <c r="F193" s="15">
        <f>E193-D193</f>
        <v>-0.007758707817009158</v>
      </c>
      <c r="G193" s="14" t="n">
        <v>23040000000</v>
      </c>
      <c r="H193" s="14" t="n">
        <v>23040000000</v>
      </c>
      <c r="I193" s="14" t="n">
        <v>33827000000</v>
      </c>
      <c r="J193" s="14" t="n">
        <v>34344500000</v>
      </c>
      <c r="K193" t="inlineStr">
        <is>
          <t>roic, invested_capital, invested_capital_avg</t>
        </is>
      </c>
    </row>
    <row r="194">
      <c r="A194" t="inlineStr">
        <is>
          <t>애브비</t>
        </is>
      </c>
      <c r="B194" t="inlineStr">
        <is>
          <t>ABBV</t>
        </is>
      </c>
      <c r="C194" t="inlineStr">
        <is>
          <t>FY2016</t>
        </is>
      </c>
      <c r="D194" s="15" t="n">
        <v>0.2342440998153432</v>
      </c>
      <c r="E194" s="15" t="n">
        <v>0.2265317715900211</v>
      </c>
      <c r="F194" s="15">
        <f>E194-D194</f>
        <v>-0.007712328225322085</v>
      </c>
      <c r="G194" s="14" t="n">
        <v>9340000000</v>
      </c>
      <c r="H194" s="14" t="n">
        <v>9340000000</v>
      </c>
      <c r="I194" s="14" t="n">
        <v>30107000000</v>
      </c>
      <c r="J194" s="14" t="n">
        <v>31132000000</v>
      </c>
      <c r="K194" t="inlineStr">
        <is>
          <t>roic, invested_capital, invested_capital_avg</t>
        </is>
      </c>
    </row>
    <row r="195">
      <c r="A195" t="inlineStr">
        <is>
          <t>KLA</t>
        </is>
      </c>
      <c r="B195" t="inlineStr">
        <is>
          <t>KLAC</t>
        </is>
      </c>
      <c r="C195" t="inlineStr">
        <is>
          <t>FY2020</t>
        </is>
      </c>
      <c r="D195" s="15" t="n">
        <v>0.2777921942228186</v>
      </c>
      <c r="E195" s="15" t="n">
        <v>0.2853986733930995</v>
      </c>
      <c r="F195" s="15">
        <f>E195-D195</f>
        <v>0.0076064791702809</v>
      </c>
      <c r="G195" s="14" t="n">
        <v>1316711000</v>
      </c>
      <c r="H195" s="14" t="n">
        <v>1319389000</v>
      </c>
      <c r="I195" s="14" t="n">
        <v>4373863000</v>
      </c>
      <c r="J195" s="14" t="n">
        <v>4265949000</v>
      </c>
      <c r="K195" t="inlineStr">
        <is>
          <t>roic, ebit, nopat, invested_capital, invested_capital_avg</t>
        </is>
      </c>
    </row>
    <row r="196">
      <c r="A196" t="inlineStr">
        <is>
          <t>IBM</t>
        </is>
      </c>
      <c r="B196" t="inlineStr">
        <is>
          <t>IBM</t>
        </is>
      </c>
      <c r="C196" t="inlineStr">
        <is>
          <t>FY2019</t>
        </is>
      </c>
      <c r="D196" s="15" t="n">
        <v>0.1294597674585402</v>
      </c>
      <c r="E196" s="15" t="n">
        <v>0.121884425503819</v>
      </c>
      <c r="F196" s="15">
        <f>E196-D196</f>
        <v>-0.007575341954721204</v>
      </c>
      <c r="G196" s="14" t="n">
        <v>8550000000</v>
      </c>
      <c r="H196" s="14" t="n">
        <v>8550000000</v>
      </c>
      <c r="I196" s="14" t="n">
        <v>62741500000</v>
      </c>
      <c r="J196" s="14" t="n">
        <v>66641000000</v>
      </c>
      <c r="K196" t="inlineStr">
        <is>
          <t>roic, invested_capital, invested_capital_avg</t>
        </is>
      </c>
    </row>
    <row r="197">
      <c r="A197" t="inlineStr">
        <is>
          <t>코스트코</t>
        </is>
      </c>
      <c r="B197" t="inlineStr">
        <is>
          <t>COST</t>
        </is>
      </c>
      <c r="C197" t="inlineStr">
        <is>
          <t>FY2019</t>
        </is>
      </c>
      <c r="D197" s="15" t="n">
        <v>0.2976866184964736</v>
      </c>
      <c r="E197" s="15" t="n">
        <v>0.2901224887718351</v>
      </c>
      <c r="F197" s="15">
        <f>E197-D197</f>
        <v>-0.007564129724638491</v>
      </c>
      <c r="G197" s="14" t="n">
        <v>4737000000</v>
      </c>
      <c r="H197" s="14" t="n">
        <v>4737000000</v>
      </c>
      <c r="I197" s="14" t="n">
        <v>12369500000</v>
      </c>
      <c r="J197" s="14" t="n">
        <v>12692000000</v>
      </c>
      <c r="K197" t="inlineStr">
        <is>
          <t>roic, invested_capital, invested_capital_avg</t>
        </is>
      </c>
    </row>
    <row r="198">
      <c r="A198" t="inlineStr">
        <is>
          <t>엔비디아</t>
        </is>
      </c>
      <c r="B198" t="inlineStr">
        <is>
          <t>NVDA</t>
        </is>
      </c>
      <c r="C198" t="inlineStr">
        <is>
          <t>FY2022</t>
        </is>
      </c>
      <c r="D198" s="15" t="n">
        <v>0.214829487659939</v>
      </c>
      <c r="E198" s="15" t="n">
        <v>0.2222665337321369</v>
      </c>
      <c r="F198" s="15">
        <f>E198-D198</f>
        <v>0.007437046072197889</v>
      </c>
      <c r="G198" s="14" t="n">
        <v>4224000000</v>
      </c>
      <c r="H198" s="14" t="n">
        <v>4224000000</v>
      </c>
      <c r="I198" s="14" t="n">
        <v>18679000000</v>
      </c>
      <c r="J198" s="14" t="n">
        <v>18054000000</v>
      </c>
      <c r="K198" t="inlineStr">
        <is>
          <t>roic, invested_capital, invested_capital_avg</t>
        </is>
      </c>
    </row>
    <row r="199">
      <c r="A199" t="inlineStr">
        <is>
          <t>비자</t>
        </is>
      </c>
      <c r="B199" t="inlineStr">
        <is>
          <t>V</t>
        </is>
      </c>
      <c r="C199" t="inlineStr">
        <is>
          <t>FY2021</t>
        </is>
      </c>
      <c r="D199" s="15" t="n">
        <v>0.2937573616257146</v>
      </c>
      <c r="E199" s="15" t="n">
        <v>0.3011523300782708</v>
      </c>
      <c r="F199" s="15">
        <f>E199-D199</f>
        <v>0.0073949684525562165</v>
      </c>
      <c r="G199" s="14" t="n">
        <v>15804000000</v>
      </c>
      <c r="H199" s="14" t="n">
        <v>15804000000</v>
      </c>
      <c r="I199" s="14" t="n">
        <v>41233000000</v>
      </c>
      <c r="J199" s="14" t="n">
        <v>40220500000</v>
      </c>
      <c r="K199" t="inlineStr">
        <is>
          <t>roic, invested_capital, invested_capital_avg</t>
        </is>
      </c>
    </row>
    <row r="200">
      <c r="A200" t="inlineStr">
        <is>
          <t>코카콜라</t>
        </is>
      </c>
      <c r="B200" t="inlineStr">
        <is>
          <t>KO</t>
        </is>
      </c>
      <c r="C200" t="inlineStr">
        <is>
          <t>FY2024</t>
        </is>
      </c>
      <c r="D200" s="15" t="n">
        <v>0.1493935888403135</v>
      </c>
      <c r="E200" s="15" t="n">
        <v>0.142006029626535</v>
      </c>
      <c r="F200" s="15">
        <f>E200-D200</f>
        <v>-0.007387559213778511</v>
      </c>
      <c r="G200" s="14" t="n">
        <v>9992000000</v>
      </c>
      <c r="H200" s="14" t="n">
        <v>9992000000</v>
      </c>
      <c r="I200" s="14" t="n">
        <v>54428000000</v>
      </c>
      <c r="J200" s="14" t="n">
        <v>57259500000</v>
      </c>
      <c r="K200" t="inlineStr">
        <is>
          <t>roic, invested_capital, invested_capital_avg</t>
        </is>
      </c>
    </row>
    <row r="201">
      <c r="A201" t="inlineStr">
        <is>
          <t>테슬라</t>
        </is>
      </c>
      <c r="B201" t="inlineStr">
        <is>
          <t>TSLA</t>
        </is>
      </c>
      <c r="C201" t="inlineStr">
        <is>
          <t>FY2020</t>
        </is>
      </c>
      <c r="D201" s="15" t="n">
        <v>0.1181542392264034</v>
      </c>
      <c r="E201" s="15" t="n">
        <v>0.1254064443620478</v>
      </c>
      <c r="F201" s="15">
        <f>E201-D201</f>
        <v>0.007252205135644382</v>
      </c>
      <c r="G201" s="14" t="n">
        <v>1994000000</v>
      </c>
      <c r="H201" s="14" t="n">
        <v>1994000000</v>
      </c>
      <c r="I201" s="14" t="n">
        <v>12606000000</v>
      </c>
      <c r="J201" s="14" t="n">
        <v>11877000000</v>
      </c>
      <c r="K201" t="inlineStr">
        <is>
          <t>roic, invested_capital, invested_capital_avg</t>
        </is>
      </c>
    </row>
    <row r="202">
      <c r="A202" t="inlineStr">
        <is>
          <t>머크</t>
        </is>
      </c>
      <c r="B202" t="inlineStr">
        <is>
          <t>MRK</t>
        </is>
      </c>
      <c r="C202" t="inlineStr">
        <is>
          <t>FY2022</t>
        </is>
      </c>
      <c r="D202" s="15" t="n">
        <v>0.242750141575695</v>
      </c>
      <c r="E202" s="15" t="n">
        <v>0.2499771488788752</v>
      </c>
      <c r="F202" s="15">
        <f>E202-D202</f>
        <v>0.007227007303180211</v>
      </c>
      <c r="G202" s="14" t="n">
        <v>17406000000</v>
      </c>
      <c r="H202" s="14" t="n">
        <v>17945000000</v>
      </c>
      <c r="I202" s="14" t="n">
        <v>63340000000</v>
      </c>
      <c r="J202" s="14" t="n">
        <v>63413500000</v>
      </c>
      <c r="K202" t="inlineStr">
        <is>
          <t>roic, ebit, nopat, invested_capital, invested_capital_avg</t>
        </is>
      </c>
    </row>
    <row r="203">
      <c r="A203" t="inlineStr">
        <is>
          <t>홈디포</t>
        </is>
      </c>
      <c r="B203" t="inlineStr">
        <is>
          <t>HD</t>
        </is>
      </c>
      <c r="C203" t="inlineStr">
        <is>
          <t>FY2016</t>
        </is>
      </c>
      <c r="D203" s="15" t="n">
        <v>0.3445278925163506</v>
      </c>
      <c r="E203" s="15" t="n">
        <v>0.3373264497401373</v>
      </c>
      <c r="F203" s="15">
        <f>E203-D203</f>
        <v>-0.007201442776213263</v>
      </c>
      <c r="G203" s="14" t="n">
        <v>13427000000</v>
      </c>
      <c r="H203" s="14" t="n">
        <v>13427000000</v>
      </c>
      <c r="I203" s="14" t="n">
        <v>24826000000</v>
      </c>
      <c r="J203" s="14" t="n">
        <v>25356000000</v>
      </c>
      <c r="K203" t="inlineStr">
        <is>
          <t>roic, invested_capital, invested_capital_avg</t>
        </is>
      </c>
    </row>
    <row r="204">
      <c r="A204" t="inlineStr">
        <is>
          <t>AMD</t>
        </is>
      </c>
      <c r="B204" t="inlineStr">
        <is>
          <t>AMD</t>
        </is>
      </c>
      <c r="C204" t="inlineStr">
        <is>
          <t>FY2017</t>
        </is>
      </c>
      <c r="D204" s="15" t="n">
        <v>0.144985549132948</v>
      </c>
      <c r="E204" s="15" t="n">
        <v>0.1380055020632737</v>
      </c>
      <c r="F204" s="15">
        <f>E204-D204</f>
        <v>-0.006980047069674311</v>
      </c>
      <c r="G204" s="14" t="n">
        <v>127000000</v>
      </c>
      <c r="H204" s="14" t="n">
        <v>127000000</v>
      </c>
      <c r="I204" s="14" t="n">
        <v>692000000</v>
      </c>
      <c r="J204" s="14" t="n">
        <v>727000000</v>
      </c>
      <c r="K204" t="inlineStr">
        <is>
          <t>roic, invested_capital, invested_capital_avg</t>
        </is>
      </c>
    </row>
    <row r="205">
      <c r="A205" t="inlineStr">
        <is>
          <t>테슬라</t>
        </is>
      </c>
      <c r="B205" t="inlineStr">
        <is>
          <t>TSLA</t>
        </is>
      </c>
      <c r="C205" t="inlineStr">
        <is>
          <t>FY2022</t>
        </is>
      </c>
      <c r="D205" s="15" t="n">
        <v>0.591167233088199</v>
      </c>
      <c r="E205" s="15" t="n">
        <v>0.598123801793593</v>
      </c>
      <c r="F205" s="15">
        <f>E205-D205</f>
        <v>0.006956568705394073</v>
      </c>
      <c r="G205" s="14" t="n">
        <v>13656000000</v>
      </c>
      <c r="H205" s="14" t="n">
        <v>13656000000</v>
      </c>
      <c r="I205" s="14" t="n">
        <v>21194000000</v>
      </c>
      <c r="J205" s="14" t="n">
        <v>20947500000</v>
      </c>
      <c r="K205" t="inlineStr">
        <is>
          <t>roic, invested_capital, invested_capital_avg</t>
        </is>
      </c>
    </row>
    <row r="206">
      <c r="A206" t="inlineStr">
        <is>
          <t>KLA</t>
        </is>
      </c>
      <c r="B206" t="inlineStr">
        <is>
          <t>KLAC</t>
        </is>
      </c>
      <c r="C206" t="inlineStr">
        <is>
          <t>FY2021</t>
        </is>
      </c>
      <c r="D206" s="15" t="n">
        <v>0.4364034325269925</v>
      </c>
      <c r="E206" s="15" t="n">
        <v>0.4294669942660146</v>
      </c>
      <c r="F206" s="15">
        <f>E206-D206</f>
        <v>-0.006936438260977895</v>
      </c>
      <c r="G206" s="14" t="n">
        <v>2360454000</v>
      </c>
      <c r="H206" s="14" t="n">
        <v>2331152000</v>
      </c>
      <c r="I206" s="14" t="n">
        <v>4760166500</v>
      </c>
      <c r="J206" s="14" t="n">
        <v>4777003500</v>
      </c>
      <c r="K206" t="inlineStr">
        <is>
          <t>roic, ebit, nopat, invested_capital, invested_capital_avg</t>
        </is>
      </c>
    </row>
    <row r="207">
      <c r="A207" t="inlineStr">
        <is>
          <t>AMD</t>
        </is>
      </c>
      <c r="B207" t="inlineStr">
        <is>
          <t>AMD</t>
        </is>
      </c>
      <c r="C207" t="inlineStr">
        <is>
          <t>FY2019</t>
        </is>
      </c>
      <c r="D207" s="15" t="n">
        <v>0.3717330762639245</v>
      </c>
      <c r="E207" s="15" t="n">
        <v>0.364931650893796</v>
      </c>
      <c r="F207" s="15">
        <f>E207-D207</f>
        <v>-0.006801425370128511</v>
      </c>
      <c r="G207" s="14" t="n">
        <v>631000000</v>
      </c>
      <c r="H207" s="14" t="n">
        <v>631000000</v>
      </c>
      <c r="I207" s="14" t="n">
        <v>1556000000</v>
      </c>
      <c r="J207" s="14" t="n">
        <v>1585000000</v>
      </c>
      <c r="K207" t="inlineStr">
        <is>
          <t>roic, invested_capital_avg</t>
        </is>
      </c>
    </row>
    <row r="208">
      <c r="A208" t="inlineStr">
        <is>
          <t>마이크론 테크놀로지</t>
        </is>
      </c>
      <c r="B208" t="inlineStr">
        <is>
          <t>MU</t>
        </is>
      </c>
      <c r="C208" t="inlineStr">
        <is>
          <t>FY2017</t>
        </is>
      </c>
      <c r="D208" s="15" t="n">
        <v>0.2623588102409639</v>
      </c>
      <c r="E208" s="15" t="n">
        <v>0.2556217901687454</v>
      </c>
      <c r="F208" s="15">
        <f>E208-D208</f>
        <v>-0.006737020072218491</v>
      </c>
      <c r="G208" s="14" t="n">
        <v>5868000000</v>
      </c>
      <c r="H208" s="14" t="n">
        <v>5868000000</v>
      </c>
      <c r="I208" s="14" t="n">
        <v>21248000000</v>
      </c>
      <c r="J208" s="14" t="n">
        <v>21808000000</v>
      </c>
      <c r="K208" t="inlineStr">
        <is>
          <t>roic, invested_capital, invested_capital_avg</t>
        </is>
      </c>
    </row>
    <row r="209">
      <c r="A209" t="inlineStr">
        <is>
          <t>델 테크놀로지스</t>
        </is>
      </c>
      <c r="B209" t="inlineStr">
        <is>
          <t>DELL</t>
        </is>
      </c>
      <c r="C209" t="inlineStr">
        <is>
          <t>FY2021</t>
        </is>
      </c>
      <c r="D209" s="15" t="n">
        <v>0.1620235768215808</v>
      </c>
      <c r="E209" s="15" t="n">
        <v>0.1552952487572618</v>
      </c>
      <c r="F209" s="15">
        <f>E209-D209</f>
        <v>-0.006728328064319</v>
      </c>
      <c r="G209" s="14" t="n">
        <v>4659000000</v>
      </c>
      <c r="H209" s="14" t="n">
        <v>4659000000</v>
      </c>
      <c r="I209" s="14" t="n">
        <v>23992500000</v>
      </c>
      <c r="J209" s="14" t="n">
        <v>25032000000</v>
      </c>
      <c r="K209" t="inlineStr">
        <is>
          <t>roic, invested_capital, invested_capital_avg</t>
        </is>
      </c>
    </row>
    <row r="210">
      <c r="A210" t="inlineStr">
        <is>
          <t>머크</t>
        </is>
      </c>
      <c r="B210" t="inlineStr">
        <is>
          <t>MRK</t>
        </is>
      </c>
      <c r="C210" t="inlineStr">
        <is>
          <t>FY2018</t>
        </is>
      </c>
      <c r="D210" s="15" t="n">
        <v>0.1328984216568847</v>
      </c>
      <c r="E210" s="15" t="n">
        <v>0.126201764293338</v>
      </c>
      <c r="F210" s="15">
        <f>E210-D210</f>
        <v>-0.006696657363546715</v>
      </c>
      <c r="G210" s="14" t="n">
        <v>8701000000</v>
      </c>
      <c r="H210" s="14" t="n">
        <v>8299000000</v>
      </c>
      <c r="I210" s="14" t="n">
        <v>46599500000</v>
      </c>
      <c r="J210" s="14" t="n">
        <v>46805000000</v>
      </c>
      <c r="K210" t="inlineStr">
        <is>
          <t>roic, ebit, nopat, invested_capital, invested_capital_avg</t>
        </is>
      </c>
    </row>
    <row r="211">
      <c r="A211" t="inlineStr">
        <is>
          <t>코스트코</t>
        </is>
      </c>
      <c r="B211" t="inlineStr">
        <is>
          <t>COST</t>
        </is>
      </c>
      <c r="C211" t="inlineStr">
        <is>
          <t>FY2018</t>
        </is>
      </c>
      <c r="D211" s="15" t="n">
        <v>0.2697114958968758</v>
      </c>
      <c r="E211" s="15" t="n">
        <v>0.2630184911791723</v>
      </c>
      <c r="F211" s="15">
        <f>E211-D211</f>
        <v>-0.00669300471770351</v>
      </c>
      <c r="G211" s="14" t="n">
        <v>4480000000</v>
      </c>
      <c r="H211" s="14" t="n">
        <v>4480000000</v>
      </c>
      <c r="I211" s="14" t="n">
        <v>11887500000</v>
      </c>
      <c r="J211" s="14" t="n">
        <v>12190000000</v>
      </c>
      <c r="K211" t="inlineStr">
        <is>
          <t>roic, invested_capital, invested_capital_avg</t>
        </is>
      </c>
    </row>
    <row r="212">
      <c r="A212" t="inlineStr">
        <is>
          <t>램리서치</t>
        </is>
      </c>
      <c r="B212" t="inlineStr">
        <is>
          <t>LRCX</t>
        </is>
      </c>
      <c r="C212" t="inlineStr">
        <is>
          <t>FY2023</t>
        </is>
      </c>
      <c r="D212" s="15" t="n">
        <v>0.5873631078073136</v>
      </c>
      <c r="E212" s="15" t="n">
        <v>0.593982501997783</v>
      </c>
      <c r="F212" s="15">
        <f>E212-D212</f>
        <v>0.006619394190469419</v>
      </c>
      <c r="G212" s="14" t="n">
        <v>5174860000</v>
      </c>
      <c r="H212" s="14" t="n">
        <v>5174860000</v>
      </c>
      <c r="I212" s="14" t="n">
        <v>7778652500</v>
      </c>
      <c r="J212" s="14" t="n">
        <v>7691966500</v>
      </c>
      <c r="K212" t="inlineStr">
        <is>
          <t>roic, invested_capital, invested_capital_avg</t>
        </is>
      </c>
    </row>
    <row r="213">
      <c r="A213" t="inlineStr">
        <is>
          <t>존슨앤드존슨</t>
        </is>
      </c>
      <c r="B213" t="inlineStr">
        <is>
          <t>JNJ</t>
        </is>
      </c>
      <c r="C213" t="inlineStr">
        <is>
          <t>FY2021</t>
        </is>
      </c>
      <c r="D213" s="15" t="n">
        <v>0.2380958750200631</v>
      </c>
      <c r="E213" s="15" t="n">
        <v>0.2446261925850101</v>
      </c>
      <c r="F213" s="15">
        <f>E213-D213</f>
        <v>0.006530317564946986</v>
      </c>
      <c r="G213" s="14" t="n">
        <v>19178000000</v>
      </c>
      <c r="H213" s="14" t="n">
        <v>19704000000</v>
      </c>
      <c r="I213" s="14" t="n">
        <v>74764000000</v>
      </c>
      <c r="J213" s="14" t="n">
        <v>74764000000</v>
      </c>
      <c r="K213" t="inlineStr">
        <is>
          <t>roic, ebit, nopat</t>
        </is>
      </c>
    </row>
    <row r="214">
      <c r="A214" t="inlineStr">
        <is>
          <t>일라이 릴리</t>
        </is>
      </c>
      <c r="B214" t="inlineStr">
        <is>
          <t>LLY</t>
        </is>
      </c>
      <c r="C214" t="inlineStr">
        <is>
          <t>FY2021</t>
        </is>
      </c>
      <c r="D214" s="15" t="n">
        <v>0.2755653416734755</v>
      </c>
      <c r="E214" s="15" t="n">
        <v>0.2820892223176025</v>
      </c>
      <c r="F214" s="15">
        <f>E214-D214</f>
        <v>0.006523880644126956</v>
      </c>
      <c r="G214" s="14" t="n">
        <v>6155500000</v>
      </c>
      <c r="H214" s="14" t="n">
        <v>6357100000</v>
      </c>
      <c r="I214" s="14" t="n">
        <v>20255450000</v>
      </c>
      <c r="J214" s="14" t="n">
        <v>20435050000</v>
      </c>
      <c r="K214" t="inlineStr">
        <is>
          <t>roic, ebit, nopat, invested_capital, invested_capital_avg</t>
        </is>
      </c>
    </row>
    <row r="215">
      <c r="A215" t="inlineStr">
        <is>
          <t>테슬라</t>
        </is>
      </c>
      <c r="B215" t="inlineStr">
        <is>
          <t>TSLA</t>
        </is>
      </c>
      <c r="C215" t="inlineStr">
        <is>
          <t>FY2023</t>
        </is>
      </c>
      <c r="D215" s="15" t="n">
        <v>0.2691623779098485</v>
      </c>
      <c r="E215" s="15" t="n">
        <v>0.2756314449810729</v>
      </c>
      <c r="F215" s="15">
        <f>E215-D215</f>
        <v>0.00646906707122441</v>
      </c>
      <c r="G215" s="14" t="n">
        <v>8891000000</v>
      </c>
      <c r="H215" s="14" t="n">
        <v>8891000000</v>
      </c>
      <c r="I215" s="14" t="n">
        <v>31380500000</v>
      </c>
      <c r="J215" s="14" t="n">
        <v>30644000000</v>
      </c>
      <c r="K215" t="inlineStr">
        <is>
          <t>roic, invested_capital, invested_capital_avg</t>
        </is>
      </c>
    </row>
    <row r="216">
      <c r="A216" t="inlineStr">
        <is>
          <t>팔로알토 네트웍스</t>
        </is>
      </c>
      <c r="B216" t="inlineStr">
        <is>
          <t>PANW</t>
        </is>
      </c>
      <c r="C216" t="inlineStr">
        <is>
          <t>FY2019</t>
        </is>
      </c>
      <c r="D216" s="15" t="n">
        <v>-0.1940036314117113</v>
      </c>
      <c r="E216" s="15" t="n">
        <v>-0.2004643527204503</v>
      </c>
      <c r="F216" s="15">
        <f>E216-D216</f>
        <v>-0.006460721308738981</v>
      </c>
      <c r="G216" s="14" t="n">
        <v>-54100000</v>
      </c>
      <c r="H216" s="14" t="n">
        <v>-54100000</v>
      </c>
      <c r="I216" s="14" t="n">
        <v>220300000</v>
      </c>
      <c r="J216" s="14" t="n">
        <v>213200000</v>
      </c>
      <c r="K216" t="inlineStr">
        <is>
          <t>roic, invested_capital_avg</t>
        </is>
      </c>
    </row>
    <row r="217">
      <c r="A217" t="inlineStr">
        <is>
          <t>월마트</t>
        </is>
      </c>
      <c r="B217" t="inlineStr">
        <is>
          <t>WMT</t>
        </is>
      </c>
      <c r="C217" t="inlineStr">
        <is>
          <t>FY2025</t>
        </is>
      </c>
      <c r="D217" s="15" t="n">
        <v>0.1813605241710845</v>
      </c>
      <c r="E217" s="15" t="n">
        <v>0.1749184742688223</v>
      </c>
      <c r="F217" s="15">
        <f>E217-D217</f>
        <v>-0.006442049902262215</v>
      </c>
      <c r="G217" s="14" t="n">
        <v>29825000000</v>
      </c>
      <c r="H217" s="14" t="n">
        <v>29825000000</v>
      </c>
      <c r="I217" s="14" t="n">
        <v>124277500000</v>
      </c>
      <c r="J217" s="14" t="n">
        <v>128854500000</v>
      </c>
      <c r="K217" t="inlineStr">
        <is>
          <t>roic, invested_capital, invested_capital_avg</t>
        </is>
      </c>
    </row>
    <row r="218">
      <c r="A218" t="inlineStr">
        <is>
          <t>머크</t>
        </is>
      </c>
      <c r="B218" t="inlineStr">
        <is>
          <t>MRK</t>
        </is>
      </c>
      <c r="C218" t="inlineStr">
        <is>
          <t>FY2023</t>
        </is>
      </c>
      <c r="D218" s="15" t="n">
        <v>0.0282253377043082</v>
      </c>
      <c r="E218" s="15" t="n">
        <v>0.02187171072998576</v>
      </c>
      <c r="F218" s="15">
        <f>E218-D218</f>
        <v>-0.006353626974322443</v>
      </c>
      <c r="G218" s="14" t="n">
        <v>3035000000</v>
      </c>
      <c r="H218" s="14" t="n">
        <v>2355000000</v>
      </c>
      <c r="I218" s="14" t="n">
        <v>64516500000</v>
      </c>
      <c r="J218" s="14" t="n">
        <v>64604000000</v>
      </c>
      <c r="K218" t="inlineStr">
        <is>
          <t>roic, ebit, nopat, invested_capital, invested_capital_avg</t>
        </is>
      </c>
    </row>
    <row r="219">
      <c r="A219" t="inlineStr">
        <is>
          <t>홈디포</t>
        </is>
      </c>
      <c r="B219" t="inlineStr">
        <is>
          <t>HD</t>
        </is>
      </c>
      <c r="C219" t="inlineStr">
        <is>
          <t>FY2022</t>
        </is>
      </c>
      <c r="D219" s="15" t="n">
        <v>0.4750988756909436</v>
      </c>
      <c r="E219" s="15" t="n">
        <v>0.4687983140106293</v>
      </c>
      <c r="F219" s="15">
        <f>E219-D219</f>
        <v>-0.006300561680314287</v>
      </c>
      <c r="G219" s="14" t="n">
        <v>24039000000</v>
      </c>
      <c r="H219" s="14" t="n">
        <v>24039000000</v>
      </c>
      <c r="I219" s="14" t="n">
        <v>38505000000</v>
      </c>
      <c r="J219" s="14" t="n">
        <v>39022500000</v>
      </c>
      <c r="K219" t="inlineStr">
        <is>
          <t>roic, invested_capital_avg</t>
        </is>
      </c>
    </row>
    <row r="220">
      <c r="A220" t="inlineStr">
        <is>
          <t>머크</t>
        </is>
      </c>
      <c r="B220" t="inlineStr">
        <is>
          <t>MRK</t>
        </is>
      </c>
      <c r="C220" t="inlineStr">
        <is>
          <t>FY2017</t>
        </is>
      </c>
      <c r="D220" s="15" t="n">
        <v>0.07760246734829478</v>
      </c>
      <c r="E220" s="15" t="n">
        <v>0.07130929117072304</v>
      </c>
      <c r="F220" s="15">
        <f>E220-D220</f>
        <v>-0.006293176177571733</v>
      </c>
      <c r="G220" s="14" t="n">
        <v>6521000000</v>
      </c>
      <c r="H220" s="14" t="n">
        <v>6021000000</v>
      </c>
      <c r="I220" s="14" t="n">
        <v>50418500000</v>
      </c>
      <c r="J220" s="14" t="n">
        <v>50661000000</v>
      </c>
      <c r="K220" t="inlineStr">
        <is>
          <t>roic, ebit, nopat, invested_capital, invested_capital_avg</t>
        </is>
      </c>
    </row>
    <row r="221">
      <c r="A221" t="inlineStr">
        <is>
          <t>마이크론 테크놀로지</t>
        </is>
      </c>
      <c r="B221" t="inlineStr">
        <is>
          <t>MU</t>
        </is>
      </c>
      <c r="C221" t="inlineStr">
        <is>
          <t>FY2019</t>
        </is>
      </c>
      <c r="D221" s="15" t="n">
        <v>0.208144875946942</v>
      </c>
      <c r="E221" s="15" t="n">
        <v>0.2025691139344135</v>
      </c>
      <c r="F221" s="15">
        <f>E221-D221</f>
        <v>-0.00557576201252849</v>
      </c>
      <c r="G221" s="14" t="n">
        <v>7376000000</v>
      </c>
      <c r="H221" s="14" t="n">
        <v>7376000000</v>
      </c>
      <c r="I221" s="14" t="n">
        <v>31952500000</v>
      </c>
      <c r="J221" s="14" t="n">
        <v>32832000000</v>
      </c>
      <c r="K221" t="inlineStr">
        <is>
          <t>roic, invested_capital, invested_capital_avg</t>
        </is>
      </c>
    </row>
    <row r="222">
      <c r="A222" t="inlineStr">
        <is>
          <t>엔비디아</t>
        </is>
      </c>
      <c r="B222" t="inlineStr">
        <is>
          <t>NVDA</t>
        </is>
      </c>
      <c r="C222" t="inlineStr">
        <is>
          <t>FY2025</t>
        </is>
      </c>
      <c r="D222" s="15" t="n">
        <v>1.102711475166163</v>
      </c>
      <c r="E222" s="15" t="n">
        <v>1.108226799212358</v>
      </c>
      <c r="F222" s="15">
        <f>E222-D222</f>
        <v>0.005515324046194925</v>
      </c>
      <c r="G222" s="14" t="n">
        <v>130387000000</v>
      </c>
      <c r="H222" s="14" t="n">
        <v>130387000000</v>
      </c>
      <c r="I222" s="14" t="n">
        <v>100367500000</v>
      </c>
      <c r="J222" s="14" t="n">
        <v>99868000000</v>
      </c>
      <c r="K222" t="inlineStr">
        <is>
          <t>roic, invested_capital, invested_capital_avg</t>
        </is>
      </c>
    </row>
    <row r="223">
      <c r="A223" t="inlineStr">
        <is>
          <t>일라이 릴리</t>
        </is>
      </c>
      <c r="B223" t="inlineStr">
        <is>
          <t>LLY</t>
        </is>
      </c>
      <c r="C223" t="inlineStr">
        <is>
          <t>FY2016</t>
        </is>
      </c>
      <c r="D223" s="15" t="n">
        <v>0.150532135718665</v>
      </c>
      <c r="E223" s="15" t="n">
        <v>0.145133224529515</v>
      </c>
      <c r="F223" s="15">
        <f>E223-D223</f>
        <v>-0.0053989111891500075</v>
      </c>
      <c r="G223" s="14" t="n">
        <v>3374000000</v>
      </c>
      <c r="H223" s="14" t="n">
        <v>3261200000</v>
      </c>
      <c r="I223" s="14" t="n">
        <v>18186150000</v>
      </c>
      <c r="J223" s="14" t="n">
        <v>18232050000</v>
      </c>
      <c r="K223" t="inlineStr">
        <is>
          <t>roic, ebit, nopat, invested_capital, invested_capital_avg</t>
        </is>
      </c>
    </row>
    <row r="224">
      <c r="A224" t="inlineStr">
        <is>
          <t>존슨앤드존슨</t>
        </is>
      </c>
      <c r="B224" t="inlineStr">
        <is>
          <t>JNJ</t>
        </is>
      </c>
      <c r="C224" t="inlineStr">
        <is>
          <t>FY2022</t>
        </is>
      </c>
      <c r="D224" s="15" t="n">
        <v>0.1948651306210971</v>
      </c>
      <c r="E224" s="15" t="n">
        <v>0.2001647476188901</v>
      </c>
      <c r="F224" s="15">
        <f>E224-D224</f>
        <v>0.005299616997793022</v>
      </c>
      <c r="G224" s="14" t="n">
        <v>19635000000</v>
      </c>
      <c r="H224" s="14" t="n">
        <v>20169000000</v>
      </c>
      <c r="I224" s="14" t="n">
        <v>85204500000</v>
      </c>
      <c r="J224" s="14" t="n">
        <v>85204500000</v>
      </c>
      <c r="K224" t="inlineStr">
        <is>
          <t>roic, ebit, nopat</t>
        </is>
      </c>
    </row>
    <row r="225">
      <c r="A225" t="inlineStr">
        <is>
          <t>코스트코</t>
        </is>
      </c>
      <c r="B225" t="inlineStr">
        <is>
          <t>COST</t>
        </is>
      </c>
      <c r="C225" t="inlineStr">
        <is>
          <t>FY2017</t>
        </is>
      </c>
      <c r="D225" s="15" t="n">
        <v>0.2285887121644687</v>
      </c>
      <c r="E225" s="15" t="n">
        <v>0.2234664314323927</v>
      </c>
      <c r="F225" s="15">
        <f>E225-D225</f>
        <v>-0.00512228073207599</v>
      </c>
      <c r="G225" s="14" t="n">
        <v>4111000000</v>
      </c>
      <c r="H225" s="14" t="n">
        <v>4111000000</v>
      </c>
      <c r="I225" s="14" t="n">
        <v>12084500000</v>
      </c>
      <c r="J225" s="14" t="n">
        <v>12361500000</v>
      </c>
      <c r="K225" t="inlineStr">
        <is>
          <t>roic, invested_capital, invested_capital_avg</t>
        </is>
      </c>
    </row>
    <row r="226">
      <c r="A226" t="inlineStr">
        <is>
          <t>마이크로소프트</t>
        </is>
      </c>
      <c r="B226" t="inlineStr">
        <is>
          <t>MSFT</t>
        </is>
      </c>
      <c r="C226" t="inlineStr">
        <is>
          <t>FY2025</t>
        </is>
      </c>
      <c r="D226" s="15" t="n">
        <v>0.3995537995043912</v>
      </c>
      <c r="E226" s="15" t="n">
        <v>0.3945704430699031</v>
      </c>
      <c r="F226" s="15">
        <f>E226-D226</f>
        <v>-0.0049833564344881065</v>
      </c>
      <c r="G226" s="14" t="n">
        <v>128528000000</v>
      </c>
      <c r="H226" s="14" t="n">
        <v>128528000000</v>
      </c>
      <c r="I226" s="14" t="n">
        <v>264968000000</v>
      </c>
      <c r="J226" s="14" t="n">
        <v>268314500000</v>
      </c>
      <c r="K226" t="inlineStr">
        <is>
          <t>roic, invested_capital_avg</t>
        </is>
      </c>
    </row>
    <row r="227">
      <c r="A227" t="inlineStr">
        <is>
          <t>테슬라</t>
        </is>
      </c>
      <c r="B227" t="inlineStr">
        <is>
          <t>TSLA</t>
        </is>
      </c>
      <c r="C227" t="inlineStr">
        <is>
          <t>FY2024</t>
        </is>
      </c>
      <c r="D227" s="15" t="n">
        <v>0.1366115432406782</v>
      </c>
      <c r="E227" s="15" t="n">
        <v>0.1415594696220067</v>
      </c>
      <c r="F227" s="15">
        <f>E227-D227</f>
        <v>0.004947926381328488</v>
      </c>
      <c r="G227" s="14" t="n">
        <v>7076000000</v>
      </c>
      <c r="H227" s="14" t="n">
        <v>7076000000</v>
      </c>
      <c r="I227" s="14" t="n">
        <v>41212500000</v>
      </c>
      <c r="J227" s="14" t="n">
        <v>39772000000</v>
      </c>
      <c r="K227" t="inlineStr">
        <is>
          <t>roic, invested_capital, invested_capital_avg</t>
        </is>
      </c>
    </row>
    <row r="228">
      <c r="A228" t="inlineStr">
        <is>
          <t>일라이 릴리</t>
        </is>
      </c>
      <c r="B228" t="inlineStr">
        <is>
          <t>LLY</t>
        </is>
      </c>
      <c r="C228" t="inlineStr">
        <is>
          <t>FY2025</t>
        </is>
      </c>
      <c r="D228" s="15" t="n">
        <v>0.4019814953559566</v>
      </c>
      <c r="E228" s="15" t="n">
        <v>0.3970914553437115</v>
      </c>
      <c r="F228" s="15">
        <f>E228-D228</f>
        <v>-0.004890040012245134</v>
      </c>
      <c r="G228" s="14" t="n">
        <v>26626000000</v>
      </c>
      <c r="H228" s="14" t="n">
        <v>26302000000</v>
      </c>
      <c r="I228" s="14" t="n">
        <v>53131600000</v>
      </c>
      <c r="J228" s="14" t="n">
        <v>53131400000</v>
      </c>
      <c r="K228" t="inlineStr">
        <is>
          <t>roic, ebit, nopat, invested_capital_avg</t>
        </is>
      </c>
    </row>
    <row r="229">
      <c r="A229" t="inlineStr">
        <is>
          <t>IBM</t>
        </is>
      </c>
      <c r="B229" t="inlineStr">
        <is>
          <t>IBM</t>
        </is>
      </c>
      <c r="C229" t="inlineStr">
        <is>
          <t>FY2020</t>
        </is>
      </c>
      <c r="D229" s="15" t="n">
        <v>0.05128169270141385</v>
      </c>
      <c r="E229" s="15" t="n">
        <v>0.04647773074095668</v>
      </c>
      <c r="F229" s="15">
        <f>E229-D229</f>
        <v>-0.004803961960457168</v>
      </c>
      <c r="G229" s="14" t="n">
        <v>3860000000</v>
      </c>
      <c r="H229" s="14" t="n">
        <v>3860000000</v>
      </c>
      <c r="I229" s="14" t="n">
        <v>71507000000</v>
      </c>
      <c r="J229" s="14" t="n">
        <v>78898000000</v>
      </c>
      <c r="K229" t="inlineStr">
        <is>
          <t>roic, invested_capital, invested_capital_avg</t>
        </is>
      </c>
    </row>
    <row r="230">
      <c r="A230" t="inlineStr">
        <is>
          <t>프록터앤드갬블</t>
        </is>
      </c>
      <c r="B230" t="inlineStr">
        <is>
          <t>PG</t>
        </is>
      </c>
      <c r="C230" t="inlineStr">
        <is>
          <t>FY2021</t>
        </is>
      </c>
      <c r="D230" s="15" t="n">
        <v>0.2124367762818548</v>
      </c>
      <c r="E230" s="15" t="n">
        <v>0.2077698704004107</v>
      </c>
      <c r="F230" s="15">
        <f>E230-D230</f>
        <v>-0.004666905881444111</v>
      </c>
      <c r="G230" s="14" t="n">
        <v>17986000000</v>
      </c>
      <c r="H230" s="14" t="n">
        <v>17986000000</v>
      </c>
      <c r="I230" s="14" t="n">
        <v>66885500000</v>
      </c>
      <c r="J230" s="14" t="n">
        <v>66885500000</v>
      </c>
      <c r="K230" t="inlineStr">
        <is>
          <t>roic, tax_rate, nopat</t>
        </is>
      </c>
    </row>
    <row r="231">
      <c r="A231" t="inlineStr">
        <is>
          <t>월마트</t>
        </is>
      </c>
      <c r="B231" t="inlineStr">
        <is>
          <t>WMT</t>
        </is>
      </c>
      <c r="C231" t="inlineStr">
        <is>
          <t>FY2016</t>
        </is>
      </c>
      <c r="D231" s="15" t="n">
        <v>0.1437794642841345</v>
      </c>
      <c r="E231" s="15" t="n">
        <v>0.1393639091045424</v>
      </c>
      <c r="F231" s="15">
        <f>E231-D231</f>
        <v>-0.004415555179592079</v>
      </c>
      <c r="G231" s="14" t="n">
        <v>22764000000</v>
      </c>
      <c r="H231" s="14" t="n">
        <v>22764000000</v>
      </c>
      <c r="I231" s="14" t="n">
        <v>110404000000</v>
      </c>
      <c r="J231" s="14" t="n">
        <v>113902000000</v>
      </c>
      <c r="K231" t="inlineStr">
        <is>
          <t>roic, invested_capital, invested_capital_avg</t>
        </is>
      </c>
    </row>
    <row r="232">
      <c r="A232" t="inlineStr">
        <is>
          <t>코스트코</t>
        </is>
      </c>
      <c r="B232" t="inlineStr">
        <is>
          <t>COST</t>
        </is>
      </c>
      <c r="C232" t="inlineStr">
        <is>
          <t>FY2016</t>
        </is>
      </c>
      <c r="D232" s="15" t="n">
        <v>0.2110660438262639</v>
      </c>
      <c r="E232" s="15" t="n">
        <v>0.2067312397704915</v>
      </c>
      <c r="F232" s="15">
        <f>E232-D232</f>
        <v>-0.004334804055772412</v>
      </c>
      <c r="G232" s="14" t="n">
        <v>3672000000</v>
      </c>
      <c r="H232" s="14" t="n">
        <v>3672000000</v>
      </c>
      <c r="I232" s="14" t="n">
        <v>11422000000</v>
      </c>
      <c r="J232" s="14" t="n">
        <v>11661500000</v>
      </c>
      <c r="K232" t="inlineStr">
        <is>
          <t>roic, invested_capital, invested_capital_avg</t>
        </is>
      </c>
    </row>
    <row r="233">
      <c r="A233" t="inlineStr">
        <is>
          <t>엑슨모빌</t>
        </is>
      </c>
      <c r="B233" t="inlineStr">
        <is>
          <t>XOM</t>
        </is>
      </c>
      <c r="C233" t="inlineStr">
        <is>
          <t>FY2024</t>
        </is>
      </c>
      <c r="D233" s="15" t="n">
        <v>0.1439098075658095</v>
      </c>
      <c r="E233" s="15" t="n">
        <v>0.1397945964366885</v>
      </c>
      <c r="F233" s="15">
        <f>E233-D233</f>
        <v>-0.004115211129120999</v>
      </c>
      <c r="G233" s="14" t="n">
        <v>49869000000</v>
      </c>
      <c r="H233" s="14" t="n">
        <v>49869000000</v>
      </c>
      <c r="I233" s="14" t="n">
        <v>248611000000</v>
      </c>
      <c r="J233" s="14" t="n">
        <v>255929500000</v>
      </c>
      <c r="K233" t="inlineStr">
        <is>
          <t>roic, invested_capital, invested_capital_avg</t>
        </is>
      </c>
    </row>
    <row r="234">
      <c r="A234" t="inlineStr">
        <is>
          <t>RTX</t>
        </is>
      </c>
      <c r="B234" t="inlineStr">
        <is>
          <t>RTX</t>
        </is>
      </c>
      <c r="C234" t="inlineStr">
        <is>
          <t>FY2025</t>
        </is>
      </c>
      <c r="D234" s="15" t="n">
        <v>0.08171332786274636</v>
      </c>
      <c r="E234" s="15" t="n">
        <v>0.07775174574958096</v>
      </c>
      <c r="F234" s="15">
        <f>E234-D234</f>
        <v>-0.003961582113165399</v>
      </c>
      <c r="G234" s="14" t="n">
        <v>9300000000</v>
      </c>
      <c r="H234" s="14" t="n">
        <v>9300000000</v>
      </c>
      <c r="I234" s="14" t="n">
        <v>92126500000</v>
      </c>
      <c r="J234" s="14" t="n">
        <v>96820500000</v>
      </c>
      <c r="K234" t="inlineStr">
        <is>
          <t>roic, invested_capital, invested_capital_avg</t>
        </is>
      </c>
    </row>
    <row r="235">
      <c r="A235" t="inlineStr">
        <is>
          <t>델 테크놀로지스</t>
        </is>
      </c>
      <c r="B235" t="inlineStr">
        <is>
          <t>DELL</t>
        </is>
      </c>
      <c r="C235" t="inlineStr">
        <is>
          <t>FY2017</t>
        </is>
      </c>
      <c r="D235" s="15" t="n">
        <v>-0.03793758696084278</v>
      </c>
      <c r="E235" s="15" t="n">
        <v>-0.03416032788645679</v>
      </c>
      <c r="F235" s="15">
        <f>E235-D235</f>
        <v>0.0037772590743859955</v>
      </c>
      <c r="G235" s="14" t="n">
        <v>-2416000000</v>
      </c>
      <c r="H235" s="14" t="n">
        <v>-2416000000</v>
      </c>
      <c r="I235" s="14" t="n">
        <v>50310000000</v>
      </c>
      <c r="J235" s="14" t="n">
        <v>55873000000</v>
      </c>
      <c r="K235" t="inlineStr">
        <is>
          <t>roic, invested_capital, invested_capital_avg</t>
        </is>
      </c>
    </row>
    <row r="236">
      <c r="A236" t="inlineStr">
        <is>
          <t>RTX</t>
        </is>
      </c>
      <c r="B236" t="inlineStr">
        <is>
          <t>RTX</t>
        </is>
      </c>
      <c r="C236" t="inlineStr">
        <is>
          <t>FY2019</t>
        </is>
      </c>
      <c r="D236" s="15" t="n">
        <v>0.05725612563302471</v>
      </c>
      <c r="E236" s="15" t="n">
        <v>0.05352406726221755</v>
      </c>
      <c r="F236" s="15">
        <f>E236-D236</f>
        <v>-0.003732058370807159</v>
      </c>
      <c r="G236" s="14" t="n">
        <v>4914000000</v>
      </c>
      <c r="H236" s="14" t="n">
        <v>4914000000</v>
      </c>
      <c r="I236" s="14" t="n">
        <v>77122500000</v>
      </c>
      <c r="J236" s="14" t="n">
        <v>82500000000</v>
      </c>
      <c r="K236" t="inlineStr">
        <is>
          <t>roic, invested_capital, invested_capital_avg</t>
        </is>
      </c>
    </row>
    <row r="237">
      <c r="A237" t="inlineStr">
        <is>
          <t>엑슨모빌</t>
        </is>
      </c>
      <c r="B237" t="inlineStr">
        <is>
          <t>XOM</t>
        </is>
      </c>
      <c r="C237" t="inlineStr">
        <is>
          <t>FY2021</t>
        </is>
      </c>
      <c r="D237" s="15" t="n">
        <v>0.113110943663462</v>
      </c>
      <c r="E237" s="15" t="n">
        <v>0.1094100910356589</v>
      </c>
      <c r="F237" s="15">
        <f>E237-D237</f>
        <v>-0.0037008526278031056</v>
      </c>
      <c r="G237" s="14" t="n">
        <v>32181000000</v>
      </c>
      <c r="H237" s="14" t="n">
        <v>32148000000</v>
      </c>
      <c r="I237" s="14" t="n">
        <v>214952500000</v>
      </c>
      <c r="J237" s="14" t="n">
        <v>221995500000</v>
      </c>
      <c r="K237" t="inlineStr">
        <is>
          <t>roic, ebit, nopat, invested_capital, invested_capital_avg</t>
        </is>
      </c>
    </row>
    <row r="238">
      <c r="A238" t="inlineStr">
        <is>
          <t>테슬라</t>
        </is>
      </c>
      <c r="B238" t="inlineStr">
        <is>
          <t>TSLA</t>
        </is>
      </c>
      <c r="C238" t="inlineStr">
        <is>
          <t>FY2018</t>
        </is>
      </c>
      <c r="D238" s="15" t="n">
        <v>-0.02740691689352271</v>
      </c>
      <c r="E238" s="15" t="n">
        <v>-0.02377889936867844</v>
      </c>
      <c r="F238" s="15">
        <f>E238-D238</f>
        <v>0.0036280175248442695</v>
      </c>
      <c r="G238" s="14" t="n">
        <v>-388000000</v>
      </c>
      <c r="H238" s="14" t="n">
        <v>-388000000</v>
      </c>
      <c r="I238" s="14" t="n">
        <v>11184038000</v>
      </c>
      <c r="J238" s="14" t="n">
        <v>12890420000</v>
      </c>
      <c r="K238" t="inlineStr">
        <is>
          <t>roic, invested_capital, invested_capital_avg</t>
        </is>
      </c>
    </row>
    <row r="239">
      <c r="A239" t="inlineStr">
        <is>
          <t>존슨앤드존슨</t>
        </is>
      </c>
      <c r="B239" t="inlineStr">
        <is>
          <t>JNJ</t>
        </is>
      </c>
      <c r="C239" t="inlineStr">
        <is>
          <t>FY2016</t>
        </is>
      </c>
      <c r="D239" s="15" t="n">
        <v>0.3054929629492815</v>
      </c>
      <c r="E239" s="15" t="n">
        <v>0.3087325489826779</v>
      </c>
      <c r="F239" s="15">
        <f>E239-D239</f>
        <v>0.0032395860333963578</v>
      </c>
      <c r="G239" s="14" t="n">
        <v>19803000000</v>
      </c>
      <c r="H239" s="14" t="n">
        <v>20013000000</v>
      </c>
      <c r="I239" s="14" t="n">
        <v>54142000000</v>
      </c>
      <c r="J239" s="14" t="n">
        <v>54142000000</v>
      </c>
      <c r="K239" t="inlineStr">
        <is>
          <t>roic, ebit, nopat</t>
        </is>
      </c>
    </row>
    <row r="240">
      <c r="A240" t="inlineStr">
        <is>
          <t>월마트</t>
        </is>
      </c>
      <c r="B240" t="inlineStr">
        <is>
          <t>WMT</t>
        </is>
      </c>
      <c r="C240" t="inlineStr">
        <is>
          <t>FY2017</t>
        </is>
      </c>
      <c r="D240" s="15" t="n">
        <v>0.1326179948439705</v>
      </c>
      <c r="E240" s="15" t="n">
        <v>0.1294031301719744</v>
      </c>
      <c r="F240" s="15">
        <f>E240-D240</f>
        <v>-0.0032148646719960816</v>
      </c>
      <c r="G240" s="14" t="n">
        <v>20437000000</v>
      </c>
      <c r="H240" s="14" t="n">
        <v>20437000000</v>
      </c>
      <c r="I240" s="14" t="n">
        <v>107230000000</v>
      </c>
      <c r="J240" s="14" t="n">
        <v>109894000000</v>
      </c>
      <c r="K240" t="inlineStr">
        <is>
          <t>roic, invested_capital, invested_capital_avg</t>
        </is>
      </c>
    </row>
    <row r="241">
      <c r="A241" t="inlineStr">
        <is>
          <t>브로드컴</t>
        </is>
      </c>
      <c r="B241" t="inlineStr">
        <is>
          <t>AVGO</t>
        </is>
      </c>
      <c r="C241" t="inlineStr">
        <is>
          <t>FY2025</t>
        </is>
      </c>
      <c r="D241" s="15" t="n">
        <v>0.1890504451038576</v>
      </c>
      <c r="E241" s="15" t="n">
        <v>0.1859353099523446</v>
      </c>
      <c r="F241" s="15">
        <f>E241-D241</f>
        <v>-0.0031151351515129877</v>
      </c>
      <c r="G241" s="14" t="n">
        <v>25484000000</v>
      </c>
      <c r="H241" s="14" t="n">
        <v>25484000000</v>
      </c>
      <c r="I241" s="14" t="n">
        <v>128060000000</v>
      </c>
      <c r="J241" s="14" t="n">
        <v>130205500000</v>
      </c>
      <c r="K241" t="inlineStr">
        <is>
          <t>roic, invested_capital, invested_capital_avg</t>
        </is>
      </c>
    </row>
    <row r="242">
      <c r="A242" t="inlineStr">
        <is>
          <t>넷플릭스</t>
        </is>
      </c>
      <c r="B242" t="inlineStr">
        <is>
          <t>NFLX</t>
        </is>
      </c>
      <c r="C242" t="inlineStr">
        <is>
          <t>FY2017</t>
        </is>
      </c>
      <c r="D242" s="15" t="n">
        <v>0.1346407153348912</v>
      </c>
      <c r="E242" s="15" t="n">
        <v>0.1377388576048832</v>
      </c>
      <c r="F242" s="15">
        <f>E242-D242</f>
        <v>0.003098142269991999</v>
      </c>
      <c r="G242" s="14" t="n">
        <v>838679000</v>
      </c>
      <c r="H242" s="14" t="n">
        <v>838679000</v>
      </c>
      <c r="I242" s="14" t="n">
        <v>5917564000</v>
      </c>
      <c r="J242" s="14" t="n">
        <v>5784461000</v>
      </c>
      <c r="K242" t="inlineStr">
        <is>
          <t>roic, invested_capital_avg</t>
        </is>
      </c>
    </row>
    <row r="243">
      <c r="A243" t="inlineStr">
        <is>
          <t>IBM</t>
        </is>
      </c>
      <c r="B243" t="inlineStr">
        <is>
          <t>IBM</t>
        </is>
      </c>
      <c r="C243" t="inlineStr">
        <is>
          <t>FY2022</t>
        </is>
      </c>
      <c r="D243" s="15" t="n">
        <v>0.0349467284936648</v>
      </c>
      <c r="E243" s="15" t="n">
        <v>0.03204288690285747</v>
      </c>
      <c r="F243" s="15">
        <f>E243-D243</f>
        <v>-0.002903841590807331</v>
      </c>
      <c r="G243" s="14" t="n">
        <v>2372000000</v>
      </c>
      <c r="H243" s="14" t="n">
        <v>2372000000</v>
      </c>
      <c r="I243" s="14" t="n">
        <v>64481000000</v>
      </c>
      <c r="J243" s="14" t="n">
        <v>70324500000</v>
      </c>
      <c r="K243" t="inlineStr">
        <is>
          <t>roic, invested_capital, invested_capital_avg</t>
        </is>
      </c>
    </row>
    <row r="244">
      <c r="A244" t="inlineStr">
        <is>
          <t>월마트</t>
        </is>
      </c>
      <c r="B244" t="inlineStr">
        <is>
          <t>WMT</t>
        </is>
      </c>
      <c r="C244" t="inlineStr">
        <is>
          <t>FY2018</t>
        </is>
      </c>
      <c r="D244" s="15" t="n">
        <v>0.1250806012865259</v>
      </c>
      <c r="E244" s="15" t="n">
        <v>0.1221790882066771</v>
      </c>
      <c r="F244" s="15">
        <f>E244-D244</f>
        <v>-0.0029015130798488026</v>
      </c>
      <c r="G244" s="14" t="n">
        <v>21957000000</v>
      </c>
      <c r="H244" s="14" t="n">
        <v>21957000000</v>
      </c>
      <c r="I244" s="14" t="n">
        <v>109967000000</v>
      </c>
      <c r="J244" s="14" t="n">
        <v>112578500000</v>
      </c>
      <c r="K244" t="inlineStr">
        <is>
          <t>roic, invested_capital, invested_capital_avg</t>
        </is>
      </c>
    </row>
    <row r="245">
      <c r="A245" t="inlineStr">
        <is>
          <t>엑슨모빌</t>
        </is>
      </c>
      <c r="B245" t="inlineStr">
        <is>
          <t>XOM</t>
        </is>
      </c>
      <c r="C245" t="inlineStr">
        <is>
          <t>FY2020</t>
        </is>
      </c>
      <c r="D245" s="15" t="n">
        <v>-0.09608428912036884</v>
      </c>
      <c r="E245" s="15" t="n">
        <v>-0.09333316318392088</v>
      </c>
      <c r="F245" s="15">
        <f>E245-D245</f>
        <v>0.002751125936447968</v>
      </c>
      <c r="G245" s="14" t="n">
        <v>-27725000000</v>
      </c>
      <c r="H245" s="14" t="n">
        <v>-27774000000</v>
      </c>
      <c r="I245" s="14" t="n">
        <v>227953500000</v>
      </c>
      <c r="J245" s="14" t="n">
        <v>235087500000</v>
      </c>
      <c r="K245" t="inlineStr">
        <is>
          <t>roic, ebit, nopat, invested_capital, invested_capital_avg</t>
        </is>
      </c>
    </row>
    <row r="246">
      <c r="A246" t="inlineStr">
        <is>
          <t>셰브론</t>
        </is>
      </c>
      <c r="B246" t="inlineStr">
        <is>
          <t>CVX</t>
        </is>
      </c>
      <c r="C246" t="inlineStr">
        <is>
          <t>FY2022</t>
        </is>
      </c>
      <c r="D246" s="15" t="n">
        <v>0.2124519399226571</v>
      </c>
      <c r="E246" s="15" t="n">
        <v>0.20970839155721</v>
      </c>
      <c r="F246" s="15">
        <f>E246-D246</f>
        <v>-0.0027435483654471016</v>
      </c>
      <c r="G246" s="14" t="n">
        <v>50190000000</v>
      </c>
      <c r="H246" s="14" t="n">
        <v>50190000000</v>
      </c>
      <c r="I246" s="14" t="n">
        <v>169346000000</v>
      </c>
      <c r="J246" s="14" t="n">
        <v>171561500000</v>
      </c>
      <c r="K246" t="inlineStr">
        <is>
          <t>roic, invested_capital, invested_capital_avg</t>
        </is>
      </c>
    </row>
    <row r="247">
      <c r="A247" t="inlineStr">
        <is>
          <t>엑슨모빌</t>
        </is>
      </c>
      <c r="B247" t="inlineStr">
        <is>
          <t>XOM</t>
        </is>
      </c>
      <c r="C247" t="inlineStr">
        <is>
          <t>FY2018</t>
        </is>
      </c>
      <c r="D247" s="15" t="n">
        <v>0.0968299593719771</v>
      </c>
      <c r="E247" s="15" t="n">
        <v>0.09409438106512065</v>
      </c>
      <c r="F247" s="15">
        <f>E247-D247</f>
        <v>-0.0027355783068564454</v>
      </c>
      <c r="G247" s="14" t="n">
        <v>31719000000</v>
      </c>
      <c r="H247" s="14" t="n">
        <v>31655000000</v>
      </c>
      <c r="I247" s="14" t="n">
        <v>226697500000</v>
      </c>
      <c r="J247" s="14" t="n">
        <v>232817500000</v>
      </c>
      <c r="K247" t="inlineStr">
        <is>
          <t>roic, ebit, nopat, invested_capital, invested_capital_avg</t>
        </is>
      </c>
    </row>
    <row r="248">
      <c r="A248" t="inlineStr">
        <is>
          <t>인텔</t>
        </is>
      </c>
      <c r="B248" t="inlineStr">
        <is>
          <t>INTC</t>
        </is>
      </c>
      <c r="C248" t="inlineStr">
        <is>
          <t>FY2024</t>
        </is>
      </c>
      <c r="D248" s="15" t="n">
        <v>-0.0717832563676612</v>
      </c>
      <c r="E248" s="15" t="n">
        <v>-0.06905972797161443</v>
      </c>
      <c r="F248" s="15">
        <f>E248-D248</f>
        <v>0.0027235283960467677</v>
      </c>
      <c r="G248" s="14" t="n">
        <v>-11678000000</v>
      </c>
      <c r="H248" s="14" t="n">
        <v>-11678000000</v>
      </c>
      <c r="I248" s="14" t="n">
        <v>128520500000</v>
      </c>
      <c r="J248" s="14" t="n">
        <v>133589000000</v>
      </c>
      <c r="K248" t="inlineStr">
        <is>
          <t>roic, invested_capital, invested_capital_avg</t>
        </is>
      </c>
    </row>
    <row r="249">
      <c r="A249" t="inlineStr">
        <is>
          <t>머크</t>
        </is>
      </c>
      <c r="B249" t="inlineStr">
        <is>
          <t>MRK</t>
        </is>
      </c>
      <c r="C249" t="inlineStr">
        <is>
          <t>FY2016</t>
        </is>
      </c>
      <c r="D249" s="15" t="n">
        <v>0.07281293302540416</v>
      </c>
      <c r="E249" s="15" t="n">
        <v>0.07545998985636886</v>
      </c>
      <c r="F249" s="15">
        <f>E249-D249</f>
        <v>0.0026470568309646947</v>
      </c>
      <c r="G249" s="14" t="n">
        <v>4659000000</v>
      </c>
      <c r="H249" s="14" t="n">
        <v>4848000000</v>
      </c>
      <c r="I249" s="14" t="n">
        <v>54125000000</v>
      </c>
      <c r="J249" s="14" t="n">
        <v>54345000000</v>
      </c>
      <c r="K249" t="inlineStr">
        <is>
          <t>roic, ebit, nopat, invested_capital, invested_capital_avg</t>
        </is>
      </c>
    </row>
    <row r="250">
      <c r="A250" t="inlineStr">
        <is>
          <t>알파벳</t>
        </is>
      </c>
      <c r="B250" t="inlineStr">
        <is>
          <t>GOOG</t>
        </is>
      </c>
      <c r="C250" t="inlineStr">
        <is>
          <t>FY2021</t>
        </is>
      </c>
      <c r="D250" s="15" t="n">
        <v>0.5770950120344522</v>
      </c>
      <c r="E250" s="15" t="n">
        <v>0.5796586503269808</v>
      </c>
      <c r="F250" s="15">
        <f>E250-D250</f>
        <v>0.0025636382925285917</v>
      </c>
      <c r="G250" s="14" t="n">
        <v>78714000000</v>
      </c>
      <c r="H250" s="14" t="n">
        <v>78714000000</v>
      </c>
      <c r="I250" s="14" t="n">
        <v>114297500000</v>
      </c>
      <c r="J250" s="14" t="n">
        <v>113792000000</v>
      </c>
      <c r="K250" t="inlineStr">
        <is>
          <t>roic, invested_capital, invested_capital_avg</t>
        </is>
      </c>
    </row>
    <row r="251">
      <c r="A251" t="inlineStr">
        <is>
          <t>엑슨모빌</t>
        </is>
      </c>
      <c r="B251" t="inlineStr">
        <is>
          <t>XOM</t>
        </is>
      </c>
      <c r="C251" t="inlineStr">
        <is>
          <t>FY2025</t>
        </is>
      </c>
      <c r="D251" s="15" t="n">
        <v>0.1051076723952396</v>
      </c>
      <c r="E251" s="15" t="n">
        <v>0.1025832059315822</v>
      </c>
      <c r="F251" s="15">
        <f>E251-D251</f>
        <v>-0.002524466463657407</v>
      </c>
      <c r="G251" s="14" t="n">
        <v>41871000000</v>
      </c>
      <c r="H251" s="14" t="n">
        <v>41871000000</v>
      </c>
      <c r="I251" s="14" t="n">
        <v>287314000000</v>
      </c>
      <c r="J251" s="14" t="n">
        <v>294384500000</v>
      </c>
      <c r="K251" t="inlineStr">
        <is>
          <t>roic, invested_capital, invested_capital_avg</t>
        </is>
      </c>
    </row>
    <row r="252">
      <c r="A252" t="inlineStr">
        <is>
          <t>시스코 시스템즈</t>
        </is>
      </c>
      <c r="B252" t="inlineStr">
        <is>
          <t>CSCO</t>
        </is>
      </c>
      <c r="C252" t="inlineStr">
        <is>
          <t>FY2025</t>
        </is>
      </c>
      <c r="D252" s="15" t="n">
        <v>0.1837499858983618</v>
      </c>
      <c r="E252" s="15" t="n">
        <v>0.181338645794897</v>
      </c>
      <c r="F252" s="15">
        <f>E252-D252</f>
        <v>-0.002411340103464804</v>
      </c>
      <c r="G252" s="14" t="n">
        <v>11760000000</v>
      </c>
      <c r="H252" s="14" t="n">
        <v>11760000000</v>
      </c>
      <c r="I252" s="14" t="n">
        <v>58695500000</v>
      </c>
      <c r="J252" s="14" t="n">
        <v>59476000000</v>
      </c>
      <c r="K252" t="inlineStr">
        <is>
          <t>roic, invested_capital, invested_capital_avg</t>
        </is>
      </c>
    </row>
    <row r="253">
      <c r="A253" t="inlineStr">
        <is>
          <t>엑슨모빌</t>
        </is>
      </c>
      <c r="B253" t="inlineStr">
        <is>
          <t>XOM</t>
        </is>
      </c>
      <c r="C253" t="inlineStr">
        <is>
          <t>FY2019</t>
        </is>
      </c>
      <c r="D253" s="15" t="n">
        <v>0.0665993219241519</v>
      </c>
      <c r="E253" s="15" t="n">
        <v>0.06437768857440505</v>
      </c>
      <c r="F253" s="15">
        <f>E253-D253</f>
        <v>-0.0022216333497468432</v>
      </c>
      <c r="G253" s="14" t="n">
        <v>20886000000</v>
      </c>
      <c r="H253" s="14" t="n">
        <v>20802000000</v>
      </c>
      <c r="I253" s="14" t="n">
        <v>231014500000</v>
      </c>
      <c r="J253" s="14" t="n">
        <v>238025500000</v>
      </c>
      <c r="K253" t="inlineStr">
        <is>
          <t>roic, ebit, nopat, invested_capital, invested_capital_avg</t>
        </is>
      </c>
    </row>
    <row r="254">
      <c r="A254" t="inlineStr">
        <is>
          <t>일라이 릴리</t>
        </is>
      </c>
      <c r="B254" t="inlineStr">
        <is>
          <t>LLY</t>
        </is>
      </c>
      <c r="C254" t="inlineStr">
        <is>
          <t>FY2022</t>
        </is>
      </c>
      <c r="D254" s="15" t="n">
        <v>0.28088237846807</v>
      </c>
      <c r="E254" s="15" t="n">
        <v>0.2786614289458904</v>
      </c>
      <c r="F254" s="15">
        <f>E254-D254</f>
        <v>-0.002220949522179605</v>
      </c>
      <c r="G254" s="14" t="n">
        <v>7138000000</v>
      </c>
      <c r="H254" s="14" t="n">
        <v>7127300000</v>
      </c>
      <c r="I254" s="14" t="n">
        <v>23315950000</v>
      </c>
      <c r="J254" s="14" t="n">
        <v>23466550000</v>
      </c>
      <c r="K254" t="inlineStr">
        <is>
          <t>roic, ebit, nopat, invested_capital, invested_capital_avg</t>
        </is>
      </c>
    </row>
    <row r="255">
      <c r="A255" t="inlineStr">
        <is>
          <t>엑슨모빌</t>
        </is>
      </c>
      <c r="B255" t="inlineStr">
        <is>
          <t>XOM</t>
        </is>
      </c>
      <c r="C255" t="inlineStr">
        <is>
          <t>FY2017</t>
        </is>
      </c>
      <c r="D255" s="15" t="n">
        <v>0.08452444971692474</v>
      </c>
      <c r="E255" s="15" t="n">
        <v>0.08231867151890752</v>
      </c>
      <c r="F255" s="15">
        <f>E255-D255</f>
        <v>-0.002205778198017219</v>
      </c>
      <c r="G255" s="14" t="n">
        <v>19275000000</v>
      </c>
      <c r="H255" s="14" t="n">
        <v>19239000000</v>
      </c>
      <c r="I255" s="14" t="n">
        <v>216638500000</v>
      </c>
      <c r="J255" s="14" t="n">
        <v>222028000000</v>
      </c>
      <c r="K255" t="inlineStr">
        <is>
          <t>roic, ebit, nopat, invested_capital, invested_capital_avg</t>
        </is>
      </c>
    </row>
    <row r="256">
      <c r="A256" t="inlineStr">
        <is>
          <t>알파벳</t>
        </is>
      </c>
      <c r="B256" t="inlineStr">
        <is>
          <t>GOOG</t>
        </is>
      </c>
      <c r="C256" t="inlineStr">
        <is>
          <t>FY2020</t>
        </is>
      </c>
      <c r="D256" s="15" t="n">
        <v>0.3680332014520241</v>
      </c>
      <c r="E256" s="15" t="n">
        <v>0.370233436402208</v>
      </c>
      <c r="F256" s="15">
        <f>E256-D256</f>
        <v>0.002200234950183899</v>
      </c>
      <c r="G256" s="14" t="n">
        <v>41224000000</v>
      </c>
      <c r="H256" s="14" t="n">
        <v>41224000000</v>
      </c>
      <c r="I256" s="14" t="n">
        <v>93810500000</v>
      </c>
      <c r="J256" s="14" t="n">
        <v>93253000000</v>
      </c>
      <c r="K256" t="inlineStr">
        <is>
          <t>roic, invested_capital, invested_capital_avg</t>
        </is>
      </c>
    </row>
    <row r="257">
      <c r="A257" t="inlineStr">
        <is>
          <t>프록터앤드갬블</t>
        </is>
      </c>
      <c r="B257" t="inlineStr">
        <is>
          <t>PG</t>
        </is>
      </c>
      <c r="C257" t="inlineStr">
        <is>
          <t>FY2017</t>
        </is>
      </c>
      <c r="D257" s="15" t="n">
        <v>0.1294042456215093</v>
      </c>
      <c r="E257" s="15" t="n">
        <v>0.1314906543244708</v>
      </c>
      <c r="F257" s="15">
        <f>E257-D257</f>
        <v>0.0020864087029615064</v>
      </c>
      <c r="G257" s="14" t="n">
        <v>13766000000</v>
      </c>
      <c r="H257" s="14" t="n">
        <v>13766000000</v>
      </c>
      <c r="I257" s="14" t="n">
        <v>81801000000</v>
      </c>
      <c r="J257" s="14" t="n">
        <v>73235000000</v>
      </c>
      <c r="K257" t="inlineStr">
        <is>
          <t>roic, tax_rate, nopat, invested_capital, invested_capital_avg</t>
        </is>
      </c>
    </row>
    <row r="258">
      <c r="A258" t="inlineStr">
        <is>
          <t>RTX</t>
        </is>
      </c>
      <c r="B258" t="inlineStr">
        <is>
          <t>RTX</t>
        </is>
      </c>
      <c r="C258" t="inlineStr">
        <is>
          <t>FY2024</t>
        </is>
      </c>
      <c r="D258" s="15" t="n">
        <v>0.05637826312006668</v>
      </c>
      <c r="E258" s="15" t="n">
        <v>0.05434751649008004</v>
      </c>
      <c r="F258" s="15">
        <f>E258-D258</f>
        <v>-0.002030746629986639</v>
      </c>
      <c r="G258" s="14" t="n">
        <v>6538000000</v>
      </c>
      <c r="H258" s="14" t="n">
        <v>6538000000</v>
      </c>
      <c r="I258" s="14" t="n">
        <v>93855500000</v>
      </c>
      <c r="J258" s="14" t="n">
        <v>97362500000</v>
      </c>
      <c r="K258" t="inlineStr">
        <is>
          <t>roic, invested_capital, invested_capital_avg</t>
        </is>
      </c>
    </row>
    <row r="259">
      <c r="A259" t="inlineStr">
        <is>
          <t>테슬라</t>
        </is>
      </c>
      <c r="B259" t="inlineStr">
        <is>
          <t>TSLA</t>
        </is>
      </c>
      <c r="C259" t="inlineStr">
        <is>
          <t>FY2025</t>
        </is>
      </c>
      <c r="D259" s="15" t="n">
        <v>0.07032688297890938</v>
      </c>
      <c r="E259" s="15" t="n">
        <v>0.07235699670601066</v>
      </c>
      <c r="F259" s="15">
        <f>E259-D259</f>
        <v>0.002030113727101282</v>
      </c>
      <c r="G259" s="14" t="n">
        <v>4355000000</v>
      </c>
      <c r="H259" s="14" t="n">
        <v>4355000000</v>
      </c>
      <c r="I259" s="14" t="n">
        <v>45229500000</v>
      </c>
      <c r="J259" s="14" t="n">
        <v>43960500000</v>
      </c>
      <c r="K259" t="inlineStr">
        <is>
          <t>roic, invested_capital, invested_capital_avg</t>
        </is>
      </c>
    </row>
    <row r="260">
      <c r="A260" t="inlineStr">
        <is>
          <t>머크</t>
        </is>
      </c>
      <c r="B260" t="inlineStr">
        <is>
          <t>MRK</t>
        </is>
      </c>
      <c r="C260" t="inlineStr">
        <is>
          <t>FY2019</t>
        </is>
      </c>
      <c r="D260" s="15" t="n">
        <v>0.1322887415343229</v>
      </c>
      <c r="E260" s="15" t="n">
        <v>0.1342803332446368</v>
      </c>
      <c r="F260" s="15">
        <f>E260-D260</f>
        <v>0.001991591710313906</v>
      </c>
      <c r="G260" s="14" t="n">
        <v>7171000000</v>
      </c>
      <c r="H260" s="14" t="n">
        <v>7300000000</v>
      </c>
      <c r="I260" s="14" t="n">
        <v>42377000000</v>
      </c>
      <c r="J260" s="14" t="n">
        <v>42499500000</v>
      </c>
      <c r="K260" t="inlineStr">
        <is>
          <t>roic, ebit, nopat, invested_capital, invested_capital_avg</t>
        </is>
      </c>
    </row>
    <row r="261">
      <c r="A261" t="inlineStr">
        <is>
          <t>알파벳</t>
        </is>
      </c>
      <c r="B261" t="inlineStr">
        <is>
          <t>GOOG</t>
        </is>
      </c>
      <c r="C261" t="inlineStr">
        <is>
          <t>FY2019</t>
        </is>
      </c>
      <c r="D261" s="15" t="n">
        <v>0.3731779285596749</v>
      </c>
      <c r="E261" s="15" t="n">
        <v>0.3751575083732948</v>
      </c>
      <c r="F261" s="15">
        <f>E261-D261</f>
        <v>0.0019795798136199028</v>
      </c>
      <c r="G261" s="14" t="n">
        <v>34231000000</v>
      </c>
      <c r="H261" s="14" t="n">
        <v>34231000000</v>
      </c>
      <c r="I261" s="14" t="n">
        <v>79501000000</v>
      </c>
      <c r="J261" s="14" t="n">
        <v>79081500000</v>
      </c>
      <c r="K261" t="inlineStr">
        <is>
          <t>roic, invested_capital, invested_capital_avg</t>
        </is>
      </c>
    </row>
    <row r="262">
      <c r="A262" t="inlineStr">
        <is>
          <t>알파벳</t>
        </is>
      </c>
      <c r="B262" t="inlineStr">
        <is>
          <t>GOOG</t>
        </is>
      </c>
      <c r="C262" t="inlineStr">
        <is>
          <t>FY2022</t>
        </is>
      </c>
      <c r="D262" s="15" t="n">
        <v>0.4414039177037812</v>
      </c>
      <c r="E262" s="15" t="n">
        <v>0.4433226189938993</v>
      </c>
      <c r="F262" s="15">
        <f>E262-D262</f>
        <v>0.0019187012901181189</v>
      </c>
      <c r="G262" s="14" t="n">
        <v>74842000000</v>
      </c>
      <c r="H262" s="14" t="n">
        <v>74842000000</v>
      </c>
      <c r="I262" s="14" t="n">
        <v>142560000000</v>
      </c>
      <c r="J262" s="14" t="n">
        <v>141943000000</v>
      </c>
      <c r="K262" t="inlineStr">
        <is>
          <t>roic, invested_capital, invested_capital_avg</t>
        </is>
      </c>
    </row>
    <row r="263">
      <c r="A263" t="inlineStr">
        <is>
          <t>셰브론</t>
        </is>
      </c>
      <c r="B263" t="inlineStr">
        <is>
          <t>CVX</t>
        </is>
      </c>
      <c r="C263" t="inlineStr">
        <is>
          <t>FY2016</t>
        </is>
      </c>
      <c r="D263" s="15" t="n">
        <v>-0.009978786511058095</v>
      </c>
      <c r="E263" s="15" t="n">
        <v>-0.008065152419243467</v>
      </c>
      <c r="F263" s="15">
        <f>E263-D263</f>
        <v>0.001913634091814628</v>
      </c>
      <c r="G263" s="14" t="n">
        <v>-1959000000</v>
      </c>
      <c r="H263" s="14" t="n">
        <v>-1959000000</v>
      </c>
      <c r="I263" s="14" t="n">
        <v>155090000000</v>
      </c>
      <c r="J263" s="14" t="n">
        <v>191888500000</v>
      </c>
      <c r="K263" t="inlineStr">
        <is>
          <t>roic, invested_capital, invested_capital_avg</t>
        </is>
      </c>
    </row>
    <row r="264">
      <c r="A264" t="inlineStr">
        <is>
          <t>RTX</t>
        </is>
      </c>
      <c r="B264" t="inlineStr">
        <is>
          <t>RTX</t>
        </is>
      </c>
      <c r="C264" t="inlineStr">
        <is>
          <t>FY2018</t>
        </is>
      </c>
      <c r="D264" s="15" t="n">
        <v>0.02797277588721439</v>
      </c>
      <c r="E264" s="15" t="n">
        <v>0.02608045325779037</v>
      </c>
      <c r="F264" s="15">
        <f>E264-D264</f>
        <v>-0.0018923226294240217</v>
      </c>
      <c r="G264" s="14" t="n">
        <v>2877000000</v>
      </c>
      <c r="H264" s="14" t="n">
        <v>2877000000</v>
      </c>
      <c r="I264" s="14" t="n">
        <v>61710000000</v>
      </c>
      <c r="J264" s="14" t="n">
        <v>66187500000</v>
      </c>
      <c r="K264" t="inlineStr">
        <is>
          <t>roic, invested_capital, invested_capital_avg</t>
        </is>
      </c>
    </row>
    <row r="265">
      <c r="A265" t="inlineStr">
        <is>
          <t>셰브론</t>
        </is>
      </c>
      <c r="B265" t="inlineStr">
        <is>
          <t>CVX</t>
        </is>
      </c>
      <c r="C265" t="inlineStr">
        <is>
          <t>FY2023</t>
        </is>
      </c>
      <c r="D265" s="15" t="n">
        <v>0.12633003773372</v>
      </c>
      <c r="E265" s="15" t="n">
        <v>0.1247104172221445</v>
      </c>
      <c r="F265" s="15">
        <f>E265-D265</f>
        <v>-0.0016196205115755063</v>
      </c>
      <c r="G265" s="14" t="n">
        <v>30053000000</v>
      </c>
      <c r="H265" s="14" t="n">
        <v>30053000000</v>
      </c>
      <c r="I265" s="14" t="n">
        <v>172171500000</v>
      </c>
      <c r="J265" s="14" t="n">
        <v>174407500000</v>
      </c>
      <c r="K265" t="inlineStr">
        <is>
          <t>roic, invested_capital, invested_capital_avg</t>
        </is>
      </c>
    </row>
    <row r="266">
      <c r="A266" t="inlineStr">
        <is>
          <t>어플라이드 머티리얼즈</t>
        </is>
      </c>
      <c r="B266" t="inlineStr">
        <is>
          <t>AMAT</t>
        </is>
      </c>
      <c r="C266" t="inlineStr">
        <is>
          <t>FY2023</t>
        </is>
      </c>
      <c r="D266" s="15" t="n">
        <v>0.4532278375413031</v>
      </c>
      <c r="E266" s="15" t="n">
        <v>0.4517226472867739</v>
      </c>
      <c r="F266" s="15">
        <f>E266-D266</f>
        <v>-0.001505190254529165</v>
      </c>
      <c r="G266" s="14" t="n">
        <v>7654000000</v>
      </c>
      <c r="H266" s="14" t="n">
        <v>7654000000</v>
      </c>
      <c r="I266" s="14" t="n">
        <v>15005500000</v>
      </c>
      <c r="J266" s="14" t="n">
        <v>15055500000</v>
      </c>
      <c r="K266" t="inlineStr">
        <is>
          <t>roic, invested_capital, invested_capital_avg</t>
        </is>
      </c>
    </row>
    <row r="267">
      <c r="A267" t="inlineStr">
        <is>
          <t>브로드컴</t>
        </is>
      </c>
      <c r="B267" t="inlineStr">
        <is>
          <t>AVGO</t>
        </is>
      </c>
      <c r="C267" t="inlineStr">
        <is>
          <t>FY2024</t>
        </is>
      </c>
      <c r="D267" s="15" t="n">
        <v>0.09578700635128333</v>
      </c>
      <c r="E267" s="15" t="n">
        <v>0.09453965580007306</v>
      </c>
      <c r="F267" s="15">
        <f>E267-D267</f>
        <v>-0.0012473505512102662</v>
      </c>
      <c r="G267" s="14" t="n">
        <v>13463000000</v>
      </c>
      <c r="H267" s="14" t="n">
        <v>13463000000</v>
      </c>
      <c r="I267" s="14" t="n">
        <v>87426500000</v>
      </c>
      <c r="J267" s="14" t="n">
        <v>88580000000</v>
      </c>
      <c r="K267" t="inlineStr">
        <is>
          <t>roic, invested_capital, invested_capital_avg</t>
        </is>
      </c>
    </row>
    <row r="268">
      <c r="A268" t="inlineStr">
        <is>
          <t>램리서치</t>
        </is>
      </c>
      <c r="B268" t="inlineStr">
        <is>
          <t>LRCX</t>
        </is>
      </c>
      <c r="C268" t="inlineStr">
        <is>
          <t>FY2024</t>
        </is>
      </c>
      <c r="D268" s="15" t="n">
        <v>0.4830764057104455</v>
      </c>
      <c r="E268" s="15" t="n">
        <v>0.4842525839380762</v>
      </c>
      <c r="F268" s="15">
        <f>E268-D268</f>
        <v>0.0011761782276306643</v>
      </c>
      <c r="G268" s="14" t="n">
        <v>4263913000</v>
      </c>
      <c r="H268" s="14" t="n">
        <v>4263913000</v>
      </c>
      <c r="I268" s="14" t="n">
        <v>7748720000</v>
      </c>
      <c r="J268" s="14" t="n">
        <v>7729899500</v>
      </c>
      <c r="K268" t="inlineStr">
        <is>
          <t>roic, invested_capital_avg</t>
        </is>
      </c>
    </row>
    <row r="269">
      <c r="A269" t="inlineStr">
        <is>
          <t>프록터앤드갬블</t>
        </is>
      </c>
      <c r="B269" t="inlineStr">
        <is>
          <t>PG</t>
        </is>
      </c>
      <c r="C269" t="inlineStr">
        <is>
          <t>FY2018</t>
        </is>
      </c>
      <c r="D269" s="15" t="n">
        <v>0.1210320540710706</v>
      </c>
      <c r="E269" s="15" t="n">
        <v>0.1199215837649555</v>
      </c>
      <c r="F269" s="15">
        <f>E269-D269</f>
        <v>-0.001110470306115094</v>
      </c>
      <c r="G269" s="14" t="n">
        <v>13363000000</v>
      </c>
      <c r="H269" s="14" t="n">
        <v>13363000000</v>
      </c>
      <c r="I269" s="14" t="n">
        <v>81700500000</v>
      </c>
      <c r="J269" s="14" t="n">
        <v>72276000000</v>
      </c>
      <c r="K269" t="inlineStr">
        <is>
          <t>roic, tax_rate, nopat, invested_capital, invested_capital_avg</t>
        </is>
      </c>
    </row>
    <row r="270">
      <c r="A270" t="inlineStr">
        <is>
          <t>셰브론</t>
        </is>
      </c>
      <c r="B270" t="inlineStr">
        <is>
          <t>CVX</t>
        </is>
      </c>
      <c r="C270" t="inlineStr">
        <is>
          <t>FY2021</t>
        </is>
      </c>
      <c r="D270" s="15" t="n">
        <v>0.09248897113548681</v>
      </c>
      <c r="E270" s="15" t="n">
        <v>0.09139177431859777</v>
      </c>
      <c r="F270" s="15">
        <f>E270-D270</f>
        <v>-0.0010971968168890373</v>
      </c>
      <c r="G270" s="14" t="n">
        <v>22351000000</v>
      </c>
      <c r="H270" s="14" t="n">
        <v>22351000000</v>
      </c>
      <c r="I270" s="14" t="n">
        <v>175212500000</v>
      </c>
      <c r="J270" s="14" t="n">
        <v>177316000000</v>
      </c>
      <c r="K270" t="inlineStr">
        <is>
          <t>roic, invested_capital, invested_capital_avg</t>
        </is>
      </c>
    </row>
    <row r="271">
      <c r="A271" t="inlineStr">
        <is>
          <t>코스트코</t>
        </is>
      </c>
      <c r="B271" t="inlineStr">
        <is>
          <t>COST</t>
        </is>
      </c>
      <c r="C271" t="inlineStr">
        <is>
          <t>FY2023</t>
        </is>
      </c>
      <c r="D271" s="15" t="n">
        <v>0.3709588866549955</v>
      </c>
      <c r="E271" s="15" t="n">
        <v>0.3698981894541066</v>
      </c>
      <c r="F271" s="15">
        <f>E271-D271</f>
        <v>-0.001060697200888916</v>
      </c>
      <c r="G271" s="14" t="n">
        <v>8114000000</v>
      </c>
      <c r="H271" s="14" t="n">
        <v>8114000000</v>
      </c>
      <c r="I271" s="14" t="n">
        <v>16216000000</v>
      </c>
      <c r="J271" s="14" t="n">
        <v>16262500000</v>
      </c>
      <c r="K271" t="inlineStr">
        <is>
          <t>roic, invested_capital_avg</t>
        </is>
      </c>
    </row>
    <row r="272">
      <c r="A272" t="inlineStr">
        <is>
          <t>엑슨모빌</t>
        </is>
      </c>
      <c r="B272" t="inlineStr">
        <is>
          <t>XOM</t>
        </is>
      </c>
      <c r="C272" t="inlineStr">
        <is>
          <t>FY2016</t>
        </is>
      </c>
      <c r="D272" s="15" t="n">
        <v>0.03881830950723274</v>
      </c>
      <c r="E272" s="15" t="n">
        <v>0.03775972718876548</v>
      </c>
      <c r="F272" s="15">
        <f>E272-D272</f>
        <v>-0.001058582318467255</v>
      </c>
      <c r="G272" s="14" t="n">
        <v>8422000000</v>
      </c>
      <c r="H272" s="14" t="n">
        <v>8392000000</v>
      </c>
      <c r="I272" s="14" t="n">
        <v>206111500000</v>
      </c>
      <c r="J272" s="14" t="n">
        <v>211135000000</v>
      </c>
      <c r="K272" t="inlineStr">
        <is>
          <t>roic, ebit, nopat, invested_capital, invested_capital_avg</t>
        </is>
      </c>
    </row>
    <row r="273">
      <c r="A273" t="inlineStr">
        <is>
          <t>홈디포</t>
        </is>
      </c>
      <c r="B273" t="inlineStr">
        <is>
          <t>HD</t>
        </is>
      </c>
      <c r="C273" t="inlineStr">
        <is>
          <t>FY2024</t>
        </is>
      </c>
      <c r="D273" s="15" t="n">
        <v>0.3303093230841702</v>
      </c>
      <c r="E273" s="15" t="n">
        <v>0.3292630240425339</v>
      </c>
      <c r="F273" s="15">
        <f>E273-D273</f>
        <v>-0.0010462990416363338</v>
      </c>
      <c r="G273" s="14" t="n">
        <v>21526000000</v>
      </c>
      <c r="H273" s="14" t="n">
        <v>21526000000</v>
      </c>
      <c r="I273" s="14" t="n">
        <v>49721500000</v>
      </c>
      <c r="J273" s="14" t="n">
        <v>49879500000</v>
      </c>
      <c r="K273" t="inlineStr">
        <is>
          <t>roic, invested_capital, invested_capital_avg</t>
        </is>
      </c>
    </row>
    <row r="274">
      <c r="A274" t="inlineStr">
        <is>
          <t>셰브론</t>
        </is>
      </c>
      <c r="B274" t="inlineStr">
        <is>
          <t>CVX</t>
        </is>
      </c>
      <c r="C274" t="inlineStr">
        <is>
          <t>FY2025</t>
        </is>
      </c>
      <c r="D274" s="15" t="n">
        <v>0.06517945976852266</v>
      </c>
      <c r="E274" s="15" t="n">
        <v>0.06414406658483826</v>
      </c>
      <c r="F274" s="15">
        <f>E274-D274</f>
        <v>-0.0010353931836843966</v>
      </c>
      <c r="G274" s="14" t="n">
        <v>20960000000</v>
      </c>
      <c r="H274" s="14" t="n">
        <v>20960000000</v>
      </c>
      <c r="I274" s="14" t="n">
        <v>203355500000</v>
      </c>
      <c r="J274" s="14" t="n">
        <v>206638000000</v>
      </c>
      <c r="K274" t="inlineStr">
        <is>
          <t>roic, invested_capital, invested_capital_avg</t>
        </is>
      </c>
    </row>
    <row r="275">
      <c r="A275" t="inlineStr">
        <is>
          <t>RTX</t>
        </is>
      </c>
      <c r="B275" t="inlineStr">
        <is>
          <t>RTX</t>
        </is>
      </c>
      <c r="C275" t="inlineStr">
        <is>
          <t>FY2022</t>
        </is>
      </c>
      <c r="D275" s="15" t="n">
        <v>0.04975030118748748</v>
      </c>
      <c r="E275" s="15" t="n">
        <v>0.04879784059819688</v>
      </c>
      <c r="F275" s="15">
        <f>E275-D275</f>
        <v>-0.0009524605892905977</v>
      </c>
      <c r="G275" s="14" t="n">
        <v>5504000000</v>
      </c>
      <c r="H275" s="14" t="n">
        <v>5504000000</v>
      </c>
      <c r="I275" s="14" t="n">
        <v>96344500000</v>
      </c>
      <c r="J275" s="14" t="n">
        <v>98225000000</v>
      </c>
      <c r="K275" t="inlineStr">
        <is>
          <t>roic, invested_capital, invested_capital_avg</t>
        </is>
      </c>
    </row>
    <row r="276">
      <c r="A276" t="inlineStr">
        <is>
          <t>마이크론 테크놀로지</t>
        </is>
      </c>
      <c r="B276" t="inlineStr">
        <is>
          <t>MU</t>
        </is>
      </c>
      <c r="C276" t="inlineStr">
        <is>
          <t>FY2020</t>
        </is>
      </c>
      <c r="D276" s="15" t="n">
        <v>0.07635667130435263</v>
      </c>
      <c r="E276" s="15" t="n">
        <v>0.07541600807264706</v>
      </c>
      <c r="F276" s="15">
        <f>E276-D276</f>
        <v>-0.0009406632317055658</v>
      </c>
      <c r="G276" s="14" t="n">
        <v>3003000000</v>
      </c>
      <c r="H276" s="14" t="n">
        <v>3003000000</v>
      </c>
      <c r="I276" s="14" t="n">
        <v>35637000000</v>
      </c>
      <c r="J276" s="14" t="n">
        <v>36081500000</v>
      </c>
      <c r="K276" t="inlineStr">
        <is>
          <t>roic, invested_capital_avg</t>
        </is>
      </c>
    </row>
    <row r="277">
      <c r="A277" t="inlineStr">
        <is>
          <t>알파벳</t>
        </is>
      </c>
      <c r="B277" t="inlineStr">
        <is>
          <t>GOOG</t>
        </is>
      </c>
      <c r="C277" t="inlineStr">
        <is>
          <t>FY2023</t>
        </is>
      </c>
      <c r="D277" s="15" t="n">
        <v>0.4229495996769226</v>
      </c>
      <c r="E277" s="15" t="n">
        <v>0.4238648771562478</v>
      </c>
      <c r="F277" s="15">
        <f>E277-D277</f>
        <v>0.0009152774793252383</v>
      </c>
      <c r="G277" s="14" t="n">
        <v>84293000000</v>
      </c>
      <c r="H277" s="14" t="n">
        <v>84293000000</v>
      </c>
      <c r="I277" s="14" t="n">
        <v>171578500000</v>
      </c>
      <c r="J277" s="14" t="n">
        <v>171208000000</v>
      </c>
      <c r="K277" t="inlineStr">
        <is>
          <t>roic, invested_capital, invested_capital_avg</t>
        </is>
      </c>
    </row>
    <row r="278">
      <c r="A278" t="inlineStr">
        <is>
          <t>RTX</t>
        </is>
      </c>
      <c r="B278" t="inlineStr">
        <is>
          <t>RTX</t>
        </is>
      </c>
      <c r="C278" t="inlineStr">
        <is>
          <t>FY2021</t>
        </is>
      </c>
      <c r="D278" s="15" t="n">
        <v>0.04398137542234227</v>
      </c>
      <c r="E278" s="15" t="n">
        <v>0.04310354043519594</v>
      </c>
      <c r="F278" s="15">
        <f>E278-D278</f>
        <v>-0.0008778349871463309</v>
      </c>
      <c r="G278" s="14" t="n">
        <v>5136000000</v>
      </c>
      <c r="H278" s="14" t="n">
        <v>5136000000</v>
      </c>
      <c r="I278" s="14" t="n">
        <v>94742500000</v>
      </c>
      <c r="J278" s="14" t="n">
        <v>96672000000</v>
      </c>
      <c r="K278" t="inlineStr">
        <is>
          <t>roic, invested_capital, invested_capital_avg</t>
        </is>
      </c>
    </row>
    <row r="279">
      <c r="A279" t="inlineStr">
        <is>
          <t>프록터앤드갬블</t>
        </is>
      </c>
      <c r="B279" t="inlineStr">
        <is>
          <t>PG</t>
        </is>
      </c>
      <c r="C279" t="inlineStr">
        <is>
          <t>FY2019</t>
        </is>
      </c>
      <c r="D279" s="15" t="n">
        <v>0.0462571827054052</v>
      </c>
      <c r="E279" s="15" t="n">
        <v>0.04713141450076233</v>
      </c>
      <c r="F279" s="15">
        <f>E279-D279</f>
        <v>0.0008742317953571305</v>
      </c>
      <c r="G279" s="14" t="n">
        <v>5487000000</v>
      </c>
      <c r="H279" s="14" t="n">
        <v>5487000000</v>
      </c>
      <c r="I279" s="14" t="n">
        <v>77516000000</v>
      </c>
      <c r="J279" s="14" t="n">
        <v>69851500000</v>
      </c>
      <c r="K279" t="inlineStr">
        <is>
          <t>roic, tax_rate, nopat, invested_capital, invested_capital_avg</t>
        </is>
      </c>
    </row>
    <row r="280">
      <c r="A280" t="inlineStr">
        <is>
          <t>RTX</t>
        </is>
      </c>
      <c r="B280" t="inlineStr">
        <is>
          <t>RTX</t>
        </is>
      </c>
      <c r="C280" t="inlineStr">
        <is>
          <t>FY2023</t>
        </is>
      </c>
      <c r="D280" s="15" t="n">
        <v>0.03268989255859946</v>
      </c>
      <c r="E280" s="15" t="n">
        <v>0.03185423879228572</v>
      </c>
      <c r="F280" s="15">
        <f>E280-D280</f>
        <v>-0.0008356537663137403</v>
      </c>
      <c r="G280" s="14" t="n">
        <v>3561000000</v>
      </c>
      <c r="H280" s="14" t="n">
        <v>3561000000</v>
      </c>
      <c r="I280" s="14" t="n">
        <v>95983500000</v>
      </c>
      <c r="J280" s="14" t="n">
        <v>98501500000</v>
      </c>
      <c r="K280" t="inlineStr">
        <is>
          <t>roic, invested_capital, invested_capital_avg</t>
        </is>
      </c>
    </row>
    <row r="281">
      <c r="A281" t="inlineStr">
        <is>
          <t>셰브론</t>
        </is>
      </c>
      <c r="B281" t="inlineStr">
        <is>
          <t>CVX</t>
        </is>
      </c>
      <c r="C281" t="inlineStr">
        <is>
          <t>FY2024</t>
        </is>
      </c>
      <c r="D281" s="15" t="n">
        <v>0.102482004459634</v>
      </c>
      <c r="E281" s="15" t="n">
        <v>0.1016466852521631</v>
      </c>
      <c r="F281" s="15">
        <f>E281-D281</f>
        <v>-0.0008353192074709026</v>
      </c>
      <c r="G281" s="14" t="n">
        <v>28100000000</v>
      </c>
      <c r="H281" s="14" t="n">
        <v>28100000000</v>
      </c>
      <c r="I281" s="14" t="n">
        <v>176931500000</v>
      </c>
      <c r="J281" s="14" t="n">
        <v>178385500000</v>
      </c>
      <c r="K281" t="inlineStr">
        <is>
          <t>roic, invested_capital, invested_capital_avg</t>
        </is>
      </c>
    </row>
    <row r="282">
      <c r="A282" t="inlineStr">
        <is>
          <t>RTX</t>
        </is>
      </c>
      <c r="B282" t="inlineStr">
        <is>
          <t>RTX</t>
        </is>
      </c>
      <c r="C282" t="inlineStr">
        <is>
          <t>FY2020</t>
        </is>
      </c>
      <c r="D282" s="15" t="n">
        <v>-0.01749648267129391</v>
      </c>
      <c r="E282" s="15" t="n">
        <v>-0.01671700142266632</v>
      </c>
      <c r="F282" s="15">
        <f>E282-D282</f>
        <v>0.0007794812486275893</v>
      </c>
      <c r="G282" s="14" t="n">
        <v>-1889000000</v>
      </c>
      <c r="H282" s="14" t="n">
        <v>-1889000000</v>
      </c>
      <c r="I282" s="14" t="n">
        <v>85292000000</v>
      </c>
      <c r="J282" s="14" t="n">
        <v>89269000000</v>
      </c>
      <c r="K282" t="inlineStr">
        <is>
          <t>roic, invested_capital, invested_capital_avg</t>
        </is>
      </c>
    </row>
    <row r="283">
      <c r="A283" t="inlineStr">
        <is>
          <t>아마존</t>
        </is>
      </c>
      <c r="B283" t="inlineStr">
        <is>
          <t>AMZN</t>
        </is>
      </c>
      <c r="C283" t="inlineStr">
        <is>
          <t>FY2021</t>
        </is>
      </c>
      <c r="D283" s="15" t="n">
        <v>0.3237065227656806</v>
      </c>
      <c r="E283" s="15" t="n">
        <v>0.3229424746521519</v>
      </c>
      <c r="F283" s="15">
        <f>E283-D283</f>
        <v>-0.0007640481135287036</v>
      </c>
      <c r="G283" s="14" t="n">
        <v>24879000000</v>
      </c>
      <c r="H283" s="14" t="n">
        <v>24879000000</v>
      </c>
      <c r="I283" s="14" t="n">
        <v>67205000000</v>
      </c>
      <c r="J283" s="14" t="n">
        <v>67364000000</v>
      </c>
      <c r="K283" t="inlineStr">
        <is>
          <t>roic, invested_capital, invested_capital_avg</t>
        </is>
      </c>
    </row>
    <row r="284">
      <c r="A284" t="inlineStr">
        <is>
          <t>아마존</t>
        </is>
      </c>
      <c r="B284" t="inlineStr">
        <is>
          <t>AMZN</t>
        </is>
      </c>
      <c r="C284" t="inlineStr">
        <is>
          <t>FY2023</t>
        </is>
      </c>
      <c r="D284" s="15" t="n">
        <v>0.1820693381433268</v>
      </c>
      <c r="E284" s="15" t="n">
        <v>0.1813248466842627</v>
      </c>
      <c r="F284" s="15">
        <f>E284-D284</f>
        <v>-0.0007444914590640783</v>
      </c>
      <c r="G284" s="14" t="n">
        <v>36852000000</v>
      </c>
      <c r="H284" s="14" t="n">
        <v>36852000000</v>
      </c>
      <c r="I284" s="14" t="n">
        <v>164034500000</v>
      </c>
      <c r="J284" s="14" t="n">
        <v>164708000000</v>
      </c>
      <c r="K284" t="inlineStr">
        <is>
          <t>roic, invested_capital, invested_capital_avg</t>
        </is>
      </c>
    </row>
    <row r="285">
      <c r="A285" t="inlineStr">
        <is>
          <t>인텔</t>
        </is>
      </c>
      <c r="B285" t="inlineStr">
        <is>
          <t>INTC</t>
        </is>
      </c>
      <c r="C285" t="inlineStr">
        <is>
          <t>FY2025</t>
        </is>
      </c>
      <c r="D285" s="15" t="n">
        <v>-0.01061777141897995</v>
      </c>
      <c r="E285" s="15" t="n">
        <v>-0.0098946035529403</v>
      </c>
      <c r="F285" s="15">
        <f>E285-D285</f>
        <v>0.00072316786603965</v>
      </c>
      <c r="G285" s="14" t="n">
        <v>-2214000000</v>
      </c>
      <c r="H285" s="14" t="n">
        <v>-2214000000</v>
      </c>
      <c r="I285" s="14" t="n">
        <v>125111000000</v>
      </c>
      <c r="J285" s="14" t="n">
        <v>134255000000</v>
      </c>
      <c r="K285" t="inlineStr">
        <is>
          <t>roic, invested_capital, invested_capital_avg</t>
        </is>
      </c>
    </row>
    <row r="286">
      <c r="A286" t="inlineStr">
        <is>
          <t>알파벳</t>
        </is>
      </c>
      <c r="B286" t="inlineStr">
        <is>
          <t>GOOG</t>
        </is>
      </c>
      <c r="C286" t="inlineStr">
        <is>
          <t>FY2018</t>
        </is>
      </c>
      <c r="D286" s="15" t="n">
        <v>0.3809699434313891</v>
      </c>
      <c r="E286" s="15" t="n">
        <v>0.3815548420155316</v>
      </c>
      <c r="F286" s="15">
        <f>E286-D286</f>
        <v>0.000584898584142457</v>
      </c>
      <c r="G286" s="14" t="n">
        <v>27524000000</v>
      </c>
      <c r="H286" s="14" t="n">
        <v>27524000000</v>
      </c>
      <c r="I286" s="14" t="n">
        <v>63603500000</v>
      </c>
      <c r="J286" s="14" t="n">
        <v>63506000000</v>
      </c>
      <c r="K286" t="inlineStr">
        <is>
          <t>roic, invested_capital, invested_capital_avg</t>
        </is>
      </c>
    </row>
    <row r="287">
      <c r="A287" t="inlineStr">
        <is>
          <t>아마존</t>
        </is>
      </c>
      <c r="B287" t="inlineStr">
        <is>
          <t>AMZN</t>
        </is>
      </c>
      <c r="C287" t="inlineStr">
        <is>
          <t>FY2022</t>
        </is>
      </c>
      <c r="D287" s="15" t="n">
        <v>0.0811068035222572</v>
      </c>
      <c r="E287" s="15" t="n">
        <v>0.0805940486850051</v>
      </c>
      <c r="F287" s="15">
        <f>E287-D287</f>
        <v>-0.0005127548372521051</v>
      </c>
      <c r="G287" s="14" t="n">
        <v>12248000000</v>
      </c>
      <c r="H287" s="14" t="n">
        <v>12248000000</v>
      </c>
      <c r="I287" s="14" t="n">
        <v>119298500000</v>
      </c>
      <c r="J287" s="14" t="n">
        <v>120057500000</v>
      </c>
      <c r="K287" t="inlineStr">
        <is>
          <t>roic, invested_capital, invested_capital_avg</t>
        </is>
      </c>
    </row>
    <row r="288">
      <c r="A288" t="inlineStr">
        <is>
          <t>캐터필러</t>
        </is>
      </c>
      <c r="B288" t="inlineStr">
        <is>
          <t>CAT</t>
        </is>
      </c>
      <c r="C288" t="inlineStr">
        <is>
          <t>FY2019</t>
        </is>
      </c>
      <c r="D288" s="15" t="n">
        <v>0.1718135349014443</v>
      </c>
      <c r="E288" s="15" t="n">
        <v>0.1722595172099203</v>
      </c>
      <c r="F288" s="15">
        <f>E288-D288</f>
        <v>0.00044598230847600617</v>
      </c>
      <c r="G288" s="14" t="n">
        <v>8290000000</v>
      </c>
      <c r="H288" s="14" t="n">
        <v>8290000000</v>
      </c>
      <c r="I288" s="14" t="n">
        <v>37466000000</v>
      </c>
      <c r="J288" s="14" t="n">
        <v>37369000000</v>
      </c>
      <c r="K288" t="inlineStr">
        <is>
          <t>roic, invested_capital, invested_capital_avg</t>
        </is>
      </c>
    </row>
    <row r="289">
      <c r="A289" t="inlineStr">
        <is>
          <t>알파벳</t>
        </is>
      </c>
      <c r="B289" t="inlineStr">
        <is>
          <t>GOOG</t>
        </is>
      </c>
      <c r="C289" t="inlineStr">
        <is>
          <t>FY2025</t>
        </is>
      </c>
      <c r="D289" s="15" t="n">
        <v>0.3694972964388747</v>
      </c>
      <c r="E289" s="15" t="n">
        <v>0.3699173431782217</v>
      </c>
      <c r="F289" s="15">
        <f>E289-D289</f>
        <v>0.0004200467393470353</v>
      </c>
      <c r="G289" s="14" t="n">
        <v>129039000000</v>
      </c>
      <c r="H289" s="14" t="n">
        <v>129039000000</v>
      </c>
      <c r="I289" s="14" t="n">
        <v>290617000000</v>
      </c>
      <c r="J289" s="14" t="n">
        <v>290287000000</v>
      </c>
      <c r="K289" t="inlineStr">
        <is>
          <t>roic, invested_capital, invested_capital_avg</t>
        </is>
      </c>
    </row>
    <row r="290">
      <c r="A290" t="inlineStr">
        <is>
          <t>알파벳</t>
        </is>
      </c>
      <c r="B290" t="inlineStr">
        <is>
          <t>GOOG</t>
        </is>
      </c>
      <c r="C290" t="inlineStr">
        <is>
          <t>FY2016</t>
        </is>
      </c>
      <c r="D290" s="15" t="n">
        <v>0.3501770594401865</v>
      </c>
      <c r="E290" s="15" t="n">
        <v>0.3505761494773814</v>
      </c>
      <c r="F290" s="15">
        <f>E290-D290</f>
        <v>0.00039909003719490466</v>
      </c>
      <c r="G290" s="14" t="n">
        <v>23716000000</v>
      </c>
      <c r="H290" s="14" t="n">
        <v>23716000000</v>
      </c>
      <c r="I290" s="14" t="n">
        <v>54596500000</v>
      </c>
      <c r="J290" s="14" t="n">
        <v>54561500000</v>
      </c>
      <c r="K290" t="inlineStr">
        <is>
          <t>roic, tax_rate, nopat, invested_capital, invested_capital_avg</t>
        </is>
      </c>
    </row>
    <row r="291">
      <c r="A291" t="inlineStr">
        <is>
          <t>델 테크놀로지스</t>
        </is>
      </c>
      <c r="B291" t="inlineStr">
        <is>
          <t>DELL</t>
        </is>
      </c>
      <c r="C291" t="inlineStr">
        <is>
          <t>FY2018</t>
        </is>
      </c>
      <c r="D291" s="15" t="n">
        <v>-0.003527898902280778</v>
      </c>
      <c r="E291" s="15" t="n">
        <v>-0.003139290544054926</v>
      </c>
      <c r="F291" s="15">
        <f>E291-D291</f>
        <v>0.0003886083582258521</v>
      </c>
      <c r="G291" s="14" t="n">
        <v>-191000000</v>
      </c>
      <c r="H291" s="14" t="n">
        <v>-191000000</v>
      </c>
      <c r="I291" s="14" t="n">
        <v>42770500000</v>
      </c>
      <c r="J291" s="14" t="n">
        <v>48065000000</v>
      </c>
      <c r="K291" t="inlineStr">
        <is>
          <t>roic, invested_capital, invested_capital_avg</t>
        </is>
      </c>
    </row>
    <row r="292">
      <c r="A292" t="inlineStr">
        <is>
          <t>존슨앤드존슨</t>
        </is>
      </c>
      <c r="B292" t="inlineStr">
        <is>
          <t>JNJ</t>
        </is>
      </c>
      <c r="C292" t="inlineStr">
        <is>
          <t>FY2017</t>
        </is>
      </c>
      <c r="D292" s="15" t="n">
        <v>0.1605517366683827</v>
      </c>
      <c r="E292" s="15" t="n">
        <v>0.1601701844169215</v>
      </c>
      <c r="F292" s="15">
        <f>E292-D292</f>
        <v>-0.0003815522514612202</v>
      </c>
      <c r="G292" s="14" t="n">
        <v>17673000000</v>
      </c>
      <c r="H292" s="14" t="n">
        <v>17631000000</v>
      </c>
      <c r="I292" s="14" t="n">
        <v>66046000000</v>
      </c>
      <c r="J292" s="14" t="n">
        <v>66046000000</v>
      </c>
      <c r="K292" t="inlineStr">
        <is>
          <t>roic, ebit, nopat</t>
        </is>
      </c>
    </row>
    <row r="293">
      <c r="A293" t="inlineStr">
        <is>
          <t>알파벳</t>
        </is>
      </c>
      <c r="B293" t="inlineStr">
        <is>
          <t>GOOG</t>
        </is>
      </c>
      <c r="C293" t="inlineStr">
        <is>
          <t>FY2017</t>
        </is>
      </c>
      <c r="D293" s="15" t="n">
        <v>0.2820905172413793</v>
      </c>
      <c r="E293" s="15" t="n">
        <v>0.282465920943783</v>
      </c>
      <c r="F293" s="15">
        <f>E293-D293</f>
        <v>0.00037540370240368715</v>
      </c>
      <c r="G293" s="14" t="n">
        <v>26178000000</v>
      </c>
      <c r="H293" s="14" t="n">
        <v>26178000000</v>
      </c>
      <c r="I293" s="14" t="n">
        <v>55680000000</v>
      </c>
      <c r="J293" s="14" t="n">
        <v>55606000000</v>
      </c>
      <c r="K293" t="inlineStr">
        <is>
          <t>roic, invested_capital, invested_capital_avg</t>
        </is>
      </c>
    </row>
    <row r="294">
      <c r="A294" t="inlineStr">
        <is>
          <t>셰브론</t>
        </is>
      </c>
      <c r="B294" t="inlineStr">
        <is>
          <t>CVX</t>
        </is>
      </c>
      <c r="C294" t="inlineStr">
        <is>
          <t>FY2020</t>
        </is>
      </c>
      <c r="D294" s="15" t="n">
        <v>-0.03023743562724136</v>
      </c>
      <c r="E294" s="15" t="n">
        <v>-0.02996799514873833</v>
      </c>
      <c r="F294" s="15">
        <f>E294-D294</f>
        <v>0.00026944047850302813</v>
      </c>
      <c r="G294" s="14" t="n">
        <v>-6756000000</v>
      </c>
      <c r="H294" s="14" t="n">
        <v>-6756000000</v>
      </c>
      <c r="I294" s="14" t="n">
        <v>176511000000</v>
      </c>
      <c r="J294" s="14" t="n">
        <v>178098000000</v>
      </c>
      <c r="K294" t="inlineStr">
        <is>
          <t>roic, invested_capital, invested_capital_avg</t>
        </is>
      </c>
    </row>
    <row r="295">
      <c r="A295" t="inlineStr">
        <is>
          <t>알파벳</t>
        </is>
      </c>
      <c r="B295" t="inlineStr">
        <is>
          <t>GOOG</t>
        </is>
      </c>
      <c r="C295" t="inlineStr">
        <is>
          <t>FY2024</t>
        </is>
      </c>
      <c r="D295" s="15" t="n">
        <v>0.4376319750472508</v>
      </c>
      <c r="E295" s="15" t="n">
        <v>0.4378849993018393</v>
      </c>
      <c r="F295" s="15">
        <f>E295-D295</f>
        <v>0.000253024254588452</v>
      </c>
      <c r="G295" s="14" t="n">
        <v>112390000000</v>
      </c>
      <c r="H295" s="14" t="n">
        <v>112390000000</v>
      </c>
      <c r="I295" s="14" t="n">
        <v>214595000000</v>
      </c>
      <c r="J295" s="14" t="n">
        <v>214471000000</v>
      </c>
      <c r="K295" t="inlineStr">
        <is>
          <t>roic, invested_capital, invested_capital_avg</t>
        </is>
      </c>
    </row>
    <row r="296">
      <c r="A296" t="inlineStr">
        <is>
          <t>캐터필러</t>
        </is>
      </c>
      <c r="B296" t="inlineStr">
        <is>
          <t>CAT</t>
        </is>
      </c>
      <c r="C296" t="inlineStr">
        <is>
          <t>FY2018</t>
        </is>
      </c>
      <c r="D296" s="15" t="n">
        <v>0.1823013942117463</v>
      </c>
      <c r="E296" s="15" t="n">
        <v>0.1825474184451663</v>
      </c>
      <c r="F296" s="15">
        <f>E296-D296</f>
        <v>0.0002460242334200169</v>
      </c>
      <c r="G296" s="14" t="n">
        <v>8293000000</v>
      </c>
      <c r="H296" s="14" t="n">
        <v>8293000000</v>
      </c>
      <c r="I296" s="14" t="n">
        <v>35615500000</v>
      </c>
      <c r="J296" s="14" t="n">
        <v>35567500000</v>
      </c>
      <c r="K296" t="inlineStr">
        <is>
          <t>roic, invested_capital, invested_capital_avg</t>
        </is>
      </c>
    </row>
    <row r="297">
      <c r="A297" t="inlineStr">
        <is>
          <t>테슬라</t>
        </is>
      </c>
      <c r="B297" t="inlineStr">
        <is>
          <t>TSLA</t>
        </is>
      </c>
      <c r="C297" t="inlineStr">
        <is>
          <t>FY2019</t>
        </is>
      </c>
      <c r="D297" s="15" t="n">
        <v>-0.004538528787311103</v>
      </c>
      <c r="E297" s="15" t="n">
        <v>-0.004309487450070504</v>
      </c>
      <c r="F297" s="15">
        <f>E297-D297</f>
        <v>0.00022904133724059843</v>
      </c>
      <c r="G297" s="14" t="n">
        <v>-69000000</v>
      </c>
      <c r="H297" s="14" t="n">
        <v>-69000000</v>
      </c>
      <c r="I297" s="14" t="n">
        <v>12010500000</v>
      </c>
      <c r="J297" s="14" t="n">
        <v>12648836000</v>
      </c>
      <c r="K297" t="inlineStr">
        <is>
          <t>roic, invested_capital, invested_capital_avg</t>
        </is>
      </c>
    </row>
    <row r="298">
      <c r="A298" t="inlineStr">
        <is>
          <t>아마존</t>
        </is>
      </c>
      <c r="B298" t="inlineStr">
        <is>
          <t>AMZN</t>
        </is>
      </c>
      <c r="C298" t="inlineStr">
        <is>
          <t>FY2025</t>
        </is>
      </c>
      <c r="D298" s="15" t="n">
        <v>0.2147096317719089</v>
      </c>
      <c r="E298" s="15" t="n">
        <v>0.2144925746277228</v>
      </c>
      <c r="F298" s="15">
        <f>E298-D298</f>
        <v>-0.00021705714418610023</v>
      </c>
      <c r="G298" s="14" t="n">
        <v>79975000000</v>
      </c>
      <c r="H298" s="14" t="n">
        <v>79975000000</v>
      </c>
      <c r="I298" s="14" t="n">
        <v>299420000000</v>
      </c>
      <c r="J298" s="14" t="n">
        <v>299723000000</v>
      </c>
      <c r="K298" t="inlineStr">
        <is>
          <t>roic, invested_capital, invested_capital_avg</t>
        </is>
      </c>
    </row>
    <row r="299">
      <c r="A299" t="inlineStr">
        <is>
          <t>아마존</t>
        </is>
      </c>
      <c r="B299" t="inlineStr">
        <is>
          <t>AMZN</t>
        </is>
      </c>
      <c r="C299" t="inlineStr">
        <is>
          <t>FY2024</t>
        </is>
      </c>
      <c r="D299" s="15" t="n">
        <v>0.2796573062955548</v>
      </c>
      <c r="E299" s="15" t="n">
        <v>0.2794610366044364</v>
      </c>
      <c r="F299" s="15">
        <f>E299-D299</f>
        <v>-0.00019626969111841142</v>
      </c>
      <c r="G299" s="14" t="n">
        <v>68593000000</v>
      </c>
      <c r="H299" s="14" t="n">
        <v>68593000000</v>
      </c>
      <c r="I299" s="14" t="n">
        <v>212155500000</v>
      </c>
      <c r="J299" s="14" t="n">
        <v>212304500000</v>
      </c>
      <c r="K299" t="inlineStr">
        <is>
          <t>roic, invested_capital, invested_capital_avg</t>
        </is>
      </c>
    </row>
    <row r="300">
      <c r="A300" t="inlineStr">
        <is>
          <t>셰브론</t>
        </is>
      </c>
      <c r="B300" t="inlineStr">
        <is>
          <t>CVX</t>
        </is>
      </c>
      <c r="C300" t="inlineStr">
        <is>
          <t>FY2019</t>
        </is>
      </c>
      <c r="D300" s="15" t="n">
        <v>0.02097692505126387</v>
      </c>
      <c r="E300" s="15" t="n">
        <v>0.02079203858158512</v>
      </c>
      <c r="F300" s="15">
        <f>E300-D300</f>
        <v>-0.00018488646967874944</v>
      </c>
      <c r="G300" s="14" t="n">
        <v>6334000000</v>
      </c>
      <c r="H300" s="14" t="n">
        <v>6334000000</v>
      </c>
      <c r="I300" s="14" t="n">
        <v>181170500000</v>
      </c>
      <c r="J300" s="14" t="n">
        <v>182781500000</v>
      </c>
      <c r="K300" t="inlineStr">
        <is>
          <t>roic, invested_capital, invested_capital_avg</t>
        </is>
      </c>
    </row>
    <row r="301">
      <c r="A301" t="inlineStr">
        <is>
          <t>인텔</t>
        </is>
      </c>
      <c r="B301" t="inlineStr">
        <is>
          <t>INTC</t>
        </is>
      </c>
      <c r="C301" t="inlineStr">
        <is>
          <t>FY2022</t>
        </is>
      </c>
      <c r="D301" s="15" t="n">
        <v>0.02021470085470085</v>
      </c>
      <c r="E301" s="15" t="n">
        <v>0.02004447698858243</v>
      </c>
      <c r="F301" s="15">
        <f>E301-D301</f>
        <v>-0.00017022386611842064</v>
      </c>
      <c r="G301" s="14" t="n">
        <v>2334000000</v>
      </c>
      <c r="H301" s="14" t="n">
        <v>2334000000</v>
      </c>
      <c r="I301" s="14" t="n">
        <v>109687500000</v>
      </c>
      <c r="J301" s="14" t="n">
        <v>110619000000</v>
      </c>
      <c r="K301" t="inlineStr">
        <is>
          <t>roic, invested_capital, invested_capital_avg</t>
        </is>
      </c>
    </row>
    <row r="302">
      <c r="A302" t="inlineStr">
        <is>
          <t>넷플릭스</t>
        </is>
      </c>
      <c r="B302" t="inlineStr">
        <is>
          <t>NFLX</t>
        </is>
      </c>
      <c r="C302" t="inlineStr">
        <is>
          <t>FY2022</t>
        </is>
      </c>
      <c r="D302" s="15" t="n">
        <v>0.1770876764120403</v>
      </c>
      <c r="E302" s="15" t="n">
        <v>0.1772532620954109</v>
      </c>
      <c r="F302" s="15">
        <f>E302-D302</f>
        <v>0.00016558568337060597</v>
      </c>
      <c r="G302" s="14" t="n">
        <v>5632831000</v>
      </c>
      <c r="H302" s="14" t="n">
        <v>5632831000</v>
      </c>
      <c r="I302" s="14" t="n">
        <v>27143182000</v>
      </c>
      <c r="J302" s="14" t="n">
        <v>27117825500</v>
      </c>
      <c r="K302" t="inlineStr">
        <is>
          <t>roic, invested_capital, invested_capital_avg</t>
        </is>
      </c>
    </row>
    <row r="303">
      <c r="A303" t="inlineStr">
        <is>
          <t>넷플릭스</t>
        </is>
      </c>
      <c r="B303" t="inlineStr">
        <is>
          <t>NFLX</t>
        </is>
      </c>
      <c r="C303" t="inlineStr">
        <is>
          <t>FY2021</t>
        </is>
      </c>
      <c r="D303" s="15" t="n">
        <v>0.2445398229827108</v>
      </c>
      <c r="E303" s="15" t="n">
        <v>0.2446903707071054</v>
      </c>
      <c r="F303" s="15">
        <f>E303-D303</f>
        <v>0.00015054772439460073</v>
      </c>
      <c r="G303" s="14" t="n">
        <v>6194509000</v>
      </c>
      <c r="H303" s="14" t="n">
        <v>6194509000</v>
      </c>
      <c r="I303" s="14" t="n">
        <v>22191501000</v>
      </c>
      <c r="J303" s="14" t="n">
        <v>22177847500</v>
      </c>
      <c r="K303" t="inlineStr">
        <is>
          <t>roic, invested_capital, invested_capital_avg</t>
        </is>
      </c>
    </row>
    <row r="304">
      <c r="A304" t="inlineStr">
        <is>
          <t>캐터필러</t>
        </is>
      </c>
      <c r="B304" t="inlineStr">
        <is>
          <t>CAT</t>
        </is>
      </c>
      <c r="C304" t="inlineStr">
        <is>
          <t>FY2017</t>
        </is>
      </c>
      <c r="D304" s="15" t="n">
        <v>0.07620349408397761</v>
      </c>
      <c r="E304" s="15" t="n">
        <v>0.07605513713230069</v>
      </c>
      <c r="F304" s="15">
        <f>E304-D304</f>
        <v>-0.0001483569516769201</v>
      </c>
      <c r="G304" s="14" t="n">
        <v>4460000000</v>
      </c>
      <c r="H304" s="14" t="n">
        <v>4460000000</v>
      </c>
      <c r="I304" s="14" t="n">
        <v>35116500000</v>
      </c>
      <c r="J304" s="14" t="n">
        <v>35185000000</v>
      </c>
      <c r="K304" t="inlineStr">
        <is>
          <t>roic, invested_capital, invested_capital_avg</t>
        </is>
      </c>
    </row>
    <row r="305">
      <c r="A305" t="inlineStr">
        <is>
          <t>넷플릭스</t>
        </is>
      </c>
      <c r="B305" t="inlineStr">
        <is>
          <t>NFLX</t>
        </is>
      </c>
      <c r="C305" t="inlineStr">
        <is>
          <t>FY2023</t>
        </is>
      </c>
      <c r="D305" s="15" t="n">
        <v>0.2124004194630819</v>
      </c>
      <c r="E305" s="15" t="n">
        <v>0.2124935408522711</v>
      </c>
      <c r="F305" s="15">
        <f>E305-D305</f>
        <v>9.312138918918245e-05</v>
      </c>
      <c r="G305" s="14" t="n">
        <v>6954003000</v>
      </c>
      <c r="H305" s="14" t="n">
        <v>6954003000</v>
      </c>
      <c r="I305" s="14" t="n">
        <v>28532856500</v>
      </c>
      <c r="J305" s="14" t="n">
        <v>28520352500</v>
      </c>
      <c r="K305" t="inlineStr">
        <is>
          <t>roic, invested_capital, invested_capital_avg</t>
        </is>
      </c>
    </row>
    <row r="306">
      <c r="A306" t="inlineStr">
        <is>
          <t>마이크론 테크놀로지</t>
        </is>
      </c>
      <c r="B306" t="inlineStr">
        <is>
          <t>MU</t>
        </is>
      </c>
      <c r="C306" t="inlineStr">
        <is>
          <t>FY2016</t>
        </is>
      </c>
      <c r="D306" s="15" t="n">
        <v>0.00753962392773959</v>
      </c>
      <c r="E306" s="15" t="n">
        <v>0.007477393729400829</v>
      </c>
      <c r="F306" s="15">
        <f>E306-D306</f>
        <v>-6.223019833876027e-05</v>
      </c>
      <c r="G306" s="14" t="n">
        <v>168000000</v>
      </c>
      <c r="H306" s="14" t="n">
        <v>168000000</v>
      </c>
      <c r="I306" s="14" t="n">
        <v>17603000000</v>
      </c>
      <c r="J306" s="14" t="n">
        <v>17749500000</v>
      </c>
      <c r="K306" t="inlineStr">
        <is>
          <t>roic, invested_capital, invested_capital_avg</t>
        </is>
      </c>
    </row>
    <row r="307">
      <c r="A307" t="inlineStr">
        <is>
          <t>캐터필러</t>
        </is>
      </c>
      <c r="B307" t="inlineStr">
        <is>
          <t>CAT</t>
        </is>
      </c>
      <c r="C307" t="inlineStr">
        <is>
          <t>FY2023</t>
        </is>
      </c>
      <c r="D307" s="15" t="n">
        <v>0.2483001311638844</v>
      </c>
      <c r="E307" s="15" t="n">
        <v>0.2482517990621468</v>
      </c>
      <c r="F307" s="15">
        <f>E307-D307</f>
        <v>-4.8332101737602606e-05</v>
      </c>
      <c r="G307" s="14" t="n">
        <v>12966000000</v>
      </c>
      <c r="H307" s="14" t="n">
        <v>12966000000</v>
      </c>
      <c r="I307" s="14" t="n">
        <v>41091000000</v>
      </c>
      <c r="J307" s="14" t="n">
        <v>41099000000</v>
      </c>
      <c r="K307" t="inlineStr">
        <is>
          <t>roic, invested_capital, invested_capital_avg</t>
        </is>
      </c>
    </row>
    <row r="308">
      <c r="A308" t="inlineStr">
        <is>
          <t>캐터필러</t>
        </is>
      </c>
      <c r="B308" t="inlineStr">
        <is>
          <t>CAT</t>
        </is>
      </c>
      <c r="C308" t="inlineStr">
        <is>
          <t>FY2021</t>
        </is>
      </c>
      <c r="D308" s="15" t="n">
        <v>0.1490059079586395</v>
      </c>
      <c r="E308" s="15" t="n">
        <v>0.1489587924376253</v>
      </c>
      <c r="F308" s="15">
        <f>E308-D308</f>
        <v>-4.7115521014190476e-05</v>
      </c>
      <c r="G308" s="14" t="n">
        <v>6878000000</v>
      </c>
      <c r="H308" s="14" t="n">
        <v>6878000000</v>
      </c>
      <c r="I308" s="14" t="n">
        <v>36358000000</v>
      </c>
      <c r="J308" s="14" t="n">
        <v>36369500000</v>
      </c>
      <c r="K308" t="inlineStr">
        <is>
          <t>roic, invested_capital, invested_capital_avg</t>
        </is>
      </c>
    </row>
    <row r="309">
      <c r="A309" t="inlineStr">
        <is>
          <t>캐터필러</t>
        </is>
      </c>
      <c r="B309" t="inlineStr">
        <is>
          <t>CAT</t>
        </is>
      </c>
      <c r="C309" t="inlineStr">
        <is>
          <t>FY2024</t>
        </is>
      </c>
      <c r="D309" s="15" t="n">
        <v>0.2443076157822742</v>
      </c>
      <c r="E309" s="15" t="n">
        <v>0.2442678396874138</v>
      </c>
      <c r="F309" s="15">
        <f>E309-D309</f>
        <v>-3.977609486038869e-05</v>
      </c>
      <c r="G309" s="14" t="n">
        <v>13072000000</v>
      </c>
      <c r="H309" s="14" t="n">
        <v>13072000000</v>
      </c>
      <c r="I309" s="14" t="n">
        <v>42987500000</v>
      </c>
      <c r="J309" s="14" t="n">
        <v>42994500000</v>
      </c>
      <c r="K309" t="inlineStr">
        <is>
          <t>roic, invested_capital, invested_capital_avg</t>
        </is>
      </c>
    </row>
    <row r="310">
      <c r="A310" t="inlineStr">
        <is>
          <t>캐터필러</t>
        </is>
      </c>
      <c r="B310" t="inlineStr">
        <is>
          <t>CAT</t>
        </is>
      </c>
      <c r="C310" t="inlineStr">
        <is>
          <t>FY2022</t>
        </is>
      </c>
      <c r="D310" s="15" t="n">
        <v>0.1523814296290538</v>
      </c>
      <c r="E310" s="15" t="n">
        <v>0.1523468223926795</v>
      </c>
      <c r="F310" s="15">
        <f>E310-D310</f>
        <v>-3.4607236374301076e-05</v>
      </c>
      <c r="G310" s="14" t="n">
        <v>7904000000</v>
      </c>
      <c r="H310" s="14" t="n">
        <v>7904000000</v>
      </c>
      <c r="I310" s="14" t="n">
        <v>39619500000</v>
      </c>
      <c r="J310" s="14" t="n">
        <v>39628500000</v>
      </c>
      <c r="K310" t="inlineStr">
        <is>
          <t>roic, invested_capital, invested_capital_avg</t>
        </is>
      </c>
    </row>
    <row r="311">
      <c r="A311" t="inlineStr">
        <is>
          <t>캐터필러</t>
        </is>
      </c>
      <c r="B311" t="inlineStr">
        <is>
          <t>CAT</t>
        </is>
      </c>
      <c r="C311" t="inlineStr">
        <is>
          <t>FY2020</t>
        </is>
      </c>
      <c r="D311" s="15" t="n">
        <v>0.09487501348555909</v>
      </c>
      <c r="E311" s="15" t="n">
        <v>0.0948459560975331</v>
      </c>
      <c r="F311" s="15">
        <f>E311-D311</f>
        <v>-2.9057388025985342e-05</v>
      </c>
      <c r="G311" s="14" t="n">
        <v>4553000000</v>
      </c>
      <c r="H311" s="14" t="n">
        <v>4553000000</v>
      </c>
      <c r="I311" s="14" t="n">
        <v>35905000000</v>
      </c>
      <c r="J311" s="14" t="n">
        <v>35916000000</v>
      </c>
      <c r="K311" t="inlineStr">
        <is>
          <t>roic, invested_capital, invested_capital_avg</t>
        </is>
      </c>
    </row>
    <row r="312">
      <c r="A312" t="inlineStr">
        <is>
          <t>캐터필러</t>
        </is>
      </c>
      <c r="B312" t="inlineStr">
        <is>
          <t>CAT</t>
        </is>
      </c>
      <c r="C312" t="inlineStr">
        <is>
          <t>FY2025</t>
        </is>
      </c>
      <c r="D312" s="15" t="n">
        <v>0.1845051983300516</v>
      </c>
      <c r="E312" s="15" t="n">
        <v>0.1844790977219981</v>
      </c>
      <c r="F312" s="15">
        <f>E312-D312</f>
        <v>-2.6100608053497565e-05</v>
      </c>
      <c r="G312" s="14" t="n">
        <v>11151000000</v>
      </c>
      <c r="H312" s="14" t="n">
        <v>11151000000</v>
      </c>
      <c r="I312" s="14" t="n">
        <v>45942000000</v>
      </c>
      <c r="J312" s="14" t="n">
        <v>45948500000</v>
      </c>
      <c r="K312" t="inlineStr">
        <is>
          <t>roic, invested_capital, invested_capital_avg</t>
        </is>
      </c>
    </row>
    <row r="313">
      <c r="A313" t="inlineStr">
        <is>
          <t>캐터필러</t>
        </is>
      </c>
      <c r="B313" t="inlineStr">
        <is>
          <t>CAT</t>
        </is>
      </c>
      <c r="C313" t="inlineStr">
        <is>
          <t>FY2016</t>
        </is>
      </c>
      <c r="D313" s="15" t="n">
        <v>0.0181894077745891</v>
      </c>
      <c r="E313" s="15" t="n">
        <v>0.0181699721143572</v>
      </c>
      <c r="F313" s="15">
        <f>E313-D313</f>
        <v>-1.9435660231898605e-05</v>
      </c>
      <c r="G313" s="14" t="n">
        <v>1162000000</v>
      </c>
      <c r="H313" s="14" t="n">
        <v>1162000000</v>
      </c>
      <c r="I313" s="14" t="n">
        <v>38330000000</v>
      </c>
      <c r="J313" s="14" t="n">
        <v>38371000000</v>
      </c>
      <c r="K313" t="inlineStr">
        <is>
          <t>roic, invested_capital, invested_capital_avg</t>
        </is>
      </c>
    </row>
    <row r="314">
      <c r="A314" t="inlineStr">
        <is>
          <t>인텔</t>
        </is>
      </c>
      <c r="B314" t="inlineStr">
        <is>
          <t>INTC</t>
        </is>
      </c>
      <c r="C314" t="inlineStr">
        <is>
          <t>FY2023</t>
        </is>
      </c>
      <c r="D314" s="15" t="n">
        <v>0.0007213481494786862</v>
      </c>
      <c r="E314" s="15" t="n">
        <v>0.0007034347680695553</v>
      </c>
      <c r="F314" s="15">
        <f>E314-D314</f>
        <v>-1.7913381409130884e-05</v>
      </c>
      <c r="G314" s="14" t="n">
        <v>93000000</v>
      </c>
      <c r="H314" s="14" t="n">
        <v>93000000</v>
      </c>
      <c r="I314" s="14" t="n">
        <v>122479000000</v>
      </c>
      <c r="J314" s="14" t="n">
        <v>125598000000</v>
      </c>
      <c r="K314" t="inlineStr">
        <is>
          <t>roic, invested_capital, invested_capital_avg</t>
        </is>
      </c>
    </row>
    <row r="315">
      <c r="A315" t="inlineStr">
        <is>
          <t>넷플릭스</t>
        </is>
      </c>
      <c r="B315" t="inlineStr">
        <is>
          <t>NFLX</t>
        </is>
      </c>
      <c r="C315" t="inlineStr">
        <is>
          <t>FY2024</t>
        </is>
      </c>
      <c r="D315" s="15" t="n">
        <v>0.3100880716378668</v>
      </c>
      <c r="E315" s="15" t="n">
        <v>0.3100965293458065</v>
      </c>
      <c r="F315" s="15">
        <f>E315-D315</f>
        <v>8.457707939724113e-06</v>
      </c>
      <c r="G315" s="14" t="n">
        <v>10417614000</v>
      </c>
      <c r="H315" s="14" t="n">
        <v>10417614000</v>
      </c>
      <c r="I315" s="14" t="n">
        <v>29368160000</v>
      </c>
      <c r="J315" s="14" t="n">
        <v>29367359000</v>
      </c>
      <c r="K315" t="inlineStr">
        <is>
          <t>roic, invested_capital_avg</t>
        </is>
      </c>
    </row>
    <row r="316">
      <c r="A316" t="inlineStr">
        <is>
          <t>팔란티어 테크놀로지스</t>
        </is>
      </c>
      <c r="B316" t="inlineStr">
        <is>
          <t>PLTR</t>
        </is>
      </c>
      <c r="C316" t="inlineStr">
        <is>
          <t>FY2018</t>
        </is>
      </c>
      <c r="D316" s="15" t="n"/>
      <c r="E316" s="15" t="n"/>
      <c r="F316" s="15" t="inlineStr">
        <is>
          <t>—</t>
        </is>
      </c>
      <c r="G316" s="14" t="n">
        <v>-623440000</v>
      </c>
      <c r="H316" s="14" t="n">
        <v>-623440000</v>
      </c>
      <c r="I316" s="14" t="n">
        <v>-3018263000</v>
      </c>
      <c r="J316" s="14" t="n">
        <v>-2867770000</v>
      </c>
      <c r="K316" t="inlineStr">
        <is>
          <t>invested_capital, invested_capital_avg</t>
        </is>
      </c>
    </row>
    <row r="317">
      <c r="A317" t="inlineStr">
        <is>
          <t>팔란티어 테크놀로지스</t>
        </is>
      </c>
      <c r="B317" t="inlineStr">
        <is>
          <t>PLTR</t>
        </is>
      </c>
      <c r="C317" t="inlineStr">
        <is>
          <t>FY2019</t>
        </is>
      </c>
      <c r="D317" s="15" t="n"/>
      <c r="E317" s="15" t="n"/>
      <c r="F317" s="15" t="inlineStr">
        <is>
          <t>—</t>
        </is>
      </c>
      <c r="G317" s="14" t="n">
        <v>-576444000</v>
      </c>
      <c r="H317" s="14" t="n">
        <v>-576444000</v>
      </c>
      <c r="I317" s="14" t="n">
        <v>-3002401000</v>
      </c>
      <c r="J317" s="14" t="n">
        <v>-2663731000</v>
      </c>
      <c r="K317" t="inlineStr">
        <is>
          <t>invested_capital, invested_capital_avg</t>
        </is>
      </c>
    </row>
    <row r="318">
      <c r="A318" t="inlineStr">
        <is>
          <t>팔란티어 테크놀로지스</t>
        </is>
      </c>
      <c r="B318" t="inlineStr">
        <is>
          <t>PLTR</t>
        </is>
      </c>
      <c r="C318" t="inlineStr">
        <is>
          <t>FY2020</t>
        </is>
      </c>
      <c r="D318" s="15" t="n"/>
      <c r="E318" s="15" t="n"/>
      <c r="F318" s="15" t="inlineStr">
        <is>
          <t>—</t>
        </is>
      </c>
      <c r="G318" s="14" t="n">
        <v>-1173679000</v>
      </c>
      <c r="H318" s="14" t="n">
        <v>-1173679000</v>
      </c>
      <c r="I318" s="14" t="n">
        <v>-1697079000</v>
      </c>
      <c r="J318" s="14" t="n">
        <v>-290796000</v>
      </c>
      <c r="K318" t="inlineStr">
        <is>
          <t>invested_capital, invested_capital_avg</t>
        </is>
      </c>
    </row>
    <row r="319">
      <c r="A319" t="inlineStr">
        <is>
          <t>팔란티어 테크놀로지스</t>
        </is>
      </c>
      <c r="B319" t="inlineStr">
        <is>
          <t>PLTR</t>
        </is>
      </c>
      <c r="C319" t="inlineStr">
        <is>
          <t>FY2021</t>
        </is>
      </c>
      <c r="D319" s="15" t="n"/>
      <c r="E319" s="15" t="n"/>
      <c r="F319" s="15" t="inlineStr">
        <is>
          <t>—</t>
        </is>
      </c>
      <c r="G319" s="14" t="n">
        <v>-411046000</v>
      </c>
      <c r="H319" s="14" t="n">
        <v>-411046000</v>
      </c>
      <c r="I319" s="14" t="n">
        <v>-358828000</v>
      </c>
      <c r="J319" s="14" t="n">
        <v>-233797000</v>
      </c>
      <c r="K319" t="inlineStr">
        <is>
          <t>invested_capital, invested_capital_avg</t>
        </is>
      </c>
    </row>
    <row r="320">
      <c r="A320" t="inlineStr">
        <is>
          <t>팔란티어 테크놀로지스</t>
        </is>
      </c>
      <c r="B320" t="inlineStr">
        <is>
          <t>PLTR</t>
        </is>
      </c>
      <c r="C320" t="inlineStr">
        <is>
          <t>FY2023</t>
        </is>
      </c>
      <c r="D320" s="15" t="n"/>
      <c r="E320" s="15" t="n"/>
      <c r="F320" s="15" t="inlineStr">
        <is>
          <t>—</t>
        </is>
      </c>
      <c r="G320" s="14" t="n">
        <v>119966000</v>
      </c>
      <c r="H320" s="14" t="n">
        <v>119966000</v>
      </c>
      <c r="I320" s="14" t="n">
        <v>-157411000</v>
      </c>
      <c r="J320" s="14" t="n">
        <v>-113214000</v>
      </c>
      <c r="K320" t="inlineStr">
        <is>
          <t>invested_capital, invested_capital_avg</t>
        </is>
      </c>
    </row>
    <row r="321">
      <c r="A321" t="inlineStr">
        <is>
          <t>팔란티어 테크놀로지스</t>
        </is>
      </c>
      <c r="B321" t="inlineStr">
        <is>
          <t>PLTR</t>
        </is>
      </c>
      <c r="C321" t="inlineStr">
        <is>
          <t>FY2024</t>
        </is>
      </c>
      <c r="D321" s="15" t="n"/>
      <c r="E321" s="15" t="n"/>
      <c r="F321" s="15" t="inlineStr">
        <is>
          <t>—</t>
        </is>
      </c>
      <c r="G321" s="14" t="n">
        <v>310403000</v>
      </c>
      <c r="H321" s="14" t="n">
        <v>310403000</v>
      </c>
      <c r="I321" s="14" t="n">
        <v>-232901000</v>
      </c>
      <c r="J321" s="14" t="n">
        <v>-135580000</v>
      </c>
      <c r="K321" t="inlineStr">
        <is>
          <t>invested_capital, invested_capital_avg</t>
        </is>
      </c>
    </row>
    <row r="324">
      <c r="A324" s="5" t="inlineStr">
        <is>
          <t>가치평가 쪽으로 번진 입력 오류 — DCF는 재계산하지 않음</t>
        </is>
      </c>
    </row>
    <row r="325">
      <c r="A325" s="8" t="inlineStr">
        <is>
          <t>기업</t>
        </is>
      </c>
      <c r="B325" s="8" t="inlineStr">
        <is>
          <t>티커</t>
        </is>
      </c>
      <c r="C325" s="8" t="inlineStr">
        <is>
          <t>연도</t>
        </is>
      </c>
      <c r="D325" s="8" t="inlineStr">
        <is>
          <t>1차 조사 순현금</t>
        </is>
      </c>
      <c r="E325" s="8" t="inlineStr">
        <is>
          <t>재산출 순현금</t>
        </is>
      </c>
      <c r="F325" s="8" t="inlineStr">
        <is>
          <t>오차</t>
        </is>
      </c>
      <c r="G325" s="8" t="inlineStr">
        <is>
          <t>시가총액</t>
        </is>
      </c>
      <c r="H325" s="8" t="inlineStr">
        <is>
          <t>시가총액 대비</t>
        </is>
      </c>
    </row>
    <row r="326">
      <c r="A326" s="18" t="inlineStr">
        <is>
          <t>오라클</t>
        </is>
      </c>
      <c r="B326" s="18" t="inlineStr">
        <is>
          <t>ORCL</t>
        </is>
      </c>
      <c r="C326" s="18" t="inlineStr">
        <is>
          <t>FY2025</t>
        </is>
      </c>
      <c r="D326" s="19" t="n">
        <v>24695000000</v>
      </c>
      <c r="E326" s="19" t="n">
        <v>-81365000000</v>
      </c>
      <c r="F326" s="19">
        <f>D326-E326</f>
        <v>106060000000.0</v>
      </c>
      <c r="G326" s="19" t="n">
        <v>435095144550.0001</v>
      </c>
      <c r="H326" s="20">
        <f>IF(G326=0,"",F326/G326)</f>
        <v>0.24376277540328156</v>
      </c>
    </row>
    <row r="327">
      <c r="A327" t="inlineStr">
        <is>
          <t>마이크로소프트</t>
        </is>
      </c>
      <c r="B327" t="inlineStr">
        <is>
          <t>MSFT</t>
        </is>
      </c>
      <c r="C327" t="inlineStr">
        <is>
          <t>FY2025</t>
        </is>
      </c>
      <c r="D327" s="14" t="n">
        <v>36549000000</v>
      </c>
      <c r="E327" s="14" t="n">
        <v>51414000000</v>
      </c>
      <c r="F327" s="14">
        <f>D327-E327</f>
        <v>-14865000000.0</v>
      </c>
      <c r="G327" s="14" t="n">
        <v>3757771551175.46</v>
      </c>
      <c r="H327" s="15">
        <f>IF(G327=0,"",F327/G327)</f>
        <v>-0.003955801942071256</v>
      </c>
    </row>
    <row r="328">
      <c r="A328" t="inlineStr">
        <is>
          <t>애플</t>
        </is>
      </c>
      <c r="B328" t="inlineStr">
        <is>
          <t>AAPL</t>
        </is>
      </c>
      <c r="C328" t="inlineStr">
        <is>
          <t>FY2025</t>
        </is>
      </c>
      <c r="D328" s="14" t="n">
        <v>-35981000000</v>
      </c>
      <c r="E328" s="14" t="n">
        <v>-43960000000</v>
      </c>
      <c r="F328" s="14">
        <f>D328-E328</f>
        <v>7979000000.0</v>
      </c>
      <c r="G328" s="14" t="n">
        <v>4554958575780</v>
      </c>
      <c r="H328" s="15">
        <f>IF(G328=0,"",F328/G328)</f>
        <v>0.0017517173575247412</v>
      </c>
    </row>
    <row r="329">
      <c r="A329" t="inlineStr">
        <is>
          <t>IBM</t>
        </is>
      </c>
      <c r="B329" t="inlineStr">
        <is>
          <t>IBM</t>
        </is>
      </c>
      <c r="C329" t="inlineStr">
        <is>
          <t>FY2025</t>
        </is>
      </c>
      <c r="D329" s="14" t="n">
        <v>-47673000000</v>
      </c>
      <c r="E329" s="14" t="n">
        <v>-54097000000</v>
      </c>
      <c r="F329" s="14">
        <f>D329-E329</f>
        <v>6424000000.0</v>
      </c>
      <c r="G329" s="14" t="n">
        <v>221666910009.24</v>
      </c>
      <c r="H329" s="15">
        <f>IF(G329=0,"",F329/G329)</f>
        <v>0.028980419313519645</v>
      </c>
    </row>
    <row r="330">
      <c r="A330" t="inlineStr">
        <is>
          <t>애브비</t>
        </is>
      </c>
      <c r="B330" t="inlineStr">
        <is>
          <t>ABBV</t>
        </is>
      </c>
      <c r="C330" t="inlineStr">
        <is>
          <t>FY2025</t>
        </is>
      </c>
      <c r="D330" s="14" t="n">
        <v>-56183000000</v>
      </c>
      <c r="E330" s="14" t="n">
        <v>-62239000000</v>
      </c>
      <c r="F330" s="14">
        <f>D330-E330</f>
        <v>6056000000.0</v>
      </c>
      <c r="G330" s="14" t="n">
        <v>438452869905.64</v>
      </c>
      <c r="H330" s="15">
        <f>IF(G330=0,"",F330/G330)</f>
        <v>0.013812202897208357</v>
      </c>
    </row>
  </sheetData>
  <autoFilter ref="A2:K3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2" ySplit="15" topLeftCell="C16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46" customWidth="1" min="3" max="3"/>
    <col width="13" customWidth="1" min="4" max="4"/>
    <col width="17" customWidth="1" min="5" max="5"/>
    <col width="60" customWidth="1" min="6" max="6"/>
  </cols>
  <sheetData>
    <row r="1">
      <c r="A1" s="7" t="inlineStr">
        <is>
          <t>영업이익 소계를 보고하지 않는 기업의 분자를 어떻게 만들지, 주장이 아니라 측정으로 정했습니다. 소계가 보고된 기업-연도에서 각 구성 방식을 보고치와 맞춰본 결과입니다.</t>
        </is>
      </c>
    </row>
    <row r="2">
      <c r="A2" s="8" t="inlineStr">
        <is>
          <t>구성 경로</t>
        </is>
      </c>
      <c r="B2" s="8" t="inlineStr">
        <is>
          <t>검정 건수</t>
        </is>
      </c>
      <c r="C2" s="8" t="inlineStr">
        <is>
          <t>±2% 일치</t>
        </is>
      </c>
      <c r="D2" s="8" t="inlineStr">
        <is>
          <t>정확도</t>
        </is>
      </c>
      <c r="E2" s="8" t="inlineStr">
        <is>
          <t>중위 오차</t>
        </is>
      </c>
    </row>
    <row r="3">
      <c r="A3" t="inlineStr">
        <is>
          <t>B  매출총이익 − 영업비용</t>
        </is>
      </c>
      <c r="B3" t="n">
        <v>228</v>
      </c>
      <c r="C3" t="n">
        <v>228</v>
      </c>
      <c r="D3" s="15">
        <f>IF(B3=0,"",C3/B3)</f>
        <v>1.0</v>
      </c>
      <c r="E3" s="15" t="n">
        <v>0</v>
      </c>
    </row>
    <row r="4">
      <c r="A4" t="inlineStr">
        <is>
          <t>D  매출 − 매출원가 − 영업비용</t>
        </is>
      </c>
      <c r="B4" t="n">
        <v>241</v>
      </c>
      <c r="C4" t="n">
        <v>228</v>
      </c>
      <c r="D4" s="15">
        <f>IF(B4=0,"",C4/B4)</f>
        <v>0.946058091286307</v>
      </c>
      <c r="E4" s="15" t="n">
        <v>0</v>
      </c>
    </row>
    <row r="5">
      <c r="A5" t="inlineStr">
        <is>
          <t>C  매출 − 총비용</t>
        </is>
      </c>
      <c r="B5" t="n">
        <v>176</v>
      </c>
      <c r="C5" t="n">
        <v>151</v>
      </c>
      <c r="D5" s="15">
        <f>IF(B5=0,"",C5/B5)</f>
        <v>0.8579545454545454</v>
      </c>
      <c r="E5" s="15" t="n">
        <v>0</v>
      </c>
    </row>
    <row r="6">
      <c r="A6" t="inlineStr">
        <is>
          <t>F  세전이익 − 영업외수익</t>
        </is>
      </c>
      <c r="B6" t="n">
        <v>478</v>
      </c>
      <c r="C6" t="n">
        <v>241</v>
      </c>
      <c r="D6" s="15">
        <f>IF(B6=0,"",C6/B6)</f>
        <v>0.50418410041841</v>
      </c>
      <c r="E6" s="15" t="n">
        <v>0.01736290183943614</v>
      </c>
    </row>
    <row r="7">
      <c r="A7" t="inlineStr">
        <is>
          <t>E  매출총이익 − R&amp;D − 판관비</t>
        </is>
      </c>
      <c r="B7" t="n">
        <v>342</v>
      </c>
      <c r="C7" t="n">
        <v>161</v>
      </c>
      <c r="D7" s="15">
        <f>IF(B7=0,"",C7/B7)</f>
        <v>0.47076023391812866</v>
      </c>
      <c r="E7" s="15" t="n">
        <v>0.03502482073910645</v>
      </c>
    </row>
    <row r="8">
      <c r="A8" t="inlineStr">
        <is>
          <t>G  세전이익 + 이자비용 − 이자·투자수익</t>
        </is>
      </c>
      <c r="B8" t="n">
        <v>503</v>
      </c>
      <c r="C8" t="n">
        <v>212</v>
      </c>
      <c r="D8" s="15">
        <f>IF(B8=0,"",C8/B8)</f>
        <v>0.42147117296222664</v>
      </c>
      <c r="E8" s="15" t="n">
        <v>0.02869757174392936</v>
      </c>
    </row>
    <row r="9">
      <c r="A9" t="inlineStr">
        <is>
          <t>H  세전이익 + 이자비용 (감사에서 기각된 방식)</t>
        </is>
      </c>
      <c r="B9" t="n">
        <v>503</v>
      </c>
      <c r="C9" t="n">
        <v>165</v>
      </c>
      <c r="D9" s="15">
        <f>IF(B9=0,"",C9/B9)</f>
        <v>0.32803180914512925</v>
      </c>
      <c r="E9" s="15" t="n">
        <v>0.03694984646878199</v>
      </c>
    </row>
    <row r="12">
      <c r="A12" s="7" t="inlineStr">
        <is>
          <t>±2% 일치율은 이 문제에 맞는 통계가 아닙니다. ROIC를 10% 문턱과 비교하는 것이 목적이므로, 중요한 건 분자를 바꿨을 때 문턱 판정이 뒤집히는지입니다.</t>
        </is>
      </c>
    </row>
    <row r="14">
      <c r="A14" s="5" t="inlineStr">
        <is>
          <t>회사별 최종 선택 경로</t>
        </is>
      </c>
    </row>
    <row r="15">
      <c r="A15" s="8" t="inlineStr">
        <is>
          <t>기업</t>
        </is>
      </c>
      <c r="B15" s="8" t="inlineStr">
        <is>
          <t>티커</t>
        </is>
      </c>
      <c r="C15" s="8" t="inlineStr">
        <is>
          <t>선택 경로</t>
        </is>
      </c>
      <c r="D15" s="8" t="inlineStr">
        <is>
          <t>역검증 통과</t>
        </is>
      </c>
      <c r="E15" s="8" t="inlineStr">
        <is>
          <t>중위 역검증 오차</t>
        </is>
      </c>
      <c r="F15" s="8" t="inlineStr">
        <is>
          <t>우선순위</t>
        </is>
      </c>
    </row>
    <row r="16">
      <c r="A16" t="inlineStr">
        <is>
          <t>버크셔 해서웨이</t>
        </is>
      </c>
      <c r="B16" t="inlineStr">
        <is>
          <t>BRK-B</t>
        </is>
      </c>
      <c r="C16" t="inlineStr">
        <is>
          <t>pretax_plus_interest_less_investment_income</t>
        </is>
      </c>
      <c r="D16" s="18" t="inlineStr">
        <is>
          <t>미통과</t>
        </is>
      </c>
      <c r="E16" s="15" t="n"/>
      <c r="F16" t="inlineStr">
        <is>
          <t>pretax_plus_interest_less_investment_income → pretax_less_nonoperating</t>
        </is>
      </c>
    </row>
    <row r="17">
      <c r="A17" t="inlineStr">
        <is>
          <t>일라이 릴리</t>
        </is>
      </c>
      <c r="B17" t="inlineStr">
        <is>
          <t>LLY</t>
        </is>
      </c>
      <c r="C17" t="inlineStr">
        <is>
          <t>pretax_less_nonoperating</t>
        </is>
      </c>
      <c r="D17" s="18" t="inlineStr">
        <is>
          <t>미통과</t>
        </is>
      </c>
      <c r="E17" s="15" t="n"/>
      <c r="F17" t="inlineStr">
        <is>
          <t>pretax_less_nonoperating → pretax_plus_interest_less_investment_income</t>
        </is>
      </c>
    </row>
    <row r="18">
      <c r="A18" t="inlineStr">
        <is>
          <t>JP모건 체이스</t>
        </is>
      </c>
      <c r="B18" t="inlineStr">
        <is>
          <t>JPM</t>
        </is>
      </c>
      <c r="C18" t="inlineStr">
        <is>
          <t>pretax_plus_interest_less_investment_income</t>
        </is>
      </c>
      <c r="D18" s="18" t="inlineStr">
        <is>
          <t>미통과</t>
        </is>
      </c>
      <c r="E18" s="15" t="n"/>
      <c r="F18" t="inlineStr">
        <is>
          <t>pretax_plus_interest_less_investment_income</t>
        </is>
      </c>
    </row>
    <row r="19">
      <c r="A19" t="inlineStr">
        <is>
          <t>엑슨모빌</t>
        </is>
      </c>
      <c r="B19" t="inlineStr">
        <is>
          <t>XOM</t>
        </is>
      </c>
      <c r="C19" t="inlineStr">
        <is>
          <t>pretax_plus_interest_less_investment_income</t>
        </is>
      </c>
      <c r="D19" s="18" t="inlineStr">
        <is>
          <t>미통과</t>
        </is>
      </c>
      <c r="E19" s="15" t="n"/>
      <c r="F19" t="inlineStr">
        <is>
          <t>pretax_plus_interest_less_investment_income → pretax_less_nonoperating</t>
        </is>
      </c>
    </row>
    <row r="20">
      <c r="A20" t="inlineStr">
        <is>
          <t>존슨앤드존슨</t>
        </is>
      </c>
      <c r="B20" t="inlineStr">
        <is>
          <t>JNJ</t>
        </is>
      </c>
      <c r="C20" t="inlineStr">
        <is>
          <t>pretax_less_nonoperating</t>
        </is>
      </c>
      <c r="D20" s="18" t="inlineStr">
        <is>
          <t>미통과</t>
        </is>
      </c>
      <c r="E20" s="15" t="n"/>
      <c r="F20" t="inlineStr">
        <is>
          <t>pretax_less_nonoperating → pretax_plus_interest_less_investment_income</t>
        </is>
      </c>
    </row>
    <row r="21">
      <c r="A21" t="inlineStr">
        <is>
          <t>뱅크오브아메리카</t>
        </is>
      </c>
      <c r="B21" t="inlineStr">
        <is>
          <t>BAC</t>
        </is>
      </c>
      <c r="C21" t="inlineStr">
        <is>
          <t>pretax_plus_interest_less_investment_income</t>
        </is>
      </c>
      <c r="D21" s="18" t="inlineStr">
        <is>
          <t>미통과</t>
        </is>
      </c>
      <c r="E21" s="15" t="n"/>
      <c r="F21" t="inlineStr">
        <is>
          <t>pretax_plus_interest_less_investment_income</t>
        </is>
      </c>
    </row>
    <row r="22">
      <c r="A22" t="inlineStr">
        <is>
          <t>제너럴 일렉트릭</t>
        </is>
      </c>
      <c r="B22" t="inlineStr">
        <is>
          <t>GE</t>
        </is>
      </c>
      <c r="C22" t="inlineStr">
        <is>
          <t>pretax_less_nonoperating</t>
        </is>
      </c>
      <c r="D22" s="18" t="inlineStr">
        <is>
          <t>미통과</t>
        </is>
      </c>
      <c r="E22" s="15" t="n"/>
      <c r="F22" t="inlineStr">
        <is>
          <t>pretax_less_nonoperating</t>
        </is>
      </c>
    </row>
    <row r="23">
      <c r="A23" t="inlineStr">
        <is>
          <t>셰브론</t>
        </is>
      </c>
      <c r="B23" t="inlineStr">
        <is>
          <t>CVX</t>
        </is>
      </c>
      <c r="C23" t="inlineStr">
        <is>
          <t>pretax_plus_interest_less_investment_income</t>
        </is>
      </c>
      <c r="D23" s="18" t="inlineStr">
        <is>
          <t>미통과</t>
        </is>
      </c>
      <c r="E23" s="15" t="n"/>
      <c r="F23" t="inlineStr">
        <is>
          <t>pretax_plus_interest_less_investment_income → pretax_less_nonoperating</t>
        </is>
      </c>
    </row>
    <row r="24">
      <c r="A24" t="inlineStr">
        <is>
          <t>모건스탠리</t>
        </is>
      </c>
      <c r="B24" t="inlineStr">
        <is>
          <t>MS</t>
        </is>
      </c>
      <c r="C24" t="inlineStr">
        <is>
          <t>pretax_plus_interest_less_investment_income</t>
        </is>
      </c>
      <c r="D24" s="18" t="inlineStr">
        <is>
          <t>미통과</t>
        </is>
      </c>
      <c r="E24" s="15" t="n"/>
      <c r="F24" t="inlineStr">
        <is>
          <t>pretax_plus_interest_less_investment_income → pretax_less_nonoperating</t>
        </is>
      </c>
    </row>
    <row r="25">
      <c r="A25" t="inlineStr">
        <is>
          <t>머크</t>
        </is>
      </c>
      <c r="B25" t="inlineStr">
        <is>
          <t>MRK</t>
        </is>
      </c>
      <c r="C25" t="inlineStr">
        <is>
          <t>pretax_less_nonoperating</t>
        </is>
      </c>
      <c r="D25" s="18" t="inlineStr">
        <is>
          <t>미통과</t>
        </is>
      </c>
      <c r="E25" s="15" t="n"/>
      <c r="F25" t="inlineStr">
        <is>
          <t>pretax_less_nonoperating → pretax_plus_interest_less_investment_income</t>
        </is>
      </c>
    </row>
    <row r="26">
      <c r="A26" t="inlineStr">
        <is>
          <t>웰스파고</t>
        </is>
      </c>
      <c r="B26" t="inlineStr">
        <is>
          <t>WFC</t>
        </is>
      </c>
      <c r="C26" t="inlineStr">
        <is>
          <t>pretax_plus_interest_less_investment_income</t>
        </is>
      </c>
      <c r="D26" s="18" t="inlineStr">
        <is>
          <t>미통과</t>
        </is>
      </c>
      <c r="E26" s="15" t="n"/>
      <c r="F26" t="inlineStr">
        <is>
          <t>pretax_plus_interest_less_investment_income</t>
        </is>
      </c>
    </row>
    <row r="27">
      <c r="A27" t="inlineStr">
        <is>
          <t>KLA</t>
        </is>
      </c>
      <c r="B27" t="inlineStr">
        <is>
          <t>KLAC</t>
        </is>
      </c>
      <c r="C27" t="inlineStr">
        <is>
          <t>verified_line_build</t>
        </is>
      </c>
      <c r="D27" s="28" t="inlineStr">
        <is>
          <t>통과</t>
        </is>
      </c>
      <c r="E27" s="15" t="n">
        <v>0.03384618044794284</v>
      </c>
      <c r="F27" t="inlineStr">
        <is>
          <t>verified_line_build → pretax_less_nonoperating → pretax_plus_interest_less_investment_income</t>
        </is>
      </c>
    </row>
    <row r="28">
      <c r="A28" t="inlineStr">
        <is>
          <t>아메리칸 익스프레스</t>
        </is>
      </c>
      <c r="B28" t="inlineStr">
        <is>
          <t>AXP</t>
        </is>
      </c>
      <c r="C28" t="inlineStr">
        <is>
          <t>pretax_plus_interest_less_investment_income</t>
        </is>
      </c>
      <c r="D28" s="18" t="inlineStr">
        <is>
          <t>미통과</t>
        </is>
      </c>
      <c r="E28" s="15" t="n"/>
      <c r="F28" t="inlineStr">
        <is>
          <t>pretax_plus_interest_less_investment_income</t>
        </is>
      </c>
    </row>
    <row r="29">
      <c r="A29" t="inlineStr">
        <is>
          <t>씨티그룹</t>
        </is>
      </c>
      <c r="B29" t="inlineStr">
        <is>
          <t>C</t>
        </is>
      </c>
      <c r="C29" t="inlineStr">
        <is>
          <t>pretax_plus_interest_less_investment_income</t>
        </is>
      </c>
      <c r="D29" s="18" t="inlineStr">
        <is>
          <t>미통과</t>
        </is>
      </c>
      <c r="E29" s="15" t="n"/>
      <c r="F29" t="inlineStr">
        <is>
          <t>pretax_plus_interest_less_investment_income → pretax_less_nonoperating</t>
        </is>
      </c>
    </row>
    <row r="30">
      <c r="A30" t="inlineStr">
        <is>
          <t>IBM</t>
        </is>
      </c>
      <c r="B30" t="inlineStr">
        <is>
          <t>IBM</t>
        </is>
      </c>
      <c r="C30" t="inlineStr">
        <is>
          <t>pretax_plus_interest_less_investment_income</t>
        </is>
      </c>
      <c r="D30" s="18" t="inlineStr">
        <is>
          <t>미통과</t>
        </is>
      </c>
      <c r="E30" s="15" t="n"/>
      <c r="F30" t="inlineStr">
        <is>
          <t>pretax_plus_interest_less_investment_income → pretax_less_nonoperating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2026-10-29T12:05:37Z</dcterms:created>
  <dcterms:modified xsi:type="dcterms:W3CDTF">2026-10-29T12:05:37Z</dcterms:modified>
</cp:coreProperties>
</file>