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는 방법" sheetId="1" state="visible" r:id="rId1"/>
    <sheet name="스페이스X 사업부" sheetId="2" state="visible" r:id="rId2"/>
    <sheet name="스페이스X ROIC" sheetId="3" state="visible" r:id="rId3"/>
    <sheet name="테슬라 ROIC" sheetId="4" state="visible" r:id="rId4"/>
    <sheet name="가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&quot;x&quot;"/>
  </numFmts>
  <fonts count="5">
    <font>
      <name val="Calibri"/>
      <family val="2"/>
      <color theme="1"/>
      <sz val="11"/>
      <scheme val="minor"/>
    </font>
    <font>
      <b val="1"/>
      <sz val="10"/>
    </font>
    <font>
      <b val="1"/>
      <sz val="14"/>
    </font>
    <font>
      <i val="1"/>
      <color rgb="00555555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2F4F6F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4" borderId="0" pivotButton="0" quotePrefix="0" xfId="0"/>
    <xf numFmtId="3" fontId="0" fillId="5" borderId="0" pivotButton="0" quotePrefix="0" xfId="0"/>
    <xf numFmtId="3" fontId="0" fillId="2" borderId="0" pivotButton="0" quotePrefix="0" xfId="0"/>
    <xf numFmtId="164" fontId="0" fillId="2" borderId="0" pivotButton="0" quotePrefix="0" xfId="0"/>
    <xf numFmtId="165" fontId="0" fillId="2" borderId="0" pivotButton="0" quotePrefix="0" xfId="0"/>
    <xf numFmtId="0" fontId="0" fillId="2" borderId="0" pivotButton="0" quotePrefix="0" xfId="0"/>
    <xf numFmtId="164" fontId="0" fillId="4" borderId="0" pivotButton="0" quotePrefix="0" xfId="0"/>
    <xf numFmtId="164" fontId="0" fillId="5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108" customWidth="1" min="2" max="2"/>
  </cols>
  <sheetData>
    <row r="1">
      <c r="A1" s="1" t="inlineStr">
        <is>
          <t>스페이스X · 테슬라 기업분석</t>
        </is>
      </c>
      <c r="B1" s="2" t="inlineStr"/>
    </row>
    <row r="2">
      <c r="A2" s="3" t="inlineStr">
        <is>
          <t>자료 기준일</t>
        </is>
      </c>
      <c r="B2" s="4" t="inlineStr">
        <is>
          <t>2026-10-29 — 이 날짜에 SEC에서 받은 공시</t>
        </is>
      </c>
    </row>
    <row r="3">
      <c r="A3" s="3" t="inlineStr">
        <is>
          <t>주가</t>
        </is>
      </c>
      <c r="B3" s="4" t="inlineStr">
        <is>
          <t>SPCX $141.71 · TSLA $401.47 (2026-10-29 종가)</t>
        </is>
      </c>
    </row>
    <row r="4">
      <c r="A4" s="3" t="inlineStr">
        <is>
          <t>WACC</t>
        </is>
      </c>
      <c r="B4" s="4" t="inlineStr">
        <is>
          <t>전 종목 10% 고정 (지시사항)</t>
        </is>
      </c>
    </row>
    <row r="5">
      <c r="A5" t="inlineStr"/>
      <c r="B5" s="4" t="inlineStr"/>
    </row>
    <row r="6">
      <c r="A6" s="5" t="inlineStr">
        <is>
          <t>스페이스X에 대한 중요한 한계</t>
        </is>
      </c>
      <c r="B6" s="2" t="inlineStr"/>
    </row>
    <row r="7">
      <c r="A7" s="3" t="inlineStr">
        <is>
          <t>10-K 없음</t>
        </is>
      </c>
      <c r="B7" s="4" t="inlineStr">
        <is>
          <t>2026년 6월 상장이라 아직 10-K가 없습니다. 감사된 연간 수치는 등록신고서(424B4)의 FY2023~FY2025 3년뿐이고, 그 3년 중 영업이익 흑자는 FY2024 한 해입니다. 버핏 기준의 10년 일관성 검정은 적용할 수 없습니다 — 판정 불가이며, 통과가 아닙니다.</t>
        </is>
      </c>
    </row>
    <row r="8">
      <c r="A8" s="3" t="inlineStr">
        <is>
          <t>법인 구조</t>
        </is>
      </c>
      <c r="B8" s="4" t="inlineStr">
        <is>
          <t>SPCX는 발사체 회사가 아닙니다. Space(발사체) · Connectivity(스타링크) · Super Intelligence(SI 인프라 + Grok + Cursor + X) 세 사업부입니다.</t>
        </is>
      </c>
    </row>
    <row r="9">
      <c r="A9" t="inlineStr"/>
      <c r="B9" s="4" t="inlineStr"/>
    </row>
    <row r="10">
      <c r="A10" s="5" t="inlineStr">
        <is>
          <t>ROIC 세 가지 분모</t>
        </is>
      </c>
      <c r="B10" s="2" t="inlineStr"/>
    </row>
    <row r="11">
      <c r="A11" s="3" t="inlineStr">
        <is>
          <t>보고</t>
        </is>
      </c>
      <c r="B11" s="4" t="inlineStr">
        <is>
          <t>자기자본 + 상환전환우선주 + 차입금 − 현금·유가증권</t>
        </is>
      </c>
    </row>
    <row r="12">
      <c r="A12" s="3" t="inlineStr">
        <is>
          <t>영업</t>
        </is>
      </c>
      <c r="B12" s="4" t="inlineStr">
        <is>
          <t>보고 − 영업권 − 무형자산. Cursor 인수로 영업권이 투하자본의 39%여서 분리했습니다.</t>
        </is>
      </c>
    </row>
    <row r="13">
      <c r="A13" s="3" t="inlineStr">
        <is>
          <t>가동</t>
        </is>
      </c>
      <c r="B13" s="4" t="inlineStr">
        <is>
          <t>영업 − 건설중자산. 이미 쓴 돈이지만 아직 가동되지 않아 수익을 낼 수 없는 자본을 뺀 것입니다.</t>
        </is>
      </c>
    </row>
    <row r="14">
      <c r="A14" t="inlineStr"/>
      <c r="B14" s="4" t="inlineStr"/>
    </row>
    <row r="15">
      <c r="A15" s="3" t="inlineStr">
        <is>
          <t>검증</t>
        </is>
      </c>
      <c r="B15" s="4" t="inlineStr">
        <is>
          <t>verify_spx_tsla.py 124건 통과 · 변이 11/11 탐지 · 공시 앵커 20건</t>
        </is>
      </c>
    </row>
    <row r="16">
      <c r="A16" s="3" t="inlineStr">
        <is>
          <t>수식</t>
        </is>
      </c>
      <c r="B16" s="4" t="inlineStr">
        <is>
          <t>파생 셀은 같은 시트의 셀을 참조하는 수식입니다. 계산값은 수식 옆에 심어 두었으므로 재계산하지 않는 뷰어에서도 숫자가 보입니다.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2" customWidth="1" min="4" max="4"/>
    <col width="14" customWidth="1" min="5" max="5"/>
    <col width="12" customWidth="1" min="6" max="6"/>
    <col width="16" customWidth="1" min="7" max="7"/>
    <col width="12" customWidth="1" min="8" max="8"/>
  </cols>
  <sheetData>
    <row r="1">
      <c r="A1" s="6" t="inlineStr">
        <is>
          <t>2026년 1~9월. 사업부별 투하자본은 공시되지 않으므로 사업부 ROIC는 계산할 수 없습니다 — 대신 자기 영업이익으로 자기 capex를 댈 수 있는지를 봅니다.</t>
        </is>
      </c>
    </row>
    <row r="2">
      <c r="A2" s="7" t="inlineStr">
        <is>
          <t>사업부</t>
        </is>
      </c>
      <c r="B2" s="7" t="inlineStr">
        <is>
          <t>매출</t>
        </is>
      </c>
      <c r="C2" s="7" t="inlineStr">
        <is>
          <t>영업이익</t>
        </is>
      </c>
      <c r="D2" s="7" t="inlineStr">
        <is>
          <t>영업이익률</t>
        </is>
      </c>
      <c r="E2" s="7" t="inlineStr">
        <is>
          <t>capex</t>
        </is>
      </c>
      <c r="F2" s="7" t="inlineStr">
        <is>
          <t>capex/매출</t>
        </is>
      </c>
      <c r="G2" s="7" t="inlineStr">
        <is>
          <t>영업이익−capex</t>
        </is>
      </c>
      <c r="H2" s="7" t="inlineStr">
        <is>
          <t>매출 성장</t>
        </is>
      </c>
    </row>
    <row r="3">
      <c r="A3" t="inlineStr">
        <is>
          <t>발사체 (Space)</t>
        </is>
      </c>
      <c r="B3" s="8" t="n">
        <v>3348000000</v>
      </c>
      <c r="C3" s="8" t="n">
        <v>-1211000000</v>
      </c>
      <c r="D3" s="9">
        <f>C3/B3</f>
        <v>-0.36170848267622463</v>
      </c>
      <c r="E3" s="8" t="n">
        <v>3832000000</v>
      </c>
      <c r="F3" s="10">
        <f>E3/B3</f>
        <v>1.1445639187574672</v>
      </c>
      <c r="G3" s="11">
        <f>C3-E3</f>
        <v>-5043000000.0</v>
      </c>
      <c r="H3" s="9" t="n">
        <v>0.02166615807140682</v>
      </c>
    </row>
    <row r="4">
      <c r="A4" t="inlineStr">
        <is>
          <t>스타링크 (Connectivity)</t>
        </is>
      </c>
      <c r="B4" s="8" t="n">
        <v>12796000000</v>
      </c>
      <c r="C4" s="8" t="n">
        <v>5211000000</v>
      </c>
      <c r="D4" s="9">
        <f>C4/B4</f>
        <v>0.4072366364488903</v>
      </c>
      <c r="E4" s="8" t="n">
        <v>4242000000</v>
      </c>
      <c r="F4" s="10">
        <f>E4/B4</f>
        <v>0.33150984682713347</v>
      </c>
      <c r="G4" s="12">
        <f>C4-E4</f>
        <v>969000000.0</v>
      </c>
      <c r="H4" s="9" t="n">
        <v>0.5683294521387425</v>
      </c>
    </row>
    <row r="5">
      <c r="A5" t="inlineStr">
        <is>
          <t>슈퍼인텔리전스 (SI)</t>
        </is>
      </c>
      <c r="B5" s="8" t="n">
        <v>10939000000</v>
      </c>
      <c r="C5" s="8" t="n">
        <v>-3295000000</v>
      </c>
      <c r="D5" s="9">
        <f>C5/B5</f>
        <v>-0.3012158332571533</v>
      </c>
      <c r="E5" s="8" t="n">
        <v>39995000000</v>
      </c>
      <c r="F5" s="10">
        <f>E5/B5</f>
        <v>3.656184294725295</v>
      </c>
      <c r="G5" s="11">
        <f>C5-E5</f>
        <v>-43290000000.0</v>
      </c>
      <c r="H5" s="9" t="n">
        <v>3.802019315188762</v>
      </c>
    </row>
    <row r="6">
      <c r="A6" s="5" t="inlineStr">
        <is>
          <t>합계</t>
        </is>
      </c>
      <c r="B6" s="13">
        <f>SUM(B3:B5)</f>
        <v>27083000000.0</v>
      </c>
      <c r="C6" s="13">
        <f>SUM(C3:C5)</f>
        <v>705000000.0</v>
      </c>
      <c r="D6" s="14">
        <f>C6/B6</f>
        <v>0.026031089613410628</v>
      </c>
      <c r="E6" s="13">
        <f>SUM(E3:E5)</f>
        <v>48069000000.0</v>
      </c>
      <c r="F6" s="15">
        <f>E6/B6</f>
        <v>1.7748772292582062</v>
      </c>
      <c r="G6" s="13">
        <f>C6-E6</f>
        <v>-47364000000.0</v>
      </c>
      <c r="H6" s="16" t="n"/>
    </row>
    <row r="9">
      <c r="A9" s="3" t="inlineStr">
        <is>
          <t>연결 실적과의 합계 검정</t>
        </is>
      </c>
    </row>
    <row r="10">
      <c r="A10" s="7" t="inlineStr">
        <is>
          <t>항목</t>
        </is>
      </c>
      <c r="B10" s="7" t="inlineStr">
        <is>
          <t>사업부 합계</t>
        </is>
      </c>
      <c r="C10" s="7" t="inlineStr">
        <is>
          <t>연결 공시</t>
        </is>
      </c>
      <c r="D10" s="7" t="inlineStr">
        <is>
          <t>차이</t>
        </is>
      </c>
    </row>
    <row r="11">
      <c r="A11" t="inlineStr">
        <is>
          <t>매출</t>
        </is>
      </c>
      <c r="B11" s="8">
        <f>SUM(B3:B5)</f>
        <v>27083000000.0</v>
      </c>
      <c r="C11" s="8" t="n">
        <v>27083000000</v>
      </c>
      <c r="D11" s="12">
        <f>B11-C11</f>
        <v>0.0</v>
      </c>
    </row>
    <row r="12">
      <c r="A12" t="inlineStr">
        <is>
          <t>영업이익</t>
        </is>
      </c>
      <c r="B12" s="8">
        <f>SUM(C3:C5)</f>
        <v>705000000.0</v>
      </c>
      <c r="C12" s="8" t="n">
        <v>705000000</v>
      </c>
      <c r="D12" s="12">
        <f>B12-C12</f>
        <v>0.0</v>
      </c>
    </row>
    <row r="13">
      <c r="A13" t="inlineStr">
        <is>
          <t>capex</t>
        </is>
      </c>
      <c r="B13" s="8">
        <f>SUM(E3:E5)</f>
        <v>48069000000.0</v>
      </c>
      <c r="C13" s="8" t="n">
        <v>48069000000</v>
      </c>
      <c r="D13" s="12">
        <f>B13-C13</f>
        <v>0.0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</cols>
  <sheetData>
    <row r="1">
      <c r="A1" s="6" t="inlineStr">
        <is>
          <t>공시 입력값만 값이고, 투하자본·NOPAT·ROIC는 모두 이 시트의 셀을 참조하는 수식입니다.</t>
        </is>
      </c>
    </row>
    <row r="2">
      <c r="A2" s="7" t="inlineStr">
        <is>
          <t>항목</t>
        </is>
      </c>
      <c r="B2" s="7" t="inlineStr">
        <is>
          <t>2025-12-31</t>
        </is>
      </c>
      <c r="C2" s="7" t="inlineStr">
        <is>
          <t>2026-09-30</t>
        </is>
      </c>
    </row>
    <row r="3">
      <c r="A3" t="inlineStr">
        <is>
          <t>자기자본</t>
        </is>
      </c>
      <c r="B3" s="8" t="n">
        <v>2573000000</v>
      </c>
      <c r="C3" s="8" t="n">
        <v>176768000000</v>
      </c>
    </row>
    <row r="4">
      <c r="A4" t="inlineStr">
        <is>
          <t>상환전환우선주</t>
        </is>
      </c>
      <c r="B4" s="8" t="n">
        <v>38752000000</v>
      </c>
      <c r="C4" s="8" t="n">
        <v>0</v>
      </c>
    </row>
    <row r="5">
      <c r="A5" t="inlineStr">
        <is>
          <t>차입금</t>
        </is>
      </c>
      <c r="B5" s="8" t="n">
        <v>22896000000</v>
      </c>
      <c r="C5" s="8" t="n">
        <v>38844000000</v>
      </c>
    </row>
    <row r="6">
      <c r="A6" t="inlineStr">
        <is>
          <t>현금·유가증권</t>
        </is>
      </c>
      <c r="B6" s="8" t="n">
        <v>24747000000</v>
      </c>
      <c r="C6" s="8" t="n">
        <v>89855000000</v>
      </c>
    </row>
    <row r="7">
      <c r="A7" t="inlineStr">
        <is>
          <t>영업권</t>
        </is>
      </c>
      <c r="B7" s="8" t="n">
        <v>11809000000</v>
      </c>
      <c r="C7" s="8" t="n">
        <v>48423000000</v>
      </c>
    </row>
    <row r="8">
      <c r="A8" t="inlineStr">
        <is>
          <t>무형자산</t>
        </is>
      </c>
      <c r="B8" s="8" t="n">
        <v>1548000000</v>
      </c>
      <c r="C8" s="8" t="n">
        <v>6354000000</v>
      </c>
    </row>
    <row r="9">
      <c r="A9" t="inlineStr">
        <is>
          <t>건설중자산</t>
        </is>
      </c>
      <c r="B9" s="8" t="n">
        <v>4604000000</v>
      </c>
      <c r="C9" s="8" t="n">
        <v>23745000000</v>
      </c>
    </row>
    <row r="10">
      <c r="A10" t="inlineStr">
        <is>
          <t>PP&amp;E 총액</t>
        </is>
      </c>
      <c r="B10" s="8" t="n">
        <v>55303000000</v>
      </c>
      <c r="C10" s="8" t="n">
        <v>110005000000</v>
      </c>
    </row>
    <row r="11">
      <c r="A11" t="inlineStr">
        <is>
          <t>총자산</t>
        </is>
      </c>
      <c r="B11" s="8" t="n">
        <v>92079000000</v>
      </c>
      <c r="C11" s="8" t="n">
        <v>254045000000</v>
      </c>
    </row>
    <row r="13">
      <c r="A13" s="5" t="inlineStr">
        <is>
          <t>투하자본 (수식)</t>
        </is>
      </c>
      <c r="B13" s="16" t="n"/>
      <c r="C13" s="16" t="n"/>
    </row>
    <row r="14">
      <c r="A14" t="inlineStr">
        <is>
          <t>보고</t>
        </is>
      </c>
      <c r="B14" s="8">
        <f>B3+B4+B5-B6</f>
        <v>39474000000.0</v>
      </c>
      <c r="C14" s="8">
        <f>C3+C4+C5-C6</f>
        <v>125757000000.0</v>
      </c>
    </row>
    <row r="15">
      <c r="A15" t="inlineStr">
        <is>
          <t>영업</t>
        </is>
      </c>
      <c r="B15" s="8">
        <f>B14-B7-B8</f>
        <v>26117000000.0</v>
      </c>
      <c r="C15" s="8">
        <f>C14-C7-C8</f>
        <v>70980000000.0</v>
      </c>
    </row>
    <row r="16">
      <c r="A16" t="inlineStr">
        <is>
          <t>가동</t>
        </is>
      </c>
      <c r="B16" s="8">
        <f>B15-B9</f>
        <v>21513000000.0</v>
      </c>
      <c r="C16" s="8">
        <f>C15-C9</f>
        <v>47235000000.0</v>
      </c>
    </row>
    <row r="18">
      <c r="A18" s="5" t="inlineStr">
        <is>
          <t>분자</t>
        </is>
      </c>
      <c r="B18" s="16" t="n"/>
      <c r="C18" s="16" t="n"/>
    </row>
    <row r="19">
      <c r="A19" t="inlineStr">
        <is>
          <t>9개월 영업이익 (공시)</t>
        </is>
      </c>
      <c r="B19" s="8" t="n">
        <v>705000000</v>
      </c>
    </row>
    <row r="20">
      <c r="A20" t="inlineStr">
        <is>
          <t>연율화 (×4/3)</t>
        </is>
      </c>
      <c r="B20" s="8">
        <f>B19*4/3</f>
        <v>940000000.0</v>
      </c>
    </row>
    <row r="21">
      <c r="A21" t="inlineStr">
        <is>
          <t>법정세율</t>
        </is>
      </c>
      <c r="B21" s="9" t="n">
        <v>0.21</v>
      </c>
    </row>
    <row r="22">
      <c r="A22" t="inlineStr">
        <is>
          <t>NOPAT</t>
        </is>
      </c>
      <c r="B22" s="8">
        <f>B20*(1-B21)</f>
        <v>742600000.0</v>
      </c>
    </row>
    <row r="24">
      <c r="A24" s="5" t="inlineStr">
        <is>
          <t>ROIC</t>
        </is>
      </c>
      <c r="B24" s="16" t="n"/>
      <c r="C24" s="16" t="n"/>
      <c r="D24" s="16" t="n"/>
      <c r="E24" s="16" t="n"/>
      <c r="F24" s="16" t="n"/>
    </row>
    <row r="25">
      <c r="A25" s="7" t="inlineStr">
        <is>
          <t>분모</t>
        </is>
      </c>
      <c r="B25" s="7" t="inlineStr">
        <is>
          <t>기초</t>
        </is>
      </c>
      <c r="C25" s="7" t="inlineStr">
        <is>
          <t>기말</t>
        </is>
      </c>
      <c r="D25" s="7" t="inlineStr">
        <is>
          <t>평균</t>
        </is>
      </c>
      <c r="E25" s="7" t="inlineStr">
        <is>
          <t>ROIC</t>
        </is>
      </c>
      <c r="F25" s="7" t="inlineStr">
        <is>
          <t>−10%</t>
        </is>
      </c>
    </row>
    <row r="26">
      <c r="A26" t="inlineStr">
        <is>
          <t>보고</t>
        </is>
      </c>
      <c r="B26" s="8">
        <f>B14</f>
        <v>39474000000.0</v>
      </c>
      <c r="C26" s="8">
        <f>C14</f>
        <v>125757000000.0</v>
      </c>
      <c r="D26" s="8">
        <f>(B26+C26)/2</f>
        <v>82615500000.0</v>
      </c>
      <c r="E26" s="17">
        <f>$B$22/D26</f>
        <v>0.008988628041953387</v>
      </c>
      <c r="F26" s="9">
        <f>E26-0.1</f>
        <v>-0.09101137195804662</v>
      </c>
    </row>
    <row r="27">
      <c r="A27" t="inlineStr">
        <is>
          <t>영업</t>
        </is>
      </c>
      <c r="B27" s="8">
        <f>B15</f>
        <v>26117000000.0</v>
      </c>
      <c r="C27" s="8">
        <f>C15</f>
        <v>70980000000.0</v>
      </c>
      <c r="D27" s="8">
        <f>(B27+C27)/2</f>
        <v>48548500000.0</v>
      </c>
      <c r="E27" s="17">
        <f>$B$22/D27</f>
        <v>0.015296044162023544</v>
      </c>
      <c r="F27" s="9">
        <f>E27-0.1</f>
        <v>-0.08470395583797646</v>
      </c>
    </row>
    <row r="28">
      <c r="A28" t="inlineStr">
        <is>
          <t>가동</t>
        </is>
      </c>
      <c r="B28" s="8">
        <f>B16</f>
        <v>21513000000.0</v>
      </c>
      <c r="C28" s="8">
        <f>C16</f>
        <v>47235000000.0</v>
      </c>
      <c r="D28" s="8">
        <f>(B28+C28)/2</f>
        <v>34374000000.0</v>
      </c>
      <c r="E28" s="17">
        <f>$B$22/D28</f>
        <v>0.021603537557456216</v>
      </c>
      <c r="F28" s="9">
        <f>E28-0.1</f>
        <v>-0.0783964624425438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  <col width="15" customWidth="1" min="10" max="10"/>
    <col width="10" customWidth="1" min="11" max="11"/>
    <col width="10" customWidth="1" min="12" max="12"/>
  </cols>
  <sheetData>
    <row r="1">
      <c r="A1" s="6" t="inlineStr">
        <is>
          <t>영업이익·세율·자본 구성은 공시값이고 NOPAT·투하자본·ROIC는 수식입니다.</t>
        </is>
      </c>
    </row>
    <row r="2">
      <c r="A2" s="7" t="inlineStr">
        <is>
          <t>연도</t>
        </is>
      </c>
      <c r="B2" s="7" t="inlineStr">
        <is>
          <t>매출</t>
        </is>
      </c>
      <c r="C2" s="7" t="inlineStr">
        <is>
          <t>영업이익</t>
        </is>
      </c>
      <c r="D2" s="7" t="inlineStr">
        <is>
          <t>실효세율</t>
        </is>
      </c>
      <c r="E2" s="7" t="inlineStr">
        <is>
          <t>NOPAT</t>
        </is>
      </c>
      <c r="F2" s="7" t="inlineStr">
        <is>
          <t>자기자본</t>
        </is>
      </c>
      <c r="G2" s="7" t="inlineStr">
        <is>
          <t>차입금</t>
        </is>
      </c>
      <c r="H2" s="7" t="inlineStr">
        <is>
          <t>현금·단기투자</t>
        </is>
      </c>
      <c r="I2" s="7" t="inlineStr">
        <is>
          <t>투하자본</t>
        </is>
      </c>
      <c r="J2" s="7" t="inlineStr">
        <is>
          <t>평균 투하자본</t>
        </is>
      </c>
      <c r="K2" s="7" t="inlineStr">
        <is>
          <t>ROIC</t>
        </is>
      </c>
      <c r="L2" s="7" t="inlineStr">
        <is>
          <t>−10%</t>
        </is>
      </c>
    </row>
    <row r="3">
      <c r="A3" t="inlineStr">
        <is>
          <t>FY2015</t>
        </is>
      </c>
      <c r="B3" s="8" t="n">
        <v>4046025000</v>
      </c>
      <c r="C3" s="8" t="n">
        <v>-716629000</v>
      </c>
      <c r="D3" s="9" t="n">
        <v>0.21</v>
      </c>
      <c r="E3" s="8">
        <f>C3*(1-D3)</f>
        <v>-566136910.0</v>
      </c>
      <c r="F3" s="8" t="n">
        <v>1083704000</v>
      </c>
      <c r="G3" s="8" t="n">
        <v>2649020000</v>
      </c>
      <c r="H3" s="8" t="n">
        <v>1213608000</v>
      </c>
      <c r="I3" s="8">
        <f>F3+G3-H3</f>
        <v>2519116000.0</v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</row>
    <row r="4">
      <c r="A4" t="inlineStr">
        <is>
          <t>FY2016</t>
        </is>
      </c>
      <c r="B4" s="8" t="n">
        <v>7000132000</v>
      </c>
      <c r="C4" s="8" t="n">
        <v>-667340000</v>
      </c>
      <c r="D4" s="9" t="n">
        <v>0.21</v>
      </c>
      <c r="E4" s="8">
        <f>C4*(1-D4)</f>
        <v>-527198600.0</v>
      </c>
      <c r="F4" s="8" t="n">
        <v>5538000000</v>
      </c>
      <c r="G4" s="8" t="n">
        <v>6974701000</v>
      </c>
      <c r="H4" s="8" t="n">
        <v>3393000000</v>
      </c>
      <c r="I4" s="8">
        <f>F4+G4-H4</f>
        <v>9119701000.0</v>
      </c>
      <c r="J4" s="8">
        <f>(I4+I3)/2</f>
        <v>5819408500.0</v>
      </c>
      <c r="K4" s="9">
        <f>E4/J4</f>
        <v>-0.090593159081374</v>
      </c>
      <c r="L4" s="17">
        <f>K4-0.1</f>
        <v>-0.190593159081374</v>
      </c>
    </row>
    <row r="5">
      <c r="A5" t="inlineStr">
        <is>
          <t>FY2017</t>
        </is>
      </c>
      <c r="B5" s="8" t="n">
        <v>11759000000</v>
      </c>
      <c r="C5" s="8" t="n">
        <v>-1632000000</v>
      </c>
      <c r="D5" s="9" t="n">
        <v>0.21</v>
      </c>
      <c r="E5" s="8">
        <f>C5*(1-D5)</f>
        <v>-1289280000.0</v>
      </c>
      <c r="F5" s="8" t="n">
        <v>5234000000</v>
      </c>
      <c r="G5" s="8" t="n">
        <v>10218168000</v>
      </c>
      <c r="H5" s="8" t="n">
        <v>3368000000</v>
      </c>
      <c r="I5" s="8">
        <f>F5+G5-H5</f>
        <v>12084168000.0</v>
      </c>
      <c r="J5" s="8">
        <f>(I5+I4)/2</f>
        <v>10601934500.0</v>
      </c>
      <c r="K5" s="9">
        <f>E5/J5</f>
        <v>-0.12160799522011762</v>
      </c>
      <c r="L5" s="17">
        <f>K5-0.1</f>
        <v>-0.22160799522011762</v>
      </c>
    </row>
    <row r="6">
      <c r="A6" t="inlineStr">
        <is>
          <t>FY2018</t>
        </is>
      </c>
      <c r="B6" s="8" t="n">
        <v>21461268000</v>
      </c>
      <c r="C6" s="8" t="n">
        <v>-388000000</v>
      </c>
      <c r="D6" s="9" t="n">
        <v>0.21</v>
      </c>
      <c r="E6" s="8">
        <f>C6*(1-D6)</f>
        <v>-306520000.0</v>
      </c>
      <c r="F6" s="8" t="n">
        <v>5757000000</v>
      </c>
      <c r="G6" s="8" t="n">
        <v>11625672000</v>
      </c>
      <c r="H6" s="8" t="n">
        <v>3686000000</v>
      </c>
      <c r="I6" s="8">
        <f>F6+G6-H6</f>
        <v>13696672000.0</v>
      </c>
      <c r="J6" s="8">
        <f>(I6+I5)/2</f>
        <v>12890420000.0</v>
      </c>
      <c r="K6" s="9">
        <f>E6/J6</f>
        <v>-0.023778899368678445</v>
      </c>
      <c r="L6" s="17">
        <f>K6-0.1</f>
        <v>-0.12377889936867845</v>
      </c>
    </row>
    <row r="7">
      <c r="A7" t="inlineStr">
        <is>
          <t>FY2019</t>
        </is>
      </c>
      <c r="B7" s="8" t="n">
        <v>24578000000</v>
      </c>
      <c r="C7" s="8" t="n">
        <v>-69000000</v>
      </c>
      <c r="D7" s="9" t="n">
        <v>0.21</v>
      </c>
      <c r="E7" s="8">
        <f>C7*(1-D7)</f>
        <v>-54510000.0</v>
      </c>
      <c r="F7" s="8" t="n">
        <v>7467000000</v>
      </c>
      <c r="G7" s="8" t="n">
        <v>10402000000</v>
      </c>
      <c r="H7" s="8" t="n">
        <v>6268000000</v>
      </c>
      <c r="I7" s="8">
        <f>F7+G7-H7</f>
        <v>11601000000.0</v>
      </c>
      <c r="J7" s="8">
        <f>(I7+I6)/2</f>
        <v>12648836000.0</v>
      </c>
      <c r="K7" s="9">
        <f>E7/J7</f>
        <v>-0.004309487450070504</v>
      </c>
      <c r="L7" s="17">
        <f>K7-0.1</f>
        <v>-0.10430948745007051</v>
      </c>
    </row>
    <row r="8">
      <c r="A8" t="inlineStr">
        <is>
          <t>FY2020</t>
        </is>
      </c>
      <c r="B8" s="8" t="n">
        <v>31536000000</v>
      </c>
      <c r="C8" s="8" t="n">
        <v>1994000000</v>
      </c>
      <c r="D8" s="9" t="n">
        <v>0.2530329289428076</v>
      </c>
      <c r="E8" s="8">
        <f>C8*(1-D8)</f>
        <v>1489452339.6880417</v>
      </c>
      <c r="F8" s="8" t="n">
        <v>23075000000</v>
      </c>
      <c r="G8" s="8" t="n">
        <v>8462000000</v>
      </c>
      <c r="H8" s="8" t="n">
        <v>19384000000</v>
      </c>
      <c r="I8" s="8">
        <f>F8+G8-H8</f>
        <v>12153000000.0</v>
      </c>
      <c r="J8" s="8">
        <f>(I8+I7)/2</f>
        <v>11877000000.0</v>
      </c>
      <c r="K8" s="9">
        <f>E8/J8</f>
        <v>0.1254064443620478</v>
      </c>
      <c r="L8" s="18">
        <f>K8-0.1</f>
        <v>0.02540644436204778</v>
      </c>
    </row>
    <row r="9">
      <c r="A9" t="inlineStr">
        <is>
          <t>FY2021</t>
        </is>
      </c>
      <c r="B9" s="8" t="n">
        <v>53823000000</v>
      </c>
      <c r="C9" s="8" t="n">
        <v>6523000000</v>
      </c>
      <c r="D9" s="9" t="n">
        <v>0.1102002207157496</v>
      </c>
      <c r="E9" s="8">
        <f>C9*(1-D9)</f>
        <v>5804163960.271165</v>
      </c>
      <c r="F9" s="8" t="n">
        <v>31015000000</v>
      </c>
      <c r="G9" s="8" t="n">
        <v>4254000000</v>
      </c>
      <c r="H9" s="8" t="n">
        <v>17707000000</v>
      </c>
      <c r="I9" s="8">
        <f>F9+G9-H9</f>
        <v>17562000000.0</v>
      </c>
      <c r="J9" s="8">
        <f>(I9+I8)/2</f>
        <v>14857500000.0</v>
      </c>
      <c r="K9" s="9">
        <f>E9/J9</f>
        <v>0.3906554911843288</v>
      </c>
      <c r="L9" s="18">
        <f>K9-0.1</f>
        <v>0.29065549118432876</v>
      </c>
    </row>
    <row r="10">
      <c r="A10" t="inlineStr">
        <is>
          <t>FY2022</t>
        </is>
      </c>
      <c r="B10" s="8" t="n">
        <v>81462000000</v>
      </c>
      <c r="C10" s="8" t="n">
        <v>13656000000</v>
      </c>
      <c r="D10" s="9" t="n">
        <v>0.08251330271885705</v>
      </c>
      <c r="E10" s="8">
        <f>C10*(1-D10)</f>
        <v>12529198338.07129</v>
      </c>
      <c r="F10" s="8" t="n">
        <v>45489000000</v>
      </c>
      <c r="G10" s="8" t="n">
        <v>1029000000</v>
      </c>
      <c r="H10" s="8" t="n">
        <v>22185000000</v>
      </c>
      <c r="I10" s="8">
        <f>F10+G10-H10</f>
        <v>24333000000.0</v>
      </c>
      <c r="J10" s="8">
        <f>(I10+I9)/2</f>
        <v>20947500000.0</v>
      </c>
      <c r="K10" s="9">
        <f>E10/J10</f>
        <v>0.598123801793593</v>
      </c>
      <c r="L10" s="18">
        <f>K10-0.1</f>
        <v>0.49812380179359306</v>
      </c>
    </row>
    <row r="11">
      <c r="A11" t="inlineStr">
        <is>
          <t>FY2023</t>
        </is>
      </c>
      <c r="B11" s="8" t="n">
        <v>96773000000</v>
      </c>
      <c r="C11" s="8" t="n">
        <v>8891000000</v>
      </c>
      <c r="D11" s="9" t="n">
        <v>0.05</v>
      </c>
      <c r="E11" s="8">
        <f>C11*(1-D11)</f>
        <v>8446450000.0</v>
      </c>
      <c r="F11" s="8" t="n">
        <v>63367000000</v>
      </c>
      <c r="G11" s="8" t="n">
        <v>2682000000</v>
      </c>
      <c r="H11" s="8" t="n">
        <v>29094000000</v>
      </c>
      <c r="I11" s="8">
        <f>F11+G11-H11</f>
        <v>36955000000.0</v>
      </c>
      <c r="J11" s="8">
        <f>(I11+I10)/2</f>
        <v>30644000000.0</v>
      </c>
      <c r="K11" s="9">
        <f>E11/J11</f>
        <v>0.27563144498107295</v>
      </c>
      <c r="L11" s="18">
        <f>K11-0.1</f>
        <v>0.17563144498107294</v>
      </c>
    </row>
    <row r="12">
      <c r="A12" t="inlineStr">
        <is>
          <t>FY2024</t>
        </is>
      </c>
      <c r="B12" s="8" t="n">
        <v>97690000000</v>
      </c>
      <c r="C12" s="8" t="n">
        <v>7076000000</v>
      </c>
      <c r="D12" s="9" t="n">
        <v>0.2043381535038932</v>
      </c>
      <c r="E12" s="8">
        <f>C12*(1-D12)</f>
        <v>5630103225.806452</v>
      </c>
      <c r="F12" s="8" t="n">
        <v>73617000000</v>
      </c>
      <c r="G12" s="8" t="n">
        <v>5535000000</v>
      </c>
      <c r="H12" s="8" t="n">
        <v>36563000000</v>
      </c>
      <c r="I12" s="8">
        <f>F12+G12-H12</f>
        <v>42589000000.0</v>
      </c>
      <c r="J12" s="8">
        <f>(I12+I11)/2</f>
        <v>39772000000.0</v>
      </c>
      <c r="K12" s="9">
        <f>E12/J12</f>
        <v>0.14155946962200674</v>
      </c>
      <c r="L12" s="18">
        <f>K12-0.1</f>
        <v>0.04155946962200674</v>
      </c>
    </row>
    <row r="13">
      <c r="A13" t="inlineStr">
        <is>
          <t>FY2025</t>
        </is>
      </c>
      <c r="B13" s="8" t="n">
        <v>94827000000</v>
      </c>
      <c r="C13" s="8" t="n">
        <v>4355000000</v>
      </c>
      <c r="D13" s="9" t="n">
        <v>0.2696097006441834</v>
      </c>
      <c r="E13" s="8">
        <f>C13*(1-D13)</f>
        <v>3180849753.6945815</v>
      </c>
      <c r="F13" s="8" t="n">
        <v>82807000000</v>
      </c>
      <c r="G13" s="8" t="n">
        <v>6584000000</v>
      </c>
      <c r="H13" s="8" t="n">
        <v>44059000000</v>
      </c>
      <c r="I13" s="8">
        <f>F13+G13-H13</f>
        <v>45332000000.0</v>
      </c>
      <c r="J13" s="8">
        <f>(I13+I12)/2</f>
        <v>43960500000.0</v>
      </c>
      <c r="K13" s="9">
        <f>E13/J13</f>
        <v>0.07235699670601066</v>
      </c>
      <c r="L13" s="17">
        <f>K13-0.1</f>
        <v>-0.027643003293989346</v>
      </c>
    </row>
    <row r="16">
      <c r="A16" s="3" t="inlineStr">
        <is>
          <t>증분 ROIC</t>
        </is>
      </c>
    </row>
    <row r="17">
      <c r="A17" s="7" t="inlineStr">
        <is>
          <t>구간</t>
        </is>
      </c>
      <c r="B17" s="7" t="inlineStr">
        <is>
          <t>ΔNOPAT</t>
        </is>
      </c>
      <c r="C17" s="7" t="inlineStr">
        <is>
          <t>Δ투하자본</t>
        </is>
      </c>
      <c r="D17" s="7" t="inlineStr">
        <is>
          <t>증분 ROIC</t>
        </is>
      </c>
    </row>
    <row r="18">
      <c r="A18" t="inlineStr">
        <is>
          <t>FY2020→FY2025</t>
        </is>
      </c>
      <c r="B18" s="8">
        <f>E13-E8</f>
        <v>1691397414.0065398</v>
      </c>
      <c r="C18" s="8">
        <f>I13-I8</f>
        <v>33179000000.0</v>
      </c>
      <c r="D18" s="17">
        <f>B18/C18</f>
        <v>0.05097795033022514</v>
      </c>
    </row>
    <row r="19">
      <c r="A19" t="inlineStr">
        <is>
          <t>FY2022→FY2025</t>
        </is>
      </c>
      <c r="B19" s="8">
        <f>E13-E10</f>
        <v>-9348348584.376707</v>
      </c>
      <c r="C19" s="8">
        <f>I13-I10</f>
        <v>20999000000.0</v>
      </c>
      <c r="D19" s="17">
        <f>B19/C19</f>
        <v>-0.44518065547772306</v>
      </c>
    </row>
    <row r="20">
      <c r="A20" t="inlineStr">
        <is>
          <t>FY2023→FY2025</t>
        </is>
      </c>
      <c r="B20" s="8">
        <f>E13-E11</f>
        <v>-5265600246.305418</v>
      </c>
      <c r="C20" s="8">
        <f>I13-I11</f>
        <v>8377000000.0</v>
      </c>
      <c r="D20" s="17">
        <f>B20/C20</f>
        <v>-0.628578279372737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6" t="inlineStr">
        <is>
          <t>주가는 2026-10-29 종가. 시가총액과 배수는 수식입니다.</t>
        </is>
      </c>
    </row>
    <row r="2">
      <c r="A2" s="7" t="inlineStr">
        <is>
          <t>항목</t>
        </is>
      </c>
      <c r="B2" s="7" t="inlineStr">
        <is>
          <t>스페이스X</t>
        </is>
      </c>
      <c r="C2" s="7" t="inlineStr">
        <is>
          <t>테슬라</t>
        </is>
      </c>
    </row>
    <row r="3">
      <c r="A3" t="inlineStr">
        <is>
          <t>주가 (달러)</t>
        </is>
      </c>
      <c r="B3" s="19" t="n">
        <v>141.7122039794922</v>
      </c>
      <c r="C3" s="19" t="n">
        <v>401.4700012207031</v>
      </c>
    </row>
    <row r="4">
      <c r="A4" t="inlineStr">
        <is>
          <t>발행주식수</t>
        </is>
      </c>
      <c r="B4" s="8" t="n">
        <v>13579000000</v>
      </c>
      <c r="C4" s="8" t="n">
        <v>3952757946</v>
      </c>
    </row>
    <row r="5">
      <c r="A5" t="inlineStr">
        <is>
          <t>시가총액</t>
        </is>
      </c>
      <c r="B5" s="8">
        <f>B3*B4</f>
        <v>1924310017837.5244</v>
      </c>
      <c r="C5" s="8">
        <f>C3*C4</f>
        <v>1586913737405.764</v>
      </c>
    </row>
    <row r="6">
      <c r="A6" t="inlineStr">
        <is>
          <t>연율 NOPAT</t>
        </is>
      </c>
      <c r="B6" s="8" t="n">
        <v>742600000</v>
      </c>
      <c r="C6" s="8" t="n">
        <v>3180849753.694582</v>
      </c>
    </row>
    <row r="7">
      <c r="A7" t="inlineStr">
        <is>
          <t>시가총액 / NOPAT</t>
        </is>
      </c>
      <c r="B7" s="10">
        <f>B5/B6</f>
        <v>2591.314325124595</v>
      </c>
      <c r="C7" s="10">
        <f>C5/C6</f>
        <v>498.8961630654045</v>
      </c>
    </row>
    <row r="8">
      <c r="A8" t="inlineStr">
        <is>
          <t>10% 수익에 필요한 NOPAT</t>
        </is>
      </c>
      <c r="B8" s="8">
        <f>B5*0.1</f>
        <v>192431001783.75244</v>
      </c>
      <c r="C8" s="8">
        <f>C5*0.1</f>
        <v>158691373740.5764</v>
      </c>
    </row>
    <row r="9">
      <c r="A9" t="inlineStr">
        <is>
          <t>현재 NOPAT의 몇 배가 필요한가</t>
        </is>
      </c>
      <c r="B9" s="10">
        <f>B8/B6</f>
        <v>259.1314325124595</v>
      </c>
      <c r="C9" s="10">
        <f>C8/C6</f>
        <v>49.88961630654045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2026-10-29T13:38:35Z</dcterms:created>
  <dcterms:modified xsi:type="dcterms:W3CDTF">2026-10-29T13:38:35Z</dcterms:modified>
</cp:coreProperties>
</file>