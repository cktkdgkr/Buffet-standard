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산식정의" sheetId="2" state="visible" r:id="rId2"/>
    <sheet name="기준표" sheetId="3" state="visible" r:id="rId3"/>
    <sheet name="연도별계산" sheetId="4" state="visible" r:id="rId4"/>
    <sheet name="품질순위" sheetId="5" state="visible" r:id="rId5"/>
    <sheet name="DCF계산" sheetId="6" state="visible" r:id="rId6"/>
    <sheet name="밸류에이션" sheetId="7" state="visible" r:id="rId7"/>
    <sheet name="금융9개사" sheetId="8" state="visible" r:id="rId8"/>
    <sheet name="알파벳심층" sheetId="9" state="visible" r:id="rId9"/>
    <sheet name="밸류에이션제외" sheetId="10" state="visible" r:id="rId10"/>
    <sheet name="검증결과" sheetId="11" state="visible" r:id="rId11"/>
    <sheet name="유니버스" sheetId="12" state="visible" r:id="rId12"/>
  </sheets>
  <definedNames>
    <definedName name="_xlnm._FilterDatabase" localSheetId="3" hidden="1">'연도별계산'!$A$4:$BA$590</definedName>
    <definedName name="_xlnm._FilterDatabase" localSheetId="4" hidden="1">'품질순위'!$A$4:$Y$45</definedName>
    <definedName name="_xlnm._FilterDatabase" localSheetId="5" hidden="1">'DCF계산'!$A$4:$Z$121</definedName>
    <definedName name="_xlnm._FilterDatabase" localSheetId="6" hidden="1">'밸류에이션'!$A$4:$T$43</definedName>
    <definedName name="_xlnm._FilterDatabase" localSheetId="7" hidden="1">'금융9개사'!$A$4:$K$13</definedName>
    <definedName name="_xlnm._FilterDatabase" localSheetId="10" hidden="1">'검증결과'!$A$4:$H$54</definedName>
    <definedName name="_xlnm._FilterDatabase" localSheetId="11" hidden="1">'유니버스'!$A$4:$J$56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&quot;x&quot;"/>
    <numFmt numFmtId="166" formatCode="$#,##0.0;($#,##0.0);-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9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EEAF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0" fontId="2" fillId="0" borderId="1" pivotButton="0" quotePrefix="0" xfId="0"/>
    <xf numFmtId="164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0" fontId="6" fillId="3" borderId="1" pivotButton="0" quotePrefix="0" xfId="0"/>
    <xf numFmtId="166" fontId="6" fillId="4" borderId="1" pivotButton="0" quotePrefix="0" xfId="0"/>
    <xf numFmtId="3" fontId="6" fillId="4" borderId="1" pivotButton="0" quotePrefix="0" xfId="0"/>
    <xf numFmtId="166" fontId="4" fillId="0" borderId="1" pivotButton="0" quotePrefix="0" xfId="0"/>
    <xf numFmtId="164" fontId="7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3" fontId="3" fillId="0" borderId="1" pivotButton="0" quotePrefix="0" xfId="0"/>
    <xf numFmtId="164" fontId="6" fillId="4" borderId="1" pivotButton="0" quotePrefix="0" xfId="0"/>
    <xf numFmtId="165" fontId="6" fillId="4" borderId="1" pivotButton="0" quotePrefix="0" xfId="0"/>
    <xf numFmtId="3" fontId="7" fillId="0" borderId="1" pivotButton="0" quotePrefix="0" xfId="0"/>
    <xf numFmtId="166" fontId="3" fillId="0" borderId="1" pivotButton="0" quotePrefix="0" xfId="0"/>
    <xf numFmtId="0" fontId="7" fillId="0" borderId="1" pivotButton="0" quotePrefix="0" xfId="0"/>
    <xf numFmtId="166" fontId="7" fillId="0" borderId="1" pivotButton="0" quotePrefix="0" xfId="0"/>
    <xf numFmtId="0" fontId="8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92" customWidth="1" min="2" max="2"/>
  </cols>
  <sheetData>
    <row r="1">
      <c r="A1" s="1" t="inlineStr">
        <is>
          <t>버핏 기준 52개 기업 분석</t>
        </is>
      </c>
    </row>
    <row r="2">
      <c r="A2" s="2" t="inlineStr">
        <is>
          <t>생성 2026-08-29 06:53 UTC · 미국 50개사 정량 + 한국 2개사 정성</t>
        </is>
      </c>
    </row>
    <row r="4">
      <c r="A4" s="3" t="inlineStr">
        <is>
          <t>이 파일 읽는 법</t>
        </is>
      </c>
    </row>
    <row r="5" ht="26" customHeight="1">
      <c r="A5" s="4" t="inlineStr">
        <is>
          <t>글자 색</t>
        </is>
      </c>
      <c r="B5" s="5" t="inlineStr">
        <is>
          <t>파란 글씨는 10-K나 시세에서 그대로 가져온 원천 수치입니다. 검은 글씨는 같은 시트에서 계산한 수식이고, 초록 글씨는 다른 시트를 참조하는 수식입니다. 노란 셀은 바꿔볼 수 있는 가정입니다.</t>
        </is>
      </c>
    </row>
    <row r="6" ht="26" customHeight="1">
      <c r="A6" s="4" t="inlineStr">
        <is>
          <t>계산을 따라가는 순서</t>
        </is>
      </c>
      <c r="B6" s="5" t="inlineStr">
        <is>
          <t>연도별계산 → 품질순위 → DCF계산 → 밸류에이션 순으로 보시면 원천 수치가 비율이 되고, 비율이 점수와 적정가치가 되는 과정이 이어집니다. 각 열의 정의와 산식은 '산식정의' 시트에 정리했습니다.</t>
        </is>
      </c>
    </row>
    <row r="7" ht="26" customHeight="1">
      <c r="A7" s="4" t="inlineStr">
        <is>
          <t>가정을 바꾸려면</t>
        </is>
      </c>
      <c r="B7" s="5" t="inlineStr">
        <is>
          <t>'기준표' 시트의 노란 셀을 바꾸면 배점과 적정가치가 함께 움직입니다. 예를 들어 기준 할인율을 10%에서 9%로 낮추면 모든 적정가치가 올라갑니다.</t>
        </is>
      </c>
    </row>
    <row r="9" ht="26" customHeight="1">
      <c r="A9" s="4" t="inlineStr">
        <is>
          <t>핵심 결론</t>
        </is>
      </c>
      <c r="B9" s="5" t="inlineStr">
        <is>
          <t>비금융 41개사 중 37개사가 ROIC로 자본비용을 넘겼지만, 할인율 10% 기준 DCF에서 안전마진 30% 이상인 기업은 0개입니다.</t>
        </is>
      </c>
    </row>
    <row r="10" ht="15" customHeight="1">
      <c r="A10" s="4" t="inlineStr">
        <is>
          <t>경계선</t>
        </is>
      </c>
      <c r="B10" s="5" t="inlineStr">
        <is>
          <t>0개사 (없음). 나머지는 전부 적정가치 추정 범위 밖에서 거래되고 있습니다.</t>
        </is>
      </c>
    </row>
    <row r="11" ht="26" customHeight="1">
      <c r="A11" s="4" t="inlineStr">
        <is>
          <t>주주이익 음수</t>
        </is>
      </c>
      <c r="B11" s="5" t="inlineStr">
        <is>
          <t>2개사 (INTC, AMD). 이익이 없어서가 아니라 설비투자와 운전자본이 순이익을 넘어서기 때문이며, 데이터 공백이 아니라 사업 판정입니다.</t>
        </is>
      </c>
    </row>
    <row r="12" ht="26" customHeight="1">
      <c r="A12" s="4" t="inlineStr">
        <is>
          <t>금융업 처리</t>
        </is>
      </c>
      <c r="B12" s="5" t="inlineStr">
        <is>
          <t>9개사는 ROIC·주주이익을 산출하지 않았습니다. 은행에서 부채는 자금조달이 아니라 원재료라 투하자본이 정의되지 않습니다. SIC 6000~6799 기준.</t>
        </is>
      </c>
    </row>
    <row r="13" ht="26" customHeight="1">
      <c r="A13" s="4" t="inlineStr">
        <is>
          <t>한국 2개사</t>
        </is>
      </c>
      <c r="B13" s="5" t="inlineStr">
        <is>
          <t>삼성전자·SK하이닉스는 정성 분석만 했습니다. DART 접근에 인증키가 필요해 감사받은 1차 출처를 확보할 수 없었고, 기억으로 숫자를 채우지 않았습니다.</t>
        </is>
      </c>
    </row>
    <row r="14" ht="26" customHeight="1">
      <c r="A14" s="4" t="inlineStr">
        <is>
          <t>검증 (PHASE 6)</t>
        </is>
      </c>
      <c r="B14" s="5" t="inlineStr">
        <is>
          <t>50/50개사 통과. 각 수치를 해당 10-K 원문의 인라인 XBRL과 대조하고, 인용 접수번호가 EDGAR에 실재하는지 확인하고, 주식수를 재파싱으로 재현했습니다.</t>
        </is>
      </c>
    </row>
    <row r="16" ht="39" customHeight="1">
      <c r="A16" s="4" t="inlineStr">
        <is>
          <t>주의</t>
        </is>
      </c>
      <c r="B16" s="5" t="inlineStr">
        <is>
          <t>이 분석은 '지금 투자 가능 구간 안인가'라는 질문에만 답합니다. 목표주가가 아니며, DCF는 3개 시나리오의 범위로만 읽어야 합니다. 비자의 시가총액은 클래스 B·C 전환분이 빠져 과소평가돼 있어 실제 안전마진은 표시된 값보다 나쁩니다.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86" customWidth="1" min="4" max="4"/>
    <col width="34" customWidth="1" min="5" max="5"/>
  </cols>
  <sheetData>
    <row r="1">
      <c r="A1" s="1" t="inlineStr">
        <is>
          <t>산식 정의 — 각 열이 어떻게 계산되는가</t>
        </is>
      </c>
    </row>
    <row r="2">
      <c r="A2" s="2" t="inlineStr">
        <is>
          <t>시트별로 열 하나하나의 정의와 산식, 그리고 왜 그렇게 계산했는지를 적었습니다.</t>
        </is>
      </c>
    </row>
    <row r="4" ht="34" customHeight="1">
      <c r="A4" s="6" t="inlineStr">
        <is>
          <t>시트</t>
        </is>
      </c>
      <c r="B4" s="6" t="inlineStr">
        <is>
          <t>열</t>
        </is>
      </c>
      <c r="C4" s="6" t="inlineStr">
        <is>
          <t>산식</t>
        </is>
      </c>
      <c r="D4" s="6" t="inlineStr">
        <is>
          <t>설명</t>
        </is>
      </c>
      <c r="E4" s="6" t="inlineStr">
        <is>
          <t>참조 대상</t>
        </is>
      </c>
    </row>
    <row r="5" ht="15" customHeight="1">
      <c r="A5" s="7" t="inlineStr">
        <is>
          <t>연도별계산</t>
        </is>
      </c>
      <c r="B5" s="8" t="inlineStr">
        <is>
          <t>매출 / 세전이익 / 이자비용 / 법인세비용 / 순이익 / 감가상각 / 설비투자 / 자기자본 / 현금 / 단기·장기차입금 / 유동자산 / 유동부채</t>
        </is>
      </c>
      <c r="C5" s="8" t="inlineStr">
        <is>
          <t>원천 (파란 셀)</t>
        </is>
      </c>
      <c r="D5" s="5" t="inlineStr">
        <is>
          <t>각 회계연도 10-K의 XBRL 태그 값을 그대로 가져온 것. 가공하지 않았습니다.</t>
        </is>
      </c>
      <c r="E5" s="9" t="inlineStr">
        <is>
          <t>SEC EDGAR companyfacts, 접수번호 열로 해당 10-K 특정 가능</t>
        </is>
      </c>
    </row>
    <row r="6" ht="72" customHeight="1">
      <c r="A6" s="7" t="inlineStr">
        <is>
          <t>연도별계산</t>
        </is>
      </c>
      <c r="B6" s="8" t="inlineStr">
        <is>
          <t>영업이익(EBIT)</t>
        </is>
      </c>
      <c r="C6" s="8" t="inlineStr">
        <is>
          <t>보고된 영업이익 (없으면 세전이익 + 이자비용)</t>
        </is>
      </c>
      <c r="D6" s="5" t="inlineStr">
        <is>
          <t>보고된 영업이익을 먼저 씁니다. 투하자본이 현금을 빼고 있으므로, 그 현금과 투자자산이 벌어들인 이자수익·투자평가익도 분자에서 빠져야 같은 자본에 대한 수익률이 됩니다. '세전이익+이자비용'은 그것들을 그대로 끌고 들어옵니다 — 알파벳 FY2025는 그 차이가 $159.6B 대 $129.0B로 24%였고, 인텔 FY2024는 부호까지 뒤집혔습니다(+$2.6B 대 −$2.2B). 릴리·머크·KLA처럼 영업이익 소계를 태깅하지 않는 연도만 '세전이익+이자비용'으로 대체하고, 그 사실을 산출방식 열에 남깁니다.</t>
        </is>
      </c>
      <c r="E6" s="9" t="inlineStr">
        <is>
          <t>같은 행의 원천 셀</t>
        </is>
      </c>
    </row>
    <row r="7" ht="24" customHeight="1">
      <c r="A7" s="7" t="inlineStr">
        <is>
          <t>연도별계산</t>
        </is>
      </c>
      <c r="B7" s="8" t="inlineStr">
        <is>
          <t>실효세율</t>
        </is>
      </c>
      <c r="C7" s="8" t="inlineStr">
        <is>
          <t>법인세비용 ÷ 세전이익 (5~40%로 제한)</t>
        </is>
      </c>
      <c r="D7" s="5" t="inlineStr">
        <is>
          <t>세전이익이 없거나 음수면 기본 세율 21%를 씁니다. 범위를 벗어나는 값은 일회성 항목의 결과라 한계 세율을 대표하지 못하므로 상·하한을 둡니다.</t>
        </is>
      </c>
      <c r="E7" s="9" t="inlineStr">
        <is>
          <t>기준표의 세율 셀 3개</t>
        </is>
      </c>
    </row>
    <row r="8" ht="15" customHeight="1">
      <c r="A8" s="7" t="inlineStr">
        <is>
          <t>연도별계산</t>
        </is>
      </c>
      <c r="B8" s="8" t="inlineStr">
        <is>
          <t>NOPAT</t>
        </is>
      </c>
      <c r="C8" s="8" t="inlineStr">
        <is>
          <t>영업이익(EBIT) × (1 − 실효세율)</t>
        </is>
      </c>
      <c r="D8" s="5" t="inlineStr">
        <is>
          <t>세후 영업이익. ROIC의 분자입니다.</t>
        </is>
      </c>
      <c r="E8" s="9" t="inlineStr">
        <is>
          <t>같은 행</t>
        </is>
      </c>
    </row>
    <row r="9" ht="24" customHeight="1">
      <c r="A9" s="7" t="inlineStr">
        <is>
          <t>연도별계산</t>
        </is>
      </c>
      <c r="B9" s="8" t="inlineStr">
        <is>
          <t>이자부부채</t>
        </is>
      </c>
      <c r="C9" s="8" t="inlineStr">
        <is>
          <t>단기차입금 + 장기차입금</t>
        </is>
      </c>
      <c r="D9" s="5" t="inlineStr">
        <is>
          <t>한쪽만 태깅된 경우 나머지는 0으로 봅니다. 잔액이 0이면 태그를 생략하는 것이 관행이기 때문입니다. 양쪽 다 없으면 공란으로 둡니다.</t>
        </is>
      </c>
      <c r="E9" s="9" t="inlineStr">
        <is>
          <t>같은 행</t>
        </is>
      </c>
    </row>
    <row r="10" ht="24" customHeight="1">
      <c r="A10" s="7" t="inlineStr">
        <is>
          <t>연도별계산</t>
        </is>
      </c>
      <c r="B10" s="8" t="inlineStr">
        <is>
          <t>투하자본</t>
        </is>
      </c>
      <c r="C10" s="8" t="inlineStr">
        <is>
          <t>자기자본 + 이자부부채 − 현금</t>
        </is>
      </c>
      <c r="D10" s="5" t="inlineStr">
        <is>
          <t>현금을 빼는 이유는 놀고 있는 현금이 사업에 투입된 자본이 아니기 때문입니다. 빼지 않으면 현금이 많은 대형주의 ROIC가 실제보다 낮게 나옵니다.</t>
        </is>
      </c>
      <c r="E10" s="9" t="inlineStr">
        <is>
          <t>같은 행</t>
        </is>
      </c>
    </row>
    <row r="11" ht="24" customHeight="1">
      <c r="A11" s="7" t="inlineStr">
        <is>
          <t>연도별계산</t>
        </is>
      </c>
      <c r="B11" s="8" t="inlineStr">
        <is>
          <t>투하자본(평균)</t>
        </is>
      </c>
      <c r="C11" s="8" t="inlineStr">
        <is>
          <t>(당기 투하자본 + 전기 투하자본) ÷ 2</t>
        </is>
      </c>
      <c r="D11" s="5" t="inlineStr">
        <is>
          <t>기말 잔고를 쓰면 연말에 자본을 조달한 회사가 한 해 내내 그 자본으로 벌어들인 것처럼 보입니다. 전기 값이 없으면 당기 값을 그대로 씁니다.</t>
        </is>
      </c>
      <c r="E11" s="9" t="inlineStr">
        <is>
          <t>같은 행</t>
        </is>
      </c>
    </row>
    <row r="12" ht="48" customHeight="1">
      <c r="A12" s="7" t="inlineStr">
        <is>
          <t>연도별계산</t>
        </is>
      </c>
      <c r="B12" s="8" t="inlineStr">
        <is>
          <t>ROIC</t>
        </is>
      </c>
      <c r="C12" s="8" t="inlineStr">
        <is>
          <t>NOPAT ÷ 투하자본(평균)</t>
        </is>
      </c>
      <c r="D12" s="5" t="inlineStr">
        <is>
          <t>원칙 1의 핵심 지표. 분모는 버핏이 2007년 주주서한에서 쓴 '사업을 영위하는 데 필요한 자본'입니다(시즈캔디: 매출 $30M에 자본 $8M, 세전 ROIC 60%). 세 자릿수 ROIC는 이상치가 아니라 자본이 거의 필요 없다는 발견입니다 — 같은 서한이 그 원형으로 마이크로소프트와 구글을 지목합니다.</t>
        </is>
      </c>
      <c r="E12" s="9" t="inlineStr">
        <is>
          <t>같은 행</t>
        </is>
      </c>
    </row>
    <row r="13" ht="15" customHeight="1">
      <c r="A13" s="7" t="inlineStr">
        <is>
          <t>연도별계산</t>
        </is>
      </c>
      <c r="B13" s="8" t="inlineStr">
        <is>
          <t>ROE</t>
        </is>
      </c>
      <c r="C13" s="8" t="inlineStr">
        <is>
          <t>순이익 ÷ 자기자본(평균)</t>
        </is>
      </c>
      <c r="D13" s="5" t="inlineStr">
        <is>
          <t>원칙 2에서 ROIC와 비교합니다.</t>
        </is>
      </c>
      <c r="E13" s="9" t="inlineStr">
        <is>
          <t>같은 행</t>
        </is>
      </c>
    </row>
    <row r="14" ht="24" customHeight="1">
      <c r="A14" s="7" t="inlineStr">
        <is>
          <t>연도별계산</t>
        </is>
      </c>
      <c r="B14" s="8" t="inlineStr">
        <is>
          <t>ROE−ROIC</t>
        </is>
      </c>
      <c r="C14" s="8" t="inlineStr">
        <is>
          <t>ROE − ROIC</t>
        </is>
      </c>
      <c r="D14" s="5" t="inlineStr">
        <is>
          <t>차이가 크면 ROE가 사업의 수익성이 아니라 레버리지에서 나온다는 신호입니다. 다만 자사주 매입으로 자기자본이 줄어도 같은 형태로 벌어지므로 부채 지표를 함께 봐야 합니다.</t>
        </is>
      </c>
      <c r="E14" s="9" t="inlineStr">
        <is>
          <t>같은 행</t>
        </is>
      </c>
    </row>
    <row r="15" ht="15" customHeight="1">
      <c r="A15" s="7" t="inlineStr">
        <is>
          <t>연도별계산</t>
        </is>
      </c>
      <c r="B15" s="8" t="inlineStr">
        <is>
          <t>EBITDA</t>
        </is>
      </c>
      <c r="C15" s="8" t="inlineStr">
        <is>
          <t>영업이익(EBIT) + 감가상각</t>
        </is>
      </c>
      <c r="D15" s="5" t="inlineStr"/>
      <c r="E15" s="9" t="inlineStr">
        <is>
          <t>같은 행</t>
        </is>
      </c>
    </row>
    <row r="16" ht="15" customHeight="1">
      <c r="A16" s="7" t="inlineStr">
        <is>
          <t>연도별계산</t>
        </is>
      </c>
      <c r="B16" s="8" t="inlineStr">
        <is>
          <t>순부채/EBITDA</t>
        </is>
      </c>
      <c r="C16" s="8" t="inlineStr">
        <is>
          <t>(이자부부채 − 현금) ÷ EBITDA</t>
        </is>
      </c>
      <c r="D16" s="5" t="inlineStr">
        <is>
          <t>레버리지 건전성.</t>
        </is>
      </c>
      <c r="E16" s="9" t="inlineStr">
        <is>
          <t>같은 행</t>
        </is>
      </c>
    </row>
    <row r="17" ht="15" customHeight="1">
      <c r="A17" s="7" t="inlineStr">
        <is>
          <t>연도별계산</t>
        </is>
      </c>
      <c r="B17" s="8" t="inlineStr">
        <is>
          <t>이자보상배율</t>
        </is>
      </c>
      <c r="C17" s="8" t="inlineStr">
        <is>
          <t>영업이익(EBIT) ÷ 이자비용</t>
        </is>
      </c>
      <c r="D17" s="5" t="inlineStr">
        <is>
          <t>이자를 몇 배로 감당하는지.</t>
        </is>
      </c>
      <c r="E17" s="9" t="inlineStr">
        <is>
          <t>같은 행</t>
        </is>
      </c>
    </row>
    <row r="18" ht="36" customHeight="1">
      <c r="A18" s="7" t="inlineStr">
        <is>
          <t>연도별계산</t>
        </is>
      </c>
      <c r="B18" s="8" t="inlineStr">
        <is>
          <t>운전자본(영업)</t>
        </is>
      </c>
      <c r="C18" s="8" t="inlineStr">
        <is>
          <t>유동자산 − 현금 − (유동부채 − 단기차입금)</t>
        </is>
      </c>
      <c r="D18" s="5" t="inlineStr">
        <is>
          <t>현금과 단기차입금을 빼는 것이 핵심입니다. 유동자산에는 현금이 포함되므로 그대로 두면 현금을 쌓은 회사가 운전자본을 소모한 것처럼 보입니다. 단기차입금은 영업이 아니라 자금조달이라 같은 이유로 뺍니다.</t>
        </is>
      </c>
      <c r="E18" s="9" t="inlineStr">
        <is>
          <t>같은 행</t>
        </is>
      </c>
    </row>
    <row r="19" ht="15" customHeight="1">
      <c r="A19" s="7" t="inlineStr">
        <is>
          <t>연도별계산</t>
        </is>
      </c>
      <c r="B19" s="8" t="inlineStr">
        <is>
          <t>운전자본증감</t>
        </is>
      </c>
      <c r="C19" s="8" t="inlineStr">
        <is>
          <t>당기 운전자본(영업) − 전기 운전자본(영업)</t>
        </is>
      </c>
      <c r="D19" s="5" t="inlineStr">
        <is>
          <t>양수면 그해 운전자본이 현금을 흡수했다는 뜻입니다.</t>
        </is>
      </c>
      <c r="E19" s="9" t="inlineStr">
        <is>
          <t>같은 행</t>
        </is>
      </c>
    </row>
    <row r="20" ht="72" customHeight="1">
      <c r="A20" s="7" t="inlineStr">
        <is>
          <t>연도별계산</t>
        </is>
      </c>
      <c r="B20" s="8" t="inlineStr">
        <is>
          <t>영업순이익</t>
        </is>
      </c>
      <c r="C20" s="8" t="inlineStr">
        <is>
          <t>순이익 − 투자평가손익 × (1 − 실효세율)</t>
        </is>
      </c>
      <c r="D20" s="5" t="inlineStr">
        <is>
          <t>주주이익의 출발점인 '보고 이익'을 사업의 이익으로 되돌리는 조정입니다. 2018년 회계기준 변경(ASU 2016-01) 이후 보유 주식·채권의 평가손익이 손익계산서를 통과하는데, 현금도 아니고 반복되지도 않으며 사업이 번 돈도 아닙니다. 알파벳 FY2025 세전 $24.6B, 버크셔 $39.1B, 엔비디아 $8.9B가 여기에 해당합니다. 버핏이 최근 주주서한마다 한 문단씩 할애해 '이 줄은 무시하고 영업이익을 보라'고 말하는 바로 그 항목입니다. 태깅되지 않은 회사는 순이익을 그대로 쓰되, 기타손익이 영업이익의 10%를 넘으면 그 사실을 별도로 표시합니다.</t>
        </is>
      </c>
      <c r="E20" s="9" t="inlineStr">
        <is>
          <t>같은 행</t>
        </is>
      </c>
    </row>
    <row r="21" ht="84" customHeight="1">
      <c r="A21" s="7" t="inlineStr">
        <is>
          <t>연도별계산</t>
        </is>
      </c>
      <c r="B21" s="8" t="inlineStr">
        <is>
          <t>주주이익</t>
        </is>
      </c>
      <c r="C21" s="8" t="inlineStr">
        <is>
          <t>영업순이익 + 감가상각 − 설비투자 − 운전자본증감</t>
        </is>
      </c>
      <c r="D21" s="5" t="inlineStr">
        <is>
          <t>버핏의 owner earnings 정의입니다. 네 항목이 모두 같은 회계기간이어야 합니다. 대차대조표가 유동자산·유동부채로 구분되지 않아 운전자본증감을 낼 수 없는 연도에는 '영업현금흐름 − 설비투자 − 주식보상비용'으로 대체합니다. 주식보상비용을 빼는 이유는 영업현금흐름이 그것을 비현금항목으로 되더해 놓기 때문입니다 — 순이익 경로에서는 이미 비용으로 차감된 항목이므로, 빼지 않으면 같은 회사가 어느 경로를 타느냐에 따라 다르게 평가됩니다. 버핏의 1992년 주주서한: "스톡옵션이 보상이 아니면 무엇인가? 보상이 비용이 아니면 무엇인가? 비용이 이익 계산에 들어가지 않는다면 도대체 어디로 가야 하는가?"</t>
        </is>
      </c>
      <c r="E21" s="9" t="inlineStr">
        <is>
          <t>같은 행</t>
        </is>
      </c>
    </row>
    <row r="22" ht="15" customHeight="1">
      <c r="A22" s="7" t="inlineStr">
        <is>
          <t>연도별계산</t>
        </is>
      </c>
      <c r="B22" s="8" t="inlineStr">
        <is>
          <t>주주이익률 / 영업이익률</t>
        </is>
      </c>
      <c r="C22" s="8" t="inlineStr">
        <is>
          <t>각각 주주이익 ÷ 매출, 영업이익(EBIT) ÷ 매출</t>
        </is>
      </c>
      <c r="D22" s="5" t="inlineStr"/>
      <c r="E22" s="9" t="inlineStr">
        <is>
          <t>같은 행</t>
        </is>
      </c>
    </row>
    <row r="23" ht="36" customHeight="1">
      <c r="A23" s="7" t="inlineStr">
        <is>
          <t>품질순위</t>
        </is>
      </c>
      <c r="B23" s="8" t="inlineStr">
        <is>
          <t>ROIC 중앙값 · 신규 ROIC · ROIC−WACC · WACC 등 (파란 셀)</t>
        </is>
      </c>
      <c r="C23" s="8" t="inlineStr">
        <is>
          <t>여러 해에 걸친 집계값</t>
        </is>
      </c>
      <c r="D23" s="5" t="inlineStr">
        <is>
          <t>연도별계산의 여러 행을 걸쳐 계산한 값이라 한 행의 수식으로는 표현되지 않습니다. ROIC 중앙값은 관측된 모든 해의 ROIC 중앙값이고, 신규 ROIC는 (기간말 NOPAT − 기간초 NOPAT) ÷ (기간말 투하자본 − 기간초 투하자본)입니다.</t>
        </is>
      </c>
      <c r="E23" s="9" t="inlineStr">
        <is>
          <t>연도별계산 시트의 해당 기업 행들</t>
        </is>
      </c>
    </row>
    <row r="24" ht="24" customHeight="1">
      <c r="A24" s="7" t="inlineStr">
        <is>
          <t>품질순위</t>
        </is>
      </c>
      <c r="B24" s="8" t="inlineStr">
        <is>
          <t>지속성 비율</t>
        </is>
      </c>
      <c r="C24" s="8" t="inlineStr">
        <is>
          <t>두자릿수 년수 ÷ 관측 년수</t>
        </is>
      </c>
      <c r="D24" s="5" t="inlineStr">
        <is>
          <t>ROIC가 10%를 넘긴 해의 비율. 높은 평균보다 꾸준함이 해자에 가깝다는 것이 원칙 1의 취지입니다.</t>
        </is>
      </c>
      <c r="E24" s="9" t="inlineStr">
        <is>
          <t>같은 행</t>
        </is>
      </c>
    </row>
    <row r="25" ht="36" customHeight="1">
      <c r="A25" s="7" t="inlineStr">
        <is>
          <t>품질순위</t>
        </is>
      </c>
      <c r="B25" s="8" t="inlineStr">
        <is>
          <t>배점 7개 열</t>
        </is>
      </c>
      <c r="C25" s="8" t="inlineStr">
        <is>
          <t>각 지표를 기준표의 문턱값과 비교한 조건식</t>
        </is>
      </c>
      <c r="D25" s="5" t="inlineStr">
        <is>
          <t>셀을 클릭하면 어떤 조건에서 몇 점이 나왔는지 그대로 보입니다. 배점: ROIC 25 · 지속성 20 · 신규 ROIC 20 · 스프레드 15 · 주주이익률 10 · 순부채 5 · 이자보상 5 (합계 100).</t>
        </is>
      </c>
      <c r="E25" s="9" t="inlineStr">
        <is>
          <t>같은 행 + 기준표</t>
        </is>
      </c>
    </row>
    <row r="26" ht="15" customHeight="1">
      <c r="A26" s="7" t="inlineStr">
        <is>
          <t>품질순위</t>
        </is>
      </c>
      <c r="B26" s="8" t="inlineStr">
        <is>
          <t>총점</t>
        </is>
      </c>
      <c r="C26" s="8" t="inlineStr">
        <is>
          <t>배점 7개 열의 합계</t>
        </is>
      </c>
      <c r="D26" s="5" t="inlineStr">
        <is>
          <t>백분위가 아니라 절대 기준입니다.</t>
        </is>
      </c>
      <c r="E26" s="9" t="inlineStr">
        <is>
          <t>같은 행</t>
        </is>
      </c>
    </row>
    <row r="27" ht="24" customHeight="1">
      <c r="A27" s="7" t="inlineStr">
        <is>
          <t>DCF계산</t>
        </is>
      </c>
      <c r="B27" s="8" t="inlineStr">
        <is>
          <t>적용 성장률</t>
        </is>
      </c>
      <c r="C27" s="8" t="inlineStr">
        <is>
          <t>과거 주주이익 성장률 × 시나리오 배수, 상한 적용</t>
        </is>
      </c>
      <c r="D27" s="5" t="inlineStr">
        <is>
          <t>과거 성장률이 없으면 3%를 씁니다. 상한은 보수·기준 10%, 낙관 15%입니다 — 10년을 그보다 빠르게 복리성장한다고 보지 않습니다.</t>
        </is>
      </c>
      <c r="E27" s="9" t="inlineStr">
        <is>
          <t>기준표</t>
        </is>
      </c>
    </row>
    <row r="28" ht="15" customHeight="1">
      <c r="A28" s="7" t="inlineStr">
        <is>
          <t>DCF계산</t>
        </is>
      </c>
      <c r="B28" s="8" t="inlineStr">
        <is>
          <t>1~10년차 PV</t>
        </is>
      </c>
      <c r="C28" s="8" t="inlineStr">
        <is>
          <t>기준 주주이익 × (1+성장률)^t ÷ (1+할인율)^t</t>
        </is>
      </c>
      <c r="D28" s="5" t="inlineStr">
        <is>
          <t>t년차 주주이익을 현재가치로 할인한 값.</t>
        </is>
      </c>
      <c r="E28" s="9" t="inlineStr">
        <is>
          <t>같은 행</t>
        </is>
      </c>
    </row>
    <row r="29" ht="15" customHeight="1">
      <c r="A29" s="7" t="inlineStr">
        <is>
          <t>DCF계산</t>
        </is>
      </c>
      <c r="B29" s="8" t="inlineStr">
        <is>
          <t>영구가치</t>
        </is>
      </c>
      <c r="C29" s="8" t="inlineStr">
        <is>
          <t>10년차 현금흐름 × (1+영구성장률) ÷ (할인율 − 영구성장률)</t>
        </is>
      </c>
      <c r="D29" s="5" t="inlineStr">
        <is>
          <t>고든 성장 모형. 할인율이 영구성장률 이하면 값이 발산하므로 공란으로 둡니다.</t>
        </is>
      </c>
      <c r="E29" s="9" t="inlineStr">
        <is>
          <t>같은 행</t>
        </is>
      </c>
    </row>
    <row r="30" ht="15" customHeight="1">
      <c r="A30" s="7" t="inlineStr">
        <is>
          <t>DCF계산</t>
        </is>
      </c>
      <c r="B30" s="8" t="inlineStr">
        <is>
          <t>적정가치</t>
        </is>
      </c>
      <c r="C30" s="8" t="inlineStr">
        <is>
          <t>예측기간 PV 합계 + 영구가치 PV</t>
        </is>
      </c>
      <c r="D30" s="5" t="inlineStr"/>
      <c r="E30" s="9" t="inlineStr">
        <is>
          <t>같은 행</t>
        </is>
      </c>
    </row>
    <row r="31" ht="15" customHeight="1">
      <c r="A31" s="7" t="inlineStr">
        <is>
          <t>DCF계산</t>
        </is>
      </c>
      <c r="B31" s="8" t="inlineStr">
        <is>
          <t>안전마진</t>
        </is>
      </c>
      <c r="C31" s="8" t="inlineStr">
        <is>
          <t>(적정가치 − 시가총액) ÷ 적정가치</t>
        </is>
      </c>
      <c r="D31" s="5" t="inlineStr">
        <is>
          <t>양수면 적정가치보다 싸게 거래된다는 뜻입니다.</t>
        </is>
      </c>
      <c r="E31" s="9" t="inlineStr">
        <is>
          <t>같은 행</t>
        </is>
      </c>
    </row>
    <row r="32" ht="15" customHeight="1">
      <c r="A32" s="7" t="inlineStr">
        <is>
          <t>DCF계산</t>
        </is>
      </c>
      <c r="B32" s="8" t="inlineStr">
        <is>
          <t>판정</t>
        </is>
      </c>
      <c r="C32" s="8" t="inlineStr">
        <is>
          <t>안전마진 ≥ 30% 투자가능 / ≥ 0% 경계선 / 그 외 범위밖</t>
        </is>
      </c>
      <c r="D32" s="5" t="inlineStr">
        <is>
          <t>목표주가가 아니라 '지금 투자 가능 구간 안인가'에 대한 답입니다.</t>
        </is>
      </c>
      <c r="E32" s="9" t="inlineStr">
        <is>
          <t>기준표</t>
        </is>
      </c>
    </row>
    <row r="33" ht="15" customHeight="1">
      <c r="A33" s="7" t="inlineStr">
        <is>
          <t>밸류에이션</t>
        </is>
      </c>
      <c r="B33" s="8" t="inlineStr">
        <is>
          <t>PER / PBR / PSR</t>
        </is>
      </c>
      <c r="C33" s="8" t="inlineStr">
        <is>
          <t>시가총액 ÷ (최근 순이익 / 자기자본 / 매출)</t>
        </is>
      </c>
      <c r="D33" s="5" t="inlineStr">
        <is>
          <t>PER은 순이익이 양수일 때만 계산합니다. 적자에서는 의미가 없습니다.</t>
        </is>
      </c>
      <c r="E33" s="9" t="inlineStr">
        <is>
          <t>같은 행</t>
        </is>
      </c>
    </row>
    <row r="34" ht="15" customHeight="1">
      <c r="A34" s="7" t="inlineStr">
        <is>
          <t>밸류에이션</t>
        </is>
      </c>
      <c r="B34" s="8" t="inlineStr">
        <is>
          <t>기준 적정가치 · 안전마진 · 판정</t>
        </is>
      </c>
      <c r="C34" s="8" t="inlineStr">
        <is>
          <t>DCF계산 시트의 기준 시나리오 행 참조</t>
        </is>
      </c>
      <c r="D34" s="5" t="inlineStr">
        <is>
          <t>초록 글씨는 다른 시트를 가리킵니다. 클릭하면 해당 행으로 따라갈 수 있습니다.</t>
        </is>
      </c>
      <c r="E34" s="9" t="inlineStr">
        <is>
          <t>DCF계산</t>
        </is>
      </c>
    </row>
    <row r="35" ht="48" customHeight="1">
      <c r="A35" s="7" t="inlineStr">
        <is>
          <t>알파벳심층</t>
        </is>
      </c>
      <c r="B35" s="8" t="inlineStr">
        <is>
          <t>부문별 매출·영업이익 (파란 셀)</t>
        </is>
      </c>
      <c r="C35" s="8" t="inlineStr">
        <is>
          <t>10-K 부문 주석의 인라인 XBRL</t>
        </is>
      </c>
      <c r="D35" s="5" t="inlineStr">
        <is>
          <t>companyfacts API는 차원(dimension)이 붙은 사실을 버리기 때문에 부문 수치는 거기에 없습니다. 10-K 문서의 인라인 XBRL에서 StatementBusinessSegmentsAxis가 붙은 사실을 직접 읽었습니다. 같은 축이 붙은 항목은 매출·영업이익·비용·인건비·영업권이 전부이고, 자산·설비투자·감가상각에는 붙어 있지 않습니다.</t>
        </is>
      </c>
      <c r="E35" s="9" t="inlineStr">
        <is>
          <t>10-K 접수번호 0001652044-26-000018</t>
        </is>
      </c>
    </row>
    <row r="36" ht="36" customHeight="1">
      <c r="A36" s="7" t="inlineStr">
        <is>
          <t>알파벳심층</t>
        </is>
      </c>
      <c r="B36" s="8" t="inlineStr">
        <is>
          <t>구글 클라우드 ROIC</t>
        </is>
      </c>
      <c r="C36" s="8" t="inlineStr">
        <is>
          <t>클라우드 NOPAT ÷ (기술인프라 순액 × 배분율)</t>
        </is>
      </c>
      <c r="D36" s="5" t="inlineStr">
        <is>
          <t>부문 자산이 공시되지 않으므로 분모는 전부 가정입니다. 그래서 하나의 값이 아니라 배분율 3가지에 대한 밴드로 제시합니다. 기술인프라 순액은 총액에 전사 순액/총액 비율을 곱해 추정한 것입니다 — 알파벳은 자산 유형별 감가상각누계액을 공시하지 않습니다.</t>
        </is>
      </c>
      <c r="E36" s="9" t="inlineStr">
        <is>
          <t>같은 시트의 파란 셀</t>
        </is>
      </c>
    </row>
    <row r="37" ht="36" customHeight="1">
      <c r="A37" s="7" t="inlineStr">
        <is>
          <t>알파벳심층</t>
        </is>
      </c>
      <c r="B37" s="8" t="inlineStr">
        <is>
          <t>신규 ROIC (구간별)</t>
        </is>
      </c>
      <c r="C37" s="8" t="inlineStr">
        <is>
          <t>(기말 NOPAT − 기초 NOPAT) ÷ (기말 투하자본 − 기초 투하자본)</t>
        </is>
      </c>
      <c r="D37" s="5" t="inlineStr">
        <is>
          <t>부문 정보 없이 전사 숫자만으로 'AI 설비투자가 얼마를 벌어오는가'에 답하는 방법입니다. 측정 구간을 설비투자가 급증한 FY2021 이후로 좁히면, 그 기간에 늘어난 자본의 대부분이 데이터센터이므로 사실상 그 투자의 수익률이 됩니다.</t>
        </is>
      </c>
      <c r="E37" s="9" t="inlineStr">
        <is>
          <t>연도별계산 시트의 GOOG 행</t>
        </is>
      </c>
    </row>
    <row r="38" ht="24" customHeight="1">
      <c r="A38" s="7" t="inlineStr">
        <is>
          <t>알파벳심층</t>
        </is>
      </c>
      <c r="B38" s="8" t="inlineStr">
        <is>
          <t>인프라 $1당 매출</t>
        </is>
      </c>
      <c r="C38" s="8" t="inlineStr">
        <is>
          <t>매출 ÷ 기술인프라 총액</t>
        </is>
      </c>
      <c r="D38" s="5" t="inlineStr">
        <is>
          <t>설비가 매출보다 빨리 늘고 있는지를 보는 지표입니다. 건설 중인 자산은 분모에 들어가 있으면서 아직 매출을 만들지 않으므로, 투자 진행 중에는 이 값이 구조적으로 낮아집니다.</t>
        </is>
      </c>
      <c r="E38" s="9" t="inlineStr">
        <is>
          <t>같은 행</t>
        </is>
      </c>
    </row>
    <row r="39" ht="36" customHeight="1">
      <c r="A39" s="7" t="inlineStr">
        <is>
          <t>전체</t>
        </is>
      </c>
      <c r="B39" s="8" t="inlineStr">
        <is>
          <t>시가총액</t>
        </is>
      </c>
      <c r="C39" s="8" t="inlineStr">
        <is>
          <t>10-K 표지의 주식수 × 최근 종가</t>
        </is>
      </c>
      <c r="D39" s="5" t="inlineStr">
        <is>
          <t>표지 주식수는 결산일보다 최신이고 클래스별로 나뉘어 있어 합산했습니다. 버크셔는 A주를 B주 1,500배로 환산했습니다. 비자는 클래스 B·C의 전환비율이 이사회 재량이라 클래스 A만 썼고, 그만큼 시가총액이 과소평가돼 있습니다.</t>
        </is>
      </c>
      <c r="E39" s="9" t="inlineStr">
        <is>
          <t>SEC 10-K 표지 인라인 XBRL + 거래소 종가</t>
        </is>
      </c>
    </row>
    <row r="40" ht="48" customHeight="1">
      <c r="A40" s="7" t="inlineStr">
        <is>
          <t>전체</t>
        </is>
      </c>
      <c r="B40" s="8" t="inlineStr">
        <is>
          <t>주식수 시계열</t>
        </is>
      </c>
      <c r="C40" s="8" t="inlineStr">
        <is>
          <t>액면분할 기준을 통일한 뒤 비교</t>
        </is>
      </c>
      <c r="D40" s="5" t="inlineStr">
        <is>
          <t>각 연도 주식수는 그해 10-K의 단위로 기록되는데 10-K는 직전 2년까지만 소급 수정하므로, 분할을 가로지르면 신주 발행처럼 보입니다. 조정 전 엔비디아는 연 41% 희석으로 나왔으나 실제로는 4:1과 10:1 분할이었습니다. 정수가 아닌 비율(델 1806:1000, GE 1281:1000)은 스핀오프에 따른 주가 조정이라 적용하지 않았습니다.</t>
        </is>
      </c>
      <c r="E40" s="9" t="inlineStr">
        <is>
          <t>거래소 분할 이력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78" customWidth="1" min="3" max="3"/>
  </cols>
  <sheetData>
    <row r="1">
      <c r="A1" s="1" t="inlineStr">
        <is>
          <t>기준표 — 가정과 판정 기준</t>
        </is>
      </c>
    </row>
    <row r="2">
      <c r="A2" s="2" t="inlineStr">
        <is>
          <t>노란 셀은 바꿀 수 있는 가정입니다. 다른 시트의 수식이 이 셀들을 참조하므로, 값을 바꾸면 점수와 적정가치가 함께 움직입니다.</t>
        </is>
      </c>
    </row>
    <row r="4" ht="34" customHeight="1">
      <c r="A4" s="6" t="inlineStr">
        <is>
          <t>항목</t>
        </is>
      </c>
      <c r="B4" s="6" t="inlineStr">
        <is>
          <t>값</t>
        </is>
      </c>
      <c r="C4" s="6" t="inlineStr">
        <is>
          <t>설명</t>
        </is>
      </c>
    </row>
    <row r="5">
      <c r="A5" s="7" t="inlineStr">
        <is>
          <t>세율</t>
        </is>
      </c>
    </row>
    <row r="6">
      <c r="A6" s="8" t="inlineStr">
        <is>
          <t>실효세율 하한</t>
        </is>
      </c>
      <c r="B6" s="10" t="n">
        <v>0.05</v>
      </c>
      <c r="C6" s="9" t="inlineStr">
        <is>
          <t>이보다 낮은 실효세율은 일회성 항목의 결과로 보고 하한을 적용</t>
        </is>
      </c>
    </row>
    <row r="7">
      <c r="A7" s="8" t="inlineStr">
        <is>
          <t>실효세율 상한</t>
        </is>
      </c>
      <c r="B7" s="10" t="n">
        <v>0.4</v>
      </c>
      <c r="C7" s="9" t="inlineStr">
        <is>
          <t>이보다 높은 실효세율도 마찬가지로 상한을 적용</t>
        </is>
      </c>
    </row>
    <row r="8">
      <c r="A8" s="8" t="inlineStr">
        <is>
          <t>기본 세율</t>
        </is>
      </c>
      <c r="B8" s="10" t="n">
        <v>0.21</v>
      </c>
      <c r="C8" s="9" t="inlineStr">
        <is>
          <t>세전이익이 없거나 음수여서 실효세율을 낼 수 없을 때 쓰는 미국 연방 법정세율</t>
        </is>
      </c>
    </row>
    <row r="9">
      <c r="A9" s="7" t="inlineStr">
        <is>
          <t>품질 배점 기준</t>
        </is>
      </c>
    </row>
    <row r="10">
      <c r="A10" s="8" t="inlineStr">
        <is>
          <t>ROIC 25점 기준</t>
        </is>
      </c>
      <c r="B10" s="10" t="n">
        <v>0.3</v>
      </c>
      <c r="C10" s="9" t="inlineStr">
        <is>
          <t>ROIC 중앙값이 이 이상이면 25점</t>
        </is>
      </c>
    </row>
    <row r="11">
      <c r="A11" s="8" t="inlineStr">
        <is>
          <t>ROIC 20점 기준</t>
        </is>
      </c>
      <c r="B11" s="10" t="n">
        <v>0.2</v>
      </c>
      <c r="C11" s="9" t="inlineStr"/>
    </row>
    <row r="12">
      <c r="A12" s="8" t="inlineStr">
        <is>
          <t>ROIC 15점 기준</t>
        </is>
      </c>
      <c r="B12" s="10" t="n">
        <v>0.15</v>
      </c>
      <c r="C12" s="9" t="inlineStr"/>
    </row>
    <row r="13">
      <c r="A13" s="8" t="inlineStr">
        <is>
          <t>ROIC 10점 기준</t>
        </is>
      </c>
      <c r="B13" s="10" t="n">
        <v>0.1</v>
      </c>
      <c r="C13" s="9" t="inlineStr"/>
    </row>
    <row r="14">
      <c r="A14" s="8" t="inlineStr">
        <is>
          <t>신규ROIC 20점 기준</t>
        </is>
      </c>
      <c r="B14" s="10" t="n">
        <v>0.2</v>
      </c>
      <c r="C14" s="9" t="inlineStr">
        <is>
          <t>증분 ROIC가 이 이상이면 20점</t>
        </is>
      </c>
    </row>
    <row r="15">
      <c r="A15" s="8" t="inlineStr">
        <is>
          <t>신규ROIC 15점 기준</t>
        </is>
      </c>
      <c r="B15" s="10" t="n">
        <v>0.15</v>
      </c>
      <c r="C15" s="9" t="inlineStr"/>
    </row>
    <row r="16">
      <c r="A16" s="8" t="inlineStr">
        <is>
          <t>신규ROIC 10점 기준</t>
        </is>
      </c>
      <c r="B16" s="10" t="n">
        <v>0.1</v>
      </c>
      <c r="C16" s="9" t="inlineStr"/>
    </row>
    <row r="17">
      <c r="A17" s="8" t="inlineStr">
        <is>
          <t>스프레드 15점 기준</t>
        </is>
      </c>
      <c r="B17" s="10" t="n">
        <v>0.15</v>
      </c>
      <c r="C17" s="9" t="inlineStr">
        <is>
          <t>ROIC−WACC가 이 이상이면 15점</t>
        </is>
      </c>
    </row>
    <row r="18">
      <c r="A18" s="8" t="inlineStr">
        <is>
          <t>스프레드 12점 기준</t>
        </is>
      </c>
      <c r="B18" s="10" t="n">
        <v>0.1</v>
      </c>
      <c r="C18" s="9" t="inlineStr"/>
    </row>
    <row r="19">
      <c r="A19" s="8" t="inlineStr">
        <is>
          <t>스프레드 8점 기준</t>
        </is>
      </c>
      <c r="B19" s="10" t="n">
        <v>0.05</v>
      </c>
      <c r="C19" s="9" t="inlineStr"/>
    </row>
    <row r="20">
      <c r="A20" s="8" t="inlineStr">
        <is>
          <t>주주이익률 10점 기준</t>
        </is>
      </c>
      <c r="B20" s="10" t="n">
        <v>0.2</v>
      </c>
      <c r="C20" s="9" t="inlineStr">
        <is>
          <t>정규화 주주이익 ÷ 매출이 이 이상이면 10점</t>
        </is>
      </c>
    </row>
    <row r="21">
      <c r="A21" s="8" t="inlineStr">
        <is>
          <t>주주이익률 7점 기준</t>
        </is>
      </c>
      <c r="B21" s="10" t="n">
        <v>0.1</v>
      </c>
      <c r="C21" s="9" t="inlineStr"/>
    </row>
    <row r="22">
      <c r="A22" s="8" t="inlineStr">
        <is>
          <t>주주이익률 4점 기준</t>
        </is>
      </c>
      <c r="B22" s="10" t="n">
        <v>0.05</v>
      </c>
      <c r="C22" s="9" t="inlineStr"/>
    </row>
    <row r="23">
      <c r="A23" s="8" t="inlineStr">
        <is>
          <t>순부채 5점 기준</t>
        </is>
      </c>
      <c r="B23" s="11" t="n">
        <v>1</v>
      </c>
      <c r="C23" s="9" t="inlineStr">
        <is>
          <t>순부채/EBITDA가 이 이하면 5점</t>
        </is>
      </c>
    </row>
    <row r="24">
      <c r="A24" s="8" t="inlineStr">
        <is>
          <t>순부채 4점 기준</t>
        </is>
      </c>
      <c r="B24" s="11" t="n">
        <v>2</v>
      </c>
      <c r="C24" s="9" t="inlineStr"/>
    </row>
    <row r="25">
      <c r="A25" s="8" t="inlineStr">
        <is>
          <t>순부채 2점 기준</t>
        </is>
      </c>
      <c r="B25" s="11" t="n">
        <v>3</v>
      </c>
      <c r="C25" s="9" t="inlineStr"/>
    </row>
    <row r="26">
      <c r="A26" s="8" t="inlineStr">
        <is>
          <t>이자보상 5점 기준</t>
        </is>
      </c>
      <c r="B26" s="11" t="n">
        <v>10</v>
      </c>
      <c r="C26" s="9" t="inlineStr">
        <is>
          <t>이자보상배율이 이 이상이면 5점</t>
        </is>
      </c>
    </row>
    <row r="27">
      <c r="A27" s="8" t="inlineStr">
        <is>
          <t>이자보상 3점 기준</t>
        </is>
      </c>
      <c r="B27" s="11" t="n">
        <v>5</v>
      </c>
      <c r="C27" s="9" t="inlineStr"/>
    </row>
    <row r="28">
      <c r="A28" s="8" t="inlineStr">
        <is>
          <t>이자보상 1점 기준</t>
        </is>
      </c>
      <c r="B28" s="11" t="n">
        <v>2</v>
      </c>
      <c r="C28" s="9" t="inlineStr"/>
    </row>
    <row r="29">
      <c r="A29" s="7" t="inlineStr">
        <is>
          <t>DCF 가정</t>
        </is>
      </c>
    </row>
    <row r="30">
      <c r="A30" s="8" t="inlineStr">
        <is>
          <t>예측기간(년)</t>
        </is>
      </c>
      <c r="B30" s="12" t="n">
        <v>10</v>
      </c>
      <c r="C30" s="9" t="inlineStr">
        <is>
          <t>명시적으로 현금흐름을 추정하는 기간</t>
        </is>
      </c>
    </row>
    <row r="31">
      <c r="A31" s="8" t="inlineStr">
        <is>
          <t>보수 할인율</t>
        </is>
      </c>
      <c r="B31" s="10" t="n">
        <v>0.12</v>
      </c>
      <c r="C31" s="9" t="inlineStr"/>
    </row>
    <row r="32">
      <c r="A32" s="8" t="inlineStr">
        <is>
          <t>보수 영구성장률</t>
        </is>
      </c>
      <c r="B32" s="10" t="n">
        <v>0.02</v>
      </c>
      <c r="C32" s="9" t="inlineStr"/>
    </row>
    <row r="33">
      <c r="A33" s="8" t="inlineStr">
        <is>
          <t>보수 성장률 배수</t>
        </is>
      </c>
      <c r="B33" s="13" t="n">
        <v>0.5</v>
      </c>
      <c r="C33" s="9" t="inlineStr">
        <is>
          <t>과거 주주이익 성장률에 곱하는 배수</t>
        </is>
      </c>
    </row>
    <row r="34">
      <c r="A34" s="8" t="inlineStr">
        <is>
          <t>기준 할인율</t>
        </is>
      </c>
      <c r="B34" s="10" t="n">
        <v>0.1</v>
      </c>
      <c r="C34" s="9" t="inlineStr"/>
    </row>
    <row r="35">
      <c r="A35" s="8" t="inlineStr">
        <is>
          <t>기준 영구성장률</t>
        </is>
      </c>
      <c r="B35" s="10" t="n">
        <v>0.025</v>
      </c>
      <c r="C35" s="9" t="inlineStr"/>
    </row>
    <row r="36">
      <c r="A36" s="8" t="inlineStr">
        <is>
          <t>기준 성장률 배수</t>
        </is>
      </c>
      <c r="B36" s="13" t="n">
        <v>1</v>
      </c>
      <c r="C36" s="9" t="inlineStr"/>
    </row>
    <row r="37">
      <c r="A37" s="8" t="inlineStr">
        <is>
          <t>낙관 할인율</t>
        </is>
      </c>
      <c r="B37" s="10" t="n">
        <v>0.08</v>
      </c>
      <c r="C37" s="9" t="inlineStr"/>
    </row>
    <row r="38">
      <c r="A38" s="8" t="inlineStr">
        <is>
          <t>낙관 영구성장률</t>
        </is>
      </c>
      <c r="B38" s="10" t="n">
        <v>0.03</v>
      </c>
      <c r="C38" s="9" t="inlineStr"/>
    </row>
    <row r="39">
      <c r="A39" s="8" t="inlineStr">
        <is>
          <t>낙관 성장률 배수</t>
        </is>
      </c>
      <c r="B39" s="13" t="n">
        <v>1.25</v>
      </c>
      <c r="C39" s="9" t="inlineStr"/>
    </row>
    <row r="40">
      <c r="A40" s="8" t="inlineStr">
        <is>
          <t>성장률 상한(보수·기준)</t>
        </is>
      </c>
      <c r="B40" s="10" t="n">
        <v>0.1</v>
      </c>
      <c r="C40" s="9" t="inlineStr">
        <is>
          <t>10년을 이 속도보다 빠르게 복리성장한다고 보지 않음</t>
        </is>
      </c>
    </row>
    <row r="41">
      <c r="A41" s="8" t="inlineStr">
        <is>
          <t>성장률 상한(낙관)</t>
        </is>
      </c>
      <c r="B41" s="10" t="n">
        <v>0.15</v>
      </c>
      <c r="C41" s="9" t="inlineStr"/>
    </row>
    <row r="42">
      <c r="A42" s="8" t="inlineStr">
        <is>
          <t>안전마진 투자가능 기준</t>
        </is>
      </c>
      <c r="B42" s="10" t="n">
        <v>0.3</v>
      </c>
      <c r="C42" s="9" t="inlineStr">
        <is>
          <t>안전마진이 이 이상이면 투자 가능 구간</t>
        </is>
      </c>
    </row>
    <row r="43">
      <c r="A43" s="7" t="inlineStr">
        <is>
          <t>매크로</t>
        </is>
      </c>
    </row>
    <row r="44">
      <c r="A44" s="8" t="inlineStr">
        <is>
          <t>무위험수익률</t>
        </is>
      </c>
      <c r="B44" s="14" t="n">
        <v>0.04650000000000001</v>
      </c>
      <c r="C44" s="9" t="inlineStr">
        <is>
          <t>DGS10 (10-Year Treasury Constant Maturity Rate) · 2026-08-07 · https://fred.stlouisfed.org/graph/fredgraph.csv?id=DGS10</t>
        </is>
      </c>
    </row>
    <row r="45">
      <c r="A45" s="8" t="inlineStr">
        <is>
          <t>주식위험프리미엄</t>
        </is>
      </c>
      <c r="B45" s="14" t="n">
        <v>0.0446</v>
      </c>
      <c r="C45" s="9" t="inlineStr">
        <is>
          <t>Damodaran (NYU Stern) · January 5, 2026 · https://pages.stern.nyu.edu/~adamodar/New_Home_Page/datafile/ctryprem.html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5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9" customWidth="1" min="3" max="3"/>
    <col width="11" customWidth="1" min="4" max="4"/>
    <col width="10" customWidth="1" min="5" max="5"/>
    <col width="21" customWidth="1" min="6" max="6"/>
    <col width="13" customWidth="1" min="7" max="7"/>
    <col width="13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12" customWidth="1" min="14" max="14"/>
    <col width="12" customWidth="1" min="15" max="15"/>
    <col width="13" customWidth="1" min="16" max="16"/>
    <col width="13" customWidth="1" min="17" max="17"/>
    <col width="13" customWidth="1" min="18" max="18"/>
    <col width="13" customWidth="1" min="19" max="19"/>
    <col width="12" customWidth="1" min="20" max="20"/>
    <col width="12" customWidth="1" min="21" max="21"/>
    <col width="12" customWidth="1" min="22" max="22"/>
    <col width="13" customWidth="1" min="23" max="23"/>
    <col width="12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0" customWidth="1" min="32" max="32"/>
    <col width="13" customWidth="1" min="33" max="33"/>
    <col width="13" customWidth="1" min="34" max="34"/>
    <col width="13" customWidth="1" min="35" max="35"/>
    <col width="13" customWidth="1" min="36" max="36"/>
    <col width="10" customWidth="1" min="37" max="37"/>
    <col width="13" customWidth="1" min="38" max="38"/>
    <col width="10" customWidth="1" min="39" max="39"/>
    <col width="13" customWidth="1" min="40" max="40"/>
    <col width="10" customWidth="1" min="41" max="41"/>
    <col width="11" customWidth="1" min="42" max="42"/>
    <col width="13" customWidth="1" min="43" max="43"/>
    <col width="12" customWidth="1" min="44" max="44"/>
    <col width="12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30" customWidth="1" min="51" max="51"/>
    <col width="11" customWidth="1" min="52" max="52"/>
    <col width="11" customWidth="1" min="53" max="53"/>
  </cols>
  <sheetData>
    <row r="1">
      <c r="A1" s="1" t="inlineStr">
        <is>
          <t>연도별 계산 — 원천 수치와 그로부터 나온 모든 비율</t>
        </is>
      </c>
    </row>
    <row r="2">
      <c r="A2" s="2" t="inlineStr">
        <is>
          <t>파란 셀은 10-K에서 그대로 가져온 원천 수치이고, 검은 셀은 같은 행의 파란 셀로 계산한 수식입니다. 어떤 비율이든 셀을 클릭하면 수식 입력줄에 계산이 그대로 보입니다. 금액 단위는 십억 USD. 접수번호로 해당 10-K를 특정할 수 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회계연도</t>
        </is>
      </c>
      <c r="D4" s="6" t="inlineStr">
        <is>
          <t>결산일</t>
        </is>
      </c>
      <c r="E4" s="6" t="inlineStr">
        <is>
          <t>업종구분</t>
        </is>
      </c>
      <c r="F4" s="6" t="inlineStr">
        <is>
          <t>접수번호</t>
        </is>
      </c>
      <c r="G4" s="6" t="inlineStr">
        <is>
          <t>매출</t>
        </is>
      </c>
      <c r="H4" s="6" t="inlineStr">
        <is>
          <t>세전이익</t>
        </is>
      </c>
      <c r="I4" s="6" t="inlineStr">
        <is>
          <t>이자비용</t>
        </is>
      </c>
      <c r="J4" s="6" t="inlineStr">
        <is>
          <t>법인세비용</t>
        </is>
      </c>
      <c r="K4" s="6" t="inlineStr">
        <is>
          <t>영업이익(보고)</t>
        </is>
      </c>
      <c r="L4" s="6" t="inlineStr">
        <is>
          <t>순이익</t>
        </is>
      </c>
      <c r="M4" s="6" t="inlineStr">
        <is>
          <t>투자평가손익</t>
        </is>
      </c>
      <c r="N4" s="6" t="inlineStr">
        <is>
          <t>감가상각</t>
        </is>
      </c>
      <c r="O4" s="6" t="inlineStr">
        <is>
          <t>설비투자</t>
        </is>
      </c>
      <c r="P4" s="6" t="inlineStr">
        <is>
          <t>영업현금흐름</t>
        </is>
      </c>
      <c r="Q4" s="6" t="inlineStr">
        <is>
          <t>주식보상비용</t>
        </is>
      </c>
      <c r="R4" s="6" t="inlineStr">
        <is>
          <t>자기자본</t>
        </is>
      </c>
      <c r="S4" s="6" t="inlineStr">
        <is>
          <t>자기자본(전기)</t>
        </is>
      </c>
      <c r="T4" s="6" t="inlineStr">
        <is>
          <t>현금</t>
        </is>
      </c>
      <c r="U4" s="6" t="inlineStr">
        <is>
          <t>현금(전기)</t>
        </is>
      </c>
      <c r="V4" s="6" t="inlineStr">
        <is>
          <t>단기차입금</t>
        </is>
      </c>
      <c r="W4" s="6" t="inlineStr">
        <is>
          <t>단기차입금(전기)</t>
        </is>
      </c>
      <c r="X4" s="6" t="inlineStr">
        <is>
          <t>장기차입금</t>
        </is>
      </c>
      <c r="Y4" s="6" t="inlineStr">
        <is>
          <t>유동자산</t>
        </is>
      </c>
      <c r="Z4" s="6" t="inlineStr">
        <is>
          <t>유동자산(전기)</t>
        </is>
      </c>
      <c r="AA4" s="6" t="inlineStr">
        <is>
          <t>유동부채</t>
        </is>
      </c>
      <c r="AB4" s="6" t="inlineStr">
        <is>
          <t>유동부채(전기)</t>
        </is>
      </c>
      <c r="AC4" s="6" t="inlineStr">
        <is>
          <t>투하자본(전기)</t>
        </is>
      </c>
      <c r="AD4" s="6" t="inlineStr">
        <is>
          <t>주식수(백만주)</t>
        </is>
      </c>
      <c r="AE4" s="6" t="inlineStr">
        <is>
          <t>영업이익(EBIT)</t>
        </is>
      </c>
      <c r="AF4" s="6" t="inlineStr">
        <is>
          <t>실효세율</t>
        </is>
      </c>
      <c r="AG4" s="6" t="inlineStr">
        <is>
          <t>NOPAT</t>
        </is>
      </c>
      <c r="AH4" s="6" t="inlineStr">
        <is>
          <t>이자부부채</t>
        </is>
      </c>
      <c r="AI4" s="6" t="inlineStr">
        <is>
          <t>투하자본</t>
        </is>
      </c>
      <c r="AJ4" s="6" t="inlineStr">
        <is>
          <t>투하자본(평균)</t>
        </is>
      </c>
      <c r="AK4" s="6" t="inlineStr">
        <is>
          <t>ROIC(순)</t>
        </is>
      </c>
      <c r="AL4" s="6" t="inlineStr">
        <is>
          <t>투하자본(총)</t>
        </is>
      </c>
      <c r="AM4" s="6" t="inlineStr">
        <is>
          <t>ROIC(총)</t>
        </is>
      </c>
      <c r="AN4" s="6" t="inlineStr">
        <is>
          <t>자기자본(평균)</t>
        </is>
      </c>
      <c r="AO4" s="6" t="inlineStr">
        <is>
          <t>ROE</t>
        </is>
      </c>
      <c r="AP4" s="6" t="inlineStr">
        <is>
          <t>ROE−ROIC</t>
        </is>
      </c>
      <c r="AQ4" s="6" t="inlineStr">
        <is>
          <t>EBITDA</t>
        </is>
      </c>
      <c r="AR4" s="6" t="inlineStr">
        <is>
          <t>순부채/EBITDA</t>
        </is>
      </c>
      <c r="AS4" s="6" t="inlineStr">
        <is>
          <t>이자보상배율</t>
        </is>
      </c>
      <c r="AT4" s="6" t="inlineStr">
        <is>
          <t>운전자본(영업)</t>
        </is>
      </c>
      <c r="AU4" s="6" t="inlineStr">
        <is>
          <t>운전자본(전기)</t>
        </is>
      </c>
      <c r="AV4" s="6" t="inlineStr">
        <is>
          <t>운전자본증감</t>
        </is>
      </c>
      <c r="AW4" s="6" t="inlineStr">
        <is>
          <t>영업순이익</t>
        </is>
      </c>
      <c r="AX4" s="6" t="inlineStr">
        <is>
          <t>주주이익</t>
        </is>
      </c>
      <c r="AY4" s="6" t="inlineStr">
        <is>
          <t>주주이익 산출방식</t>
        </is>
      </c>
      <c r="AZ4" s="6" t="inlineStr">
        <is>
          <t>주주이익률</t>
        </is>
      </c>
      <c r="BA4" s="6" t="inlineStr">
        <is>
          <t>영업이익률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n">
        <v>2014</v>
      </c>
      <c r="D5" s="8" t="inlineStr">
        <is>
          <t>2015-01-25</t>
        </is>
      </c>
      <c r="E5" s="8" t="inlineStr">
        <is>
          <t>일반</t>
        </is>
      </c>
      <c r="F5" s="8" t="inlineStr">
        <is>
          <t>0001045810-17-000027</t>
        </is>
      </c>
      <c r="G5" s="15" t="n">
        <v>4.682</v>
      </c>
      <c r="H5" s="15" t="n">
        <v>0.755</v>
      </c>
      <c r="I5" s="15" t="n"/>
      <c r="J5" s="15" t="n">
        <v>0.124</v>
      </c>
      <c r="K5" s="15" t="n">
        <v>0.759</v>
      </c>
      <c r="L5" s="15" t="n">
        <v>0.631</v>
      </c>
      <c r="M5" s="15" t="n"/>
      <c r="N5" s="15" t="n">
        <v>0.143</v>
      </c>
      <c r="O5" s="15" t="n"/>
      <c r="P5" s="15" t="n">
        <v>0.906</v>
      </c>
      <c r="Q5" s="15" t="n">
        <v>0.158</v>
      </c>
      <c r="R5" s="15" t="n">
        <v>4.418</v>
      </c>
      <c r="S5" s="15" t="n"/>
      <c r="T5" s="15" t="n">
        <v>4.623</v>
      </c>
      <c r="U5" s="15" t="n"/>
      <c r="V5" s="15" t="n"/>
      <c r="W5" s="15" t="n"/>
      <c r="X5" s="15" t="n">
        <v>1.384</v>
      </c>
      <c r="Y5" s="15" t="n">
        <v>5.713</v>
      </c>
      <c r="Z5" s="15" t="n"/>
      <c r="AA5" s="15" t="n">
        <v>0.896</v>
      </c>
      <c r="AB5" s="15" t="n"/>
      <c r="AC5" s="15" t="n"/>
      <c r="AD5" s="16" t="n">
        <v>21800</v>
      </c>
      <c r="AE5" s="17">
        <f>IF(ISNUMBER(K5),K5,IF(AND(ISNUMBER(H5),ISNUMBER(I5)),H5+I5,IF(ISNUMBER(H5),H5,"")))</f>
        <v/>
      </c>
      <c r="AF5" s="18">
        <f>IF(OR(NOT(ISNUMBER(J5)),NOT(ISNUMBER(H5)),H5&lt;=0),기준표!$B$8,MIN(MAX(J5/H5,기준표!$B$6),기준표!$B$7))</f>
        <v/>
      </c>
      <c r="AG5" s="17">
        <f>IF(ISNUMBER(AE5),AE5*(1-AF5),"")</f>
        <v/>
      </c>
      <c r="AH5" s="17">
        <f>IF(AND(NOT(ISNUMBER(V5)),NOT(ISNUMBER(X5))),"",IF(ISNUMBER(V5),V5,0)+IF(ISNUMBER(X5),X5,0))</f>
        <v/>
      </c>
      <c r="AI5" s="17">
        <f>IF(E5="금융","",IF(AND(ISNUMBER(R5),ISNUMBER(AH5),ISNUMBER(T5)),R5+AH5-T5,""))</f>
        <v/>
      </c>
      <c r="AJ5" s="17">
        <f>IF(E5="금융","",IF(NOT(ISNUMBER(AI5)),"",IF(ISNUMBER(AC5),(AI5+AC5)/2,AI5)))</f>
        <v/>
      </c>
      <c r="AK5" s="19">
        <f>IF(AND(ISNUMBER(AG5),ISNUMBER(AJ5),AJ5&gt;0),AG5/AJ5,"")</f>
        <v/>
      </c>
      <c r="AL5" s="17">
        <f>IF(E5="금융","",IF(AND(ISNUMBER(R5),ISNUMBER(AH5)),R5+AH5,""))</f>
        <v/>
      </c>
      <c r="AM5" s="19">
        <f>IF(OR(NOT(ISNUMBER(AG5)),NOT(ISNUMBER(AL5)),AL5&lt;=0),"",IF(AND(ISNUMBER(G5),AL5&lt;0.1*G5),"",AG5/AL5))</f>
        <v/>
      </c>
      <c r="AN5" s="17">
        <f>IF(NOT(ISNUMBER(R5)),"",IF(ISNUMBER(S5),(R5+S5)/2,R5))</f>
        <v/>
      </c>
      <c r="AO5" s="19">
        <f>IF(AND(ISNUMBER(L5),ISNUMBER(AN5),AN5&gt;0),L5/AN5,"")</f>
        <v/>
      </c>
      <c r="AP5" s="19">
        <f>IF(AND(ISNUMBER(AO5),ISNUMBER({ROIC})),AO5-{ROIC},"")</f>
        <v/>
      </c>
      <c r="AQ5" s="17">
        <f>IF(AND(ISNUMBER(AE5),ISNUMBER(N5)),AE5+N5,"")</f>
        <v/>
      </c>
      <c r="AR5" s="20">
        <f>IF(AND(ISNUMBER(AH5),ISNUMBER(T5),ISNUMBER(AQ5),AQ5&gt;0),(AH5-T5)/AQ5,"")</f>
        <v/>
      </c>
      <c r="AS5" s="20">
        <f>IF(AND(ISNUMBER(AE5),ISNUMBER(I5),I5&lt;&gt;0,AE5&gt;0),AE5/I5,"")</f>
        <v/>
      </c>
      <c r="AT5" s="17">
        <f>IF(AND(ISNUMBER(Y5),ISNUMBER(AA5)),Y5-IF(ISNUMBER(T5),T5,0)-(AA5-IF(ISNUMBER(V5),V5,0)),"")</f>
        <v/>
      </c>
      <c r="AU5" s="17">
        <f>IF(AND(ISNUMBER(Z5),ISNUMBER(AB5)),Z5-IF(ISNUMBER(U5),U5,0)-(AB5-IF(ISNUMBER(W5),W5,0)),"")</f>
        <v/>
      </c>
      <c r="AV5" s="17">
        <f>IF(AND(ISNUMBER(AT5),ISNUMBER(AU5)),AT5-AU5,"")</f>
        <v/>
      </c>
      <c r="AW5" s="17">
        <f>IF(AND(ISNUMBER(L5),ISNUMBER(M5),ISNUMBER(AF5)),L5-M5*(1-AF5),IF(ISNUMBER(L5),L5,""))</f>
        <v/>
      </c>
      <c r="AX5" s="17">
        <f>IF(E5="금융","",IF(AND(ISNUMBER(AW5),ISNUMBER(N5),ISNUMBER(O5),ISNUMBER(AV5)),AW5+N5-O5-AV5,IF(AND(ISNUMBER(P5),ISNUMBER(O5)),P5-O5-IF(ISNUMBER(Q5),Q5,0),"")))</f>
        <v/>
      </c>
      <c r="AY5" s="8">
        <f>IF(E5="금융","금융업 - 정의되지 않음",IF(AND(ISNUMBER(AW5),ISNUMBER(N5),ISNUMBER(O5),ISNUMBER(AV5)),"영업순이익+감가상각-설비투자-운전자본증감",IF(AND(ISNUMBER(P5),ISNUMBER(O5)),IF(ISNUMBER(Q5),"영업현금흐름-설비투자-주식보상비용","영업현금흐름-설비투자(주식보상비용 미태깅)"),"산출불가")))</f>
        <v/>
      </c>
      <c r="AZ5" s="19">
        <f>IF(AND(ISNUMBER(AX5),ISNUMBER(G5),G5&lt;&gt;0),AX5/G5,"")</f>
        <v/>
      </c>
      <c r="BA5" s="19">
        <f>IF(AND(ISNUMBER(AE5),ISNUMBER(G5),G5&lt;&gt;0),AE5/G5,"")</f>
        <v/>
      </c>
    </row>
    <row r="6">
      <c r="A6" s="8" t="inlineStr">
        <is>
          <t>NVDA</t>
        </is>
      </c>
      <c r="B6" s="8" t="inlineStr">
        <is>
          <t>NVIDIA CORP</t>
        </is>
      </c>
      <c r="C6" s="8" t="n">
        <v>2015</v>
      </c>
      <c r="D6" s="8" t="inlineStr">
        <is>
          <t>2016-01-31</t>
        </is>
      </c>
      <c r="E6" s="8" t="inlineStr">
        <is>
          <t>일반</t>
        </is>
      </c>
      <c r="F6" s="8" t="inlineStr">
        <is>
          <t>0001045810-18-000010</t>
        </is>
      </c>
      <c r="G6" s="15" t="n">
        <v>5.01</v>
      </c>
      <c r="H6" s="15" t="n">
        <v>0.743</v>
      </c>
      <c r="I6" s="15" t="n"/>
      <c r="J6" s="15" t="n">
        <v>0.129</v>
      </c>
      <c r="K6" s="15" t="n">
        <v>0.747</v>
      </c>
      <c r="L6" s="15" t="n">
        <v>0.614</v>
      </c>
      <c r="M6" s="15" t="n"/>
      <c r="N6" s="15" t="n">
        <v>0.124</v>
      </c>
      <c r="O6" s="15" t="n"/>
      <c r="P6" s="15" t="n">
        <v>1.175</v>
      </c>
      <c r="Q6" s="15" t="n">
        <v>0.204</v>
      </c>
      <c r="R6" s="15" t="n">
        <v>4.469</v>
      </c>
      <c r="S6" s="15" t="n">
        <v>4.418</v>
      </c>
      <c r="T6" s="15" t="n">
        <v>5.037</v>
      </c>
      <c r="U6" s="15" t="n">
        <v>4.623</v>
      </c>
      <c r="V6" s="15" t="n"/>
      <c r="W6" s="15" t="n"/>
      <c r="X6" s="15" t="n">
        <v>0</v>
      </c>
      <c r="Y6" s="15" t="n">
        <v>6.053</v>
      </c>
      <c r="Z6" s="15" t="n">
        <v>5.713</v>
      </c>
      <c r="AA6" s="15" t="n">
        <v>2.351</v>
      </c>
      <c r="AB6" s="15" t="n">
        <v>0.896</v>
      </c>
      <c r="AC6" s="15" t="n">
        <v>1.179</v>
      </c>
      <c r="AD6" s="16" t="n">
        <v>21560</v>
      </c>
      <c r="AE6" s="17">
        <f>IF(ISNUMBER(K6),K6,IF(AND(ISNUMBER(H6),ISNUMBER(I6)),H6+I6,IF(ISNUMBER(H6),H6,"")))</f>
        <v/>
      </c>
      <c r="AF6" s="18">
        <f>IF(OR(NOT(ISNUMBER(J6)),NOT(ISNUMBER(H6)),H6&lt;=0),기준표!$B$8,MIN(MAX(J6/H6,기준표!$B$6),기준표!$B$7))</f>
        <v/>
      </c>
      <c r="AG6" s="17">
        <f>IF(ISNUMBER(AE6),AE6*(1-AF6),"")</f>
        <v/>
      </c>
      <c r="AH6" s="17">
        <f>IF(AND(NOT(ISNUMBER(V6)),NOT(ISNUMBER(X6))),"",IF(ISNUMBER(V6),V6,0)+IF(ISNUMBER(X6),X6,0))</f>
        <v/>
      </c>
      <c r="AI6" s="17">
        <f>IF(E6="금융","",IF(AND(ISNUMBER(R6),ISNUMBER(AH6),ISNUMBER(T6)),R6+AH6-T6,""))</f>
        <v/>
      </c>
      <c r="AJ6" s="17">
        <f>IF(E6="금융","",IF(NOT(ISNUMBER(AI6)),"",IF(ISNUMBER(AC6),(AI6+AC6)/2,AI6)))</f>
        <v/>
      </c>
      <c r="AK6" s="19">
        <f>IF(AND(ISNUMBER(AG6),ISNUMBER(AJ6),AJ6&gt;0),AG6/AJ6,"")</f>
        <v/>
      </c>
      <c r="AL6" s="17">
        <f>IF(E6="금융","",IF(AND(ISNUMBER(R6),ISNUMBER(AH6)),R6+AH6,""))</f>
        <v/>
      </c>
      <c r="AM6" s="19">
        <f>IF(OR(NOT(ISNUMBER(AG6)),NOT(ISNUMBER(AL6)),AL6&lt;=0),"",IF(AND(ISNUMBER(G6),AL6&lt;0.1*G6),"",AG6/AL6))</f>
        <v/>
      </c>
      <c r="AN6" s="17">
        <f>IF(NOT(ISNUMBER(R6)),"",IF(ISNUMBER(S6),(R6+S6)/2,R6))</f>
        <v/>
      </c>
      <c r="AO6" s="19">
        <f>IF(AND(ISNUMBER(L6),ISNUMBER(AN6),AN6&gt;0),L6/AN6,"")</f>
        <v/>
      </c>
      <c r="AP6" s="19">
        <f>IF(AND(ISNUMBER(AO6),ISNUMBER({ROIC})),AO6-{ROIC},"")</f>
        <v/>
      </c>
      <c r="AQ6" s="17">
        <f>IF(AND(ISNUMBER(AE6),ISNUMBER(N6)),AE6+N6,"")</f>
        <v/>
      </c>
      <c r="AR6" s="20">
        <f>IF(AND(ISNUMBER(AH6),ISNUMBER(T6),ISNUMBER(AQ6),AQ6&gt;0),(AH6-T6)/AQ6,"")</f>
        <v/>
      </c>
      <c r="AS6" s="20">
        <f>IF(AND(ISNUMBER(AE6),ISNUMBER(I6),I6&lt;&gt;0,AE6&gt;0),AE6/I6,"")</f>
        <v/>
      </c>
      <c r="AT6" s="17">
        <f>IF(AND(ISNUMBER(Y6),ISNUMBER(AA6)),Y6-IF(ISNUMBER(T6),T6,0)-(AA6-IF(ISNUMBER(V6),V6,0)),"")</f>
        <v/>
      </c>
      <c r="AU6" s="17">
        <f>IF(AND(ISNUMBER(Z6),ISNUMBER(AB6)),Z6-IF(ISNUMBER(U6),U6,0)-(AB6-IF(ISNUMBER(W6),W6,0)),"")</f>
        <v/>
      </c>
      <c r="AV6" s="17">
        <f>IF(AND(ISNUMBER(AT6),ISNUMBER(AU6)),AT6-AU6,"")</f>
        <v/>
      </c>
      <c r="AW6" s="17">
        <f>IF(AND(ISNUMBER(L6),ISNUMBER(M6),ISNUMBER(AF6)),L6-M6*(1-AF6),IF(ISNUMBER(L6),L6,""))</f>
        <v/>
      </c>
      <c r="AX6" s="17">
        <f>IF(E6="금융","",IF(AND(ISNUMBER(AW6),ISNUMBER(N6),ISNUMBER(O6),ISNUMBER(AV6)),AW6+N6-O6-AV6,IF(AND(ISNUMBER(P6),ISNUMBER(O6)),P6-O6-IF(ISNUMBER(Q6),Q6,0),"")))</f>
        <v/>
      </c>
      <c r="AY6" s="8">
        <f>IF(E6="금융","금융업 - 정의되지 않음",IF(AND(ISNUMBER(AW6),ISNUMBER(N6),ISNUMBER(O6),ISNUMBER(AV6)),"영업순이익+감가상각-설비투자-운전자본증감",IF(AND(ISNUMBER(P6),ISNUMBER(O6)),IF(ISNUMBER(Q6),"영업현금흐름-설비투자-주식보상비용","영업현금흐름-설비투자(주식보상비용 미태깅)"),"산출불가")))</f>
        <v/>
      </c>
      <c r="AZ6" s="19">
        <f>IF(AND(ISNUMBER(AX6),ISNUMBER(G6),G6&lt;&gt;0),AX6/G6,"")</f>
        <v/>
      </c>
      <c r="BA6" s="19">
        <f>IF(AND(ISNUMBER(AE6),ISNUMBER(G6),G6&lt;&gt;0),AE6/G6,"")</f>
        <v/>
      </c>
    </row>
    <row r="7">
      <c r="A7" s="8" t="inlineStr">
        <is>
          <t>NVDA</t>
        </is>
      </c>
      <c r="B7" s="8" t="inlineStr">
        <is>
          <t>NVIDIA CORP</t>
        </is>
      </c>
      <c r="C7" s="8" t="n">
        <v>2016</v>
      </c>
      <c r="D7" s="8" t="inlineStr">
        <is>
          <t>2017-01-29</t>
        </is>
      </c>
      <c r="E7" s="8" t="inlineStr">
        <is>
          <t>일반</t>
        </is>
      </c>
      <c r="F7" s="8" t="inlineStr">
        <is>
          <t>0001045810-19-000023</t>
        </is>
      </c>
      <c r="G7" s="15" t="n">
        <v>6.91</v>
      </c>
      <c r="H7" s="15" t="n">
        <v>1.905</v>
      </c>
      <c r="I7" s="15" t="n"/>
      <c r="J7" s="15" t="n">
        <v>0.239</v>
      </c>
      <c r="K7" s="15" t="n">
        <v>1.934</v>
      </c>
      <c r="L7" s="15" t="n">
        <v>1.666</v>
      </c>
      <c r="M7" s="15" t="n"/>
      <c r="N7" s="15" t="n">
        <v>0.118</v>
      </c>
      <c r="O7" s="15" t="n"/>
      <c r="P7" s="15" t="n">
        <v>1.672</v>
      </c>
      <c r="Q7" s="15" t="n">
        <v>0.247</v>
      </c>
      <c r="R7" s="15" t="n">
        <v>5.762</v>
      </c>
      <c r="S7" s="15" t="n">
        <v>4.469</v>
      </c>
      <c r="T7" s="15" t="n">
        <v>6.798</v>
      </c>
      <c r="U7" s="15" t="n">
        <v>5.037</v>
      </c>
      <c r="V7" s="15" t="n"/>
      <c r="W7" s="15" t="n"/>
      <c r="X7" s="15" t="n">
        <v>1.983</v>
      </c>
      <c r="Y7" s="15" t="n">
        <v>8.536</v>
      </c>
      <c r="Z7" s="15" t="n">
        <v>6.053</v>
      </c>
      <c r="AA7" s="15" t="n">
        <v>1.788</v>
      </c>
      <c r="AB7" s="15" t="n">
        <v>2.351</v>
      </c>
      <c r="AC7" s="15" t="n">
        <v>-0.5679999999999999</v>
      </c>
      <c r="AD7" s="16" t="n">
        <v>23400</v>
      </c>
      <c r="AE7" s="17">
        <f>IF(ISNUMBER(K7),K7,IF(AND(ISNUMBER(H7),ISNUMBER(I7)),H7+I7,IF(ISNUMBER(H7),H7,"")))</f>
        <v/>
      </c>
      <c r="AF7" s="18">
        <f>IF(OR(NOT(ISNUMBER(J7)),NOT(ISNUMBER(H7)),H7&lt;=0),기준표!$B$8,MIN(MAX(J7/H7,기준표!$B$6),기준표!$B$7))</f>
        <v/>
      </c>
      <c r="AG7" s="17">
        <f>IF(ISNUMBER(AE7),AE7*(1-AF7),"")</f>
        <v/>
      </c>
      <c r="AH7" s="17">
        <f>IF(AND(NOT(ISNUMBER(V7)),NOT(ISNUMBER(X7))),"",IF(ISNUMBER(V7),V7,0)+IF(ISNUMBER(X7),X7,0))</f>
        <v/>
      </c>
      <c r="AI7" s="17">
        <f>IF(E7="금융","",IF(AND(ISNUMBER(R7),ISNUMBER(AH7),ISNUMBER(T7)),R7+AH7-T7,""))</f>
        <v/>
      </c>
      <c r="AJ7" s="17">
        <f>IF(E7="금융","",IF(NOT(ISNUMBER(AI7)),"",IF(ISNUMBER(AC7),(AI7+AC7)/2,AI7)))</f>
        <v/>
      </c>
      <c r="AK7" s="19">
        <f>IF(AND(ISNUMBER(AG7),ISNUMBER(AJ7),AJ7&gt;0),AG7/AJ7,"")</f>
        <v/>
      </c>
      <c r="AL7" s="17">
        <f>IF(E7="금융","",IF(AND(ISNUMBER(R7),ISNUMBER(AH7)),R7+AH7,""))</f>
        <v/>
      </c>
      <c r="AM7" s="19">
        <f>IF(OR(NOT(ISNUMBER(AG7)),NOT(ISNUMBER(AL7)),AL7&lt;=0),"",IF(AND(ISNUMBER(G7),AL7&lt;0.1*G7),"",AG7/AL7))</f>
        <v/>
      </c>
      <c r="AN7" s="17">
        <f>IF(NOT(ISNUMBER(R7)),"",IF(ISNUMBER(S7),(R7+S7)/2,R7))</f>
        <v/>
      </c>
      <c r="AO7" s="19">
        <f>IF(AND(ISNUMBER(L7),ISNUMBER(AN7),AN7&gt;0),L7/AN7,"")</f>
        <v/>
      </c>
      <c r="AP7" s="19">
        <f>IF(AND(ISNUMBER(AO7),ISNUMBER({ROIC})),AO7-{ROIC},"")</f>
        <v/>
      </c>
      <c r="AQ7" s="17">
        <f>IF(AND(ISNUMBER(AE7),ISNUMBER(N7)),AE7+N7,"")</f>
        <v/>
      </c>
      <c r="AR7" s="20">
        <f>IF(AND(ISNUMBER(AH7),ISNUMBER(T7),ISNUMBER(AQ7),AQ7&gt;0),(AH7-T7)/AQ7,"")</f>
        <v/>
      </c>
      <c r="AS7" s="20">
        <f>IF(AND(ISNUMBER(AE7),ISNUMBER(I7),I7&lt;&gt;0,AE7&gt;0),AE7/I7,"")</f>
        <v/>
      </c>
      <c r="AT7" s="17">
        <f>IF(AND(ISNUMBER(Y7),ISNUMBER(AA7)),Y7-IF(ISNUMBER(T7),T7,0)-(AA7-IF(ISNUMBER(V7),V7,0)),"")</f>
        <v/>
      </c>
      <c r="AU7" s="17">
        <f>IF(AND(ISNUMBER(Z7),ISNUMBER(AB7)),Z7-IF(ISNUMBER(U7),U7,0)-(AB7-IF(ISNUMBER(W7),W7,0)),"")</f>
        <v/>
      </c>
      <c r="AV7" s="17">
        <f>IF(AND(ISNUMBER(AT7),ISNUMBER(AU7)),AT7-AU7,"")</f>
        <v/>
      </c>
      <c r="AW7" s="17">
        <f>IF(AND(ISNUMBER(L7),ISNUMBER(M7),ISNUMBER(AF7)),L7-M7*(1-AF7),IF(ISNUMBER(L7),L7,""))</f>
        <v/>
      </c>
      <c r="AX7" s="17">
        <f>IF(E7="금융","",IF(AND(ISNUMBER(AW7),ISNUMBER(N7),ISNUMBER(O7),ISNUMBER(AV7)),AW7+N7-O7-AV7,IF(AND(ISNUMBER(P7),ISNUMBER(O7)),P7-O7-IF(ISNUMBER(Q7),Q7,0),"")))</f>
        <v/>
      </c>
      <c r="AY7" s="8">
        <f>IF(E7="금융","금융업 - 정의되지 않음",IF(AND(ISNUMBER(AW7),ISNUMBER(N7),ISNUMBER(O7),ISNUMBER(AV7)),"영업순이익+감가상각-설비투자-운전자본증감",IF(AND(ISNUMBER(P7),ISNUMBER(O7)),IF(ISNUMBER(Q7),"영업현금흐름-설비투자-주식보상비용","영업현금흐름-설비투자(주식보상비용 미태깅)"),"산출불가")))</f>
        <v/>
      </c>
      <c r="AZ7" s="19">
        <f>IF(AND(ISNUMBER(AX7),ISNUMBER(G7),G7&lt;&gt;0),AX7/G7,"")</f>
        <v/>
      </c>
      <c r="BA7" s="19">
        <f>IF(AND(ISNUMBER(AE7),ISNUMBER(G7),G7&lt;&gt;0),AE7/G7,"")</f>
        <v/>
      </c>
    </row>
    <row r="8">
      <c r="A8" s="8" t="inlineStr">
        <is>
          <t>NVDA</t>
        </is>
      </c>
      <c r="B8" s="8" t="inlineStr">
        <is>
          <t>NVIDIA CORP</t>
        </is>
      </c>
      <c r="C8" s="8" t="n">
        <v>2017</v>
      </c>
      <c r="D8" s="8" t="inlineStr">
        <is>
          <t>2018-01-28</t>
        </is>
      </c>
      <c r="E8" s="8" t="inlineStr">
        <is>
          <t>일반</t>
        </is>
      </c>
      <c r="F8" s="8" t="inlineStr">
        <is>
          <t>0001045810-20-000010</t>
        </is>
      </c>
      <c r="G8" s="15" t="n">
        <v>9.714</v>
      </c>
      <c r="H8" s="15" t="n">
        <v>3.196</v>
      </c>
      <c r="I8" s="15" t="n"/>
      <c r="J8" s="15" t="n">
        <v>0.149</v>
      </c>
      <c r="K8" s="15" t="n">
        <v>3.21</v>
      </c>
      <c r="L8" s="15" t="n">
        <v>3.047</v>
      </c>
      <c r="M8" s="15" t="n"/>
      <c r="N8" s="15" t="n">
        <v>0.144</v>
      </c>
      <c r="O8" s="15" t="n"/>
      <c r="P8" s="15" t="n">
        <v>3.502</v>
      </c>
      <c r="Q8" s="15" t="n">
        <v>0.391</v>
      </c>
      <c r="R8" s="15" t="n">
        <v>7.471</v>
      </c>
      <c r="S8" s="15" t="n">
        <v>5.762</v>
      </c>
      <c r="T8" s="15" t="n">
        <v>7.108</v>
      </c>
      <c r="U8" s="15" t="n">
        <v>6.798</v>
      </c>
      <c r="V8" s="15" t="n"/>
      <c r="W8" s="15" t="n"/>
      <c r="X8" s="15" t="n">
        <v>1.985</v>
      </c>
      <c r="Y8" s="15" t="n">
        <v>9.255000000000001</v>
      </c>
      <c r="Z8" s="15" t="n">
        <v>8.536</v>
      </c>
      <c r="AA8" s="15" t="n">
        <v>1.153</v>
      </c>
      <c r="AB8" s="15" t="n">
        <v>1.788</v>
      </c>
      <c r="AC8" s="15" t="n">
        <v>0.947</v>
      </c>
      <c r="AD8" s="16" t="n">
        <v>24240</v>
      </c>
      <c r="AE8" s="17">
        <f>IF(ISNUMBER(K8),K8,IF(AND(ISNUMBER(H8),ISNUMBER(I8)),H8+I8,IF(ISNUMBER(H8),H8,"")))</f>
        <v/>
      </c>
      <c r="AF8" s="18">
        <f>IF(OR(NOT(ISNUMBER(J8)),NOT(ISNUMBER(H8)),H8&lt;=0),기준표!$B$8,MIN(MAX(J8/H8,기준표!$B$6),기준표!$B$7))</f>
        <v/>
      </c>
      <c r="AG8" s="17">
        <f>IF(ISNUMBER(AE8),AE8*(1-AF8),"")</f>
        <v/>
      </c>
      <c r="AH8" s="17">
        <f>IF(AND(NOT(ISNUMBER(V8)),NOT(ISNUMBER(X8))),"",IF(ISNUMBER(V8),V8,0)+IF(ISNUMBER(X8),X8,0))</f>
        <v/>
      </c>
      <c r="AI8" s="17">
        <f>IF(E8="금융","",IF(AND(ISNUMBER(R8),ISNUMBER(AH8),ISNUMBER(T8)),R8+AH8-T8,""))</f>
        <v/>
      </c>
      <c r="AJ8" s="17">
        <f>IF(E8="금융","",IF(NOT(ISNUMBER(AI8)),"",IF(ISNUMBER(AC8),(AI8+AC8)/2,AI8)))</f>
        <v/>
      </c>
      <c r="AK8" s="19">
        <f>IF(AND(ISNUMBER(AG8),ISNUMBER(AJ8),AJ8&gt;0),AG8/AJ8,"")</f>
        <v/>
      </c>
      <c r="AL8" s="17">
        <f>IF(E8="금융","",IF(AND(ISNUMBER(R8),ISNUMBER(AH8)),R8+AH8,""))</f>
        <v/>
      </c>
      <c r="AM8" s="19">
        <f>IF(OR(NOT(ISNUMBER(AG8)),NOT(ISNUMBER(AL8)),AL8&lt;=0),"",IF(AND(ISNUMBER(G8),AL8&lt;0.1*G8),"",AG8/AL8))</f>
        <v/>
      </c>
      <c r="AN8" s="17">
        <f>IF(NOT(ISNUMBER(R8)),"",IF(ISNUMBER(S8),(R8+S8)/2,R8))</f>
        <v/>
      </c>
      <c r="AO8" s="19">
        <f>IF(AND(ISNUMBER(L8),ISNUMBER(AN8),AN8&gt;0),L8/AN8,"")</f>
        <v/>
      </c>
      <c r="AP8" s="19">
        <f>IF(AND(ISNUMBER(AO8),ISNUMBER({ROIC})),AO8-{ROIC},"")</f>
        <v/>
      </c>
      <c r="AQ8" s="17">
        <f>IF(AND(ISNUMBER(AE8),ISNUMBER(N8)),AE8+N8,"")</f>
        <v/>
      </c>
      <c r="AR8" s="20">
        <f>IF(AND(ISNUMBER(AH8),ISNUMBER(T8),ISNUMBER(AQ8),AQ8&gt;0),(AH8-T8)/AQ8,"")</f>
        <v/>
      </c>
      <c r="AS8" s="20">
        <f>IF(AND(ISNUMBER(AE8),ISNUMBER(I8),I8&lt;&gt;0,AE8&gt;0),AE8/I8,"")</f>
        <v/>
      </c>
      <c r="AT8" s="17">
        <f>IF(AND(ISNUMBER(Y8),ISNUMBER(AA8)),Y8-IF(ISNUMBER(T8),T8,0)-(AA8-IF(ISNUMBER(V8),V8,0)),"")</f>
        <v/>
      </c>
      <c r="AU8" s="17">
        <f>IF(AND(ISNUMBER(Z8),ISNUMBER(AB8)),Z8-IF(ISNUMBER(U8),U8,0)-(AB8-IF(ISNUMBER(W8),W8,0)),"")</f>
        <v/>
      </c>
      <c r="AV8" s="17">
        <f>IF(AND(ISNUMBER(AT8),ISNUMBER(AU8)),AT8-AU8,"")</f>
        <v/>
      </c>
      <c r="AW8" s="17">
        <f>IF(AND(ISNUMBER(L8),ISNUMBER(M8),ISNUMBER(AF8)),L8-M8*(1-AF8),IF(ISNUMBER(L8),L8,""))</f>
        <v/>
      </c>
      <c r="AX8" s="17">
        <f>IF(E8="금융","",IF(AND(ISNUMBER(AW8),ISNUMBER(N8),ISNUMBER(O8),ISNUMBER(AV8)),AW8+N8-O8-AV8,IF(AND(ISNUMBER(P8),ISNUMBER(O8)),P8-O8-IF(ISNUMBER(Q8),Q8,0),"")))</f>
        <v/>
      </c>
      <c r="AY8" s="8">
        <f>IF(E8="금융","금융업 - 정의되지 않음",IF(AND(ISNUMBER(AW8),ISNUMBER(N8),ISNUMBER(O8),ISNUMBER(AV8)),"영업순이익+감가상각-설비투자-운전자본증감",IF(AND(ISNUMBER(P8),ISNUMBER(O8)),IF(ISNUMBER(Q8),"영업현금흐름-설비투자-주식보상비용","영업현금흐름-설비투자(주식보상비용 미태깅)"),"산출불가")))</f>
        <v/>
      </c>
      <c r="AZ8" s="19">
        <f>IF(AND(ISNUMBER(AX8),ISNUMBER(G8),G8&lt;&gt;0),AX8/G8,"")</f>
        <v/>
      </c>
      <c r="BA8" s="19">
        <f>IF(AND(ISNUMBER(AE8),ISNUMBER(G8),G8&lt;&gt;0),AE8/G8,"")</f>
        <v/>
      </c>
    </row>
    <row r="9">
      <c r="A9" s="8" t="inlineStr">
        <is>
          <t>NVDA</t>
        </is>
      </c>
      <c r="B9" s="8" t="inlineStr">
        <is>
          <t>NVIDIA CORP</t>
        </is>
      </c>
      <c r="C9" s="8" t="n">
        <v>2018</v>
      </c>
      <c r="D9" s="8" t="inlineStr">
        <is>
          <t>2019-01-27</t>
        </is>
      </c>
      <c r="E9" s="8" t="inlineStr">
        <is>
          <t>일반</t>
        </is>
      </c>
      <c r="F9" s="8" t="inlineStr">
        <is>
          <t>0001045810-21-000010</t>
        </is>
      </c>
      <c r="G9" s="15" t="n">
        <v>11.716</v>
      </c>
      <c r="H9" s="15" t="n">
        <v>3.896</v>
      </c>
      <c r="I9" s="15" t="n"/>
      <c r="J9" s="15" t="n">
        <v>-0.245</v>
      </c>
      <c r="K9" s="15" t="n">
        <v>3.804</v>
      </c>
      <c r="L9" s="15" t="n">
        <v>4.141</v>
      </c>
      <c r="M9" s="15" t="n"/>
      <c r="N9" s="15" t="n">
        <v>0.233</v>
      </c>
      <c r="O9" s="15" t="n"/>
      <c r="P9" s="15" t="n">
        <v>3.743</v>
      </c>
      <c r="Q9" s="15" t="n">
        <v>0.5570000000000001</v>
      </c>
      <c r="R9" s="15" t="n">
        <v>9.342000000000001</v>
      </c>
      <c r="S9" s="15" t="n">
        <v>7.471</v>
      </c>
      <c r="T9" s="15" t="n">
        <v>7.422</v>
      </c>
      <c r="U9" s="15" t="n">
        <v>7.108</v>
      </c>
      <c r="V9" s="15" t="n"/>
      <c r="W9" s="15" t="n"/>
      <c r="X9" s="15" t="n">
        <v>1.988</v>
      </c>
      <c r="Y9" s="15" t="n">
        <v>10.557</v>
      </c>
      <c r="Z9" s="15" t="n">
        <v>9.255000000000001</v>
      </c>
      <c r="AA9" s="15" t="n">
        <v>1.329</v>
      </c>
      <c r="AB9" s="15" t="n">
        <v>1.153</v>
      </c>
      <c r="AC9" s="15" t="n">
        <v>2.348</v>
      </c>
      <c r="AD9" s="16" t="n">
        <v>24240</v>
      </c>
      <c r="AE9" s="17">
        <f>IF(ISNUMBER(K9),K9,IF(AND(ISNUMBER(H9),ISNUMBER(I9)),H9+I9,IF(ISNUMBER(H9),H9,"")))</f>
        <v/>
      </c>
      <c r="AF9" s="18">
        <f>IF(OR(NOT(ISNUMBER(J9)),NOT(ISNUMBER(H9)),H9&lt;=0),기준표!$B$8,MIN(MAX(J9/H9,기준표!$B$6),기준표!$B$7))</f>
        <v/>
      </c>
      <c r="AG9" s="17">
        <f>IF(ISNUMBER(AE9),AE9*(1-AF9),"")</f>
        <v/>
      </c>
      <c r="AH9" s="17">
        <f>IF(AND(NOT(ISNUMBER(V9)),NOT(ISNUMBER(X9))),"",IF(ISNUMBER(V9),V9,0)+IF(ISNUMBER(X9),X9,0))</f>
        <v/>
      </c>
      <c r="AI9" s="17">
        <f>IF(E9="금융","",IF(AND(ISNUMBER(R9),ISNUMBER(AH9),ISNUMBER(T9)),R9+AH9-T9,""))</f>
        <v/>
      </c>
      <c r="AJ9" s="17">
        <f>IF(E9="금융","",IF(NOT(ISNUMBER(AI9)),"",IF(ISNUMBER(AC9),(AI9+AC9)/2,AI9)))</f>
        <v/>
      </c>
      <c r="AK9" s="19">
        <f>IF(AND(ISNUMBER(AG9),ISNUMBER(AJ9),AJ9&gt;0),AG9/AJ9,"")</f>
        <v/>
      </c>
      <c r="AL9" s="17">
        <f>IF(E9="금융","",IF(AND(ISNUMBER(R9),ISNUMBER(AH9)),R9+AH9,""))</f>
        <v/>
      </c>
      <c r="AM9" s="19">
        <f>IF(OR(NOT(ISNUMBER(AG9)),NOT(ISNUMBER(AL9)),AL9&lt;=0),"",IF(AND(ISNUMBER(G9),AL9&lt;0.1*G9),"",AG9/AL9))</f>
        <v/>
      </c>
      <c r="AN9" s="17">
        <f>IF(NOT(ISNUMBER(R9)),"",IF(ISNUMBER(S9),(R9+S9)/2,R9))</f>
        <v/>
      </c>
      <c r="AO9" s="19">
        <f>IF(AND(ISNUMBER(L9),ISNUMBER(AN9),AN9&gt;0),L9/AN9,"")</f>
        <v/>
      </c>
      <c r="AP9" s="19">
        <f>IF(AND(ISNUMBER(AO9),ISNUMBER({ROIC})),AO9-{ROIC},"")</f>
        <v/>
      </c>
      <c r="AQ9" s="17">
        <f>IF(AND(ISNUMBER(AE9),ISNUMBER(N9)),AE9+N9,"")</f>
        <v/>
      </c>
      <c r="AR9" s="20">
        <f>IF(AND(ISNUMBER(AH9),ISNUMBER(T9),ISNUMBER(AQ9),AQ9&gt;0),(AH9-T9)/AQ9,"")</f>
        <v/>
      </c>
      <c r="AS9" s="20">
        <f>IF(AND(ISNUMBER(AE9),ISNUMBER(I9),I9&lt;&gt;0,AE9&gt;0),AE9/I9,"")</f>
        <v/>
      </c>
      <c r="AT9" s="17">
        <f>IF(AND(ISNUMBER(Y9),ISNUMBER(AA9)),Y9-IF(ISNUMBER(T9),T9,0)-(AA9-IF(ISNUMBER(V9),V9,0)),"")</f>
        <v/>
      </c>
      <c r="AU9" s="17">
        <f>IF(AND(ISNUMBER(Z9),ISNUMBER(AB9)),Z9-IF(ISNUMBER(U9),U9,0)-(AB9-IF(ISNUMBER(W9),W9,0)),"")</f>
        <v/>
      </c>
      <c r="AV9" s="17">
        <f>IF(AND(ISNUMBER(AT9),ISNUMBER(AU9)),AT9-AU9,"")</f>
        <v/>
      </c>
      <c r="AW9" s="17">
        <f>IF(AND(ISNUMBER(L9),ISNUMBER(M9),ISNUMBER(AF9)),L9-M9*(1-AF9),IF(ISNUMBER(L9),L9,""))</f>
        <v/>
      </c>
      <c r="AX9" s="17">
        <f>IF(E9="금융","",IF(AND(ISNUMBER(AW9),ISNUMBER(N9),ISNUMBER(O9),ISNUMBER(AV9)),AW9+N9-O9-AV9,IF(AND(ISNUMBER(P9),ISNUMBER(O9)),P9-O9-IF(ISNUMBER(Q9),Q9,0),"")))</f>
        <v/>
      </c>
      <c r="AY9" s="8">
        <f>IF(E9="금융","금융업 - 정의되지 않음",IF(AND(ISNUMBER(AW9),ISNUMBER(N9),ISNUMBER(O9),ISNUMBER(AV9)),"영업순이익+감가상각-설비투자-운전자본증감",IF(AND(ISNUMBER(P9),ISNUMBER(O9)),IF(ISNUMBER(Q9),"영업현금흐름-설비투자-주식보상비용","영업현금흐름-설비투자(주식보상비용 미태깅)"),"산출불가")))</f>
        <v/>
      </c>
      <c r="AZ9" s="19">
        <f>IF(AND(ISNUMBER(AX9),ISNUMBER(G9),G9&lt;&gt;0),AX9/G9,"")</f>
        <v/>
      </c>
      <c r="BA9" s="19">
        <f>IF(AND(ISNUMBER(AE9),ISNUMBER(G9),G9&lt;&gt;0),AE9/G9,"")</f>
        <v/>
      </c>
    </row>
    <row r="10">
      <c r="A10" s="8" t="inlineStr">
        <is>
          <t>NVDA</t>
        </is>
      </c>
      <c r="B10" s="8" t="inlineStr">
        <is>
          <t>NVIDIA CORP</t>
        </is>
      </c>
      <c r="C10" s="8" t="n">
        <v>2019</v>
      </c>
      <c r="D10" s="8" t="inlineStr">
        <is>
          <t>2020-01-26</t>
        </is>
      </c>
      <c r="E10" s="8" t="inlineStr">
        <is>
          <t>일반</t>
        </is>
      </c>
      <c r="F10" s="8" t="inlineStr">
        <is>
          <t>0001045810-22-000036</t>
        </is>
      </c>
      <c r="G10" s="15" t="n">
        <v>10.918</v>
      </c>
      <c r="H10" s="15" t="n">
        <v>2.97</v>
      </c>
      <c r="I10" s="15" t="n"/>
      <c r="J10" s="15" t="n">
        <v>0.174</v>
      </c>
      <c r="K10" s="15" t="n">
        <v>2.846</v>
      </c>
      <c r="L10" s="15" t="n">
        <v>2.796</v>
      </c>
      <c r="M10" s="15" t="n">
        <v>-0.001</v>
      </c>
      <c r="N10" s="15" t="n">
        <v>0.355</v>
      </c>
      <c r="O10" s="15" t="n"/>
      <c r="P10" s="15" t="n">
        <v>4.761</v>
      </c>
      <c r="Q10" s="15" t="n">
        <v>0.844</v>
      </c>
      <c r="R10" s="15" t="n">
        <v>12.204</v>
      </c>
      <c r="S10" s="15" t="n">
        <v>9.342000000000001</v>
      </c>
      <c r="T10" s="15" t="n">
        <v>10.897</v>
      </c>
      <c r="U10" s="15" t="n">
        <v>7.422</v>
      </c>
      <c r="V10" s="15" t="n">
        <v>0</v>
      </c>
      <c r="W10" s="15" t="n"/>
      <c r="X10" s="15" t="n">
        <v>1.991</v>
      </c>
      <c r="Y10" s="15" t="n">
        <v>13.69</v>
      </c>
      <c r="Z10" s="15" t="n">
        <v>10.557</v>
      </c>
      <c r="AA10" s="15" t="n">
        <v>1.784</v>
      </c>
      <c r="AB10" s="15" t="n">
        <v>1.329</v>
      </c>
      <c r="AC10" s="15" t="n">
        <v>3.908</v>
      </c>
      <c r="AD10" s="16" t="n">
        <v>24480</v>
      </c>
      <c r="AE10" s="17">
        <f>IF(ISNUMBER(K10),K10,IF(AND(ISNUMBER(H10),ISNUMBER(I10)),H10+I10,IF(ISNUMBER(H10),H10,"")))</f>
        <v/>
      </c>
      <c r="AF10" s="18">
        <f>IF(OR(NOT(ISNUMBER(J10)),NOT(ISNUMBER(H10)),H10&lt;=0),기준표!$B$8,MIN(MAX(J10/H10,기준표!$B$6),기준표!$B$7))</f>
        <v/>
      </c>
      <c r="AG10" s="17">
        <f>IF(ISNUMBER(AE10),AE10*(1-AF10),"")</f>
        <v/>
      </c>
      <c r="AH10" s="17">
        <f>IF(AND(NOT(ISNUMBER(V10)),NOT(ISNUMBER(X10))),"",IF(ISNUMBER(V10),V10,0)+IF(ISNUMBER(X10),X10,0))</f>
        <v/>
      </c>
      <c r="AI10" s="17">
        <f>IF(E10="금융","",IF(AND(ISNUMBER(R10),ISNUMBER(AH10),ISNUMBER(T10)),R10+AH10-T10,""))</f>
        <v/>
      </c>
      <c r="AJ10" s="17">
        <f>IF(E10="금융","",IF(NOT(ISNUMBER(AI10)),"",IF(ISNUMBER(AC10),(AI10+AC10)/2,AI10)))</f>
        <v/>
      </c>
      <c r="AK10" s="19">
        <f>IF(AND(ISNUMBER(AG10),ISNUMBER(AJ10),AJ10&gt;0),AG10/AJ10,"")</f>
        <v/>
      </c>
      <c r="AL10" s="17">
        <f>IF(E10="금융","",IF(AND(ISNUMBER(R10),ISNUMBER(AH10)),R10+AH10,""))</f>
        <v/>
      </c>
      <c r="AM10" s="19">
        <f>IF(OR(NOT(ISNUMBER(AG10)),NOT(ISNUMBER(AL10)),AL10&lt;=0),"",IF(AND(ISNUMBER(G10),AL10&lt;0.1*G10),"",AG10/AL10))</f>
        <v/>
      </c>
      <c r="AN10" s="17">
        <f>IF(NOT(ISNUMBER(R10)),"",IF(ISNUMBER(S10),(R10+S10)/2,R10))</f>
        <v/>
      </c>
      <c r="AO10" s="19">
        <f>IF(AND(ISNUMBER(L10),ISNUMBER(AN10),AN10&gt;0),L10/AN10,"")</f>
        <v/>
      </c>
      <c r="AP10" s="19">
        <f>IF(AND(ISNUMBER(AO10),ISNUMBER({ROIC})),AO10-{ROIC},"")</f>
        <v/>
      </c>
      <c r="AQ10" s="17">
        <f>IF(AND(ISNUMBER(AE10),ISNUMBER(N10)),AE10+N10,"")</f>
        <v/>
      </c>
      <c r="AR10" s="20">
        <f>IF(AND(ISNUMBER(AH10),ISNUMBER(T10),ISNUMBER(AQ10),AQ10&gt;0),(AH10-T10)/AQ10,"")</f>
        <v/>
      </c>
      <c r="AS10" s="20">
        <f>IF(AND(ISNUMBER(AE10),ISNUMBER(I10),I10&lt;&gt;0,AE10&gt;0),AE10/I10,"")</f>
        <v/>
      </c>
      <c r="AT10" s="17">
        <f>IF(AND(ISNUMBER(Y10),ISNUMBER(AA10)),Y10-IF(ISNUMBER(T10),T10,0)-(AA10-IF(ISNUMBER(V10),V10,0)),"")</f>
        <v/>
      </c>
      <c r="AU10" s="17">
        <f>IF(AND(ISNUMBER(Z10),ISNUMBER(AB10)),Z10-IF(ISNUMBER(U10),U10,0)-(AB10-IF(ISNUMBER(W10),W10,0)),"")</f>
        <v/>
      </c>
      <c r="AV10" s="17">
        <f>IF(AND(ISNUMBER(AT10),ISNUMBER(AU10)),AT10-AU10,"")</f>
        <v/>
      </c>
      <c r="AW10" s="17">
        <f>IF(AND(ISNUMBER(L10),ISNUMBER(M10),ISNUMBER(AF10)),L10-M10*(1-AF10),IF(ISNUMBER(L10),L10,""))</f>
        <v/>
      </c>
      <c r="AX10" s="17">
        <f>IF(E10="금융","",IF(AND(ISNUMBER(AW10),ISNUMBER(N10),ISNUMBER(O10),ISNUMBER(AV10)),AW10+N10-O10-AV10,IF(AND(ISNUMBER(P10),ISNUMBER(O10)),P10-O10-IF(ISNUMBER(Q10),Q10,0),"")))</f>
        <v/>
      </c>
      <c r="AY10" s="8">
        <f>IF(E10="금융","금융업 - 정의되지 않음",IF(AND(ISNUMBER(AW10),ISNUMBER(N10),ISNUMBER(O10),ISNUMBER(AV10)),"영업순이익+감가상각-설비투자-운전자본증감",IF(AND(ISNUMBER(P10),ISNUMBER(O10)),IF(ISNUMBER(Q10),"영업현금흐름-설비투자-주식보상비용","영업현금흐름-설비투자(주식보상비용 미태깅)"),"산출불가")))</f>
        <v/>
      </c>
      <c r="AZ10" s="19">
        <f>IF(AND(ISNUMBER(AX10),ISNUMBER(G10),G10&lt;&gt;0),AX10/G10,"")</f>
        <v/>
      </c>
      <c r="BA10" s="19">
        <f>IF(AND(ISNUMBER(AE10),ISNUMBER(G10),G10&lt;&gt;0),AE10/G10,"")</f>
        <v/>
      </c>
    </row>
    <row r="11">
      <c r="A11" s="8" t="inlineStr">
        <is>
          <t>NVDA</t>
        </is>
      </c>
      <c r="B11" s="8" t="inlineStr">
        <is>
          <t>NVIDIA CORP</t>
        </is>
      </c>
      <c r="C11" s="8" t="n">
        <v>2020</v>
      </c>
      <c r="D11" s="8" t="inlineStr">
        <is>
          <t>2021-01-31</t>
        </is>
      </c>
      <c r="E11" s="8" t="inlineStr">
        <is>
          <t>일반</t>
        </is>
      </c>
      <c r="F11" s="8" t="inlineStr">
        <is>
          <t>0001045810-23-000017</t>
        </is>
      </c>
      <c r="G11" s="15" t="n">
        <v>16.675</v>
      </c>
      <c r="H11" s="15" t="n">
        <v>4.409</v>
      </c>
      <c r="I11" s="15" t="n"/>
      <c r="J11" s="15" t="n">
        <v>0.077</v>
      </c>
      <c r="K11" s="15" t="n">
        <v>4.532</v>
      </c>
      <c r="L11" s="15" t="n">
        <v>4.332</v>
      </c>
      <c r="M11" s="15" t="n">
        <v>0</v>
      </c>
      <c r="N11" s="15" t="n">
        <v>0.486</v>
      </c>
      <c r="O11" s="15" t="n"/>
      <c r="P11" s="15" t="n">
        <v>5.822</v>
      </c>
      <c r="Q11" s="15" t="n">
        <v>1.397</v>
      </c>
      <c r="R11" s="15" t="n">
        <v>16.893</v>
      </c>
      <c r="S11" s="15" t="n">
        <v>12.204</v>
      </c>
      <c r="T11" s="15" t="n">
        <v>11.561</v>
      </c>
      <c r="U11" s="15" t="n">
        <v>10.897</v>
      </c>
      <c r="V11" s="15" t="n">
        <v>0.999</v>
      </c>
      <c r="W11" s="15" t="n">
        <v>0</v>
      </c>
      <c r="X11" s="15" t="n">
        <v>6.963</v>
      </c>
      <c r="Y11" s="15" t="n">
        <v>16.055</v>
      </c>
      <c r="Z11" s="15" t="n">
        <v>13.69</v>
      </c>
      <c r="AA11" s="15" t="n">
        <v>3.925</v>
      </c>
      <c r="AB11" s="15" t="n">
        <v>1.784</v>
      </c>
      <c r="AC11" s="15" t="n">
        <v>3.298</v>
      </c>
      <c r="AD11" s="16" t="n">
        <v>24790</v>
      </c>
      <c r="AE11" s="17">
        <f>IF(ISNUMBER(K11),K11,IF(AND(ISNUMBER(H11),ISNUMBER(I11)),H11+I11,IF(ISNUMBER(H11),H11,"")))</f>
        <v/>
      </c>
      <c r="AF11" s="18">
        <f>IF(OR(NOT(ISNUMBER(J11)),NOT(ISNUMBER(H11)),H11&lt;=0),기준표!$B$8,MIN(MAX(J11/H11,기준표!$B$6),기준표!$B$7))</f>
        <v/>
      </c>
      <c r="AG11" s="17">
        <f>IF(ISNUMBER(AE11),AE11*(1-AF11),"")</f>
        <v/>
      </c>
      <c r="AH11" s="17">
        <f>IF(AND(NOT(ISNUMBER(V11)),NOT(ISNUMBER(X11))),"",IF(ISNUMBER(V11),V11,0)+IF(ISNUMBER(X11),X11,0))</f>
        <v/>
      </c>
      <c r="AI11" s="17">
        <f>IF(E11="금융","",IF(AND(ISNUMBER(R11),ISNUMBER(AH11),ISNUMBER(T11)),R11+AH11-T11,""))</f>
        <v/>
      </c>
      <c r="AJ11" s="17">
        <f>IF(E11="금융","",IF(NOT(ISNUMBER(AI11)),"",IF(ISNUMBER(AC11),(AI11+AC11)/2,AI11)))</f>
        <v/>
      </c>
      <c r="AK11" s="19">
        <f>IF(AND(ISNUMBER(AG11),ISNUMBER(AJ11),AJ11&gt;0),AG11/AJ11,"")</f>
        <v/>
      </c>
      <c r="AL11" s="17">
        <f>IF(E11="금융","",IF(AND(ISNUMBER(R11),ISNUMBER(AH11)),R11+AH11,""))</f>
        <v/>
      </c>
      <c r="AM11" s="19">
        <f>IF(OR(NOT(ISNUMBER(AG11)),NOT(ISNUMBER(AL11)),AL11&lt;=0),"",IF(AND(ISNUMBER(G11),AL11&lt;0.1*G11),"",AG11/AL11))</f>
        <v/>
      </c>
      <c r="AN11" s="17">
        <f>IF(NOT(ISNUMBER(R11)),"",IF(ISNUMBER(S11),(R11+S11)/2,R11))</f>
        <v/>
      </c>
      <c r="AO11" s="19">
        <f>IF(AND(ISNUMBER(L11),ISNUMBER(AN11),AN11&gt;0),L11/AN11,"")</f>
        <v/>
      </c>
      <c r="AP11" s="19">
        <f>IF(AND(ISNUMBER(AO11),ISNUMBER({ROIC})),AO11-{ROIC},"")</f>
        <v/>
      </c>
      <c r="AQ11" s="17">
        <f>IF(AND(ISNUMBER(AE11),ISNUMBER(N11)),AE11+N11,"")</f>
        <v/>
      </c>
      <c r="AR11" s="20">
        <f>IF(AND(ISNUMBER(AH11),ISNUMBER(T11),ISNUMBER(AQ11),AQ11&gt;0),(AH11-T11)/AQ11,"")</f>
        <v/>
      </c>
      <c r="AS11" s="20">
        <f>IF(AND(ISNUMBER(AE11),ISNUMBER(I11),I11&lt;&gt;0,AE11&gt;0),AE11/I11,"")</f>
        <v/>
      </c>
      <c r="AT11" s="17">
        <f>IF(AND(ISNUMBER(Y11),ISNUMBER(AA11)),Y11-IF(ISNUMBER(T11),T11,0)-(AA11-IF(ISNUMBER(V11),V11,0)),"")</f>
        <v/>
      </c>
      <c r="AU11" s="17">
        <f>IF(AND(ISNUMBER(Z11),ISNUMBER(AB11)),Z11-IF(ISNUMBER(U11),U11,0)-(AB11-IF(ISNUMBER(W11),W11,0)),"")</f>
        <v/>
      </c>
      <c r="AV11" s="17">
        <f>IF(AND(ISNUMBER(AT11),ISNUMBER(AU11)),AT11-AU11,"")</f>
        <v/>
      </c>
      <c r="AW11" s="17">
        <f>IF(AND(ISNUMBER(L11),ISNUMBER(M11),ISNUMBER(AF11)),L11-M11*(1-AF11),IF(ISNUMBER(L11),L11,""))</f>
        <v/>
      </c>
      <c r="AX11" s="17">
        <f>IF(E11="금융","",IF(AND(ISNUMBER(AW11),ISNUMBER(N11),ISNUMBER(O11),ISNUMBER(AV11)),AW11+N11-O11-AV11,IF(AND(ISNUMBER(P11),ISNUMBER(O11)),P11-O11-IF(ISNUMBER(Q11),Q11,0),"")))</f>
        <v/>
      </c>
      <c r="AY11" s="8">
        <f>IF(E11="금융","금융업 - 정의되지 않음",IF(AND(ISNUMBER(AW11),ISNUMBER(N11),ISNUMBER(O11),ISNUMBER(AV11)),"영업순이익+감가상각-설비투자-운전자본증감",IF(AND(ISNUMBER(P11),ISNUMBER(O11)),IF(ISNUMBER(Q11),"영업현금흐름-설비투자-주식보상비용","영업현금흐름-설비투자(주식보상비용 미태깅)"),"산출불가")))</f>
        <v/>
      </c>
      <c r="AZ11" s="19">
        <f>IF(AND(ISNUMBER(AX11),ISNUMBER(G11),G11&lt;&gt;0),AX11/G11,"")</f>
        <v/>
      </c>
      <c r="BA11" s="19">
        <f>IF(AND(ISNUMBER(AE11),ISNUMBER(G11),G11&lt;&gt;0),AE11/G11,"")</f>
        <v/>
      </c>
    </row>
    <row r="12">
      <c r="A12" s="8" t="inlineStr">
        <is>
          <t>NVDA</t>
        </is>
      </c>
      <c r="B12" s="8" t="inlineStr">
        <is>
          <t>NVIDIA CORP</t>
        </is>
      </c>
      <c r="C12" s="8" t="n">
        <v>2021</v>
      </c>
      <c r="D12" s="8" t="inlineStr">
        <is>
          <t>2022-01-30</t>
        </is>
      </c>
      <c r="E12" s="8" t="inlineStr">
        <is>
          <t>일반</t>
        </is>
      </c>
      <c r="F12" s="8" t="inlineStr">
        <is>
          <t>0001045810-24-000029</t>
        </is>
      </c>
      <c r="G12" s="15" t="n">
        <v>26.914</v>
      </c>
      <c r="H12" s="15" t="n">
        <v>9.941000000000001</v>
      </c>
      <c r="I12" s="15" t="n"/>
      <c r="J12" s="15" t="n">
        <v>0.189</v>
      </c>
      <c r="K12" s="15" t="n">
        <v>10.041</v>
      </c>
      <c r="L12" s="15" t="n">
        <v>9.752000000000001</v>
      </c>
      <c r="M12" s="15" t="n">
        <v>0.1</v>
      </c>
      <c r="N12" s="15" t="n">
        <v>0.611</v>
      </c>
      <c r="O12" s="15" t="n">
        <v>0.976</v>
      </c>
      <c r="P12" s="15" t="n">
        <v>9.108000000000001</v>
      </c>
      <c r="Q12" s="15" t="n">
        <v>2.004</v>
      </c>
      <c r="R12" s="15" t="n">
        <v>26.612</v>
      </c>
      <c r="S12" s="15" t="n">
        <v>16.893</v>
      </c>
      <c r="T12" s="15" t="n">
        <v>21.208</v>
      </c>
      <c r="U12" s="15" t="n">
        <v>11.561</v>
      </c>
      <c r="V12" s="15" t="n">
        <v>0</v>
      </c>
      <c r="W12" s="15" t="n">
        <v>0.999</v>
      </c>
      <c r="X12" s="15" t="n">
        <v>10.946</v>
      </c>
      <c r="Y12" s="15" t="n">
        <v>28.829</v>
      </c>
      <c r="Z12" s="15" t="n">
        <v>16.055</v>
      </c>
      <c r="AA12" s="15" t="n">
        <v>4.335</v>
      </c>
      <c r="AB12" s="15" t="n">
        <v>3.925</v>
      </c>
      <c r="AC12" s="15" t="n">
        <v>13.294</v>
      </c>
      <c r="AD12" s="16" t="n">
        <v>25060</v>
      </c>
      <c r="AE12" s="17">
        <f>IF(ISNUMBER(K12),K12,IF(AND(ISNUMBER(H12),ISNUMBER(I12)),H12+I12,IF(ISNUMBER(H12),H12,"")))</f>
        <v/>
      </c>
      <c r="AF12" s="18">
        <f>IF(OR(NOT(ISNUMBER(J12)),NOT(ISNUMBER(H12)),H12&lt;=0),기준표!$B$8,MIN(MAX(J12/H12,기준표!$B$6),기준표!$B$7))</f>
        <v/>
      </c>
      <c r="AG12" s="17">
        <f>IF(ISNUMBER(AE12),AE12*(1-AF12),"")</f>
        <v/>
      </c>
      <c r="AH12" s="17">
        <f>IF(AND(NOT(ISNUMBER(V12)),NOT(ISNUMBER(X12))),"",IF(ISNUMBER(V12),V12,0)+IF(ISNUMBER(X12),X12,0))</f>
        <v/>
      </c>
      <c r="AI12" s="17">
        <f>IF(E12="금융","",IF(AND(ISNUMBER(R12),ISNUMBER(AH12),ISNUMBER(T12)),R12+AH12-T12,""))</f>
        <v/>
      </c>
      <c r="AJ12" s="17">
        <f>IF(E12="금융","",IF(NOT(ISNUMBER(AI12)),"",IF(ISNUMBER(AC12),(AI12+AC12)/2,AI12)))</f>
        <v/>
      </c>
      <c r="AK12" s="19">
        <f>IF(AND(ISNUMBER(AG12),ISNUMBER(AJ12),AJ12&gt;0),AG12/AJ12,"")</f>
        <v/>
      </c>
      <c r="AL12" s="17">
        <f>IF(E12="금융","",IF(AND(ISNUMBER(R12),ISNUMBER(AH12)),R12+AH12,""))</f>
        <v/>
      </c>
      <c r="AM12" s="19">
        <f>IF(OR(NOT(ISNUMBER(AG12)),NOT(ISNUMBER(AL12)),AL12&lt;=0),"",IF(AND(ISNUMBER(G12),AL12&lt;0.1*G12),"",AG12/AL12))</f>
        <v/>
      </c>
      <c r="AN12" s="17">
        <f>IF(NOT(ISNUMBER(R12)),"",IF(ISNUMBER(S12),(R12+S12)/2,R12))</f>
        <v/>
      </c>
      <c r="AO12" s="19">
        <f>IF(AND(ISNUMBER(L12),ISNUMBER(AN12),AN12&gt;0),L12/AN12,"")</f>
        <v/>
      </c>
      <c r="AP12" s="19">
        <f>IF(AND(ISNUMBER(AO12),ISNUMBER({ROIC})),AO12-{ROIC},"")</f>
        <v/>
      </c>
      <c r="AQ12" s="17">
        <f>IF(AND(ISNUMBER(AE12),ISNUMBER(N12)),AE12+N12,"")</f>
        <v/>
      </c>
      <c r="AR12" s="20">
        <f>IF(AND(ISNUMBER(AH12),ISNUMBER(T12),ISNUMBER(AQ12),AQ12&gt;0),(AH12-T12)/AQ12,"")</f>
        <v/>
      </c>
      <c r="AS12" s="20">
        <f>IF(AND(ISNUMBER(AE12),ISNUMBER(I12),I12&lt;&gt;0,AE12&gt;0),AE12/I12,"")</f>
        <v/>
      </c>
      <c r="AT12" s="17">
        <f>IF(AND(ISNUMBER(Y12),ISNUMBER(AA12)),Y12-IF(ISNUMBER(T12),T12,0)-(AA12-IF(ISNUMBER(V12),V12,0)),"")</f>
        <v/>
      </c>
      <c r="AU12" s="17">
        <f>IF(AND(ISNUMBER(Z12),ISNUMBER(AB12)),Z12-IF(ISNUMBER(U12),U12,0)-(AB12-IF(ISNUMBER(W12),W12,0)),"")</f>
        <v/>
      </c>
      <c r="AV12" s="17">
        <f>IF(AND(ISNUMBER(AT12),ISNUMBER(AU12)),AT12-AU12,"")</f>
        <v/>
      </c>
      <c r="AW12" s="17">
        <f>IF(AND(ISNUMBER(L12),ISNUMBER(M12),ISNUMBER(AF12)),L12-M12*(1-AF12),IF(ISNUMBER(L12),L12,""))</f>
        <v/>
      </c>
      <c r="AX12" s="17">
        <f>IF(E12="금융","",IF(AND(ISNUMBER(AW12),ISNUMBER(N12),ISNUMBER(O12),ISNUMBER(AV12)),AW12+N12-O12-AV12,IF(AND(ISNUMBER(P12),ISNUMBER(O12)),P12-O12-IF(ISNUMBER(Q12),Q12,0),"")))</f>
        <v/>
      </c>
      <c r="AY12" s="8">
        <f>IF(E12="금융","금융업 - 정의되지 않음",IF(AND(ISNUMBER(AW12),ISNUMBER(N12),ISNUMBER(O12),ISNUMBER(AV12)),"영업순이익+감가상각-설비투자-운전자본증감",IF(AND(ISNUMBER(P12),ISNUMBER(O12)),IF(ISNUMBER(Q12),"영업현금흐름-설비투자-주식보상비용","영업현금흐름-설비투자(주식보상비용 미태깅)"),"산출불가")))</f>
        <v/>
      </c>
      <c r="AZ12" s="19">
        <f>IF(AND(ISNUMBER(AX12),ISNUMBER(G12),G12&lt;&gt;0),AX12/G12,"")</f>
        <v/>
      </c>
      <c r="BA12" s="19">
        <f>IF(AND(ISNUMBER(AE12),ISNUMBER(G12),G12&lt;&gt;0),AE12/G12,"")</f>
        <v/>
      </c>
    </row>
    <row r="13">
      <c r="A13" s="8" t="inlineStr">
        <is>
          <t>NVDA</t>
        </is>
      </c>
      <c r="B13" s="8" t="inlineStr">
        <is>
          <t>NVIDIA CORP</t>
        </is>
      </c>
      <c r="C13" s="8" t="n">
        <v>2022</v>
      </c>
      <c r="D13" s="8" t="inlineStr">
        <is>
          <t>2023-01-29</t>
        </is>
      </c>
      <c r="E13" s="8" t="inlineStr">
        <is>
          <t>일반</t>
        </is>
      </c>
      <c r="F13" s="8" t="inlineStr">
        <is>
          <t>0001045810-25-000023</t>
        </is>
      </c>
      <c r="G13" s="15" t="n">
        <v>26.974</v>
      </c>
      <c r="H13" s="15" t="n">
        <v>4.181</v>
      </c>
      <c r="I13" s="15" t="n">
        <v>0.262</v>
      </c>
      <c r="J13" s="15" t="n">
        <v>-0.187</v>
      </c>
      <c r="K13" s="15" t="n">
        <v>4.224</v>
      </c>
      <c r="L13" s="15" t="n">
        <v>4.368</v>
      </c>
      <c r="M13" s="15" t="n">
        <v>-0.045</v>
      </c>
      <c r="N13" s="15" t="n">
        <v>0.844</v>
      </c>
      <c r="O13" s="15" t="n">
        <v>1.833</v>
      </c>
      <c r="P13" s="15" t="n">
        <v>5.641</v>
      </c>
      <c r="Q13" s="15" t="n">
        <v>2.709</v>
      </c>
      <c r="R13" s="15" t="n">
        <v>22.101</v>
      </c>
      <c r="S13" s="15" t="n">
        <v>26.612</v>
      </c>
      <c r="T13" s="15" t="n">
        <v>13.296</v>
      </c>
      <c r="U13" s="15" t="n">
        <v>21.208</v>
      </c>
      <c r="V13" s="15" t="n">
        <v>1.25</v>
      </c>
      <c r="W13" s="15" t="n">
        <v>0</v>
      </c>
      <c r="X13" s="15" t="n">
        <v>10.953</v>
      </c>
      <c r="Y13" s="15" t="n">
        <v>23.073</v>
      </c>
      <c r="Z13" s="15" t="n">
        <v>28.829</v>
      </c>
      <c r="AA13" s="15" t="n">
        <v>6.563</v>
      </c>
      <c r="AB13" s="15" t="n">
        <v>4.335</v>
      </c>
      <c r="AC13" s="15" t="n">
        <v>16.35</v>
      </c>
      <c r="AD13" s="16" t="n">
        <v>24660</v>
      </c>
      <c r="AE13" s="17">
        <f>IF(ISNUMBER(K13),K13,IF(AND(ISNUMBER(H13),ISNUMBER(I13)),H13+I13,IF(ISNUMBER(H13),H13,"")))</f>
        <v/>
      </c>
      <c r="AF13" s="18">
        <f>IF(OR(NOT(ISNUMBER(J13)),NOT(ISNUMBER(H13)),H13&lt;=0),기준표!$B$8,MIN(MAX(J13/H13,기준표!$B$6),기준표!$B$7))</f>
        <v/>
      </c>
      <c r="AG13" s="17">
        <f>IF(ISNUMBER(AE13),AE13*(1-AF13),"")</f>
        <v/>
      </c>
      <c r="AH13" s="17">
        <f>IF(AND(NOT(ISNUMBER(V13)),NOT(ISNUMBER(X13))),"",IF(ISNUMBER(V13),V13,0)+IF(ISNUMBER(X13),X13,0))</f>
        <v/>
      </c>
      <c r="AI13" s="17">
        <f>IF(E13="금융","",IF(AND(ISNUMBER(R13),ISNUMBER(AH13),ISNUMBER(T13)),R13+AH13-T13,""))</f>
        <v/>
      </c>
      <c r="AJ13" s="17">
        <f>IF(E13="금융","",IF(NOT(ISNUMBER(AI13)),"",IF(ISNUMBER(AC13),(AI13+AC13)/2,AI13)))</f>
        <v/>
      </c>
      <c r="AK13" s="19">
        <f>IF(AND(ISNUMBER(AG13),ISNUMBER(AJ13),AJ13&gt;0),AG13/AJ13,"")</f>
        <v/>
      </c>
      <c r="AL13" s="17">
        <f>IF(E13="금융","",IF(AND(ISNUMBER(R13),ISNUMBER(AH13)),R13+AH13,""))</f>
        <v/>
      </c>
      <c r="AM13" s="19">
        <f>IF(OR(NOT(ISNUMBER(AG13)),NOT(ISNUMBER(AL13)),AL13&lt;=0),"",IF(AND(ISNUMBER(G13),AL13&lt;0.1*G13),"",AG13/AL13))</f>
        <v/>
      </c>
      <c r="AN13" s="17">
        <f>IF(NOT(ISNUMBER(R13)),"",IF(ISNUMBER(S13),(R13+S13)/2,R13))</f>
        <v/>
      </c>
      <c r="AO13" s="19">
        <f>IF(AND(ISNUMBER(L13),ISNUMBER(AN13),AN13&gt;0),L13/AN13,"")</f>
        <v/>
      </c>
      <c r="AP13" s="19">
        <f>IF(AND(ISNUMBER(AO13),ISNUMBER({ROIC})),AO13-{ROIC},"")</f>
        <v/>
      </c>
      <c r="AQ13" s="17">
        <f>IF(AND(ISNUMBER(AE13),ISNUMBER(N13)),AE13+N13,"")</f>
        <v/>
      </c>
      <c r="AR13" s="20">
        <f>IF(AND(ISNUMBER(AH13),ISNUMBER(T13),ISNUMBER(AQ13),AQ13&gt;0),(AH13-T13)/AQ13,"")</f>
        <v/>
      </c>
      <c r="AS13" s="20">
        <f>IF(AND(ISNUMBER(AE13),ISNUMBER(I13),I13&lt;&gt;0,AE13&gt;0),AE13/I13,"")</f>
        <v/>
      </c>
      <c r="AT13" s="17">
        <f>IF(AND(ISNUMBER(Y13),ISNUMBER(AA13)),Y13-IF(ISNUMBER(T13),T13,0)-(AA13-IF(ISNUMBER(V13),V13,0)),"")</f>
        <v/>
      </c>
      <c r="AU13" s="17">
        <f>IF(AND(ISNUMBER(Z13),ISNUMBER(AB13)),Z13-IF(ISNUMBER(U13),U13,0)-(AB13-IF(ISNUMBER(W13),W13,0)),"")</f>
        <v/>
      </c>
      <c r="AV13" s="17">
        <f>IF(AND(ISNUMBER(AT13),ISNUMBER(AU13)),AT13-AU13,"")</f>
        <v/>
      </c>
      <c r="AW13" s="17">
        <f>IF(AND(ISNUMBER(L13),ISNUMBER(M13),ISNUMBER(AF13)),L13-M13*(1-AF13),IF(ISNUMBER(L13),L13,""))</f>
        <v/>
      </c>
      <c r="AX13" s="17">
        <f>IF(E13="금융","",IF(AND(ISNUMBER(AW13),ISNUMBER(N13),ISNUMBER(O13),ISNUMBER(AV13)),AW13+N13-O13-AV13,IF(AND(ISNUMBER(P13),ISNUMBER(O13)),P13-O13-IF(ISNUMBER(Q13),Q13,0),"")))</f>
        <v/>
      </c>
      <c r="AY13" s="8">
        <f>IF(E13="금융","금융업 - 정의되지 않음",IF(AND(ISNUMBER(AW13),ISNUMBER(N13),ISNUMBER(O13),ISNUMBER(AV13)),"영업순이익+감가상각-설비투자-운전자본증감",IF(AND(ISNUMBER(P13),ISNUMBER(O13)),IF(ISNUMBER(Q13),"영업현금흐름-설비투자-주식보상비용","영업현금흐름-설비투자(주식보상비용 미태깅)"),"산출불가")))</f>
        <v/>
      </c>
      <c r="AZ13" s="19">
        <f>IF(AND(ISNUMBER(AX13),ISNUMBER(G13),G13&lt;&gt;0),AX13/G13,"")</f>
        <v/>
      </c>
      <c r="BA13" s="19">
        <f>IF(AND(ISNUMBER(AE13),ISNUMBER(G13),G13&lt;&gt;0),AE13/G13,"")</f>
        <v/>
      </c>
    </row>
    <row r="14">
      <c r="A14" s="8" t="inlineStr">
        <is>
          <t>NVDA</t>
        </is>
      </c>
      <c r="B14" s="8" t="inlineStr">
        <is>
          <t>NVIDIA CORP</t>
        </is>
      </c>
      <c r="C14" s="8" t="n">
        <v>2023</v>
      </c>
      <c r="D14" s="8" t="inlineStr">
        <is>
          <t>2024-01-28</t>
        </is>
      </c>
      <c r="E14" s="8" t="inlineStr">
        <is>
          <t>일반</t>
        </is>
      </c>
      <c r="F14" s="8" t="inlineStr">
        <is>
          <t>0001045810-26-000021</t>
        </is>
      </c>
      <c r="G14" s="15" t="n">
        <v>60.922</v>
      </c>
      <c r="H14" s="15" t="n">
        <v>33.818</v>
      </c>
      <c r="I14" s="15" t="n">
        <v>0.257</v>
      </c>
      <c r="J14" s="15" t="n">
        <v>4.058</v>
      </c>
      <c r="K14" s="15" t="n">
        <v>32.972</v>
      </c>
      <c r="L14" s="15" t="n">
        <v>29.76</v>
      </c>
      <c r="M14" s="15" t="n">
        <v>0.238</v>
      </c>
      <c r="N14" s="15" t="n">
        <v>0.894</v>
      </c>
      <c r="O14" s="15" t="n">
        <v>1.069</v>
      </c>
      <c r="P14" s="15" t="n">
        <v>28.09</v>
      </c>
      <c r="Q14" s="15" t="n">
        <v>3.549</v>
      </c>
      <c r="R14" s="15" t="n">
        <v>42.978</v>
      </c>
      <c r="S14" s="15" t="n">
        <v>22.101</v>
      </c>
      <c r="T14" s="15" t="n">
        <v>25.984</v>
      </c>
      <c r="U14" s="15" t="n">
        <v>13.296</v>
      </c>
      <c r="V14" s="15" t="n">
        <v>1.25</v>
      </c>
      <c r="W14" s="15" t="n">
        <v>1.25</v>
      </c>
      <c r="X14" s="15" t="n">
        <v>9.709</v>
      </c>
      <c r="Y14" s="15" t="n">
        <v>44.345</v>
      </c>
      <c r="Z14" s="15" t="n">
        <v>23.073</v>
      </c>
      <c r="AA14" s="15" t="n">
        <v>10.631</v>
      </c>
      <c r="AB14" s="15" t="n">
        <v>6.563</v>
      </c>
      <c r="AC14" s="15" t="n">
        <v>21.008</v>
      </c>
      <c r="AD14" s="16" t="n">
        <v>24643</v>
      </c>
      <c r="AE14" s="17">
        <f>IF(ISNUMBER(K14),K14,IF(AND(ISNUMBER(H14),ISNUMBER(I14)),H14+I14,IF(ISNUMBER(H14),H14,"")))</f>
        <v/>
      </c>
      <c r="AF14" s="18">
        <f>IF(OR(NOT(ISNUMBER(J14)),NOT(ISNUMBER(H14)),H14&lt;=0),기준표!$B$8,MIN(MAX(J14/H14,기준표!$B$6),기준표!$B$7))</f>
        <v/>
      </c>
      <c r="AG14" s="17">
        <f>IF(ISNUMBER(AE14),AE14*(1-AF14),"")</f>
        <v/>
      </c>
      <c r="AH14" s="17">
        <f>IF(AND(NOT(ISNUMBER(V14)),NOT(ISNUMBER(X14))),"",IF(ISNUMBER(V14),V14,0)+IF(ISNUMBER(X14),X14,0))</f>
        <v/>
      </c>
      <c r="AI14" s="17">
        <f>IF(E14="금융","",IF(AND(ISNUMBER(R14),ISNUMBER(AH14),ISNUMBER(T14)),R14+AH14-T14,""))</f>
        <v/>
      </c>
      <c r="AJ14" s="17">
        <f>IF(E14="금융","",IF(NOT(ISNUMBER(AI14)),"",IF(ISNUMBER(AC14),(AI14+AC14)/2,AI14)))</f>
        <v/>
      </c>
      <c r="AK14" s="19">
        <f>IF(AND(ISNUMBER(AG14),ISNUMBER(AJ14),AJ14&gt;0),AG14/AJ14,"")</f>
        <v/>
      </c>
      <c r="AL14" s="17">
        <f>IF(E14="금융","",IF(AND(ISNUMBER(R14),ISNUMBER(AH14)),R14+AH14,""))</f>
        <v/>
      </c>
      <c r="AM14" s="19">
        <f>IF(OR(NOT(ISNUMBER(AG14)),NOT(ISNUMBER(AL14)),AL14&lt;=0),"",IF(AND(ISNUMBER(G14),AL14&lt;0.1*G14),"",AG14/AL14))</f>
        <v/>
      </c>
      <c r="AN14" s="17">
        <f>IF(NOT(ISNUMBER(R14)),"",IF(ISNUMBER(S14),(R14+S14)/2,R14))</f>
        <v/>
      </c>
      <c r="AO14" s="19">
        <f>IF(AND(ISNUMBER(L14),ISNUMBER(AN14),AN14&gt;0),L14/AN14,"")</f>
        <v/>
      </c>
      <c r="AP14" s="19">
        <f>IF(AND(ISNUMBER(AO14),ISNUMBER({ROIC})),AO14-{ROIC},"")</f>
        <v/>
      </c>
      <c r="AQ14" s="17">
        <f>IF(AND(ISNUMBER(AE14),ISNUMBER(N14)),AE14+N14,"")</f>
        <v/>
      </c>
      <c r="AR14" s="20">
        <f>IF(AND(ISNUMBER(AH14),ISNUMBER(T14),ISNUMBER(AQ14),AQ14&gt;0),(AH14-T14)/AQ14,"")</f>
        <v/>
      </c>
      <c r="AS14" s="20">
        <f>IF(AND(ISNUMBER(AE14),ISNUMBER(I14),I14&lt;&gt;0,AE14&gt;0),AE14/I14,"")</f>
        <v/>
      </c>
      <c r="AT14" s="17">
        <f>IF(AND(ISNUMBER(Y14),ISNUMBER(AA14)),Y14-IF(ISNUMBER(T14),T14,0)-(AA14-IF(ISNUMBER(V14),V14,0)),"")</f>
        <v/>
      </c>
      <c r="AU14" s="17">
        <f>IF(AND(ISNUMBER(Z14),ISNUMBER(AB14)),Z14-IF(ISNUMBER(U14),U14,0)-(AB14-IF(ISNUMBER(W14),W14,0)),"")</f>
        <v/>
      </c>
      <c r="AV14" s="17">
        <f>IF(AND(ISNUMBER(AT14),ISNUMBER(AU14)),AT14-AU14,"")</f>
        <v/>
      </c>
      <c r="AW14" s="17">
        <f>IF(AND(ISNUMBER(L14),ISNUMBER(M14),ISNUMBER(AF14)),L14-M14*(1-AF14),IF(ISNUMBER(L14),L14,""))</f>
        <v/>
      </c>
      <c r="AX14" s="17">
        <f>IF(E14="금융","",IF(AND(ISNUMBER(AW14),ISNUMBER(N14),ISNUMBER(O14),ISNUMBER(AV14)),AW14+N14-O14-AV14,IF(AND(ISNUMBER(P14),ISNUMBER(O14)),P14-O14-IF(ISNUMBER(Q14),Q14,0),"")))</f>
        <v/>
      </c>
      <c r="AY14" s="8">
        <f>IF(E14="금융","금융업 - 정의되지 않음",IF(AND(ISNUMBER(AW14),ISNUMBER(N14),ISNUMBER(O14),ISNUMBER(AV14)),"영업순이익+감가상각-설비투자-운전자본증감",IF(AND(ISNUMBER(P14),ISNUMBER(O14)),IF(ISNUMBER(Q14),"영업현금흐름-설비투자-주식보상비용","영업현금흐름-설비투자(주식보상비용 미태깅)"),"산출불가")))</f>
        <v/>
      </c>
      <c r="AZ14" s="19">
        <f>IF(AND(ISNUMBER(AX14),ISNUMBER(G14),G14&lt;&gt;0),AX14/G14,"")</f>
        <v/>
      </c>
      <c r="BA14" s="19">
        <f>IF(AND(ISNUMBER(AE14),ISNUMBER(G14),G14&lt;&gt;0),AE14/G14,"")</f>
        <v/>
      </c>
    </row>
    <row r="15">
      <c r="A15" s="8" t="inlineStr">
        <is>
          <t>NVDA</t>
        </is>
      </c>
      <c r="B15" s="8" t="inlineStr">
        <is>
          <t>NVIDIA CORP</t>
        </is>
      </c>
      <c r="C15" s="8" t="n">
        <v>2024</v>
      </c>
      <c r="D15" s="8" t="inlineStr">
        <is>
          <t>2025-01-26</t>
        </is>
      </c>
      <c r="E15" s="8" t="inlineStr">
        <is>
          <t>일반</t>
        </is>
      </c>
      <c r="F15" s="8" t="inlineStr">
        <is>
          <t>0001045810-26-000021</t>
        </is>
      </c>
      <c r="G15" s="15" t="n">
        <v>130.497</v>
      </c>
      <c r="H15" s="15" t="n">
        <v>84.026</v>
      </c>
      <c r="I15" s="15" t="n">
        <v>0.247</v>
      </c>
      <c r="J15" s="15" t="n">
        <v>11.146</v>
      </c>
      <c r="K15" s="15" t="n">
        <v>81.453</v>
      </c>
      <c r="L15" s="15" t="n">
        <v>72.88</v>
      </c>
      <c r="M15" s="15" t="n">
        <v>1.03</v>
      </c>
      <c r="N15" s="15" t="n">
        <v>1.3</v>
      </c>
      <c r="O15" s="15" t="n">
        <v>3.236</v>
      </c>
      <c r="P15" s="15" t="n">
        <v>64.089</v>
      </c>
      <c r="Q15" s="15" t="n">
        <v>4.737</v>
      </c>
      <c r="R15" s="15" t="n">
        <v>79.327</v>
      </c>
      <c r="S15" s="15" t="n">
        <v>42.978</v>
      </c>
      <c r="T15" s="15" t="n">
        <v>43.21</v>
      </c>
      <c r="U15" s="15" t="n">
        <v>25.984</v>
      </c>
      <c r="V15" s="15" t="n">
        <v>0</v>
      </c>
      <c r="W15" s="15" t="n">
        <v>1.25</v>
      </c>
      <c r="X15" s="15" t="n">
        <v>8.462999999999999</v>
      </c>
      <c r="Y15" s="15" t="n">
        <v>80.126</v>
      </c>
      <c r="Z15" s="15" t="n">
        <v>44.345</v>
      </c>
      <c r="AA15" s="15" t="n">
        <v>18.047</v>
      </c>
      <c r="AB15" s="15" t="n">
        <v>10.631</v>
      </c>
      <c r="AC15" s="15" t="n">
        <v>27.953</v>
      </c>
      <c r="AD15" s="16" t="n">
        <v>24477</v>
      </c>
      <c r="AE15" s="17">
        <f>IF(ISNUMBER(K15),K15,IF(AND(ISNUMBER(H15),ISNUMBER(I15)),H15+I15,IF(ISNUMBER(H15),H15,"")))</f>
        <v/>
      </c>
      <c r="AF15" s="18">
        <f>IF(OR(NOT(ISNUMBER(J15)),NOT(ISNUMBER(H15)),H15&lt;=0),기준표!$B$8,MIN(MAX(J15/H15,기준표!$B$6),기준표!$B$7))</f>
        <v/>
      </c>
      <c r="AG15" s="17">
        <f>IF(ISNUMBER(AE15),AE15*(1-AF15),"")</f>
        <v/>
      </c>
      <c r="AH15" s="17">
        <f>IF(AND(NOT(ISNUMBER(V15)),NOT(ISNUMBER(X15))),"",IF(ISNUMBER(V15),V15,0)+IF(ISNUMBER(X15),X15,0))</f>
        <v/>
      </c>
      <c r="AI15" s="17">
        <f>IF(E15="금융","",IF(AND(ISNUMBER(R15),ISNUMBER(AH15),ISNUMBER(T15)),R15+AH15-T15,""))</f>
        <v/>
      </c>
      <c r="AJ15" s="17">
        <f>IF(E15="금융","",IF(NOT(ISNUMBER(AI15)),"",IF(ISNUMBER(AC15),(AI15+AC15)/2,AI15)))</f>
        <v/>
      </c>
      <c r="AK15" s="19">
        <f>IF(AND(ISNUMBER(AG15),ISNUMBER(AJ15),AJ15&gt;0),AG15/AJ15,"")</f>
        <v/>
      </c>
      <c r="AL15" s="17">
        <f>IF(E15="금융","",IF(AND(ISNUMBER(R15),ISNUMBER(AH15)),R15+AH15,""))</f>
        <v/>
      </c>
      <c r="AM15" s="19">
        <f>IF(OR(NOT(ISNUMBER(AG15)),NOT(ISNUMBER(AL15)),AL15&lt;=0),"",IF(AND(ISNUMBER(G15),AL15&lt;0.1*G15),"",AG15/AL15))</f>
        <v/>
      </c>
      <c r="AN15" s="17">
        <f>IF(NOT(ISNUMBER(R15)),"",IF(ISNUMBER(S15),(R15+S15)/2,R15))</f>
        <v/>
      </c>
      <c r="AO15" s="19">
        <f>IF(AND(ISNUMBER(L15),ISNUMBER(AN15),AN15&gt;0),L15/AN15,"")</f>
        <v/>
      </c>
      <c r="AP15" s="19">
        <f>IF(AND(ISNUMBER(AO15),ISNUMBER({ROIC})),AO15-{ROIC},"")</f>
        <v/>
      </c>
      <c r="AQ15" s="17">
        <f>IF(AND(ISNUMBER(AE15),ISNUMBER(N15)),AE15+N15,"")</f>
        <v/>
      </c>
      <c r="AR15" s="20">
        <f>IF(AND(ISNUMBER(AH15),ISNUMBER(T15),ISNUMBER(AQ15),AQ15&gt;0),(AH15-T15)/AQ15,"")</f>
        <v/>
      </c>
      <c r="AS15" s="20">
        <f>IF(AND(ISNUMBER(AE15),ISNUMBER(I15),I15&lt;&gt;0,AE15&gt;0),AE15/I15,"")</f>
        <v/>
      </c>
      <c r="AT15" s="17">
        <f>IF(AND(ISNUMBER(Y15),ISNUMBER(AA15)),Y15-IF(ISNUMBER(T15),T15,0)-(AA15-IF(ISNUMBER(V15),V15,0)),"")</f>
        <v/>
      </c>
      <c r="AU15" s="17">
        <f>IF(AND(ISNUMBER(Z15),ISNUMBER(AB15)),Z15-IF(ISNUMBER(U15),U15,0)-(AB15-IF(ISNUMBER(W15),W15,0)),"")</f>
        <v/>
      </c>
      <c r="AV15" s="17">
        <f>IF(AND(ISNUMBER(AT15),ISNUMBER(AU15)),AT15-AU15,"")</f>
        <v/>
      </c>
      <c r="AW15" s="17">
        <f>IF(AND(ISNUMBER(L15),ISNUMBER(M15),ISNUMBER(AF15)),L15-M15*(1-AF15),IF(ISNUMBER(L15),L15,""))</f>
        <v/>
      </c>
      <c r="AX15" s="17">
        <f>IF(E15="금융","",IF(AND(ISNUMBER(AW15),ISNUMBER(N15),ISNUMBER(O15),ISNUMBER(AV15)),AW15+N15-O15-AV15,IF(AND(ISNUMBER(P15),ISNUMBER(O15)),P15-O15-IF(ISNUMBER(Q15),Q15,0),"")))</f>
        <v/>
      </c>
      <c r="AY15" s="8">
        <f>IF(E15="금융","금융업 - 정의되지 않음",IF(AND(ISNUMBER(AW15),ISNUMBER(N15),ISNUMBER(O15),ISNUMBER(AV15)),"영업순이익+감가상각-설비투자-운전자본증감",IF(AND(ISNUMBER(P15),ISNUMBER(O15)),IF(ISNUMBER(Q15),"영업현금흐름-설비투자-주식보상비용","영업현금흐름-설비투자(주식보상비용 미태깅)"),"산출불가")))</f>
        <v/>
      </c>
      <c r="AZ15" s="19">
        <f>IF(AND(ISNUMBER(AX15),ISNUMBER(G15),G15&lt;&gt;0),AX15/G15,"")</f>
        <v/>
      </c>
      <c r="BA15" s="19">
        <f>IF(AND(ISNUMBER(AE15),ISNUMBER(G15),G15&lt;&gt;0),AE15/G15,"")</f>
        <v/>
      </c>
    </row>
    <row r="16">
      <c r="A16" s="8" t="inlineStr">
        <is>
          <t>NVDA</t>
        </is>
      </c>
      <c r="B16" s="8" t="inlineStr">
        <is>
          <t>NVIDIA CORP</t>
        </is>
      </c>
      <c r="C16" s="8" t="n">
        <v>2025</v>
      </c>
      <c r="D16" s="8" t="inlineStr">
        <is>
          <t>2026-01-25</t>
        </is>
      </c>
      <c r="E16" s="8" t="inlineStr">
        <is>
          <t>일반</t>
        </is>
      </c>
      <c r="F16" s="8" t="inlineStr">
        <is>
          <t>0001045810-26-000021</t>
        </is>
      </c>
      <c r="G16" s="15" t="n">
        <v>215.938</v>
      </c>
      <c r="H16" s="15" t="n">
        <v>141.45</v>
      </c>
      <c r="I16" s="15" t="n">
        <v>0.259</v>
      </c>
      <c r="J16" s="15" t="n">
        <v>21.383</v>
      </c>
      <c r="K16" s="15" t="n">
        <v>130.387</v>
      </c>
      <c r="L16" s="15" t="n">
        <v>120.067</v>
      </c>
      <c r="M16" s="15" t="n">
        <v>8.917999999999999</v>
      </c>
      <c r="N16" s="15" t="n">
        <v>2.4</v>
      </c>
      <c r="O16" s="15" t="n">
        <v>6.042</v>
      </c>
      <c r="P16" s="15" t="n">
        <v>102.718</v>
      </c>
      <c r="Q16" s="15" t="n">
        <v>6.386</v>
      </c>
      <c r="R16" s="15" t="n">
        <v>157.293</v>
      </c>
      <c r="S16" s="15" t="n">
        <v>79.327</v>
      </c>
      <c r="T16" s="15" t="n">
        <v>10.605</v>
      </c>
      <c r="U16" s="15" t="n">
        <v>43.21</v>
      </c>
      <c r="V16" s="15" t="n">
        <v>0.999</v>
      </c>
      <c r="W16" s="15" t="n">
        <v>0</v>
      </c>
      <c r="X16" s="15" t="n">
        <v>8.468</v>
      </c>
      <c r="Y16" s="15" t="n">
        <v>125.605</v>
      </c>
      <c r="Z16" s="15" t="n">
        <v>80.126</v>
      </c>
      <c r="AA16" s="15" t="n">
        <v>32.163</v>
      </c>
      <c r="AB16" s="15" t="n">
        <v>18.047</v>
      </c>
      <c r="AC16" s="15" t="n">
        <v>44.58</v>
      </c>
      <c r="AD16" s="16" t="n">
        <v>24304</v>
      </c>
      <c r="AE16" s="17">
        <f>IF(ISNUMBER(K16),K16,IF(AND(ISNUMBER(H16),ISNUMBER(I16)),H16+I16,IF(ISNUMBER(H16),H16,"")))</f>
        <v/>
      </c>
      <c r="AF16" s="18">
        <f>IF(OR(NOT(ISNUMBER(J16)),NOT(ISNUMBER(H16)),H16&lt;=0),기준표!$B$8,MIN(MAX(J16/H16,기준표!$B$6),기준표!$B$7))</f>
        <v/>
      </c>
      <c r="AG16" s="17">
        <f>IF(ISNUMBER(AE16),AE16*(1-AF16),"")</f>
        <v/>
      </c>
      <c r="AH16" s="17">
        <f>IF(AND(NOT(ISNUMBER(V16)),NOT(ISNUMBER(X16))),"",IF(ISNUMBER(V16),V16,0)+IF(ISNUMBER(X16),X16,0))</f>
        <v/>
      </c>
      <c r="AI16" s="17">
        <f>IF(E16="금융","",IF(AND(ISNUMBER(R16),ISNUMBER(AH16),ISNUMBER(T16)),R16+AH16-T16,""))</f>
        <v/>
      </c>
      <c r="AJ16" s="17">
        <f>IF(E16="금융","",IF(NOT(ISNUMBER(AI16)),"",IF(ISNUMBER(AC16),(AI16+AC16)/2,AI16)))</f>
        <v/>
      </c>
      <c r="AK16" s="19">
        <f>IF(AND(ISNUMBER(AG16),ISNUMBER(AJ16),AJ16&gt;0),AG16/AJ16,"")</f>
        <v/>
      </c>
      <c r="AL16" s="17">
        <f>IF(E16="금융","",IF(AND(ISNUMBER(R16),ISNUMBER(AH16)),R16+AH16,""))</f>
        <v/>
      </c>
      <c r="AM16" s="19">
        <f>IF(OR(NOT(ISNUMBER(AG16)),NOT(ISNUMBER(AL16)),AL16&lt;=0),"",IF(AND(ISNUMBER(G16),AL16&lt;0.1*G16),"",AG16/AL16))</f>
        <v/>
      </c>
      <c r="AN16" s="17">
        <f>IF(NOT(ISNUMBER(R16)),"",IF(ISNUMBER(S16),(R16+S16)/2,R16))</f>
        <v/>
      </c>
      <c r="AO16" s="19">
        <f>IF(AND(ISNUMBER(L16),ISNUMBER(AN16),AN16&gt;0),L16/AN16,"")</f>
        <v/>
      </c>
      <c r="AP16" s="19">
        <f>IF(AND(ISNUMBER(AO16),ISNUMBER({ROIC})),AO16-{ROIC},"")</f>
        <v/>
      </c>
      <c r="AQ16" s="17">
        <f>IF(AND(ISNUMBER(AE16),ISNUMBER(N16)),AE16+N16,"")</f>
        <v/>
      </c>
      <c r="AR16" s="20">
        <f>IF(AND(ISNUMBER(AH16),ISNUMBER(T16),ISNUMBER(AQ16),AQ16&gt;0),(AH16-T16)/AQ16,"")</f>
        <v/>
      </c>
      <c r="AS16" s="20">
        <f>IF(AND(ISNUMBER(AE16),ISNUMBER(I16),I16&lt;&gt;0,AE16&gt;0),AE16/I16,"")</f>
        <v/>
      </c>
      <c r="AT16" s="17">
        <f>IF(AND(ISNUMBER(Y16),ISNUMBER(AA16)),Y16-IF(ISNUMBER(T16),T16,0)-(AA16-IF(ISNUMBER(V16),V16,0)),"")</f>
        <v/>
      </c>
      <c r="AU16" s="17">
        <f>IF(AND(ISNUMBER(Z16),ISNUMBER(AB16)),Z16-IF(ISNUMBER(U16),U16,0)-(AB16-IF(ISNUMBER(W16),W16,0)),"")</f>
        <v/>
      </c>
      <c r="AV16" s="17">
        <f>IF(AND(ISNUMBER(AT16),ISNUMBER(AU16)),AT16-AU16,"")</f>
        <v/>
      </c>
      <c r="AW16" s="17">
        <f>IF(AND(ISNUMBER(L16),ISNUMBER(M16),ISNUMBER(AF16)),L16-M16*(1-AF16),IF(ISNUMBER(L16),L16,""))</f>
        <v/>
      </c>
      <c r="AX16" s="17">
        <f>IF(E16="금융","",IF(AND(ISNUMBER(AW16),ISNUMBER(N16),ISNUMBER(O16),ISNUMBER(AV16)),AW16+N16-O16-AV16,IF(AND(ISNUMBER(P16),ISNUMBER(O16)),P16-O16-IF(ISNUMBER(Q16),Q16,0),"")))</f>
        <v/>
      </c>
      <c r="AY16" s="8">
        <f>IF(E16="금융","금융업 - 정의되지 않음",IF(AND(ISNUMBER(AW16),ISNUMBER(N16),ISNUMBER(O16),ISNUMBER(AV16)),"영업순이익+감가상각-설비투자-운전자본증감",IF(AND(ISNUMBER(P16),ISNUMBER(O16)),IF(ISNUMBER(Q16),"영업현금흐름-설비투자-주식보상비용","영업현금흐름-설비투자(주식보상비용 미태깅)"),"산출불가")))</f>
        <v/>
      </c>
      <c r="AZ16" s="19">
        <f>IF(AND(ISNUMBER(AX16),ISNUMBER(G16),G16&lt;&gt;0),AX16/G16,"")</f>
        <v/>
      </c>
      <c r="BA16" s="19">
        <f>IF(AND(ISNUMBER(AE16),ISNUMBER(G16),G16&lt;&gt;0),AE16/G16,"")</f>
        <v/>
      </c>
    </row>
    <row r="17">
      <c r="A17" s="8" t="inlineStr">
        <is>
          <t>AAPL</t>
        </is>
      </c>
      <c r="B17" s="8" t="inlineStr">
        <is>
          <t>Apple Inc.</t>
        </is>
      </c>
      <c r="C17" s="8" t="n">
        <v>2014</v>
      </c>
      <c r="D17" s="8" t="inlineStr">
        <is>
          <t>2014-09-27</t>
        </is>
      </c>
      <c r="E17" s="8" t="inlineStr">
        <is>
          <t>일반</t>
        </is>
      </c>
      <c r="F17" s="8" t="inlineStr">
        <is>
          <t>0001628280-16-020309</t>
        </is>
      </c>
      <c r="G17" s="15" t="n"/>
      <c r="H17" s="15" t="n">
        <v>53.483</v>
      </c>
      <c r="I17" s="15" t="n">
        <v>0.384</v>
      </c>
      <c r="J17" s="15" t="n">
        <v>13.973</v>
      </c>
      <c r="K17" s="15" t="n">
        <v>52.503</v>
      </c>
      <c r="L17" s="15" t="n">
        <v>39.51</v>
      </c>
      <c r="M17" s="15" t="n"/>
      <c r="N17" s="15" t="n"/>
      <c r="O17" s="15" t="n">
        <v>9.571</v>
      </c>
      <c r="P17" s="15" t="n"/>
      <c r="Q17" s="15" t="n">
        <v>2.863</v>
      </c>
      <c r="R17" s="15" t="n">
        <v>111.547</v>
      </c>
      <c r="S17" s="15" t="n"/>
      <c r="T17" s="15" t="n">
        <v>13.844</v>
      </c>
      <c r="U17" s="15" t="n"/>
      <c r="V17" s="15" t="n">
        <v>0</v>
      </c>
      <c r="W17" s="15" t="n"/>
      <c r="X17" s="15" t="n">
        <v>28.987</v>
      </c>
      <c r="Y17" s="15" t="n">
        <v>68.53100000000001</v>
      </c>
      <c r="Z17" s="15" t="n"/>
      <c r="AA17" s="15" t="n">
        <v>63.448</v>
      </c>
      <c r="AB17" s="15" t="n"/>
      <c r="AC17" s="15" t="n"/>
      <c r="AD17" s="16" t="n">
        <v>23464.644</v>
      </c>
      <c r="AE17" s="17">
        <f>IF(ISNUMBER(K17),K17,IF(AND(ISNUMBER(H17),ISNUMBER(I17)),H17+I17,IF(ISNUMBER(H17),H17,"")))</f>
        <v/>
      </c>
      <c r="AF17" s="18">
        <f>IF(OR(NOT(ISNUMBER(J17)),NOT(ISNUMBER(H17)),H17&lt;=0),기준표!$B$8,MIN(MAX(J17/H17,기준표!$B$6),기준표!$B$7))</f>
        <v/>
      </c>
      <c r="AG17" s="17">
        <f>IF(ISNUMBER(AE17),AE17*(1-AF17),"")</f>
        <v/>
      </c>
      <c r="AH17" s="17">
        <f>IF(AND(NOT(ISNUMBER(V17)),NOT(ISNUMBER(X17))),"",IF(ISNUMBER(V17),V17,0)+IF(ISNUMBER(X17),X17,0))</f>
        <v/>
      </c>
      <c r="AI17" s="17">
        <f>IF(E17="금융","",IF(AND(ISNUMBER(R17),ISNUMBER(AH17),ISNUMBER(T17)),R17+AH17-T17,""))</f>
        <v/>
      </c>
      <c r="AJ17" s="17">
        <f>IF(E17="금융","",IF(NOT(ISNUMBER(AI17)),"",IF(ISNUMBER(AC17),(AI17+AC17)/2,AI17)))</f>
        <v/>
      </c>
      <c r="AK17" s="19">
        <f>IF(AND(ISNUMBER(AG17),ISNUMBER(AJ17),AJ17&gt;0),AG17/AJ17,"")</f>
        <v/>
      </c>
      <c r="AL17" s="17">
        <f>IF(E17="금융","",IF(AND(ISNUMBER(R17),ISNUMBER(AH17)),R17+AH17,""))</f>
        <v/>
      </c>
      <c r="AM17" s="19">
        <f>IF(OR(NOT(ISNUMBER(AG17)),NOT(ISNUMBER(AL17)),AL17&lt;=0),"",IF(AND(ISNUMBER(G17),AL17&lt;0.1*G17),"",AG17/AL17))</f>
        <v/>
      </c>
      <c r="AN17" s="17">
        <f>IF(NOT(ISNUMBER(R17)),"",IF(ISNUMBER(S17),(R17+S17)/2,R17))</f>
        <v/>
      </c>
      <c r="AO17" s="19">
        <f>IF(AND(ISNUMBER(L17),ISNUMBER(AN17),AN17&gt;0),L17/AN17,"")</f>
        <v/>
      </c>
      <c r="AP17" s="19">
        <f>IF(AND(ISNUMBER(AO17),ISNUMBER({ROIC})),AO17-{ROIC},"")</f>
        <v/>
      </c>
      <c r="AQ17" s="17">
        <f>IF(AND(ISNUMBER(AE17),ISNUMBER(N17)),AE17+N17,"")</f>
        <v/>
      </c>
      <c r="AR17" s="20">
        <f>IF(AND(ISNUMBER(AH17),ISNUMBER(T17),ISNUMBER(AQ17),AQ17&gt;0),(AH17-T17)/AQ17,"")</f>
        <v/>
      </c>
      <c r="AS17" s="20">
        <f>IF(AND(ISNUMBER(AE17),ISNUMBER(I17),I17&lt;&gt;0,AE17&gt;0),AE17/I17,"")</f>
        <v/>
      </c>
      <c r="AT17" s="17">
        <f>IF(AND(ISNUMBER(Y17),ISNUMBER(AA17)),Y17-IF(ISNUMBER(T17),T17,0)-(AA17-IF(ISNUMBER(V17),V17,0)),"")</f>
        <v/>
      </c>
      <c r="AU17" s="17">
        <f>IF(AND(ISNUMBER(Z17),ISNUMBER(AB17)),Z17-IF(ISNUMBER(U17),U17,0)-(AB17-IF(ISNUMBER(W17),W17,0)),"")</f>
        <v/>
      </c>
      <c r="AV17" s="17">
        <f>IF(AND(ISNUMBER(AT17),ISNUMBER(AU17)),AT17-AU17,"")</f>
        <v/>
      </c>
      <c r="AW17" s="17">
        <f>IF(AND(ISNUMBER(L17),ISNUMBER(M17),ISNUMBER(AF17)),L17-M17*(1-AF17),IF(ISNUMBER(L17),L17,""))</f>
        <v/>
      </c>
      <c r="AX17" s="17">
        <f>IF(E17="금융","",IF(AND(ISNUMBER(AW17),ISNUMBER(N17),ISNUMBER(O17),ISNUMBER(AV17)),AW17+N17-O17-AV17,IF(AND(ISNUMBER(P17),ISNUMBER(O17)),P17-O17-IF(ISNUMBER(Q17),Q17,0),"")))</f>
        <v/>
      </c>
      <c r="AY17" s="8">
        <f>IF(E17="금융","금융업 - 정의되지 않음",IF(AND(ISNUMBER(AW17),ISNUMBER(N17),ISNUMBER(O17),ISNUMBER(AV17)),"영업순이익+감가상각-설비투자-운전자본증감",IF(AND(ISNUMBER(P17),ISNUMBER(O17)),IF(ISNUMBER(Q17),"영업현금흐름-설비투자-주식보상비용","영업현금흐름-설비투자(주식보상비용 미태깅)"),"산출불가")))</f>
        <v/>
      </c>
      <c r="AZ17" s="19">
        <f>IF(AND(ISNUMBER(AX17),ISNUMBER(G17),G17&lt;&gt;0),AX17/G17,"")</f>
        <v/>
      </c>
      <c r="BA17" s="19">
        <f>IF(AND(ISNUMBER(AE17),ISNUMBER(G17),G17&lt;&gt;0),AE17/G17,"")</f>
        <v/>
      </c>
    </row>
    <row r="18">
      <c r="A18" s="8" t="inlineStr">
        <is>
          <t>AAPL</t>
        </is>
      </c>
      <c r="B18" s="8" t="inlineStr">
        <is>
          <t>Apple Inc.</t>
        </is>
      </c>
      <c r="C18" s="8" t="n">
        <v>2015</v>
      </c>
      <c r="D18" s="8" t="inlineStr">
        <is>
          <t>2015-09-26</t>
        </is>
      </c>
      <c r="E18" s="8" t="inlineStr">
        <is>
          <t>일반</t>
        </is>
      </c>
      <c r="F18" s="8" t="inlineStr">
        <is>
          <t>0000320193-17-000070</t>
        </is>
      </c>
      <c r="G18" s="15" t="n"/>
      <c r="H18" s="15" t="n">
        <v>72.515</v>
      </c>
      <c r="I18" s="15" t="n">
        <v>0.733</v>
      </c>
      <c r="J18" s="15" t="n">
        <v>19.121</v>
      </c>
      <c r="K18" s="15" t="n">
        <v>71.23</v>
      </c>
      <c r="L18" s="15" t="n">
        <v>53.394</v>
      </c>
      <c r="M18" s="15" t="n"/>
      <c r="N18" s="15" t="n">
        <v>9.199999999999999</v>
      </c>
      <c r="O18" s="15" t="n">
        <v>11.247</v>
      </c>
      <c r="P18" s="15" t="n">
        <v>81.26600000000001</v>
      </c>
      <c r="Q18" s="15" t="n">
        <v>3.586</v>
      </c>
      <c r="R18" s="15" t="n">
        <v>119.355</v>
      </c>
      <c r="S18" s="15" t="n">
        <v>111.547</v>
      </c>
      <c r="T18" s="15" t="n">
        <v>21.12</v>
      </c>
      <c r="U18" s="15" t="n">
        <v>13.844</v>
      </c>
      <c r="V18" s="15" t="n">
        <v>2.5</v>
      </c>
      <c r="W18" s="15" t="n">
        <v>0</v>
      </c>
      <c r="X18" s="15" t="n">
        <v>53.329</v>
      </c>
      <c r="Y18" s="15" t="n">
        <v>89.378</v>
      </c>
      <c r="Z18" s="15" t="n">
        <v>68.53100000000001</v>
      </c>
      <c r="AA18" s="15" t="n">
        <v>80.61</v>
      </c>
      <c r="AB18" s="15" t="n">
        <v>63.448</v>
      </c>
      <c r="AC18" s="15" t="n">
        <v>126.69</v>
      </c>
      <c r="AD18" s="16" t="n">
        <v>22315.012</v>
      </c>
      <c r="AE18" s="17">
        <f>IF(ISNUMBER(K18),K18,IF(AND(ISNUMBER(H18),ISNUMBER(I18)),H18+I18,IF(ISNUMBER(H18),H18,"")))</f>
        <v/>
      </c>
      <c r="AF18" s="18">
        <f>IF(OR(NOT(ISNUMBER(J18)),NOT(ISNUMBER(H18)),H18&lt;=0),기준표!$B$8,MIN(MAX(J18/H18,기준표!$B$6),기준표!$B$7))</f>
        <v/>
      </c>
      <c r="AG18" s="17">
        <f>IF(ISNUMBER(AE18),AE18*(1-AF18),"")</f>
        <v/>
      </c>
      <c r="AH18" s="17">
        <f>IF(AND(NOT(ISNUMBER(V18)),NOT(ISNUMBER(X18))),"",IF(ISNUMBER(V18),V18,0)+IF(ISNUMBER(X18),X18,0))</f>
        <v/>
      </c>
      <c r="AI18" s="17">
        <f>IF(E18="금융","",IF(AND(ISNUMBER(R18),ISNUMBER(AH18),ISNUMBER(T18)),R18+AH18-T18,""))</f>
        <v/>
      </c>
      <c r="AJ18" s="17">
        <f>IF(E18="금융","",IF(NOT(ISNUMBER(AI18)),"",IF(ISNUMBER(AC18),(AI18+AC18)/2,AI18)))</f>
        <v/>
      </c>
      <c r="AK18" s="19">
        <f>IF(AND(ISNUMBER(AG18),ISNUMBER(AJ18),AJ18&gt;0),AG18/AJ18,"")</f>
        <v/>
      </c>
      <c r="AL18" s="17">
        <f>IF(E18="금융","",IF(AND(ISNUMBER(R18),ISNUMBER(AH18)),R18+AH18,""))</f>
        <v/>
      </c>
      <c r="AM18" s="19">
        <f>IF(OR(NOT(ISNUMBER(AG18)),NOT(ISNUMBER(AL18)),AL18&lt;=0),"",IF(AND(ISNUMBER(G18),AL18&lt;0.1*G18),"",AG18/AL18))</f>
        <v/>
      </c>
      <c r="AN18" s="17">
        <f>IF(NOT(ISNUMBER(R18)),"",IF(ISNUMBER(S18),(R18+S18)/2,R18))</f>
        <v/>
      </c>
      <c r="AO18" s="19">
        <f>IF(AND(ISNUMBER(L18),ISNUMBER(AN18),AN18&gt;0),L18/AN18,"")</f>
        <v/>
      </c>
      <c r="AP18" s="19">
        <f>IF(AND(ISNUMBER(AO18),ISNUMBER({ROIC})),AO18-{ROIC},"")</f>
        <v/>
      </c>
      <c r="AQ18" s="17">
        <f>IF(AND(ISNUMBER(AE18),ISNUMBER(N18)),AE18+N18,"")</f>
        <v/>
      </c>
      <c r="AR18" s="20">
        <f>IF(AND(ISNUMBER(AH18),ISNUMBER(T18),ISNUMBER(AQ18),AQ18&gt;0),(AH18-T18)/AQ18,"")</f>
        <v/>
      </c>
      <c r="AS18" s="20">
        <f>IF(AND(ISNUMBER(AE18),ISNUMBER(I18),I18&lt;&gt;0,AE18&gt;0),AE18/I18,"")</f>
        <v/>
      </c>
      <c r="AT18" s="17">
        <f>IF(AND(ISNUMBER(Y18),ISNUMBER(AA18)),Y18-IF(ISNUMBER(T18),T18,0)-(AA18-IF(ISNUMBER(V18),V18,0)),"")</f>
        <v/>
      </c>
      <c r="AU18" s="17">
        <f>IF(AND(ISNUMBER(Z18),ISNUMBER(AB18)),Z18-IF(ISNUMBER(U18),U18,0)-(AB18-IF(ISNUMBER(W18),W18,0)),"")</f>
        <v/>
      </c>
      <c r="AV18" s="17">
        <f>IF(AND(ISNUMBER(AT18),ISNUMBER(AU18)),AT18-AU18,"")</f>
        <v/>
      </c>
      <c r="AW18" s="17">
        <f>IF(AND(ISNUMBER(L18),ISNUMBER(M18),ISNUMBER(AF18)),L18-M18*(1-AF18),IF(ISNUMBER(L18),L18,""))</f>
        <v/>
      </c>
      <c r="AX18" s="17">
        <f>IF(E18="금융","",IF(AND(ISNUMBER(AW18),ISNUMBER(N18),ISNUMBER(O18),ISNUMBER(AV18)),AW18+N18-O18-AV18,IF(AND(ISNUMBER(P18),ISNUMBER(O18)),P18-O18-IF(ISNUMBER(Q18),Q18,0),"")))</f>
        <v/>
      </c>
      <c r="AY18" s="8">
        <f>IF(E18="금융","금융업 - 정의되지 않음",IF(AND(ISNUMBER(AW18),ISNUMBER(N18),ISNUMBER(O18),ISNUMBER(AV18)),"영업순이익+감가상각-설비투자-운전자본증감",IF(AND(ISNUMBER(P18),ISNUMBER(O18)),IF(ISNUMBER(Q18),"영업현금흐름-설비투자-주식보상비용","영업현금흐름-설비투자(주식보상비용 미태깅)"),"산출불가")))</f>
        <v/>
      </c>
      <c r="AZ18" s="19">
        <f>IF(AND(ISNUMBER(AX18),ISNUMBER(G18),G18&lt;&gt;0),AX18/G18,"")</f>
        <v/>
      </c>
      <c r="BA18" s="19">
        <f>IF(AND(ISNUMBER(AE18),ISNUMBER(G18),G18&lt;&gt;0),AE18/G18,"")</f>
        <v/>
      </c>
    </row>
    <row r="19">
      <c r="A19" s="8" t="inlineStr">
        <is>
          <t>AAPL</t>
        </is>
      </c>
      <c r="B19" s="8" t="inlineStr">
        <is>
          <t>Apple Inc.</t>
        </is>
      </c>
      <c r="C19" s="8" t="n">
        <v>2016</v>
      </c>
      <c r="D19" s="8" t="inlineStr">
        <is>
          <t>2016-09-24</t>
        </is>
      </c>
      <c r="E19" s="8" t="inlineStr">
        <is>
          <t>일반</t>
        </is>
      </c>
      <c r="F19" s="8" t="inlineStr">
        <is>
          <t>0000320193-18-000145</t>
        </is>
      </c>
      <c r="G19" s="15" t="n"/>
      <c r="H19" s="15" t="n">
        <v>61.372</v>
      </c>
      <c r="I19" s="15" t="n">
        <v>1.456</v>
      </c>
      <c r="J19" s="15" t="n">
        <v>15.685</v>
      </c>
      <c r="K19" s="15" t="n">
        <v>60.024</v>
      </c>
      <c r="L19" s="15" t="n">
        <v>45.687</v>
      </c>
      <c r="M19" s="15" t="n"/>
      <c r="N19" s="15" t="n">
        <v>10.505</v>
      </c>
      <c r="O19" s="15" t="n">
        <v>12.734</v>
      </c>
      <c r="P19" s="15" t="n">
        <v>66.23099999999999</v>
      </c>
      <c r="Q19" s="15" t="n">
        <v>4.21</v>
      </c>
      <c r="R19" s="15" t="n">
        <v>128.249</v>
      </c>
      <c r="S19" s="15" t="n">
        <v>119.355</v>
      </c>
      <c r="T19" s="15" t="n">
        <v>20.484</v>
      </c>
      <c r="U19" s="15" t="n">
        <v>21.12</v>
      </c>
      <c r="V19" s="15" t="n">
        <v>3.5</v>
      </c>
      <c r="W19" s="15" t="n">
        <v>2.5</v>
      </c>
      <c r="X19" s="15" t="n">
        <v>75.42700000000001</v>
      </c>
      <c r="Y19" s="15" t="n">
        <v>106.869</v>
      </c>
      <c r="Z19" s="15" t="n">
        <v>89.378</v>
      </c>
      <c r="AA19" s="15" t="n">
        <v>79.006</v>
      </c>
      <c r="AB19" s="15" t="n">
        <v>80.61</v>
      </c>
      <c r="AC19" s="15" t="n">
        <v>154.064</v>
      </c>
      <c r="AD19" s="16" t="n">
        <v>21344.664</v>
      </c>
      <c r="AE19" s="17">
        <f>IF(ISNUMBER(K19),K19,IF(AND(ISNUMBER(H19),ISNUMBER(I19)),H19+I19,IF(ISNUMBER(H19),H19,"")))</f>
        <v/>
      </c>
      <c r="AF19" s="18">
        <f>IF(OR(NOT(ISNUMBER(J19)),NOT(ISNUMBER(H19)),H19&lt;=0),기준표!$B$8,MIN(MAX(J19/H19,기준표!$B$6),기준표!$B$7))</f>
        <v/>
      </c>
      <c r="AG19" s="17">
        <f>IF(ISNUMBER(AE19),AE19*(1-AF19),"")</f>
        <v/>
      </c>
      <c r="AH19" s="17">
        <f>IF(AND(NOT(ISNUMBER(V19)),NOT(ISNUMBER(X19))),"",IF(ISNUMBER(V19),V19,0)+IF(ISNUMBER(X19),X19,0))</f>
        <v/>
      </c>
      <c r="AI19" s="17">
        <f>IF(E19="금융","",IF(AND(ISNUMBER(R19),ISNUMBER(AH19),ISNUMBER(T19)),R19+AH19-T19,""))</f>
        <v/>
      </c>
      <c r="AJ19" s="17">
        <f>IF(E19="금융","",IF(NOT(ISNUMBER(AI19)),"",IF(ISNUMBER(AC19),(AI19+AC19)/2,AI19)))</f>
        <v/>
      </c>
      <c r="AK19" s="19">
        <f>IF(AND(ISNUMBER(AG19),ISNUMBER(AJ19),AJ19&gt;0),AG19/AJ19,"")</f>
        <v/>
      </c>
      <c r="AL19" s="17">
        <f>IF(E19="금융","",IF(AND(ISNUMBER(R19),ISNUMBER(AH19)),R19+AH19,""))</f>
        <v/>
      </c>
      <c r="AM19" s="19">
        <f>IF(OR(NOT(ISNUMBER(AG19)),NOT(ISNUMBER(AL19)),AL19&lt;=0),"",IF(AND(ISNUMBER(G19),AL19&lt;0.1*G19),"",AG19/AL19))</f>
        <v/>
      </c>
      <c r="AN19" s="17">
        <f>IF(NOT(ISNUMBER(R19)),"",IF(ISNUMBER(S19),(R19+S19)/2,R19))</f>
        <v/>
      </c>
      <c r="AO19" s="19">
        <f>IF(AND(ISNUMBER(L19),ISNUMBER(AN19),AN19&gt;0),L19/AN19,"")</f>
        <v/>
      </c>
      <c r="AP19" s="19">
        <f>IF(AND(ISNUMBER(AO19),ISNUMBER({ROIC})),AO19-{ROIC},"")</f>
        <v/>
      </c>
      <c r="AQ19" s="17">
        <f>IF(AND(ISNUMBER(AE19),ISNUMBER(N19)),AE19+N19,"")</f>
        <v/>
      </c>
      <c r="AR19" s="20">
        <f>IF(AND(ISNUMBER(AH19),ISNUMBER(T19),ISNUMBER(AQ19),AQ19&gt;0),(AH19-T19)/AQ19,"")</f>
        <v/>
      </c>
      <c r="AS19" s="20">
        <f>IF(AND(ISNUMBER(AE19),ISNUMBER(I19),I19&lt;&gt;0,AE19&gt;0),AE19/I19,"")</f>
        <v/>
      </c>
      <c r="AT19" s="17">
        <f>IF(AND(ISNUMBER(Y19),ISNUMBER(AA19)),Y19-IF(ISNUMBER(T19),T19,0)-(AA19-IF(ISNUMBER(V19),V19,0)),"")</f>
        <v/>
      </c>
      <c r="AU19" s="17">
        <f>IF(AND(ISNUMBER(Z19),ISNUMBER(AB19)),Z19-IF(ISNUMBER(U19),U19,0)-(AB19-IF(ISNUMBER(W19),W19,0)),"")</f>
        <v/>
      </c>
      <c r="AV19" s="17">
        <f>IF(AND(ISNUMBER(AT19),ISNUMBER(AU19)),AT19-AU19,"")</f>
        <v/>
      </c>
      <c r="AW19" s="17">
        <f>IF(AND(ISNUMBER(L19),ISNUMBER(M19),ISNUMBER(AF19)),L19-M19*(1-AF19),IF(ISNUMBER(L19),L19,""))</f>
        <v/>
      </c>
      <c r="AX19" s="17">
        <f>IF(E19="금융","",IF(AND(ISNUMBER(AW19),ISNUMBER(N19),ISNUMBER(O19),ISNUMBER(AV19)),AW19+N19-O19-AV19,IF(AND(ISNUMBER(P19),ISNUMBER(O19)),P19-O19-IF(ISNUMBER(Q19),Q19,0),"")))</f>
        <v/>
      </c>
      <c r="AY19" s="8">
        <f>IF(E19="금융","금융업 - 정의되지 않음",IF(AND(ISNUMBER(AW19),ISNUMBER(N19),ISNUMBER(O19),ISNUMBER(AV19)),"영업순이익+감가상각-설비투자-운전자본증감",IF(AND(ISNUMBER(P19),ISNUMBER(O19)),IF(ISNUMBER(Q19),"영업현금흐름-설비투자-주식보상비용","영업현금흐름-설비투자(주식보상비용 미태깅)"),"산출불가")))</f>
        <v/>
      </c>
      <c r="AZ19" s="19">
        <f>IF(AND(ISNUMBER(AX19),ISNUMBER(G19),G19&lt;&gt;0),AX19/G19,"")</f>
        <v/>
      </c>
      <c r="BA19" s="19">
        <f>IF(AND(ISNUMBER(AE19),ISNUMBER(G19),G19&lt;&gt;0),AE19/G19,"")</f>
        <v/>
      </c>
    </row>
    <row r="20">
      <c r="A20" s="8" t="inlineStr">
        <is>
          <t>AAPL</t>
        </is>
      </c>
      <c r="B20" s="8" t="inlineStr">
        <is>
          <t>Apple Inc.</t>
        </is>
      </c>
      <c r="C20" s="8" t="n">
        <v>2017</v>
      </c>
      <c r="D20" s="8" t="inlineStr">
        <is>
          <t>2017-09-30</t>
        </is>
      </c>
      <c r="E20" s="8" t="inlineStr">
        <is>
          <t>일반</t>
        </is>
      </c>
      <c r="F20" s="8" t="inlineStr">
        <is>
          <t>0000320193-19-000119</t>
        </is>
      </c>
      <c r="G20" s="15" t="n">
        <v>229.234</v>
      </c>
      <c r="H20" s="15" t="n">
        <v>64.089</v>
      </c>
      <c r="I20" s="15" t="n">
        <v>2.323</v>
      </c>
      <c r="J20" s="15" t="n">
        <v>15.738</v>
      </c>
      <c r="K20" s="15" t="n">
        <v>61.344</v>
      </c>
      <c r="L20" s="15" t="n">
        <v>48.351</v>
      </c>
      <c r="M20" s="15" t="n"/>
      <c r="N20" s="15" t="n">
        <v>10.157</v>
      </c>
      <c r="O20" s="15" t="n">
        <v>12.451</v>
      </c>
      <c r="P20" s="15" t="n">
        <v>64.22499999999999</v>
      </c>
      <c r="Q20" s="15" t="n">
        <v>4.84</v>
      </c>
      <c r="R20" s="15" t="n">
        <v>134.047</v>
      </c>
      <c r="S20" s="15" t="n">
        <v>128.249</v>
      </c>
      <c r="T20" s="15" t="n">
        <v>20.289</v>
      </c>
      <c r="U20" s="15" t="n">
        <v>20.484</v>
      </c>
      <c r="V20" s="15" t="n">
        <v>6.496</v>
      </c>
      <c r="W20" s="15" t="n">
        <v>3.5</v>
      </c>
      <c r="X20" s="15" t="n">
        <v>97.20699999999999</v>
      </c>
      <c r="Y20" s="15" t="n">
        <v>128.645</v>
      </c>
      <c r="Z20" s="15" t="n">
        <v>106.869</v>
      </c>
      <c r="AA20" s="15" t="n">
        <v>100.814</v>
      </c>
      <c r="AB20" s="15" t="n">
        <v>79.006</v>
      </c>
      <c r="AC20" s="15" t="n">
        <v>186.692</v>
      </c>
      <c r="AD20" s="16" t="n">
        <v>20504.804</v>
      </c>
      <c r="AE20" s="17">
        <f>IF(ISNUMBER(K20),K20,IF(AND(ISNUMBER(H20),ISNUMBER(I20)),H20+I20,IF(ISNUMBER(H20),H20,"")))</f>
        <v/>
      </c>
      <c r="AF20" s="18">
        <f>IF(OR(NOT(ISNUMBER(J20)),NOT(ISNUMBER(H20)),H20&lt;=0),기준표!$B$8,MIN(MAX(J20/H20,기준표!$B$6),기준표!$B$7))</f>
        <v/>
      </c>
      <c r="AG20" s="17">
        <f>IF(ISNUMBER(AE20),AE20*(1-AF20),"")</f>
        <v/>
      </c>
      <c r="AH20" s="17">
        <f>IF(AND(NOT(ISNUMBER(V20)),NOT(ISNUMBER(X20))),"",IF(ISNUMBER(V20),V20,0)+IF(ISNUMBER(X20),X20,0))</f>
        <v/>
      </c>
      <c r="AI20" s="17">
        <f>IF(E20="금융","",IF(AND(ISNUMBER(R20),ISNUMBER(AH20),ISNUMBER(T20)),R20+AH20-T20,""))</f>
        <v/>
      </c>
      <c r="AJ20" s="17">
        <f>IF(E20="금융","",IF(NOT(ISNUMBER(AI20)),"",IF(ISNUMBER(AC20),(AI20+AC20)/2,AI20)))</f>
        <v/>
      </c>
      <c r="AK20" s="19">
        <f>IF(AND(ISNUMBER(AG20),ISNUMBER(AJ20),AJ20&gt;0),AG20/AJ20,"")</f>
        <v/>
      </c>
      <c r="AL20" s="17">
        <f>IF(E20="금융","",IF(AND(ISNUMBER(R20),ISNUMBER(AH20)),R20+AH20,""))</f>
        <v/>
      </c>
      <c r="AM20" s="19">
        <f>IF(OR(NOT(ISNUMBER(AG20)),NOT(ISNUMBER(AL20)),AL20&lt;=0),"",IF(AND(ISNUMBER(G20),AL20&lt;0.1*G20),"",AG20/AL20))</f>
        <v/>
      </c>
      <c r="AN20" s="17">
        <f>IF(NOT(ISNUMBER(R20)),"",IF(ISNUMBER(S20),(R20+S20)/2,R20))</f>
        <v/>
      </c>
      <c r="AO20" s="19">
        <f>IF(AND(ISNUMBER(L20),ISNUMBER(AN20),AN20&gt;0),L20/AN20,"")</f>
        <v/>
      </c>
      <c r="AP20" s="19">
        <f>IF(AND(ISNUMBER(AO20),ISNUMBER({ROIC})),AO20-{ROIC},"")</f>
        <v/>
      </c>
      <c r="AQ20" s="17">
        <f>IF(AND(ISNUMBER(AE20),ISNUMBER(N20)),AE20+N20,"")</f>
        <v/>
      </c>
      <c r="AR20" s="20">
        <f>IF(AND(ISNUMBER(AH20),ISNUMBER(T20),ISNUMBER(AQ20),AQ20&gt;0),(AH20-T20)/AQ20,"")</f>
        <v/>
      </c>
      <c r="AS20" s="20">
        <f>IF(AND(ISNUMBER(AE20),ISNUMBER(I20),I20&lt;&gt;0,AE20&gt;0),AE20/I20,"")</f>
        <v/>
      </c>
      <c r="AT20" s="17">
        <f>IF(AND(ISNUMBER(Y20),ISNUMBER(AA20)),Y20-IF(ISNUMBER(T20),T20,0)-(AA20-IF(ISNUMBER(V20),V20,0)),"")</f>
        <v/>
      </c>
      <c r="AU20" s="17">
        <f>IF(AND(ISNUMBER(Z20),ISNUMBER(AB20)),Z20-IF(ISNUMBER(U20),U20,0)-(AB20-IF(ISNUMBER(W20),W20,0)),"")</f>
        <v/>
      </c>
      <c r="AV20" s="17">
        <f>IF(AND(ISNUMBER(AT20),ISNUMBER(AU20)),AT20-AU20,"")</f>
        <v/>
      </c>
      <c r="AW20" s="17">
        <f>IF(AND(ISNUMBER(L20),ISNUMBER(M20),ISNUMBER(AF20)),L20-M20*(1-AF20),IF(ISNUMBER(L20),L20,""))</f>
        <v/>
      </c>
      <c r="AX20" s="17">
        <f>IF(E20="금융","",IF(AND(ISNUMBER(AW20),ISNUMBER(N20),ISNUMBER(O20),ISNUMBER(AV20)),AW20+N20-O20-AV20,IF(AND(ISNUMBER(P20),ISNUMBER(O20)),P20-O20-IF(ISNUMBER(Q20),Q20,0),"")))</f>
        <v/>
      </c>
      <c r="AY20" s="8">
        <f>IF(E20="금융","금융업 - 정의되지 않음",IF(AND(ISNUMBER(AW20),ISNUMBER(N20),ISNUMBER(O20),ISNUMBER(AV20)),"영업순이익+감가상각-설비투자-운전자본증감",IF(AND(ISNUMBER(P20),ISNUMBER(O20)),IF(ISNUMBER(Q20),"영업현금흐름-설비투자-주식보상비용","영업현금흐름-설비투자(주식보상비용 미태깅)"),"산출불가")))</f>
        <v/>
      </c>
      <c r="AZ20" s="19">
        <f>IF(AND(ISNUMBER(AX20),ISNUMBER(G20),G20&lt;&gt;0),AX20/G20,"")</f>
        <v/>
      </c>
      <c r="BA20" s="19">
        <f>IF(AND(ISNUMBER(AE20),ISNUMBER(G20),G20&lt;&gt;0),AE20/G20,"")</f>
        <v/>
      </c>
    </row>
    <row r="21">
      <c r="A21" s="8" t="inlineStr">
        <is>
          <t>AAPL</t>
        </is>
      </c>
      <c r="B21" s="8" t="inlineStr">
        <is>
          <t>Apple Inc.</t>
        </is>
      </c>
      <c r="C21" s="8" t="n">
        <v>2018</v>
      </c>
      <c r="D21" s="8" t="inlineStr">
        <is>
          <t>2018-09-29</t>
        </is>
      </c>
      <c r="E21" s="8" t="inlineStr">
        <is>
          <t>일반</t>
        </is>
      </c>
      <c r="F21" s="8" t="inlineStr">
        <is>
          <t>0000320193-20-000096</t>
        </is>
      </c>
      <c r="G21" s="15" t="n">
        <v>265.595</v>
      </c>
      <c r="H21" s="15" t="n">
        <v>72.90300000000001</v>
      </c>
      <c r="I21" s="15" t="n">
        <v>3.24</v>
      </c>
      <c r="J21" s="15" t="n">
        <v>13.372</v>
      </c>
      <c r="K21" s="15" t="n">
        <v>70.898</v>
      </c>
      <c r="L21" s="15" t="n">
        <v>59.531</v>
      </c>
      <c r="M21" s="15" t="n"/>
      <c r="N21" s="15" t="n">
        <v>10.903</v>
      </c>
      <c r="O21" s="15" t="n">
        <v>13.313</v>
      </c>
      <c r="P21" s="15" t="n">
        <v>77.434</v>
      </c>
      <c r="Q21" s="15" t="n">
        <v>5.34</v>
      </c>
      <c r="R21" s="15" t="n">
        <v>107.147</v>
      </c>
      <c r="S21" s="15" t="n">
        <v>134.047</v>
      </c>
      <c r="T21" s="15" t="n">
        <v>66.301</v>
      </c>
      <c r="U21" s="15" t="n">
        <v>20.289</v>
      </c>
      <c r="V21" s="15" t="n">
        <v>8.784000000000001</v>
      </c>
      <c r="W21" s="15" t="n">
        <v>6.496</v>
      </c>
      <c r="X21" s="15" t="n">
        <v>93.735</v>
      </c>
      <c r="Y21" s="15" t="n">
        <v>131.339</v>
      </c>
      <c r="Z21" s="15" t="n">
        <v>128.645</v>
      </c>
      <c r="AA21" s="15" t="n">
        <v>115.929</v>
      </c>
      <c r="AB21" s="15" t="n">
        <v>100.814</v>
      </c>
      <c r="AC21" s="15" t="n">
        <v>217.461</v>
      </c>
      <c r="AD21" s="16" t="n">
        <v>19019.944</v>
      </c>
      <c r="AE21" s="17">
        <f>IF(ISNUMBER(K21),K21,IF(AND(ISNUMBER(H21),ISNUMBER(I21)),H21+I21,IF(ISNUMBER(H21),H21,"")))</f>
        <v/>
      </c>
      <c r="AF21" s="18">
        <f>IF(OR(NOT(ISNUMBER(J21)),NOT(ISNUMBER(H21)),H21&lt;=0),기준표!$B$8,MIN(MAX(J21/H21,기준표!$B$6),기준표!$B$7))</f>
        <v/>
      </c>
      <c r="AG21" s="17">
        <f>IF(ISNUMBER(AE21),AE21*(1-AF21),"")</f>
        <v/>
      </c>
      <c r="AH21" s="17">
        <f>IF(AND(NOT(ISNUMBER(V21)),NOT(ISNUMBER(X21))),"",IF(ISNUMBER(V21),V21,0)+IF(ISNUMBER(X21),X21,0))</f>
        <v/>
      </c>
      <c r="AI21" s="17">
        <f>IF(E21="금융","",IF(AND(ISNUMBER(R21),ISNUMBER(AH21),ISNUMBER(T21)),R21+AH21-T21,""))</f>
        <v/>
      </c>
      <c r="AJ21" s="17">
        <f>IF(E21="금융","",IF(NOT(ISNUMBER(AI21)),"",IF(ISNUMBER(AC21),(AI21+AC21)/2,AI21)))</f>
        <v/>
      </c>
      <c r="AK21" s="19">
        <f>IF(AND(ISNUMBER(AG21),ISNUMBER(AJ21),AJ21&gt;0),AG21/AJ21,"")</f>
        <v/>
      </c>
      <c r="AL21" s="17">
        <f>IF(E21="금융","",IF(AND(ISNUMBER(R21),ISNUMBER(AH21)),R21+AH21,""))</f>
        <v/>
      </c>
      <c r="AM21" s="19">
        <f>IF(OR(NOT(ISNUMBER(AG21)),NOT(ISNUMBER(AL21)),AL21&lt;=0),"",IF(AND(ISNUMBER(G21),AL21&lt;0.1*G21),"",AG21/AL21))</f>
        <v/>
      </c>
      <c r="AN21" s="17">
        <f>IF(NOT(ISNUMBER(R21)),"",IF(ISNUMBER(S21),(R21+S21)/2,R21))</f>
        <v/>
      </c>
      <c r="AO21" s="19">
        <f>IF(AND(ISNUMBER(L21),ISNUMBER(AN21),AN21&gt;0),L21/AN21,"")</f>
        <v/>
      </c>
      <c r="AP21" s="19">
        <f>IF(AND(ISNUMBER(AO21),ISNUMBER({ROIC})),AO21-{ROIC},"")</f>
        <v/>
      </c>
      <c r="AQ21" s="17">
        <f>IF(AND(ISNUMBER(AE21),ISNUMBER(N21)),AE21+N21,"")</f>
        <v/>
      </c>
      <c r="AR21" s="20">
        <f>IF(AND(ISNUMBER(AH21),ISNUMBER(T21),ISNUMBER(AQ21),AQ21&gt;0),(AH21-T21)/AQ21,"")</f>
        <v/>
      </c>
      <c r="AS21" s="20">
        <f>IF(AND(ISNUMBER(AE21),ISNUMBER(I21),I21&lt;&gt;0,AE21&gt;0),AE21/I21,"")</f>
        <v/>
      </c>
      <c r="AT21" s="17">
        <f>IF(AND(ISNUMBER(Y21),ISNUMBER(AA21)),Y21-IF(ISNUMBER(T21),T21,0)-(AA21-IF(ISNUMBER(V21),V21,0)),"")</f>
        <v/>
      </c>
      <c r="AU21" s="17">
        <f>IF(AND(ISNUMBER(Z21),ISNUMBER(AB21)),Z21-IF(ISNUMBER(U21),U21,0)-(AB21-IF(ISNUMBER(W21),W21,0)),"")</f>
        <v/>
      </c>
      <c r="AV21" s="17">
        <f>IF(AND(ISNUMBER(AT21),ISNUMBER(AU21)),AT21-AU21,"")</f>
        <v/>
      </c>
      <c r="AW21" s="17">
        <f>IF(AND(ISNUMBER(L21),ISNUMBER(M21),ISNUMBER(AF21)),L21-M21*(1-AF21),IF(ISNUMBER(L21),L21,""))</f>
        <v/>
      </c>
      <c r="AX21" s="17">
        <f>IF(E21="금융","",IF(AND(ISNUMBER(AW21),ISNUMBER(N21),ISNUMBER(O21),ISNUMBER(AV21)),AW21+N21-O21-AV21,IF(AND(ISNUMBER(P21),ISNUMBER(O21)),P21-O21-IF(ISNUMBER(Q21),Q21,0),"")))</f>
        <v/>
      </c>
      <c r="AY21" s="8">
        <f>IF(E21="금융","금융업 - 정의되지 않음",IF(AND(ISNUMBER(AW21),ISNUMBER(N21),ISNUMBER(O21),ISNUMBER(AV21)),"영업순이익+감가상각-설비투자-운전자본증감",IF(AND(ISNUMBER(P21),ISNUMBER(O21)),IF(ISNUMBER(Q21),"영업현금흐름-설비투자-주식보상비용","영업현금흐름-설비투자(주식보상비용 미태깅)"),"산출불가")))</f>
        <v/>
      </c>
      <c r="AZ21" s="19">
        <f>IF(AND(ISNUMBER(AX21),ISNUMBER(G21),G21&lt;&gt;0),AX21/G21,"")</f>
        <v/>
      </c>
      <c r="BA21" s="19">
        <f>IF(AND(ISNUMBER(AE21),ISNUMBER(G21),G21&lt;&gt;0),AE21/G21,"")</f>
        <v/>
      </c>
    </row>
    <row r="22">
      <c r="A22" s="8" t="inlineStr">
        <is>
          <t>AAPL</t>
        </is>
      </c>
      <c r="B22" s="8" t="inlineStr">
        <is>
          <t>Apple Inc.</t>
        </is>
      </c>
      <c r="C22" s="8" t="n">
        <v>2019</v>
      </c>
      <c r="D22" s="8" t="inlineStr">
        <is>
          <t>2019-09-28</t>
        </is>
      </c>
      <c r="E22" s="8" t="inlineStr">
        <is>
          <t>일반</t>
        </is>
      </c>
      <c r="F22" s="8" t="inlineStr">
        <is>
          <t>0000320193-21-000105</t>
        </is>
      </c>
      <c r="G22" s="15" t="n">
        <v>260.174</v>
      </c>
      <c r="H22" s="15" t="n">
        <v>65.73699999999999</v>
      </c>
      <c r="I22" s="15" t="n">
        <v>3.576</v>
      </c>
      <c r="J22" s="15" t="n">
        <v>10.481</v>
      </c>
      <c r="K22" s="15" t="n">
        <v>63.93</v>
      </c>
      <c r="L22" s="15" t="n">
        <v>55.256</v>
      </c>
      <c r="M22" s="15" t="n"/>
      <c r="N22" s="15" t="n">
        <v>12.547</v>
      </c>
      <c r="O22" s="15" t="n">
        <v>10.495</v>
      </c>
      <c r="P22" s="15" t="n">
        <v>69.39100000000001</v>
      </c>
      <c r="Q22" s="15" t="n">
        <v>6.068</v>
      </c>
      <c r="R22" s="15" t="n">
        <v>90.488</v>
      </c>
      <c r="S22" s="15" t="n">
        <v>107.147</v>
      </c>
      <c r="T22" s="15" t="n">
        <v>100.557</v>
      </c>
      <c r="U22" s="15" t="n">
        <v>66.301</v>
      </c>
      <c r="V22" s="15" t="n">
        <v>10.26</v>
      </c>
      <c r="W22" s="15" t="n">
        <v>8.784000000000001</v>
      </c>
      <c r="X22" s="15" t="n">
        <v>91.807</v>
      </c>
      <c r="Y22" s="15" t="n">
        <v>162.819</v>
      </c>
      <c r="Z22" s="15" t="n">
        <v>131.339</v>
      </c>
      <c r="AA22" s="15" t="n">
        <v>105.718</v>
      </c>
      <c r="AB22" s="15" t="n">
        <v>115.929</v>
      </c>
      <c r="AC22" s="15" t="n">
        <v>143.365</v>
      </c>
      <c r="AD22" s="16" t="n">
        <v>17772.945</v>
      </c>
      <c r="AE22" s="17">
        <f>IF(ISNUMBER(K22),K22,IF(AND(ISNUMBER(H22),ISNUMBER(I22)),H22+I22,IF(ISNUMBER(H22),H22,"")))</f>
        <v/>
      </c>
      <c r="AF22" s="18">
        <f>IF(OR(NOT(ISNUMBER(J22)),NOT(ISNUMBER(H22)),H22&lt;=0),기준표!$B$8,MIN(MAX(J22/H22,기준표!$B$6),기준표!$B$7))</f>
        <v/>
      </c>
      <c r="AG22" s="17">
        <f>IF(ISNUMBER(AE22),AE22*(1-AF22),"")</f>
        <v/>
      </c>
      <c r="AH22" s="17">
        <f>IF(AND(NOT(ISNUMBER(V22)),NOT(ISNUMBER(X22))),"",IF(ISNUMBER(V22),V22,0)+IF(ISNUMBER(X22),X22,0))</f>
        <v/>
      </c>
      <c r="AI22" s="17">
        <f>IF(E22="금융","",IF(AND(ISNUMBER(R22),ISNUMBER(AH22),ISNUMBER(T22)),R22+AH22-T22,""))</f>
        <v/>
      </c>
      <c r="AJ22" s="17">
        <f>IF(E22="금융","",IF(NOT(ISNUMBER(AI22)),"",IF(ISNUMBER(AC22),(AI22+AC22)/2,AI22)))</f>
        <v/>
      </c>
      <c r="AK22" s="19">
        <f>IF(AND(ISNUMBER(AG22),ISNUMBER(AJ22),AJ22&gt;0),AG22/AJ22,"")</f>
        <v/>
      </c>
      <c r="AL22" s="17">
        <f>IF(E22="금융","",IF(AND(ISNUMBER(R22),ISNUMBER(AH22)),R22+AH22,""))</f>
        <v/>
      </c>
      <c r="AM22" s="19">
        <f>IF(OR(NOT(ISNUMBER(AG22)),NOT(ISNUMBER(AL22)),AL22&lt;=0),"",IF(AND(ISNUMBER(G22),AL22&lt;0.1*G22),"",AG22/AL22))</f>
        <v/>
      </c>
      <c r="AN22" s="17">
        <f>IF(NOT(ISNUMBER(R22)),"",IF(ISNUMBER(S22),(R22+S22)/2,R22))</f>
        <v/>
      </c>
      <c r="AO22" s="19">
        <f>IF(AND(ISNUMBER(L22),ISNUMBER(AN22),AN22&gt;0),L22/AN22,"")</f>
        <v/>
      </c>
      <c r="AP22" s="19">
        <f>IF(AND(ISNUMBER(AO22),ISNUMBER({ROIC})),AO22-{ROIC},"")</f>
        <v/>
      </c>
      <c r="AQ22" s="17">
        <f>IF(AND(ISNUMBER(AE22),ISNUMBER(N22)),AE22+N22,"")</f>
        <v/>
      </c>
      <c r="AR22" s="20">
        <f>IF(AND(ISNUMBER(AH22),ISNUMBER(T22),ISNUMBER(AQ22),AQ22&gt;0),(AH22-T22)/AQ22,"")</f>
        <v/>
      </c>
      <c r="AS22" s="20">
        <f>IF(AND(ISNUMBER(AE22),ISNUMBER(I22),I22&lt;&gt;0,AE22&gt;0),AE22/I22,"")</f>
        <v/>
      </c>
      <c r="AT22" s="17">
        <f>IF(AND(ISNUMBER(Y22),ISNUMBER(AA22)),Y22-IF(ISNUMBER(T22),T22,0)-(AA22-IF(ISNUMBER(V22),V22,0)),"")</f>
        <v/>
      </c>
      <c r="AU22" s="17">
        <f>IF(AND(ISNUMBER(Z22),ISNUMBER(AB22)),Z22-IF(ISNUMBER(U22),U22,0)-(AB22-IF(ISNUMBER(W22),W22,0)),"")</f>
        <v/>
      </c>
      <c r="AV22" s="17">
        <f>IF(AND(ISNUMBER(AT22),ISNUMBER(AU22)),AT22-AU22,"")</f>
        <v/>
      </c>
      <c r="AW22" s="17">
        <f>IF(AND(ISNUMBER(L22),ISNUMBER(M22),ISNUMBER(AF22)),L22-M22*(1-AF22),IF(ISNUMBER(L22),L22,""))</f>
        <v/>
      </c>
      <c r="AX22" s="17">
        <f>IF(E22="금융","",IF(AND(ISNUMBER(AW22),ISNUMBER(N22),ISNUMBER(O22),ISNUMBER(AV22)),AW22+N22-O22-AV22,IF(AND(ISNUMBER(P22),ISNUMBER(O22)),P22-O22-IF(ISNUMBER(Q22),Q22,0),"")))</f>
        <v/>
      </c>
      <c r="AY22" s="8">
        <f>IF(E22="금융","금융업 - 정의되지 않음",IF(AND(ISNUMBER(AW22),ISNUMBER(N22),ISNUMBER(O22),ISNUMBER(AV22)),"영업순이익+감가상각-설비투자-운전자본증감",IF(AND(ISNUMBER(P22),ISNUMBER(O22)),IF(ISNUMBER(Q22),"영업현금흐름-설비투자-주식보상비용","영업현금흐름-설비투자(주식보상비용 미태깅)"),"산출불가")))</f>
        <v/>
      </c>
      <c r="AZ22" s="19">
        <f>IF(AND(ISNUMBER(AX22),ISNUMBER(G22),G22&lt;&gt;0),AX22/G22,"")</f>
        <v/>
      </c>
      <c r="BA22" s="19">
        <f>IF(AND(ISNUMBER(AE22),ISNUMBER(G22),G22&lt;&gt;0),AE22/G22,"")</f>
        <v/>
      </c>
    </row>
    <row r="23">
      <c r="A23" s="8" t="inlineStr">
        <is>
          <t>AAPL</t>
        </is>
      </c>
      <c r="B23" s="8" t="inlineStr">
        <is>
          <t>Apple Inc.</t>
        </is>
      </c>
      <c r="C23" s="8" t="n">
        <v>2020</v>
      </c>
      <c r="D23" s="8" t="inlineStr">
        <is>
          <t>2020-09-26</t>
        </is>
      </c>
      <c r="E23" s="8" t="inlineStr">
        <is>
          <t>일반</t>
        </is>
      </c>
      <c r="F23" s="8" t="inlineStr">
        <is>
          <t>0000320193-22-000108</t>
        </is>
      </c>
      <c r="G23" s="15" t="n">
        <v>274.515</v>
      </c>
      <c r="H23" s="15" t="n">
        <v>67.09099999999999</v>
      </c>
      <c r="I23" s="15" t="n">
        <v>2.873</v>
      </c>
      <c r="J23" s="15" t="n">
        <v>9.68</v>
      </c>
      <c r="K23" s="15" t="n">
        <v>66.288</v>
      </c>
      <c r="L23" s="15" t="n">
        <v>57.411</v>
      </c>
      <c r="M23" s="15" t="n"/>
      <c r="N23" s="15" t="n">
        <v>11.056</v>
      </c>
      <c r="O23" s="15" t="n">
        <v>7.309</v>
      </c>
      <c r="P23" s="15" t="n">
        <v>80.67400000000001</v>
      </c>
      <c r="Q23" s="15" t="n">
        <v>6.829</v>
      </c>
      <c r="R23" s="15" t="n">
        <v>65.339</v>
      </c>
      <c r="S23" s="15" t="n">
        <v>90.488</v>
      </c>
      <c r="T23" s="15" t="n">
        <v>90.943</v>
      </c>
      <c r="U23" s="15" t="n">
        <v>100.557</v>
      </c>
      <c r="V23" s="15" t="n">
        <v>8.773</v>
      </c>
      <c r="W23" s="15" t="n">
        <v>10.26</v>
      </c>
      <c r="X23" s="15" t="n">
        <v>98.667</v>
      </c>
      <c r="Y23" s="15" t="n">
        <v>143.713</v>
      </c>
      <c r="Z23" s="15" t="n">
        <v>162.819</v>
      </c>
      <c r="AA23" s="15" t="n">
        <v>105.392</v>
      </c>
      <c r="AB23" s="15" t="n">
        <v>105.718</v>
      </c>
      <c r="AC23" s="15" t="n">
        <v>91.998</v>
      </c>
      <c r="AD23" s="16" t="n">
        <v>16976.763</v>
      </c>
      <c r="AE23" s="17">
        <f>IF(ISNUMBER(K23),K23,IF(AND(ISNUMBER(H23),ISNUMBER(I23)),H23+I23,IF(ISNUMBER(H23),H23,"")))</f>
        <v/>
      </c>
      <c r="AF23" s="18">
        <f>IF(OR(NOT(ISNUMBER(J23)),NOT(ISNUMBER(H23)),H23&lt;=0),기준표!$B$8,MIN(MAX(J23/H23,기준표!$B$6),기준표!$B$7))</f>
        <v/>
      </c>
      <c r="AG23" s="17">
        <f>IF(ISNUMBER(AE23),AE23*(1-AF23),"")</f>
        <v/>
      </c>
      <c r="AH23" s="17">
        <f>IF(AND(NOT(ISNUMBER(V23)),NOT(ISNUMBER(X23))),"",IF(ISNUMBER(V23),V23,0)+IF(ISNUMBER(X23),X23,0))</f>
        <v/>
      </c>
      <c r="AI23" s="17">
        <f>IF(E23="금융","",IF(AND(ISNUMBER(R23),ISNUMBER(AH23),ISNUMBER(T23)),R23+AH23-T23,""))</f>
        <v/>
      </c>
      <c r="AJ23" s="17">
        <f>IF(E23="금융","",IF(NOT(ISNUMBER(AI23)),"",IF(ISNUMBER(AC23),(AI23+AC23)/2,AI23)))</f>
        <v/>
      </c>
      <c r="AK23" s="19">
        <f>IF(AND(ISNUMBER(AG23),ISNUMBER(AJ23),AJ23&gt;0),AG23/AJ23,"")</f>
        <v/>
      </c>
      <c r="AL23" s="17">
        <f>IF(E23="금융","",IF(AND(ISNUMBER(R23),ISNUMBER(AH23)),R23+AH23,""))</f>
        <v/>
      </c>
      <c r="AM23" s="19">
        <f>IF(OR(NOT(ISNUMBER(AG23)),NOT(ISNUMBER(AL23)),AL23&lt;=0),"",IF(AND(ISNUMBER(G23),AL23&lt;0.1*G23),"",AG23/AL23))</f>
        <v/>
      </c>
      <c r="AN23" s="17">
        <f>IF(NOT(ISNUMBER(R23)),"",IF(ISNUMBER(S23),(R23+S23)/2,R23))</f>
        <v/>
      </c>
      <c r="AO23" s="19">
        <f>IF(AND(ISNUMBER(L23),ISNUMBER(AN23),AN23&gt;0),L23/AN23,"")</f>
        <v/>
      </c>
      <c r="AP23" s="19">
        <f>IF(AND(ISNUMBER(AO23),ISNUMBER({ROIC})),AO23-{ROIC},"")</f>
        <v/>
      </c>
      <c r="AQ23" s="17">
        <f>IF(AND(ISNUMBER(AE23),ISNUMBER(N23)),AE23+N23,"")</f>
        <v/>
      </c>
      <c r="AR23" s="20">
        <f>IF(AND(ISNUMBER(AH23),ISNUMBER(T23),ISNUMBER(AQ23),AQ23&gt;0),(AH23-T23)/AQ23,"")</f>
        <v/>
      </c>
      <c r="AS23" s="20">
        <f>IF(AND(ISNUMBER(AE23),ISNUMBER(I23),I23&lt;&gt;0,AE23&gt;0),AE23/I23,"")</f>
        <v/>
      </c>
      <c r="AT23" s="17">
        <f>IF(AND(ISNUMBER(Y23),ISNUMBER(AA23)),Y23-IF(ISNUMBER(T23),T23,0)-(AA23-IF(ISNUMBER(V23),V23,0)),"")</f>
        <v/>
      </c>
      <c r="AU23" s="17">
        <f>IF(AND(ISNUMBER(Z23),ISNUMBER(AB23)),Z23-IF(ISNUMBER(U23),U23,0)-(AB23-IF(ISNUMBER(W23),W23,0)),"")</f>
        <v/>
      </c>
      <c r="AV23" s="17">
        <f>IF(AND(ISNUMBER(AT23),ISNUMBER(AU23)),AT23-AU23,"")</f>
        <v/>
      </c>
      <c r="AW23" s="17">
        <f>IF(AND(ISNUMBER(L23),ISNUMBER(M23),ISNUMBER(AF23)),L23-M23*(1-AF23),IF(ISNUMBER(L23),L23,""))</f>
        <v/>
      </c>
      <c r="AX23" s="17">
        <f>IF(E23="금융","",IF(AND(ISNUMBER(AW23),ISNUMBER(N23),ISNUMBER(O23),ISNUMBER(AV23)),AW23+N23-O23-AV23,IF(AND(ISNUMBER(P23),ISNUMBER(O23)),P23-O23-IF(ISNUMBER(Q23),Q23,0),"")))</f>
        <v/>
      </c>
      <c r="AY23" s="8">
        <f>IF(E23="금융","금융업 - 정의되지 않음",IF(AND(ISNUMBER(AW23),ISNUMBER(N23),ISNUMBER(O23),ISNUMBER(AV23)),"영업순이익+감가상각-설비투자-운전자본증감",IF(AND(ISNUMBER(P23),ISNUMBER(O23)),IF(ISNUMBER(Q23),"영업현금흐름-설비투자-주식보상비용","영업현금흐름-설비투자(주식보상비용 미태깅)"),"산출불가")))</f>
        <v/>
      </c>
      <c r="AZ23" s="19">
        <f>IF(AND(ISNUMBER(AX23),ISNUMBER(G23),G23&lt;&gt;0),AX23/G23,"")</f>
        <v/>
      </c>
      <c r="BA23" s="19">
        <f>IF(AND(ISNUMBER(AE23),ISNUMBER(G23),G23&lt;&gt;0),AE23/G23,"")</f>
        <v/>
      </c>
    </row>
    <row r="24">
      <c r="A24" s="8" t="inlineStr">
        <is>
          <t>AAPL</t>
        </is>
      </c>
      <c r="B24" s="8" t="inlineStr">
        <is>
          <t>Apple Inc.</t>
        </is>
      </c>
      <c r="C24" s="8" t="n">
        <v>2021</v>
      </c>
      <c r="D24" s="8" t="inlineStr">
        <is>
          <t>2021-09-25</t>
        </is>
      </c>
      <c r="E24" s="8" t="inlineStr">
        <is>
          <t>일반</t>
        </is>
      </c>
      <c r="F24" s="8" t="inlineStr">
        <is>
          <t>0000320193-23-000106</t>
        </is>
      </c>
      <c r="G24" s="15" t="n">
        <v>365.817</v>
      </c>
      <c r="H24" s="15" t="n">
        <v>109.207</v>
      </c>
      <c r="I24" s="15" t="n">
        <v>2.645</v>
      </c>
      <c r="J24" s="15" t="n">
        <v>14.527</v>
      </c>
      <c r="K24" s="15" t="n">
        <v>108.949</v>
      </c>
      <c r="L24" s="15" t="n">
        <v>94.68000000000001</v>
      </c>
      <c r="M24" s="15" t="n"/>
      <c r="N24" s="15" t="n">
        <v>11.284</v>
      </c>
      <c r="O24" s="15" t="n">
        <v>11.085</v>
      </c>
      <c r="P24" s="15" t="n">
        <v>104.038</v>
      </c>
      <c r="Q24" s="15" t="n">
        <v>7.906</v>
      </c>
      <c r="R24" s="15" t="n">
        <v>63.09</v>
      </c>
      <c r="S24" s="15" t="n">
        <v>65.339</v>
      </c>
      <c r="T24" s="15" t="n">
        <v>62.639</v>
      </c>
      <c r="U24" s="15" t="n">
        <v>90.943</v>
      </c>
      <c r="V24" s="15" t="n">
        <v>9.613</v>
      </c>
      <c r="W24" s="15" t="n">
        <v>8.773</v>
      </c>
      <c r="X24" s="15" t="n">
        <v>109.106</v>
      </c>
      <c r="Y24" s="15" t="n">
        <v>134.836</v>
      </c>
      <c r="Z24" s="15" t="n">
        <v>143.713</v>
      </c>
      <c r="AA24" s="15" t="n">
        <v>125.481</v>
      </c>
      <c r="AB24" s="15" t="n">
        <v>105.392</v>
      </c>
      <c r="AC24" s="15" t="n">
        <v>81.836</v>
      </c>
      <c r="AD24" s="16" t="n">
        <v>16426.786</v>
      </c>
      <c r="AE24" s="17">
        <f>IF(ISNUMBER(K24),K24,IF(AND(ISNUMBER(H24),ISNUMBER(I24)),H24+I24,IF(ISNUMBER(H24),H24,"")))</f>
        <v/>
      </c>
      <c r="AF24" s="18">
        <f>IF(OR(NOT(ISNUMBER(J24)),NOT(ISNUMBER(H24)),H24&lt;=0),기준표!$B$8,MIN(MAX(J24/H24,기준표!$B$6),기준표!$B$7))</f>
        <v/>
      </c>
      <c r="AG24" s="17">
        <f>IF(ISNUMBER(AE24),AE24*(1-AF24),"")</f>
        <v/>
      </c>
      <c r="AH24" s="17">
        <f>IF(AND(NOT(ISNUMBER(V24)),NOT(ISNUMBER(X24))),"",IF(ISNUMBER(V24),V24,0)+IF(ISNUMBER(X24),X24,0))</f>
        <v/>
      </c>
      <c r="AI24" s="17">
        <f>IF(E24="금융","",IF(AND(ISNUMBER(R24),ISNUMBER(AH24),ISNUMBER(T24)),R24+AH24-T24,""))</f>
        <v/>
      </c>
      <c r="AJ24" s="17">
        <f>IF(E24="금융","",IF(NOT(ISNUMBER(AI24)),"",IF(ISNUMBER(AC24),(AI24+AC24)/2,AI24)))</f>
        <v/>
      </c>
      <c r="AK24" s="19">
        <f>IF(AND(ISNUMBER(AG24),ISNUMBER(AJ24),AJ24&gt;0),AG24/AJ24,"")</f>
        <v/>
      </c>
      <c r="AL24" s="17">
        <f>IF(E24="금융","",IF(AND(ISNUMBER(R24),ISNUMBER(AH24)),R24+AH24,""))</f>
        <v/>
      </c>
      <c r="AM24" s="19">
        <f>IF(OR(NOT(ISNUMBER(AG24)),NOT(ISNUMBER(AL24)),AL24&lt;=0),"",IF(AND(ISNUMBER(G24),AL24&lt;0.1*G24),"",AG24/AL24))</f>
        <v/>
      </c>
      <c r="AN24" s="17">
        <f>IF(NOT(ISNUMBER(R24)),"",IF(ISNUMBER(S24),(R24+S24)/2,R24))</f>
        <v/>
      </c>
      <c r="AO24" s="19">
        <f>IF(AND(ISNUMBER(L24),ISNUMBER(AN24),AN24&gt;0),L24/AN24,"")</f>
        <v/>
      </c>
      <c r="AP24" s="19">
        <f>IF(AND(ISNUMBER(AO24),ISNUMBER({ROIC})),AO24-{ROIC},"")</f>
        <v/>
      </c>
      <c r="AQ24" s="17">
        <f>IF(AND(ISNUMBER(AE24),ISNUMBER(N24)),AE24+N24,"")</f>
        <v/>
      </c>
      <c r="AR24" s="20">
        <f>IF(AND(ISNUMBER(AH24),ISNUMBER(T24),ISNUMBER(AQ24),AQ24&gt;0),(AH24-T24)/AQ24,"")</f>
        <v/>
      </c>
      <c r="AS24" s="20">
        <f>IF(AND(ISNUMBER(AE24),ISNUMBER(I24),I24&lt;&gt;0,AE24&gt;0),AE24/I24,"")</f>
        <v/>
      </c>
      <c r="AT24" s="17">
        <f>IF(AND(ISNUMBER(Y24),ISNUMBER(AA24)),Y24-IF(ISNUMBER(T24),T24,0)-(AA24-IF(ISNUMBER(V24),V24,0)),"")</f>
        <v/>
      </c>
      <c r="AU24" s="17">
        <f>IF(AND(ISNUMBER(Z24),ISNUMBER(AB24)),Z24-IF(ISNUMBER(U24),U24,0)-(AB24-IF(ISNUMBER(W24),W24,0)),"")</f>
        <v/>
      </c>
      <c r="AV24" s="17">
        <f>IF(AND(ISNUMBER(AT24),ISNUMBER(AU24)),AT24-AU24,"")</f>
        <v/>
      </c>
      <c r="AW24" s="17">
        <f>IF(AND(ISNUMBER(L24),ISNUMBER(M24),ISNUMBER(AF24)),L24-M24*(1-AF24),IF(ISNUMBER(L24),L24,""))</f>
        <v/>
      </c>
      <c r="AX24" s="17">
        <f>IF(E24="금융","",IF(AND(ISNUMBER(AW24),ISNUMBER(N24),ISNUMBER(O24),ISNUMBER(AV24)),AW24+N24-O24-AV24,IF(AND(ISNUMBER(P24),ISNUMBER(O24)),P24-O24-IF(ISNUMBER(Q24),Q24,0),"")))</f>
        <v/>
      </c>
      <c r="AY24" s="8">
        <f>IF(E24="금융","금융업 - 정의되지 않음",IF(AND(ISNUMBER(AW24),ISNUMBER(N24),ISNUMBER(O24),ISNUMBER(AV24)),"영업순이익+감가상각-설비투자-운전자본증감",IF(AND(ISNUMBER(P24),ISNUMBER(O24)),IF(ISNUMBER(Q24),"영업현금흐름-설비투자-주식보상비용","영업현금흐름-설비투자(주식보상비용 미태깅)"),"산출불가")))</f>
        <v/>
      </c>
      <c r="AZ24" s="19">
        <f>IF(AND(ISNUMBER(AX24),ISNUMBER(G24),G24&lt;&gt;0),AX24/G24,"")</f>
        <v/>
      </c>
      <c r="BA24" s="19">
        <f>IF(AND(ISNUMBER(AE24),ISNUMBER(G24),G24&lt;&gt;0),AE24/G24,"")</f>
        <v/>
      </c>
    </row>
    <row r="25">
      <c r="A25" s="8" t="inlineStr">
        <is>
          <t>AAPL</t>
        </is>
      </c>
      <c r="B25" s="8" t="inlineStr">
        <is>
          <t>Apple Inc.</t>
        </is>
      </c>
      <c r="C25" s="8" t="n">
        <v>2022</v>
      </c>
      <c r="D25" s="8" t="inlineStr">
        <is>
          <t>2022-09-24</t>
        </is>
      </c>
      <c r="E25" s="8" t="inlineStr">
        <is>
          <t>일반</t>
        </is>
      </c>
      <c r="F25" s="8" t="inlineStr">
        <is>
          <t>0000320193-24-000123</t>
        </is>
      </c>
      <c r="G25" s="15" t="n">
        <v>394.328</v>
      </c>
      <c r="H25" s="15" t="n">
        <v>119.103</v>
      </c>
      <c r="I25" s="15" t="n">
        <v>2.931</v>
      </c>
      <c r="J25" s="15" t="n">
        <v>19.3</v>
      </c>
      <c r="K25" s="15" t="n">
        <v>119.437</v>
      </c>
      <c r="L25" s="15" t="n">
        <v>99.803</v>
      </c>
      <c r="M25" s="15" t="n"/>
      <c r="N25" s="15" t="n">
        <v>11.104</v>
      </c>
      <c r="O25" s="15" t="n">
        <v>10.708</v>
      </c>
      <c r="P25" s="15" t="n">
        <v>122.151</v>
      </c>
      <c r="Q25" s="15" t="n">
        <v>9.038</v>
      </c>
      <c r="R25" s="15" t="n">
        <v>50.672</v>
      </c>
      <c r="S25" s="15" t="n">
        <v>63.09</v>
      </c>
      <c r="T25" s="15" t="n">
        <v>48.304</v>
      </c>
      <c r="U25" s="15" t="n">
        <v>62.639</v>
      </c>
      <c r="V25" s="15" t="n">
        <v>11.128</v>
      </c>
      <c r="W25" s="15" t="n">
        <v>9.613</v>
      </c>
      <c r="X25" s="15" t="n">
        <v>98.959</v>
      </c>
      <c r="Y25" s="15" t="n">
        <v>135.405</v>
      </c>
      <c r="Z25" s="15" t="n">
        <v>134.836</v>
      </c>
      <c r="AA25" s="15" t="n">
        <v>153.982</v>
      </c>
      <c r="AB25" s="15" t="n">
        <v>125.481</v>
      </c>
      <c r="AC25" s="15" t="n">
        <v>119.17</v>
      </c>
      <c r="AD25" s="16" t="n">
        <v>15943.425</v>
      </c>
      <c r="AE25" s="17">
        <f>IF(ISNUMBER(K25),K25,IF(AND(ISNUMBER(H25),ISNUMBER(I25)),H25+I25,IF(ISNUMBER(H25),H25,"")))</f>
        <v/>
      </c>
      <c r="AF25" s="18">
        <f>IF(OR(NOT(ISNUMBER(J25)),NOT(ISNUMBER(H25)),H25&lt;=0),기준표!$B$8,MIN(MAX(J25/H25,기준표!$B$6),기준표!$B$7))</f>
        <v/>
      </c>
      <c r="AG25" s="17">
        <f>IF(ISNUMBER(AE25),AE25*(1-AF25),"")</f>
        <v/>
      </c>
      <c r="AH25" s="17">
        <f>IF(AND(NOT(ISNUMBER(V25)),NOT(ISNUMBER(X25))),"",IF(ISNUMBER(V25),V25,0)+IF(ISNUMBER(X25),X25,0))</f>
        <v/>
      </c>
      <c r="AI25" s="17">
        <f>IF(E25="금융","",IF(AND(ISNUMBER(R25),ISNUMBER(AH25),ISNUMBER(T25)),R25+AH25-T25,""))</f>
        <v/>
      </c>
      <c r="AJ25" s="17">
        <f>IF(E25="금융","",IF(NOT(ISNUMBER(AI25)),"",IF(ISNUMBER(AC25),(AI25+AC25)/2,AI25)))</f>
        <v/>
      </c>
      <c r="AK25" s="19">
        <f>IF(AND(ISNUMBER(AG25),ISNUMBER(AJ25),AJ25&gt;0),AG25/AJ25,"")</f>
        <v/>
      </c>
      <c r="AL25" s="17">
        <f>IF(E25="금융","",IF(AND(ISNUMBER(R25),ISNUMBER(AH25)),R25+AH25,""))</f>
        <v/>
      </c>
      <c r="AM25" s="19">
        <f>IF(OR(NOT(ISNUMBER(AG25)),NOT(ISNUMBER(AL25)),AL25&lt;=0),"",IF(AND(ISNUMBER(G25),AL25&lt;0.1*G25),"",AG25/AL25))</f>
        <v/>
      </c>
      <c r="AN25" s="17">
        <f>IF(NOT(ISNUMBER(R25)),"",IF(ISNUMBER(S25),(R25+S25)/2,R25))</f>
        <v/>
      </c>
      <c r="AO25" s="19">
        <f>IF(AND(ISNUMBER(L25),ISNUMBER(AN25),AN25&gt;0),L25/AN25,"")</f>
        <v/>
      </c>
      <c r="AP25" s="19">
        <f>IF(AND(ISNUMBER(AO25),ISNUMBER({ROIC})),AO25-{ROIC},"")</f>
        <v/>
      </c>
      <c r="AQ25" s="17">
        <f>IF(AND(ISNUMBER(AE25),ISNUMBER(N25)),AE25+N25,"")</f>
        <v/>
      </c>
      <c r="AR25" s="20">
        <f>IF(AND(ISNUMBER(AH25),ISNUMBER(T25),ISNUMBER(AQ25),AQ25&gt;0),(AH25-T25)/AQ25,"")</f>
        <v/>
      </c>
      <c r="AS25" s="20">
        <f>IF(AND(ISNUMBER(AE25),ISNUMBER(I25),I25&lt;&gt;0,AE25&gt;0),AE25/I25,"")</f>
        <v/>
      </c>
      <c r="AT25" s="17">
        <f>IF(AND(ISNUMBER(Y25),ISNUMBER(AA25)),Y25-IF(ISNUMBER(T25),T25,0)-(AA25-IF(ISNUMBER(V25),V25,0)),"")</f>
        <v/>
      </c>
      <c r="AU25" s="17">
        <f>IF(AND(ISNUMBER(Z25),ISNUMBER(AB25)),Z25-IF(ISNUMBER(U25),U25,0)-(AB25-IF(ISNUMBER(W25),W25,0)),"")</f>
        <v/>
      </c>
      <c r="AV25" s="17">
        <f>IF(AND(ISNUMBER(AT25),ISNUMBER(AU25)),AT25-AU25,"")</f>
        <v/>
      </c>
      <c r="AW25" s="17">
        <f>IF(AND(ISNUMBER(L25),ISNUMBER(M25),ISNUMBER(AF25)),L25-M25*(1-AF25),IF(ISNUMBER(L25),L25,""))</f>
        <v/>
      </c>
      <c r="AX25" s="17">
        <f>IF(E25="금융","",IF(AND(ISNUMBER(AW25),ISNUMBER(N25),ISNUMBER(O25),ISNUMBER(AV25)),AW25+N25-O25-AV25,IF(AND(ISNUMBER(P25),ISNUMBER(O25)),P25-O25-IF(ISNUMBER(Q25),Q25,0),"")))</f>
        <v/>
      </c>
      <c r="AY25" s="8">
        <f>IF(E25="금융","금융업 - 정의되지 않음",IF(AND(ISNUMBER(AW25),ISNUMBER(N25),ISNUMBER(O25),ISNUMBER(AV25)),"영업순이익+감가상각-설비투자-운전자본증감",IF(AND(ISNUMBER(P25),ISNUMBER(O25)),IF(ISNUMBER(Q25),"영업현금흐름-설비투자-주식보상비용","영업현금흐름-설비투자(주식보상비용 미태깅)"),"산출불가")))</f>
        <v/>
      </c>
      <c r="AZ25" s="19">
        <f>IF(AND(ISNUMBER(AX25),ISNUMBER(G25),G25&lt;&gt;0),AX25/G25,"")</f>
        <v/>
      </c>
      <c r="BA25" s="19">
        <f>IF(AND(ISNUMBER(AE25),ISNUMBER(G25),G25&lt;&gt;0),AE25/G25,"")</f>
        <v/>
      </c>
    </row>
    <row r="26">
      <c r="A26" s="8" t="inlineStr">
        <is>
          <t>AAPL</t>
        </is>
      </c>
      <c r="B26" s="8" t="inlineStr">
        <is>
          <t>Apple Inc.</t>
        </is>
      </c>
      <c r="C26" s="8" t="n">
        <v>2023</v>
      </c>
      <c r="D26" s="8" t="inlineStr">
        <is>
          <t>2023-09-30</t>
        </is>
      </c>
      <c r="E26" s="8" t="inlineStr">
        <is>
          <t>일반</t>
        </is>
      </c>
      <c r="F26" s="8" t="inlineStr">
        <is>
          <t>0000320193-25-000079</t>
        </is>
      </c>
      <c r="G26" s="15" t="n">
        <v>383.285</v>
      </c>
      <c r="H26" s="15" t="n">
        <v>113.736</v>
      </c>
      <c r="I26" s="15" t="n">
        <v>3.933</v>
      </c>
      <c r="J26" s="15" t="n">
        <v>16.741</v>
      </c>
      <c r="K26" s="15" t="n">
        <v>114.301</v>
      </c>
      <c r="L26" s="15" t="n">
        <v>96.995</v>
      </c>
      <c r="M26" s="15" t="n"/>
      <c r="N26" s="15" t="n">
        <v>11.519</v>
      </c>
      <c r="O26" s="15" t="n">
        <v>10.959</v>
      </c>
      <c r="P26" s="15" t="n">
        <v>110.543</v>
      </c>
      <c r="Q26" s="15" t="n">
        <v>10.833</v>
      </c>
      <c r="R26" s="15" t="n">
        <v>62.146</v>
      </c>
      <c r="S26" s="15" t="n">
        <v>50.672</v>
      </c>
      <c r="T26" s="15" t="n">
        <v>61.555</v>
      </c>
      <c r="U26" s="15" t="n">
        <v>48.304</v>
      </c>
      <c r="V26" s="15" t="n">
        <v>9.821999999999999</v>
      </c>
      <c r="W26" s="15" t="n">
        <v>11.128</v>
      </c>
      <c r="X26" s="15" t="n">
        <v>95.28100000000001</v>
      </c>
      <c r="Y26" s="15" t="n">
        <v>143.566</v>
      </c>
      <c r="Z26" s="15" t="n">
        <v>135.405</v>
      </c>
      <c r="AA26" s="15" t="n">
        <v>145.308</v>
      </c>
      <c r="AB26" s="15" t="n">
        <v>153.982</v>
      </c>
      <c r="AC26" s="15" t="n">
        <v>112.455</v>
      </c>
      <c r="AD26" s="16" t="n">
        <v>15550.061</v>
      </c>
      <c r="AE26" s="17">
        <f>IF(ISNUMBER(K26),K26,IF(AND(ISNUMBER(H26),ISNUMBER(I26)),H26+I26,IF(ISNUMBER(H26),H26,"")))</f>
        <v/>
      </c>
      <c r="AF26" s="18">
        <f>IF(OR(NOT(ISNUMBER(J26)),NOT(ISNUMBER(H26)),H26&lt;=0),기준표!$B$8,MIN(MAX(J26/H26,기준표!$B$6),기준표!$B$7))</f>
        <v/>
      </c>
      <c r="AG26" s="17">
        <f>IF(ISNUMBER(AE26),AE26*(1-AF26),"")</f>
        <v/>
      </c>
      <c r="AH26" s="17">
        <f>IF(AND(NOT(ISNUMBER(V26)),NOT(ISNUMBER(X26))),"",IF(ISNUMBER(V26),V26,0)+IF(ISNUMBER(X26),X26,0))</f>
        <v/>
      </c>
      <c r="AI26" s="17">
        <f>IF(E26="금융","",IF(AND(ISNUMBER(R26),ISNUMBER(AH26),ISNUMBER(T26)),R26+AH26-T26,""))</f>
        <v/>
      </c>
      <c r="AJ26" s="17">
        <f>IF(E26="금융","",IF(NOT(ISNUMBER(AI26)),"",IF(ISNUMBER(AC26),(AI26+AC26)/2,AI26)))</f>
        <v/>
      </c>
      <c r="AK26" s="19">
        <f>IF(AND(ISNUMBER(AG26),ISNUMBER(AJ26),AJ26&gt;0),AG26/AJ26,"")</f>
        <v/>
      </c>
      <c r="AL26" s="17">
        <f>IF(E26="금융","",IF(AND(ISNUMBER(R26),ISNUMBER(AH26)),R26+AH26,""))</f>
        <v/>
      </c>
      <c r="AM26" s="19">
        <f>IF(OR(NOT(ISNUMBER(AG26)),NOT(ISNUMBER(AL26)),AL26&lt;=0),"",IF(AND(ISNUMBER(G26),AL26&lt;0.1*G26),"",AG26/AL26))</f>
        <v/>
      </c>
      <c r="AN26" s="17">
        <f>IF(NOT(ISNUMBER(R26)),"",IF(ISNUMBER(S26),(R26+S26)/2,R26))</f>
        <v/>
      </c>
      <c r="AO26" s="19">
        <f>IF(AND(ISNUMBER(L26),ISNUMBER(AN26),AN26&gt;0),L26/AN26,"")</f>
        <v/>
      </c>
      <c r="AP26" s="19">
        <f>IF(AND(ISNUMBER(AO26),ISNUMBER({ROIC})),AO26-{ROIC},"")</f>
        <v/>
      </c>
      <c r="AQ26" s="17">
        <f>IF(AND(ISNUMBER(AE26),ISNUMBER(N26)),AE26+N26,"")</f>
        <v/>
      </c>
      <c r="AR26" s="20">
        <f>IF(AND(ISNUMBER(AH26),ISNUMBER(T26),ISNUMBER(AQ26),AQ26&gt;0),(AH26-T26)/AQ26,"")</f>
        <v/>
      </c>
      <c r="AS26" s="20">
        <f>IF(AND(ISNUMBER(AE26),ISNUMBER(I26),I26&lt;&gt;0,AE26&gt;0),AE26/I26,"")</f>
        <v/>
      </c>
      <c r="AT26" s="17">
        <f>IF(AND(ISNUMBER(Y26),ISNUMBER(AA26)),Y26-IF(ISNUMBER(T26),T26,0)-(AA26-IF(ISNUMBER(V26),V26,0)),"")</f>
        <v/>
      </c>
      <c r="AU26" s="17">
        <f>IF(AND(ISNUMBER(Z26),ISNUMBER(AB26)),Z26-IF(ISNUMBER(U26),U26,0)-(AB26-IF(ISNUMBER(W26),W26,0)),"")</f>
        <v/>
      </c>
      <c r="AV26" s="17">
        <f>IF(AND(ISNUMBER(AT26),ISNUMBER(AU26)),AT26-AU26,"")</f>
        <v/>
      </c>
      <c r="AW26" s="17">
        <f>IF(AND(ISNUMBER(L26),ISNUMBER(M26),ISNUMBER(AF26)),L26-M26*(1-AF26),IF(ISNUMBER(L26),L26,""))</f>
        <v/>
      </c>
      <c r="AX26" s="17">
        <f>IF(E26="금융","",IF(AND(ISNUMBER(AW26),ISNUMBER(N26),ISNUMBER(O26),ISNUMBER(AV26)),AW26+N26-O26-AV26,IF(AND(ISNUMBER(P26),ISNUMBER(O26)),P26-O26-IF(ISNUMBER(Q26),Q26,0),"")))</f>
        <v/>
      </c>
      <c r="AY26" s="8">
        <f>IF(E26="금융","금융업 - 정의되지 않음",IF(AND(ISNUMBER(AW26),ISNUMBER(N26),ISNUMBER(O26),ISNUMBER(AV26)),"영업순이익+감가상각-설비투자-운전자본증감",IF(AND(ISNUMBER(P26),ISNUMBER(O26)),IF(ISNUMBER(Q26),"영업현금흐름-설비투자-주식보상비용","영업현금흐름-설비투자(주식보상비용 미태깅)"),"산출불가")))</f>
        <v/>
      </c>
      <c r="AZ26" s="19">
        <f>IF(AND(ISNUMBER(AX26),ISNUMBER(G26),G26&lt;&gt;0),AX26/G26,"")</f>
        <v/>
      </c>
      <c r="BA26" s="19">
        <f>IF(AND(ISNUMBER(AE26),ISNUMBER(G26),G26&lt;&gt;0),AE26/G26,"")</f>
        <v/>
      </c>
    </row>
    <row r="27">
      <c r="A27" s="8" t="inlineStr">
        <is>
          <t>AAPL</t>
        </is>
      </c>
      <c r="B27" s="8" t="inlineStr">
        <is>
          <t>Apple Inc.</t>
        </is>
      </c>
      <c r="C27" s="8" t="n">
        <v>2024</v>
      </c>
      <c r="D27" s="8" t="inlineStr">
        <is>
          <t>2024-09-28</t>
        </is>
      </c>
      <c r="E27" s="8" t="inlineStr">
        <is>
          <t>일반</t>
        </is>
      </c>
      <c r="F27" s="8" t="inlineStr">
        <is>
          <t>0000320193-25-000079</t>
        </is>
      </c>
      <c r="G27" s="15" t="n">
        <v>391.035</v>
      </c>
      <c r="H27" s="15" t="n">
        <v>123.485</v>
      </c>
      <c r="I27" s="15" t="n"/>
      <c r="J27" s="15" t="n">
        <v>29.749</v>
      </c>
      <c r="K27" s="15" t="n">
        <v>123.216</v>
      </c>
      <c r="L27" s="15" t="n">
        <v>93.736</v>
      </c>
      <c r="M27" s="15" t="n"/>
      <c r="N27" s="15" t="n">
        <v>11.445</v>
      </c>
      <c r="O27" s="15" t="n">
        <v>9.446999999999999</v>
      </c>
      <c r="P27" s="15" t="n">
        <v>118.254</v>
      </c>
      <c r="Q27" s="15" t="n">
        <v>11.688</v>
      </c>
      <c r="R27" s="15" t="n">
        <v>56.95</v>
      </c>
      <c r="S27" s="15" t="n">
        <v>62.146</v>
      </c>
      <c r="T27" s="15" t="n">
        <v>65.17100000000001</v>
      </c>
      <c r="U27" s="15" t="n">
        <v>61.555</v>
      </c>
      <c r="V27" s="15" t="n">
        <v>10.912</v>
      </c>
      <c r="W27" s="15" t="n">
        <v>9.821999999999999</v>
      </c>
      <c r="X27" s="15" t="n">
        <v>85.75</v>
      </c>
      <c r="Y27" s="15" t="n">
        <v>152.987</v>
      </c>
      <c r="Z27" s="15" t="n">
        <v>143.566</v>
      </c>
      <c r="AA27" s="15" t="n">
        <v>176.392</v>
      </c>
      <c r="AB27" s="15" t="n">
        <v>145.308</v>
      </c>
      <c r="AC27" s="15" t="n">
        <v>105.694</v>
      </c>
      <c r="AD27" s="16" t="n">
        <v>15116.786</v>
      </c>
      <c r="AE27" s="17">
        <f>IF(ISNUMBER(K27),K27,IF(AND(ISNUMBER(H27),ISNUMBER(I27)),H27+I27,IF(ISNUMBER(H27),H27,"")))</f>
        <v/>
      </c>
      <c r="AF27" s="18">
        <f>IF(OR(NOT(ISNUMBER(J27)),NOT(ISNUMBER(H27)),H27&lt;=0),기준표!$B$8,MIN(MAX(J27/H27,기준표!$B$6),기준표!$B$7))</f>
        <v/>
      </c>
      <c r="AG27" s="17">
        <f>IF(ISNUMBER(AE27),AE27*(1-AF27),"")</f>
        <v/>
      </c>
      <c r="AH27" s="17">
        <f>IF(AND(NOT(ISNUMBER(V27)),NOT(ISNUMBER(X27))),"",IF(ISNUMBER(V27),V27,0)+IF(ISNUMBER(X27),X27,0))</f>
        <v/>
      </c>
      <c r="AI27" s="17">
        <f>IF(E27="금융","",IF(AND(ISNUMBER(R27),ISNUMBER(AH27),ISNUMBER(T27)),R27+AH27-T27,""))</f>
        <v/>
      </c>
      <c r="AJ27" s="17">
        <f>IF(E27="금융","",IF(NOT(ISNUMBER(AI27)),"",IF(ISNUMBER(AC27),(AI27+AC27)/2,AI27)))</f>
        <v/>
      </c>
      <c r="AK27" s="19">
        <f>IF(AND(ISNUMBER(AG27),ISNUMBER(AJ27),AJ27&gt;0),AG27/AJ27,"")</f>
        <v/>
      </c>
      <c r="AL27" s="17">
        <f>IF(E27="금융","",IF(AND(ISNUMBER(R27),ISNUMBER(AH27)),R27+AH27,""))</f>
        <v/>
      </c>
      <c r="AM27" s="19">
        <f>IF(OR(NOT(ISNUMBER(AG27)),NOT(ISNUMBER(AL27)),AL27&lt;=0),"",IF(AND(ISNUMBER(G27),AL27&lt;0.1*G27),"",AG27/AL27))</f>
        <v/>
      </c>
      <c r="AN27" s="17">
        <f>IF(NOT(ISNUMBER(R27)),"",IF(ISNUMBER(S27),(R27+S27)/2,R27))</f>
        <v/>
      </c>
      <c r="AO27" s="19">
        <f>IF(AND(ISNUMBER(L27),ISNUMBER(AN27),AN27&gt;0),L27/AN27,"")</f>
        <v/>
      </c>
      <c r="AP27" s="19">
        <f>IF(AND(ISNUMBER(AO27),ISNUMBER({ROIC})),AO27-{ROIC},"")</f>
        <v/>
      </c>
      <c r="AQ27" s="17">
        <f>IF(AND(ISNUMBER(AE27),ISNUMBER(N27)),AE27+N27,"")</f>
        <v/>
      </c>
      <c r="AR27" s="20">
        <f>IF(AND(ISNUMBER(AH27),ISNUMBER(T27),ISNUMBER(AQ27),AQ27&gt;0),(AH27-T27)/AQ27,"")</f>
        <v/>
      </c>
      <c r="AS27" s="20">
        <f>IF(AND(ISNUMBER(AE27),ISNUMBER(I27),I27&lt;&gt;0,AE27&gt;0),AE27/I27,"")</f>
        <v/>
      </c>
      <c r="AT27" s="17">
        <f>IF(AND(ISNUMBER(Y27),ISNUMBER(AA27)),Y27-IF(ISNUMBER(T27),T27,0)-(AA27-IF(ISNUMBER(V27),V27,0)),"")</f>
        <v/>
      </c>
      <c r="AU27" s="17">
        <f>IF(AND(ISNUMBER(Z27),ISNUMBER(AB27)),Z27-IF(ISNUMBER(U27),U27,0)-(AB27-IF(ISNUMBER(W27),W27,0)),"")</f>
        <v/>
      </c>
      <c r="AV27" s="17">
        <f>IF(AND(ISNUMBER(AT27),ISNUMBER(AU27)),AT27-AU27,"")</f>
        <v/>
      </c>
      <c r="AW27" s="17">
        <f>IF(AND(ISNUMBER(L27),ISNUMBER(M27),ISNUMBER(AF27)),L27-M27*(1-AF27),IF(ISNUMBER(L27),L27,""))</f>
        <v/>
      </c>
      <c r="AX27" s="17">
        <f>IF(E27="금융","",IF(AND(ISNUMBER(AW27),ISNUMBER(N27),ISNUMBER(O27),ISNUMBER(AV27)),AW27+N27-O27-AV27,IF(AND(ISNUMBER(P27),ISNUMBER(O27)),P27-O27-IF(ISNUMBER(Q27),Q27,0),"")))</f>
        <v/>
      </c>
      <c r="AY27" s="8">
        <f>IF(E27="금융","금융업 - 정의되지 않음",IF(AND(ISNUMBER(AW27),ISNUMBER(N27),ISNUMBER(O27),ISNUMBER(AV27)),"영업순이익+감가상각-설비투자-운전자본증감",IF(AND(ISNUMBER(P27),ISNUMBER(O27)),IF(ISNUMBER(Q27),"영업현금흐름-설비투자-주식보상비용","영업현금흐름-설비투자(주식보상비용 미태깅)"),"산출불가")))</f>
        <v/>
      </c>
      <c r="AZ27" s="19">
        <f>IF(AND(ISNUMBER(AX27),ISNUMBER(G27),G27&lt;&gt;0),AX27/G27,"")</f>
        <v/>
      </c>
      <c r="BA27" s="19">
        <f>IF(AND(ISNUMBER(AE27),ISNUMBER(G27),G27&lt;&gt;0),AE27/G27,"")</f>
        <v/>
      </c>
    </row>
    <row r="28">
      <c r="A28" s="8" t="inlineStr">
        <is>
          <t>AAPL</t>
        </is>
      </c>
      <c r="B28" s="8" t="inlineStr">
        <is>
          <t>Apple Inc.</t>
        </is>
      </c>
      <c r="C28" s="8" t="n">
        <v>2025</v>
      </c>
      <c r="D28" s="8" t="inlineStr">
        <is>
          <t>2025-09-27</t>
        </is>
      </c>
      <c r="E28" s="8" t="inlineStr">
        <is>
          <t>일반</t>
        </is>
      </c>
      <c r="F28" s="8" t="inlineStr">
        <is>
          <t>0000320193-25-000079</t>
        </is>
      </c>
      <c r="G28" s="15" t="n">
        <v>416.161</v>
      </c>
      <c r="H28" s="15" t="n">
        <v>132.729</v>
      </c>
      <c r="I28" s="15" t="n"/>
      <c r="J28" s="15" t="n">
        <v>20.719</v>
      </c>
      <c r="K28" s="15" t="n">
        <v>133.05</v>
      </c>
      <c r="L28" s="15" t="n">
        <v>112.01</v>
      </c>
      <c r="M28" s="15" t="n"/>
      <c r="N28" s="15" t="n">
        <v>11.698</v>
      </c>
      <c r="O28" s="15" t="n">
        <v>12.715</v>
      </c>
      <c r="P28" s="15" t="n">
        <v>111.482</v>
      </c>
      <c r="Q28" s="15" t="n">
        <v>12.863</v>
      </c>
      <c r="R28" s="15" t="n">
        <v>73.733</v>
      </c>
      <c r="S28" s="15" t="n">
        <v>56.95</v>
      </c>
      <c r="T28" s="15" t="n">
        <v>54.697</v>
      </c>
      <c r="U28" s="15" t="n">
        <v>65.17100000000001</v>
      </c>
      <c r="V28" s="15" t="n">
        <v>12.35</v>
      </c>
      <c r="W28" s="15" t="n">
        <v>10.912</v>
      </c>
      <c r="X28" s="15" t="n">
        <v>78.328</v>
      </c>
      <c r="Y28" s="15" t="n">
        <v>147.957</v>
      </c>
      <c r="Z28" s="15" t="n">
        <v>152.987</v>
      </c>
      <c r="AA28" s="15" t="n">
        <v>165.631</v>
      </c>
      <c r="AB28" s="15" t="n">
        <v>176.392</v>
      </c>
      <c r="AC28" s="15" t="n">
        <v>88.441</v>
      </c>
      <c r="AD28" s="16" t="n">
        <v>14773.26</v>
      </c>
      <c r="AE28" s="17">
        <f>IF(ISNUMBER(K28),K28,IF(AND(ISNUMBER(H28),ISNUMBER(I28)),H28+I28,IF(ISNUMBER(H28),H28,"")))</f>
        <v/>
      </c>
      <c r="AF28" s="18">
        <f>IF(OR(NOT(ISNUMBER(J28)),NOT(ISNUMBER(H28)),H28&lt;=0),기준표!$B$8,MIN(MAX(J28/H28,기준표!$B$6),기준표!$B$7))</f>
        <v/>
      </c>
      <c r="AG28" s="17">
        <f>IF(ISNUMBER(AE28),AE28*(1-AF28),"")</f>
        <v/>
      </c>
      <c r="AH28" s="17">
        <f>IF(AND(NOT(ISNUMBER(V28)),NOT(ISNUMBER(X28))),"",IF(ISNUMBER(V28),V28,0)+IF(ISNUMBER(X28),X28,0))</f>
        <v/>
      </c>
      <c r="AI28" s="17">
        <f>IF(E28="금융","",IF(AND(ISNUMBER(R28),ISNUMBER(AH28),ISNUMBER(T28)),R28+AH28-T28,""))</f>
        <v/>
      </c>
      <c r="AJ28" s="17">
        <f>IF(E28="금융","",IF(NOT(ISNUMBER(AI28)),"",IF(ISNUMBER(AC28),(AI28+AC28)/2,AI28)))</f>
        <v/>
      </c>
      <c r="AK28" s="19">
        <f>IF(AND(ISNUMBER(AG28),ISNUMBER(AJ28),AJ28&gt;0),AG28/AJ28,"")</f>
        <v/>
      </c>
      <c r="AL28" s="17">
        <f>IF(E28="금융","",IF(AND(ISNUMBER(R28),ISNUMBER(AH28)),R28+AH28,""))</f>
        <v/>
      </c>
      <c r="AM28" s="19">
        <f>IF(OR(NOT(ISNUMBER(AG28)),NOT(ISNUMBER(AL28)),AL28&lt;=0),"",IF(AND(ISNUMBER(G28),AL28&lt;0.1*G28),"",AG28/AL28))</f>
        <v/>
      </c>
      <c r="AN28" s="17">
        <f>IF(NOT(ISNUMBER(R28)),"",IF(ISNUMBER(S28),(R28+S28)/2,R28))</f>
        <v/>
      </c>
      <c r="AO28" s="19">
        <f>IF(AND(ISNUMBER(L28),ISNUMBER(AN28),AN28&gt;0),L28/AN28,"")</f>
        <v/>
      </c>
      <c r="AP28" s="19">
        <f>IF(AND(ISNUMBER(AO28),ISNUMBER({ROIC})),AO28-{ROIC},"")</f>
        <v/>
      </c>
      <c r="AQ28" s="17">
        <f>IF(AND(ISNUMBER(AE28),ISNUMBER(N28)),AE28+N28,"")</f>
        <v/>
      </c>
      <c r="AR28" s="20">
        <f>IF(AND(ISNUMBER(AH28),ISNUMBER(T28),ISNUMBER(AQ28),AQ28&gt;0),(AH28-T28)/AQ28,"")</f>
        <v/>
      </c>
      <c r="AS28" s="20">
        <f>IF(AND(ISNUMBER(AE28),ISNUMBER(I28),I28&lt;&gt;0,AE28&gt;0),AE28/I28,"")</f>
        <v/>
      </c>
      <c r="AT28" s="17">
        <f>IF(AND(ISNUMBER(Y28),ISNUMBER(AA28)),Y28-IF(ISNUMBER(T28),T28,0)-(AA28-IF(ISNUMBER(V28),V28,0)),"")</f>
        <v/>
      </c>
      <c r="AU28" s="17">
        <f>IF(AND(ISNUMBER(Z28),ISNUMBER(AB28)),Z28-IF(ISNUMBER(U28),U28,0)-(AB28-IF(ISNUMBER(W28),W28,0)),"")</f>
        <v/>
      </c>
      <c r="AV28" s="17">
        <f>IF(AND(ISNUMBER(AT28),ISNUMBER(AU28)),AT28-AU28,"")</f>
        <v/>
      </c>
      <c r="AW28" s="17">
        <f>IF(AND(ISNUMBER(L28),ISNUMBER(M28),ISNUMBER(AF28)),L28-M28*(1-AF28),IF(ISNUMBER(L28),L28,""))</f>
        <v/>
      </c>
      <c r="AX28" s="17">
        <f>IF(E28="금융","",IF(AND(ISNUMBER(AW28),ISNUMBER(N28),ISNUMBER(O28),ISNUMBER(AV28)),AW28+N28-O28-AV28,IF(AND(ISNUMBER(P28),ISNUMBER(O28)),P28-O28-IF(ISNUMBER(Q28),Q28,0),"")))</f>
        <v/>
      </c>
      <c r="AY28" s="8">
        <f>IF(E28="금융","금융업 - 정의되지 않음",IF(AND(ISNUMBER(AW28),ISNUMBER(N28),ISNUMBER(O28),ISNUMBER(AV28)),"영업순이익+감가상각-설비투자-운전자본증감",IF(AND(ISNUMBER(P28),ISNUMBER(O28)),IF(ISNUMBER(Q28),"영업현금흐름-설비투자-주식보상비용","영업현금흐름-설비투자(주식보상비용 미태깅)"),"산출불가")))</f>
        <v/>
      </c>
      <c r="AZ28" s="19">
        <f>IF(AND(ISNUMBER(AX28),ISNUMBER(G28),G28&lt;&gt;0),AX28/G28,"")</f>
        <v/>
      </c>
      <c r="BA28" s="19">
        <f>IF(AND(ISNUMBER(AE28),ISNUMBER(G28),G28&lt;&gt;0),AE28/G28,"")</f>
        <v/>
      </c>
    </row>
    <row r="29">
      <c r="A29" s="8" t="inlineStr">
        <is>
          <t>GOOG</t>
        </is>
      </c>
      <c r="B29" s="8" t="inlineStr">
        <is>
          <t>Alphabet Inc.</t>
        </is>
      </c>
      <c r="C29" s="8" t="n">
        <v>2014</v>
      </c>
      <c r="D29" s="8" t="inlineStr">
        <is>
          <t>2014-12-31</t>
        </is>
      </c>
      <c r="E29" s="8" t="inlineStr">
        <is>
          <t>일반</t>
        </is>
      </c>
      <c r="F29" s="8" t="inlineStr">
        <is>
          <t>0001652044-17-000008</t>
        </is>
      </c>
      <c r="G29" s="15" t="n">
        <v>66.001</v>
      </c>
      <c r="H29" s="15" t="n">
        <v>17.259</v>
      </c>
      <c r="I29" s="15" t="n"/>
      <c r="J29" s="15" t="n">
        <v>3.639</v>
      </c>
      <c r="K29" s="15" t="n">
        <v>16.496</v>
      </c>
      <c r="L29" s="15" t="n">
        <v>14.136</v>
      </c>
      <c r="M29" s="15" t="n"/>
      <c r="N29" s="15" t="n"/>
      <c r="O29" s="15" t="n">
        <v>11.014</v>
      </c>
      <c r="P29" s="15" t="n">
        <v>23.024</v>
      </c>
      <c r="Q29" s="15" t="n">
        <v>4.279</v>
      </c>
      <c r="R29" s="15" t="n">
        <v>103.86</v>
      </c>
      <c r="S29" s="15" t="n"/>
      <c r="T29" s="15" t="n">
        <v>64.395</v>
      </c>
      <c r="U29" s="15" t="n"/>
      <c r="V29" s="15" t="n">
        <v>2</v>
      </c>
      <c r="W29" s="15" t="n"/>
      <c r="X29" s="15" t="n"/>
      <c r="Y29" s="15" t="n">
        <v>78.65600000000001</v>
      </c>
      <c r="Z29" s="15" t="n"/>
      <c r="AA29" s="15" t="n">
        <v>16.779</v>
      </c>
      <c r="AB29" s="15" t="n"/>
      <c r="AC29" s="15" t="n"/>
      <c r="AD29" s="16" t="n">
        <v>13603.44</v>
      </c>
      <c r="AE29" s="17">
        <f>IF(ISNUMBER(K29),K29,IF(AND(ISNUMBER(H29),ISNUMBER(I29)),H29+I29,IF(ISNUMBER(H29),H29,"")))</f>
        <v/>
      </c>
      <c r="AF29" s="18">
        <f>IF(OR(NOT(ISNUMBER(J29)),NOT(ISNUMBER(H29)),H29&lt;=0),기준표!$B$8,MIN(MAX(J29/H29,기준표!$B$6),기준표!$B$7))</f>
        <v/>
      </c>
      <c r="AG29" s="17">
        <f>IF(ISNUMBER(AE29),AE29*(1-AF29),"")</f>
        <v/>
      </c>
      <c r="AH29" s="17">
        <f>IF(AND(NOT(ISNUMBER(V29)),NOT(ISNUMBER(X29))),"",IF(ISNUMBER(V29),V29,0)+IF(ISNUMBER(X29),X29,0))</f>
        <v/>
      </c>
      <c r="AI29" s="17">
        <f>IF(E29="금융","",IF(AND(ISNUMBER(R29),ISNUMBER(AH29),ISNUMBER(T29)),R29+AH29-T29,""))</f>
        <v/>
      </c>
      <c r="AJ29" s="17">
        <f>IF(E29="금융","",IF(NOT(ISNUMBER(AI29)),"",IF(ISNUMBER(AC29),(AI29+AC29)/2,AI29)))</f>
        <v/>
      </c>
      <c r="AK29" s="19">
        <f>IF(AND(ISNUMBER(AG29),ISNUMBER(AJ29),AJ29&gt;0),AG29/AJ29,"")</f>
        <v/>
      </c>
      <c r="AL29" s="17">
        <f>IF(E29="금융","",IF(AND(ISNUMBER(R29),ISNUMBER(AH29)),R29+AH29,""))</f>
        <v/>
      </c>
      <c r="AM29" s="19">
        <f>IF(OR(NOT(ISNUMBER(AG29)),NOT(ISNUMBER(AL29)),AL29&lt;=0),"",IF(AND(ISNUMBER(G29),AL29&lt;0.1*G29),"",AG29/AL29))</f>
        <v/>
      </c>
      <c r="AN29" s="17">
        <f>IF(NOT(ISNUMBER(R29)),"",IF(ISNUMBER(S29),(R29+S29)/2,R29))</f>
        <v/>
      </c>
      <c r="AO29" s="19">
        <f>IF(AND(ISNUMBER(L29),ISNUMBER(AN29),AN29&gt;0),L29/AN29,"")</f>
        <v/>
      </c>
      <c r="AP29" s="19">
        <f>IF(AND(ISNUMBER(AO29),ISNUMBER({ROIC})),AO29-{ROIC},"")</f>
        <v/>
      </c>
      <c r="AQ29" s="17">
        <f>IF(AND(ISNUMBER(AE29),ISNUMBER(N29)),AE29+N29,"")</f>
        <v/>
      </c>
      <c r="AR29" s="20">
        <f>IF(AND(ISNUMBER(AH29),ISNUMBER(T29),ISNUMBER(AQ29),AQ29&gt;0),(AH29-T29)/AQ29,"")</f>
        <v/>
      </c>
      <c r="AS29" s="20">
        <f>IF(AND(ISNUMBER(AE29),ISNUMBER(I29),I29&lt;&gt;0,AE29&gt;0),AE29/I29,"")</f>
        <v/>
      </c>
      <c r="AT29" s="17">
        <f>IF(AND(ISNUMBER(Y29),ISNUMBER(AA29)),Y29-IF(ISNUMBER(T29),T29,0)-(AA29-IF(ISNUMBER(V29),V29,0)),"")</f>
        <v/>
      </c>
      <c r="AU29" s="17">
        <f>IF(AND(ISNUMBER(Z29),ISNUMBER(AB29)),Z29-IF(ISNUMBER(U29),U29,0)-(AB29-IF(ISNUMBER(W29),W29,0)),"")</f>
        <v/>
      </c>
      <c r="AV29" s="17">
        <f>IF(AND(ISNUMBER(AT29),ISNUMBER(AU29)),AT29-AU29,"")</f>
        <v/>
      </c>
      <c r="AW29" s="17">
        <f>IF(AND(ISNUMBER(L29),ISNUMBER(M29),ISNUMBER(AF29)),L29-M29*(1-AF29),IF(ISNUMBER(L29),L29,""))</f>
        <v/>
      </c>
      <c r="AX29" s="17">
        <f>IF(E29="금융","",IF(AND(ISNUMBER(AW29),ISNUMBER(N29),ISNUMBER(O29),ISNUMBER(AV29)),AW29+N29-O29-AV29,IF(AND(ISNUMBER(P29),ISNUMBER(O29)),P29-O29-IF(ISNUMBER(Q29),Q29,0),"")))</f>
        <v/>
      </c>
      <c r="AY29" s="8">
        <f>IF(E29="금융","금융업 - 정의되지 않음",IF(AND(ISNUMBER(AW29),ISNUMBER(N29),ISNUMBER(O29),ISNUMBER(AV29)),"영업순이익+감가상각-설비투자-운전자본증감",IF(AND(ISNUMBER(P29),ISNUMBER(O29)),IF(ISNUMBER(Q29),"영업현금흐름-설비투자-주식보상비용","영업현금흐름-설비투자(주식보상비용 미태깅)"),"산출불가")))</f>
        <v/>
      </c>
      <c r="AZ29" s="19">
        <f>IF(AND(ISNUMBER(AX29),ISNUMBER(G29),G29&lt;&gt;0),AX29/G29,"")</f>
        <v/>
      </c>
      <c r="BA29" s="19">
        <f>IF(AND(ISNUMBER(AE29),ISNUMBER(G29),G29&lt;&gt;0),AE29/G29,"")</f>
        <v/>
      </c>
    </row>
    <row r="30">
      <c r="A30" s="8" t="inlineStr">
        <is>
          <t>GOOG</t>
        </is>
      </c>
      <c r="B30" s="8" t="inlineStr">
        <is>
          <t>Alphabet Inc.</t>
        </is>
      </c>
      <c r="C30" s="8" t="n">
        <v>2015</v>
      </c>
      <c r="D30" s="8" t="inlineStr">
        <is>
          <t>2015-12-31</t>
        </is>
      </c>
      <c r="E30" s="8" t="inlineStr">
        <is>
          <t>일반</t>
        </is>
      </c>
      <c r="F30" s="8" t="inlineStr">
        <is>
          <t>0001652044-18-000007</t>
        </is>
      </c>
      <c r="G30" s="15" t="n">
        <v>74.989</v>
      </c>
      <c r="H30" s="15" t="n">
        <v>19.7</v>
      </c>
      <c r="I30" s="15" t="n"/>
      <c r="J30" s="15" t="n">
        <v>3.303</v>
      </c>
      <c r="K30" s="15" t="n">
        <v>19.36</v>
      </c>
      <c r="L30" s="15" t="n">
        <v>16.348</v>
      </c>
      <c r="M30" s="15" t="n"/>
      <c r="N30" s="15" t="n"/>
      <c r="O30" s="15" t="n">
        <v>9.949999999999999</v>
      </c>
      <c r="P30" s="15" t="n">
        <v>26.572</v>
      </c>
      <c r="Q30" s="15" t="n">
        <v>5.203</v>
      </c>
      <c r="R30" s="15" t="n">
        <v>120.331</v>
      </c>
      <c r="S30" s="15" t="n">
        <v>103.86</v>
      </c>
      <c r="T30" s="15" t="n">
        <v>73.066</v>
      </c>
      <c r="U30" s="15" t="n">
        <v>64.395</v>
      </c>
      <c r="V30" s="15" t="n">
        <v>2</v>
      </c>
      <c r="W30" s="15" t="n">
        <v>2</v>
      </c>
      <c r="X30" s="15" t="n">
        <v>3.225</v>
      </c>
      <c r="Y30" s="15" t="n">
        <v>90.114</v>
      </c>
      <c r="Z30" s="15" t="n">
        <v>78.65600000000001</v>
      </c>
      <c r="AA30" s="15" t="n">
        <v>19.31</v>
      </c>
      <c r="AB30" s="15" t="n">
        <v>16.779</v>
      </c>
      <c r="AC30" s="15" t="n">
        <v>41.465</v>
      </c>
      <c r="AD30" s="16" t="n">
        <v>13746.96</v>
      </c>
      <c r="AE30" s="17">
        <f>IF(ISNUMBER(K30),K30,IF(AND(ISNUMBER(H30),ISNUMBER(I30)),H30+I30,IF(ISNUMBER(H30),H30,"")))</f>
        <v/>
      </c>
      <c r="AF30" s="18">
        <f>IF(OR(NOT(ISNUMBER(J30)),NOT(ISNUMBER(H30)),H30&lt;=0),기준표!$B$8,MIN(MAX(J30/H30,기준표!$B$6),기준표!$B$7))</f>
        <v/>
      </c>
      <c r="AG30" s="17">
        <f>IF(ISNUMBER(AE30),AE30*(1-AF30),"")</f>
        <v/>
      </c>
      <c r="AH30" s="17">
        <f>IF(AND(NOT(ISNUMBER(V30)),NOT(ISNUMBER(X30))),"",IF(ISNUMBER(V30),V30,0)+IF(ISNUMBER(X30),X30,0))</f>
        <v/>
      </c>
      <c r="AI30" s="17">
        <f>IF(E30="금융","",IF(AND(ISNUMBER(R30),ISNUMBER(AH30),ISNUMBER(T30)),R30+AH30-T30,""))</f>
        <v/>
      </c>
      <c r="AJ30" s="17">
        <f>IF(E30="금융","",IF(NOT(ISNUMBER(AI30)),"",IF(ISNUMBER(AC30),(AI30+AC30)/2,AI30)))</f>
        <v/>
      </c>
      <c r="AK30" s="19">
        <f>IF(AND(ISNUMBER(AG30),ISNUMBER(AJ30),AJ30&gt;0),AG30/AJ30,"")</f>
        <v/>
      </c>
      <c r="AL30" s="17">
        <f>IF(E30="금융","",IF(AND(ISNUMBER(R30),ISNUMBER(AH30)),R30+AH30,""))</f>
        <v/>
      </c>
      <c r="AM30" s="19">
        <f>IF(OR(NOT(ISNUMBER(AG30)),NOT(ISNUMBER(AL30)),AL30&lt;=0),"",IF(AND(ISNUMBER(G30),AL30&lt;0.1*G30),"",AG30/AL30))</f>
        <v/>
      </c>
      <c r="AN30" s="17">
        <f>IF(NOT(ISNUMBER(R30)),"",IF(ISNUMBER(S30),(R30+S30)/2,R30))</f>
        <v/>
      </c>
      <c r="AO30" s="19">
        <f>IF(AND(ISNUMBER(L30),ISNUMBER(AN30),AN30&gt;0),L30/AN30,"")</f>
        <v/>
      </c>
      <c r="AP30" s="19">
        <f>IF(AND(ISNUMBER(AO30),ISNUMBER({ROIC})),AO30-{ROIC},"")</f>
        <v/>
      </c>
      <c r="AQ30" s="17">
        <f>IF(AND(ISNUMBER(AE30),ISNUMBER(N30)),AE30+N30,"")</f>
        <v/>
      </c>
      <c r="AR30" s="20">
        <f>IF(AND(ISNUMBER(AH30),ISNUMBER(T30),ISNUMBER(AQ30),AQ30&gt;0),(AH30-T30)/AQ30,"")</f>
        <v/>
      </c>
      <c r="AS30" s="20">
        <f>IF(AND(ISNUMBER(AE30),ISNUMBER(I30),I30&lt;&gt;0,AE30&gt;0),AE30/I30,"")</f>
        <v/>
      </c>
      <c r="AT30" s="17">
        <f>IF(AND(ISNUMBER(Y30),ISNUMBER(AA30)),Y30-IF(ISNUMBER(T30),T30,0)-(AA30-IF(ISNUMBER(V30),V30,0)),"")</f>
        <v/>
      </c>
      <c r="AU30" s="17">
        <f>IF(AND(ISNUMBER(Z30),ISNUMBER(AB30)),Z30-IF(ISNUMBER(U30),U30,0)-(AB30-IF(ISNUMBER(W30),W30,0)),"")</f>
        <v/>
      </c>
      <c r="AV30" s="17">
        <f>IF(AND(ISNUMBER(AT30),ISNUMBER(AU30)),AT30-AU30,"")</f>
        <v/>
      </c>
      <c r="AW30" s="17">
        <f>IF(AND(ISNUMBER(L30),ISNUMBER(M30),ISNUMBER(AF30)),L30-M30*(1-AF30),IF(ISNUMBER(L30),L30,""))</f>
        <v/>
      </c>
      <c r="AX30" s="17">
        <f>IF(E30="금융","",IF(AND(ISNUMBER(AW30),ISNUMBER(N30),ISNUMBER(O30),ISNUMBER(AV30)),AW30+N30-O30-AV30,IF(AND(ISNUMBER(P30),ISNUMBER(O30)),P30-O30-IF(ISNUMBER(Q30),Q30,0),"")))</f>
        <v/>
      </c>
      <c r="AY30" s="8">
        <f>IF(E30="금융","금융업 - 정의되지 않음",IF(AND(ISNUMBER(AW30),ISNUMBER(N30),ISNUMBER(O30),ISNUMBER(AV30)),"영업순이익+감가상각-설비투자-운전자본증감",IF(AND(ISNUMBER(P30),ISNUMBER(O30)),IF(ISNUMBER(Q30),"영업현금흐름-설비투자-주식보상비용","영업현금흐름-설비투자(주식보상비용 미태깅)"),"산출불가")))</f>
        <v/>
      </c>
      <c r="AZ30" s="19">
        <f>IF(AND(ISNUMBER(AX30),ISNUMBER(G30),G30&lt;&gt;0),AX30/G30,"")</f>
        <v/>
      </c>
      <c r="BA30" s="19">
        <f>IF(AND(ISNUMBER(AE30),ISNUMBER(G30),G30&lt;&gt;0),AE30/G30,"")</f>
        <v/>
      </c>
    </row>
    <row r="31">
      <c r="A31" s="8" t="inlineStr">
        <is>
          <t>GOOG</t>
        </is>
      </c>
      <c r="B31" s="8" t="inlineStr">
        <is>
          <t>Alphabet Inc.</t>
        </is>
      </c>
      <c r="C31" s="8" t="n">
        <v>2016</v>
      </c>
      <c r="D31" s="8" t="inlineStr">
        <is>
          <t>2016-12-31</t>
        </is>
      </c>
      <c r="E31" s="8" t="inlineStr">
        <is>
          <t>일반</t>
        </is>
      </c>
      <c r="F31" s="8" t="inlineStr">
        <is>
          <t>0001652044-19-000004</t>
        </is>
      </c>
      <c r="G31" s="15" t="n">
        <v>90.27200000000001</v>
      </c>
      <c r="H31" s="15" t="n">
        <v>24.1</v>
      </c>
      <c r="I31" s="15" t="n"/>
      <c r="J31" s="15" t="n">
        <v>4.672</v>
      </c>
      <c r="K31" s="15" t="n">
        <v>23.716</v>
      </c>
      <c r="L31" s="15" t="n">
        <v>19.478</v>
      </c>
      <c r="M31" s="15" t="n">
        <v>-0.073</v>
      </c>
      <c r="N31" s="15" t="n"/>
      <c r="O31" s="15" t="n">
        <v>10.212</v>
      </c>
      <c r="P31" s="15" t="n">
        <v>36.036</v>
      </c>
      <c r="Q31" s="15" t="n">
        <v>6.703</v>
      </c>
      <c r="R31" s="15" t="n">
        <v>139.036</v>
      </c>
      <c r="S31" s="15" t="n">
        <v>120.331</v>
      </c>
      <c r="T31" s="15" t="n">
        <v>86.333</v>
      </c>
      <c r="U31" s="15" t="n">
        <v>73.066</v>
      </c>
      <c r="V31" s="15" t="n">
        <v>0</v>
      </c>
      <c r="W31" s="15" t="n">
        <v>2</v>
      </c>
      <c r="X31" s="15" t="n">
        <v>4</v>
      </c>
      <c r="Y31" s="15" t="n">
        <v>105.408</v>
      </c>
      <c r="Z31" s="15" t="n">
        <v>90.114</v>
      </c>
      <c r="AA31" s="15" t="n">
        <v>16.756</v>
      </c>
      <c r="AB31" s="15" t="n">
        <v>19.31</v>
      </c>
      <c r="AC31" s="15" t="n">
        <v>52.49</v>
      </c>
      <c r="AD31" s="16" t="n">
        <v>13825.86</v>
      </c>
      <c r="AE31" s="17">
        <f>IF(ISNUMBER(K31),K31,IF(AND(ISNUMBER(H31),ISNUMBER(I31)),H31+I31,IF(ISNUMBER(H31),H31,"")))</f>
        <v/>
      </c>
      <c r="AF31" s="18">
        <f>IF(OR(NOT(ISNUMBER(J31)),NOT(ISNUMBER(H31)),H31&lt;=0),기준표!$B$8,MIN(MAX(J31/H31,기준표!$B$6),기준표!$B$7))</f>
        <v/>
      </c>
      <c r="AG31" s="17">
        <f>IF(ISNUMBER(AE31),AE31*(1-AF31),"")</f>
        <v/>
      </c>
      <c r="AH31" s="17">
        <f>IF(AND(NOT(ISNUMBER(V31)),NOT(ISNUMBER(X31))),"",IF(ISNUMBER(V31),V31,0)+IF(ISNUMBER(X31),X31,0))</f>
        <v/>
      </c>
      <c r="AI31" s="17">
        <f>IF(E31="금융","",IF(AND(ISNUMBER(R31),ISNUMBER(AH31),ISNUMBER(T31)),R31+AH31-T31,""))</f>
        <v/>
      </c>
      <c r="AJ31" s="17">
        <f>IF(E31="금융","",IF(NOT(ISNUMBER(AI31)),"",IF(ISNUMBER(AC31),(AI31+AC31)/2,AI31)))</f>
        <v/>
      </c>
      <c r="AK31" s="19">
        <f>IF(AND(ISNUMBER(AG31),ISNUMBER(AJ31),AJ31&gt;0),AG31/AJ31,"")</f>
        <v/>
      </c>
      <c r="AL31" s="17">
        <f>IF(E31="금융","",IF(AND(ISNUMBER(R31),ISNUMBER(AH31)),R31+AH31,""))</f>
        <v/>
      </c>
      <c r="AM31" s="19">
        <f>IF(OR(NOT(ISNUMBER(AG31)),NOT(ISNUMBER(AL31)),AL31&lt;=0),"",IF(AND(ISNUMBER(G31),AL31&lt;0.1*G31),"",AG31/AL31))</f>
        <v/>
      </c>
      <c r="AN31" s="17">
        <f>IF(NOT(ISNUMBER(R31)),"",IF(ISNUMBER(S31),(R31+S31)/2,R31))</f>
        <v/>
      </c>
      <c r="AO31" s="19">
        <f>IF(AND(ISNUMBER(L31),ISNUMBER(AN31),AN31&gt;0),L31/AN31,"")</f>
        <v/>
      </c>
      <c r="AP31" s="19">
        <f>IF(AND(ISNUMBER(AO31),ISNUMBER({ROIC})),AO31-{ROIC},"")</f>
        <v/>
      </c>
      <c r="AQ31" s="17">
        <f>IF(AND(ISNUMBER(AE31),ISNUMBER(N31)),AE31+N31,"")</f>
        <v/>
      </c>
      <c r="AR31" s="20">
        <f>IF(AND(ISNUMBER(AH31),ISNUMBER(T31),ISNUMBER(AQ31),AQ31&gt;0),(AH31-T31)/AQ31,"")</f>
        <v/>
      </c>
      <c r="AS31" s="20">
        <f>IF(AND(ISNUMBER(AE31),ISNUMBER(I31),I31&lt;&gt;0,AE31&gt;0),AE31/I31,"")</f>
        <v/>
      </c>
      <c r="AT31" s="17">
        <f>IF(AND(ISNUMBER(Y31),ISNUMBER(AA31)),Y31-IF(ISNUMBER(T31),T31,0)-(AA31-IF(ISNUMBER(V31),V31,0)),"")</f>
        <v/>
      </c>
      <c r="AU31" s="17">
        <f>IF(AND(ISNUMBER(Z31),ISNUMBER(AB31)),Z31-IF(ISNUMBER(U31),U31,0)-(AB31-IF(ISNUMBER(W31),W31,0)),"")</f>
        <v/>
      </c>
      <c r="AV31" s="17">
        <f>IF(AND(ISNUMBER(AT31),ISNUMBER(AU31)),AT31-AU31,"")</f>
        <v/>
      </c>
      <c r="AW31" s="17">
        <f>IF(AND(ISNUMBER(L31),ISNUMBER(M31),ISNUMBER(AF31)),L31-M31*(1-AF31),IF(ISNUMBER(L31),L31,""))</f>
        <v/>
      </c>
      <c r="AX31" s="17">
        <f>IF(E31="금융","",IF(AND(ISNUMBER(AW31),ISNUMBER(N31),ISNUMBER(O31),ISNUMBER(AV31)),AW31+N31-O31-AV31,IF(AND(ISNUMBER(P31),ISNUMBER(O31)),P31-O31-IF(ISNUMBER(Q31),Q31,0),"")))</f>
        <v/>
      </c>
      <c r="AY31" s="8">
        <f>IF(E31="금융","금융업 - 정의되지 않음",IF(AND(ISNUMBER(AW31),ISNUMBER(N31),ISNUMBER(O31),ISNUMBER(AV31)),"영업순이익+감가상각-설비투자-운전자본증감",IF(AND(ISNUMBER(P31),ISNUMBER(O31)),IF(ISNUMBER(Q31),"영업현금흐름-설비투자-주식보상비용","영업현금흐름-설비투자(주식보상비용 미태깅)"),"산출불가")))</f>
        <v/>
      </c>
      <c r="AZ31" s="19">
        <f>IF(AND(ISNUMBER(AX31),ISNUMBER(G31),G31&lt;&gt;0),AX31/G31,"")</f>
        <v/>
      </c>
      <c r="BA31" s="19">
        <f>IF(AND(ISNUMBER(AE31),ISNUMBER(G31),G31&lt;&gt;0),AE31/G31,"")</f>
        <v/>
      </c>
    </row>
    <row r="32">
      <c r="A32" s="8" t="inlineStr">
        <is>
          <t>GOOG</t>
        </is>
      </c>
      <c r="B32" s="8" t="inlineStr">
        <is>
          <t>Alphabet Inc.</t>
        </is>
      </c>
      <c r="C32" s="8" t="n">
        <v>2017</v>
      </c>
      <c r="D32" s="8" t="inlineStr">
        <is>
          <t>2017-12-31</t>
        </is>
      </c>
      <c r="E32" s="8" t="inlineStr">
        <is>
          <t>일반</t>
        </is>
      </c>
      <c r="F32" s="8" t="inlineStr">
        <is>
          <t>0001652044-20-000008</t>
        </is>
      </c>
      <c r="G32" s="15" t="n">
        <v>110.855</v>
      </c>
      <c r="H32" s="15" t="n">
        <v>27.193</v>
      </c>
      <c r="I32" s="15" t="n"/>
      <c r="J32" s="15" t="n">
        <v>14.531</v>
      </c>
      <c r="K32" s="15" t="n">
        <v>26.178</v>
      </c>
      <c r="L32" s="15" t="n">
        <v>12.662</v>
      </c>
      <c r="M32" s="15" t="n">
        <v>-0.037</v>
      </c>
      <c r="N32" s="15" t="n"/>
      <c r="O32" s="15" t="n">
        <v>13.184</v>
      </c>
      <c r="P32" s="15" t="n">
        <v>37.091</v>
      </c>
      <c r="Q32" s="15" t="n">
        <v>7.679</v>
      </c>
      <c r="R32" s="15" t="n">
        <v>152.502</v>
      </c>
      <c r="S32" s="15" t="n">
        <v>139.036</v>
      </c>
      <c r="T32" s="15" t="n">
        <v>101.871</v>
      </c>
      <c r="U32" s="15" t="n">
        <v>86.333</v>
      </c>
      <c r="V32" s="15" t="n">
        <v>0</v>
      </c>
      <c r="W32" s="15" t="n">
        <v>0</v>
      </c>
      <c r="X32" s="15" t="n">
        <v>4.026</v>
      </c>
      <c r="Y32" s="15" t="n">
        <v>124.308</v>
      </c>
      <c r="Z32" s="15" t="n">
        <v>105.408</v>
      </c>
      <c r="AA32" s="15" t="n">
        <v>24.183</v>
      </c>
      <c r="AB32" s="15" t="n">
        <v>16.756</v>
      </c>
      <c r="AC32" s="15" t="n">
        <v>56.703</v>
      </c>
      <c r="AD32" s="16" t="n">
        <v>13895.66</v>
      </c>
      <c r="AE32" s="17">
        <f>IF(ISNUMBER(K32),K32,IF(AND(ISNUMBER(H32),ISNUMBER(I32)),H32+I32,IF(ISNUMBER(H32),H32,"")))</f>
        <v/>
      </c>
      <c r="AF32" s="18">
        <f>IF(OR(NOT(ISNUMBER(J32)),NOT(ISNUMBER(H32)),H32&lt;=0),기준표!$B$8,MIN(MAX(J32/H32,기준표!$B$6),기준표!$B$7))</f>
        <v/>
      </c>
      <c r="AG32" s="17">
        <f>IF(ISNUMBER(AE32),AE32*(1-AF32),"")</f>
        <v/>
      </c>
      <c r="AH32" s="17">
        <f>IF(AND(NOT(ISNUMBER(V32)),NOT(ISNUMBER(X32))),"",IF(ISNUMBER(V32),V32,0)+IF(ISNUMBER(X32),X32,0))</f>
        <v/>
      </c>
      <c r="AI32" s="17">
        <f>IF(E32="금융","",IF(AND(ISNUMBER(R32),ISNUMBER(AH32),ISNUMBER(T32)),R32+AH32-T32,""))</f>
        <v/>
      </c>
      <c r="AJ32" s="17">
        <f>IF(E32="금융","",IF(NOT(ISNUMBER(AI32)),"",IF(ISNUMBER(AC32),(AI32+AC32)/2,AI32)))</f>
        <v/>
      </c>
      <c r="AK32" s="19">
        <f>IF(AND(ISNUMBER(AG32),ISNUMBER(AJ32),AJ32&gt;0),AG32/AJ32,"")</f>
        <v/>
      </c>
      <c r="AL32" s="17">
        <f>IF(E32="금융","",IF(AND(ISNUMBER(R32),ISNUMBER(AH32)),R32+AH32,""))</f>
        <v/>
      </c>
      <c r="AM32" s="19">
        <f>IF(OR(NOT(ISNUMBER(AG32)),NOT(ISNUMBER(AL32)),AL32&lt;=0),"",IF(AND(ISNUMBER(G32),AL32&lt;0.1*G32),"",AG32/AL32))</f>
        <v/>
      </c>
      <c r="AN32" s="17">
        <f>IF(NOT(ISNUMBER(R32)),"",IF(ISNUMBER(S32),(R32+S32)/2,R32))</f>
        <v/>
      </c>
      <c r="AO32" s="19">
        <f>IF(AND(ISNUMBER(L32),ISNUMBER(AN32),AN32&gt;0),L32/AN32,"")</f>
        <v/>
      </c>
      <c r="AP32" s="19">
        <f>IF(AND(ISNUMBER(AO32),ISNUMBER({ROIC})),AO32-{ROIC},"")</f>
        <v/>
      </c>
      <c r="AQ32" s="17">
        <f>IF(AND(ISNUMBER(AE32),ISNUMBER(N32)),AE32+N32,"")</f>
        <v/>
      </c>
      <c r="AR32" s="20">
        <f>IF(AND(ISNUMBER(AH32),ISNUMBER(T32),ISNUMBER(AQ32),AQ32&gt;0),(AH32-T32)/AQ32,"")</f>
        <v/>
      </c>
      <c r="AS32" s="20">
        <f>IF(AND(ISNUMBER(AE32),ISNUMBER(I32),I32&lt;&gt;0,AE32&gt;0),AE32/I32,"")</f>
        <v/>
      </c>
      <c r="AT32" s="17">
        <f>IF(AND(ISNUMBER(Y32),ISNUMBER(AA32)),Y32-IF(ISNUMBER(T32),T32,0)-(AA32-IF(ISNUMBER(V32),V32,0)),"")</f>
        <v/>
      </c>
      <c r="AU32" s="17">
        <f>IF(AND(ISNUMBER(Z32),ISNUMBER(AB32)),Z32-IF(ISNUMBER(U32),U32,0)-(AB32-IF(ISNUMBER(W32),W32,0)),"")</f>
        <v/>
      </c>
      <c r="AV32" s="17">
        <f>IF(AND(ISNUMBER(AT32),ISNUMBER(AU32)),AT32-AU32,"")</f>
        <v/>
      </c>
      <c r="AW32" s="17">
        <f>IF(AND(ISNUMBER(L32),ISNUMBER(M32),ISNUMBER(AF32)),L32-M32*(1-AF32),IF(ISNUMBER(L32),L32,""))</f>
        <v/>
      </c>
      <c r="AX32" s="17">
        <f>IF(E32="금융","",IF(AND(ISNUMBER(AW32),ISNUMBER(N32),ISNUMBER(O32),ISNUMBER(AV32)),AW32+N32-O32-AV32,IF(AND(ISNUMBER(P32),ISNUMBER(O32)),P32-O32-IF(ISNUMBER(Q32),Q32,0),"")))</f>
        <v/>
      </c>
      <c r="AY32" s="8">
        <f>IF(E32="금융","금융업 - 정의되지 않음",IF(AND(ISNUMBER(AW32),ISNUMBER(N32),ISNUMBER(O32),ISNUMBER(AV32)),"영업순이익+감가상각-설비투자-운전자본증감",IF(AND(ISNUMBER(P32),ISNUMBER(O32)),IF(ISNUMBER(Q32),"영업현금흐름-설비투자-주식보상비용","영업현금흐름-설비투자(주식보상비용 미태깅)"),"산출불가")))</f>
        <v/>
      </c>
      <c r="AZ32" s="19">
        <f>IF(AND(ISNUMBER(AX32),ISNUMBER(G32),G32&lt;&gt;0),AX32/G32,"")</f>
        <v/>
      </c>
      <c r="BA32" s="19">
        <f>IF(AND(ISNUMBER(AE32),ISNUMBER(G32),G32&lt;&gt;0),AE32/G32,"")</f>
        <v/>
      </c>
    </row>
    <row r="33">
      <c r="A33" s="8" t="inlineStr">
        <is>
          <t>GOOG</t>
        </is>
      </c>
      <c r="B33" s="8" t="inlineStr">
        <is>
          <t>Alphabet Inc.</t>
        </is>
      </c>
      <c r="C33" s="8" t="n">
        <v>2018</v>
      </c>
      <c r="D33" s="8" t="inlineStr">
        <is>
          <t>2018-12-31</t>
        </is>
      </c>
      <c r="E33" s="8" t="inlineStr">
        <is>
          <t>일반</t>
        </is>
      </c>
      <c r="F33" s="8" t="inlineStr">
        <is>
          <t>0001652044-21-000010</t>
        </is>
      </c>
      <c r="G33" s="15" t="n">
        <v>136.819</v>
      </c>
      <c r="H33" s="15" t="n">
        <v>34.913</v>
      </c>
      <c r="I33" s="15" t="n"/>
      <c r="J33" s="15" t="n">
        <v>4.177</v>
      </c>
      <c r="K33" s="15" t="n">
        <v>27.524</v>
      </c>
      <c r="L33" s="15" t="n">
        <v>30.736</v>
      </c>
      <c r="M33" s="15" t="n">
        <v>6.65</v>
      </c>
      <c r="N33" s="15" t="n"/>
      <c r="O33" s="15" t="n">
        <v>25.139</v>
      </c>
      <c r="P33" s="15" t="n">
        <v>47.971</v>
      </c>
      <c r="Q33" s="15" t="n">
        <v>9.353</v>
      </c>
      <c r="R33" s="15" t="n">
        <v>177.628</v>
      </c>
      <c r="S33" s="15" t="n">
        <v>152.502</v>
      </c>
      <c r="T33" s="15" t="n">
        <v>109.14</v>
      </c>
      <c r="U33" s="15" t="n">
        <v>101.871</v>
      </c>
      <c r="V33" s="15" t="n">
        <v>0</v>
      </c>
      <c r="W33" s="15" t="n">
        <v>0</v>
      </c>
      <c r="X33" s="15" t="n">
        <v>4.062</v>
      </c>
      <c r="Y33" s="15" t="n">
        <v>135.676</v>
      </c>
      <c r="Z33" s="15" t="n">
        <v>124.308</v>
      </c>
      <c r="AA33" s="15" t="n">
        <v>34.62</v>
      </c>
      <c r="AB33" s="15" t="n">
        <v>24.183</v>
      </c>
      <c r="AC33" s="15" t="n">
        <v>54.657</v>
      </c>
      <c r="AD33" s="16" t="n">
        <v>13911.12</v>
      </c>
      <c r="AE33" s="17">
        <f>IF(ISNUMBER(K33),K33,IF(AND(ISNUMBER(H33),ISNUMBER(I33)),H33+I33,IF(ISNUMBER(H33),H33,"")))</f>
        <v/>
      </c>
      <c r="AF33" s="18">
        <f>IF(OR(NOT(ISNUMBER(J33)),NOT(ISNUMBER(H33)),H33&lt;=0),기준표!$B$8,MIN(MAX(J33/H33,기준표!$B$6),기준표!$B$7))</f>
        <v/>
      </c>
      <c r="AG33" s="17">
        <f>IF(ISNUMBER(AE33),AE33*(1-AF33),"")</f>
        <v/>
      </c>
      <c r="AH33" s="17">
        <f>IF(AND(NOT(ISNUMBER(V33)),NOT(ISNUMBER(X33))),"",IF(ISNUMBER(V33),V33,0)+IF(ISNUMBER(X33),X33,0))</f>
        <v/>
      </c>
      <c r="AI33" s="17">
        <f>IF(E33="금융","",IF(AND(ISNUMBER(R33),ISNUMBER(AH33),ISNUMBER(T33)),R33+AH33-T33,""))</f>
        <v/>
      </c>
      <c r="AJ33" s="17">
        <f>IF(E33="금융","",IF(NOT(ISNUMBER(AI33)),"",IF(ISNUMBER(AC33),(AI33+AC33)/2,AI33)))</f>
        <v/>
      </c>
      <c r="AK33" s="19">
        <f>IF(AND(ISNUMBER(AG33),ISNUMBER(AJ33),AJ33&gt;0),AG33/AJ33,"")</f>
        <v/>
      </c>
      <c r="AL33" s="17">
        <f>IF(E33="금융","",IF(AND(ISNUMBER(R33),ISNUMBER(AH33)),R33+AH33,""))</f>
        <v/>
      </c>
      <c r="AM33" s="19">
        <f>IF(OR(NOT(ISNUMBER(AG33)),NOT(ISNUMBER(AL33)),AL33&lt;=0),"",IF(AND(ISNUMBER(G33),AL33&lt;0.1*G33),"",AG33/AL33))</f>
        <v/>
      </c>
      <c r="AN33" s="17">
        <f>IF(NOT(ISNUMBER(R33)),"",IF(ISNUMBER(S33),(R33+S33)/2,R33))</f>
        <v/>
      </c>
      <c r="AO33" s="19">
        <f>IF(AND(ISNUMBER(L33),ISNUMBER(AN33),AN33&gt;0),L33/AN33,"")</f>
        <v/>
      </c>
      <c r="AP33" s="19">
        <f>IF(AND(ISNUMBER(AO33),ISNUMBER({ROIC})),AO33-{ROIC},"")</f>
        <v/>
      </c>
      <c r="AQ33" s="17">
        <f>IF(AND(ISNUMBER(AE33),ISNUMBER(N33)),AE33+N33,"")</f>
        <v/>
      </c>
      <c r="AR33" s="20">
        <f>IF(AND(ISNUMBER(AH33),ISNUMBER(T33),ISNUMBER(AQ33),AQ33&gt;0),(AH33-T33)/AQ33,"")</f>
        <v/>
      </c>
      <c r="AS33" s="20">
        <f>IF(AND(ISNUMBER(AE33),ISNUMBER(I33),I33&lt;&gt;0,AE33&gt;0),AE33/I33,"")</f>
        <v/>
      </c>
      <c r="AT33" s="17">
        <f>IF(AND(ISNUMBER(Y33),ISNUMBER(AA33)),Y33-IF(ISNUMBER(T33),T33,0)-(AA33-IF(ISNUMBER(V33),V33,0)),"")</f>
        <v/>
      </c>
      <c r="AU33" s="17">
        <f>IF(AND(ISNUMBER(Z33),ISNUMBER(AB33)),Z33-IF(ISNUMBER(U33),U33,0)-(AB33-IF(ISNUMBER(W33),W33,0)),"")</f>
        <v/>
      </c>
      <c r="AV33" s="17">
        <f>IF(AND(ISNUMBER(AT33),ISNUMBER(AU33)),AT33-AU33,"")</f>
        <v/>
      </c>
      <c r="AW33" s="17">
        <f>IF(AND(ISNUMBER(L33),ISNUMBER(M33),ISNUMBER(AF33)),L33-M33*(1-AF33),IF(ISNUMBER(L33),L33,""))</f>
        <v/>
      </c>
      <c r="AX33" s="17">
        <f>IF(E33="금융","",IF(AND(ISNUMBER(AW33),ISNUMBER(N33),ISNUMBER(O33),ISNUMBER(AV33)),AW33+N33-O33-AV33,IF(AND(ISNUMBER(P33),ISNUMBER(O33)),P33-O33-IF(ISNUMBER(Q33),Q33,0),"")))</f>
        <v/>
      </c>
      <c r="AY33" s="8">
        <f>IF(E33="금융","금융업 - 정의되지 않음",IF(AND(ISNUMBER(AW33),ISNUMBER(N33),ISNUMBER(O33),ISNUMBER(AV33)),"영업순이익+감가상각-설비투자-운전자본증감",IF(AND(ISNUMBER(P33),ISNUMBER(O33)),IF(ISNUMBER(Q33),"영업현금흐름-설비투자-주식보상비용","영업현금흐름-설비투자(주식보상비용 미태깅)"),"산출불가")))</f>
        <v/>
      </c>
      <c r="AZ33" s="19">
        <f>IF(AND(ISNUMBER(AX33),ISNUMBER(G33),G33&lt;&gt;0),AX33/G33,"")</f>
        <v/>
      </c>
      <c r="BA33" s="19">
        <f>IF(AND(ISNUMBER(AE33),ISNUMBER(G33),G33&lt;&gt;0),AE33/G33,"")</f>
        <v/>
      </c>
    </row>
    <row r="34">
      <c r="A34" s="8" t="inlineStr">
        <is>
          <t>GOOG</t>
        </is>
      </c>
      <c r="B34" s="8" t="inlineStr">
        <is>
          <t>Alphabet Inc.</t>
        </is>
      </c>
      <c r="C34" s="8" t="n">
        <v>2019</v>
      </c>
      <c r="D34" s="8" t="inlineStr">
        <is>
          <t>2019-12-31</t>
        </is>
      </c>
      <c r="E34" s="8" t="inlineStr">
        <is>
          <t>일반</t>
        </is>
      </c>
      <c r="F34" s="8" t="inlineStr">
        <is>
          <t>0001652044-22-000019</t>
        </is>
      </c>
      <c r="G34" s="15" t="n">
        <v>161.857</v>
      </c>
      <c r="H34" s="15" t="n">
        <v>39.625</v>
      </c>
      <c r="I34" s="15" t="n"/>
      <c r="J34" s="15" t="n">
        <v>5.282</v>
      </c>
      <c r="K34" s="15" t="n">
        <v>34.231</v>
      </c>
      <c r="L34" s="15" t="n">
        <v>34.343</v>
      </c>
      <c r="M34" s="15" t="n">
        <v>2.798</v>
      </c>
      <c r="N34" s="15" t="n"/>
      <c r="O34" s="15" t="n">
        <v>23.548</v>
      </c>
      <c r="P34" s="15" t="n">
        <v>54.52</v>
      </c>
      <c r="Q34" s="15" t="n">
        <v>10.794</v>
      </c>
      <c r="R34" s="15" t="n">
        <v>201.442</v>
      </c>
      <c r="S34" s="15" t="n">
        <v>177.628</v>
      </c>
      <c r="T34" s="15" t="n">
        <v>119.675</v>
      </c>
      <c r="U34" s="15" t="n">
        <v>109.14</v>
      </c>
      <c r="V34" s="15" t="n">
        <v>0</v>
      </c>
      <c r="W34" s="15" t="n">
        <v>0</v>
      </c>
      <c r="X34" s="15" t="n">
        <v>4.685</v>
      </c>
      <c r="Y34" s="15" t="n">
        <v>152.578</v>
      </c>
      <c r="Z34" s="15" t="n">
        <v>135.676</v>
      </c>
      <c r="AA34" s="15" t="n">
        <v>45.221</v>
      </c>
      <c r="AB34" s="15" t="n">
        <v>34.62</v>
      </c>
      <c r="AC34" s="15" t="n">
        <v>72.55</v>
      </c>
      <c r="AD34" s="16" t="n">
        <v>13766.7</v>
      </c>
      <c r="AE34" s="17">
        <f>IF(ISNUMBER(K34),K34,IF(AND(ISNUMBER(H34),ISNUMBER(I34)),H34+I34,IF(ISNUMBER(H34),H34,"")))</f>
        <v/>
      </c>
      <c r="AF34" s="18">
        <f>IF(OR(NOT(ISNUMBER(J34)),NOT(ISNUMBER(H34)),H34&lt;=0),기준표!$B$8,MIN(MAX(J34/H34,기준표!$B$6),기준표!$B$7))</f>
        <v/>
      </c>
      <c r="AG34" s="17">
        <f>IF(ISNUMBER(AE34),AE34*(1-AF34),"")</f>
        <v/>
      </c>
      <c r="AH34" s="17">
        <f>IF(AND(NOT(ISNUMBER(V34)),NOT(ISNUMBER(X34))),"",IF(ISNUMBER(V34),V34,0)+IF(ISNUMBER(X34),X34,0))</f>
        <v/>
      </c>
      <c r="AI34" s="17">
        <f>IF(E34="금융","",IF(AND(ISNUMBER(R34),ISNUMBER(AH34),ISNUMBER(T34)),R34+AH34-T34,""))</f>
        <v/>
      </c>
      <c r="AJ34" s="17">
        <f>IF(E34="금융","",IF(NOT(ISNUMBER(AI34)),"",IF(ISNUMBER(AC34),(AI34+AC34)/2,AI34)))</f>
        <v/>
      </c>
      <c r="AK34" s="19">
        <f>IF(AND(ISNUMBER(AG34),ISNUMBER(AJ34),AJ34&gt;0),AG34/AJ34,"")</f>
        <v/>
      </c>
      <c r="AL34" s="17">
        <f>IF(E34="금융","",IF(AND(ISNUMBER(R34),ISNUMBER(AH34)),R34+AH34,""))</f>
        <v/>
      </c>
      <c r="AM34" s="19">
        <f>IF(OR(NOT(ISNUMBER(AG34)),NOT(ISNUMBER(AL34)),AL34&lt;=0),"",IF(AND(ISNUMBER(G34),AL34&lt;0.1*G34),"",AG34/AL34))</f>
        <v/>
      </c>
      <c r="AN34" s="17">
        <f>IF(NOT(ISNUMBER(R34)),"",IF(ISNUMBER(S34),(R34+S34)/2,R34))</f>
        <v/>
      </c>
      <c r="AO34" s="19">
        <f>IF(AND(ISNUMBER(L34),ISNUMBER(AN34),AN34&gt;0),L34/AN34,"")</f>
        <v/>
      </c>
      <c r="AP34" s="19">
        <f>IF(AND(ISNUMBER(AO34),ISNUMBER({ROIC})),AO34-{ROIC},"")</f>
        <v/>
      </c>
      <c r="AQ34" s="17">
        <f>IF(AND(ISNUMBER(AE34),ISNUMBER(N34)),AE34+N34,"")</f>
        <v/>
      </c>
      <c r="AR34" s="20">
        <f>IF(AND(ISNUMBER(AH34),ISNUMBER(T34),ISNUMBER(AQ34),AQ34&gt;0),(AH34-T34)/AQ34,"")</f>
        <v/>
      </c>
      <c r="AS34" s="20">
        <f>IF(AND(ISNUMBER(AE34),ISNUMBER(I34),I34&lt;&gt;0,AE34&gt;0),AE34/I34,"")</f>
        <v/>
      </c>
      <c r="AT34" s="17">
        <f>IF(AND(ISNUMBER(Y34),ISNUMBER(AA34)),Y34-IF(ISNUMBER(T34),T34,0)-(AA34-IF(ISNUMBER(V34),V34,0)),"")</f>
        <v/>
      </c>
      <c r="AU34" s="17">
        <f>IF(AND(ISNUMBER(Z34),ISNUMBER(AB34)),Z34-IF(ISNUMBER(U34),U34,0)-(AB34-IF(ISNUMBER(W34),W34,0)),"")</f>
        <v/>
      </c>
      <c r="AV34" s="17">
        <f>IF(AND(ISNUMBER(AT34),ISNUMBER(AU34)),AT34-AU34,"")</f>
        <v/>
      </c>
      <c r="AW34" s="17">
        <f>IF(AND(ISNUMBER(L34),ISNUMBER(M34),ISNUMBER(AF34)),L34-M34*(1-AF34),IF(ISNUMBER(L34),L34,""))</f>
        <v/>
      </c>
      <c r="AX34" s="17">
        <f>IF(E34="금융","",IF(AND(ISNUMBER(AW34),ISNUMBER(N34),ISNUMBER(O34),ISNUMBER(AV34)),AW34+N34-O34-AV34,IF(AND(ISNUMBER(P34),ISNUMBER(O34)),P34-O34-IF(ISNUMBER(Q34),Q34,0),"")))</f>
        <v/>
      </c>
      <c r="AY34" s="8">
        <f>IF(E34="금융","금융업 - 정의되지 않음",IF(AND(ISNUMBER(AW34),ISNUMBER(N34),ISNUMBER(O34),ISNUMBER(AV34)),"영업순이익+감가상각-설비투자-운전자본증감",IF(AND(ISNUMBER(P34),ISNUMBER(O34)),IF(ISNUMBER(Q34),"영업현금흐름-설비투자-주식보상비용","영업현금흐름-설비투자(주식보상비용 미태깅)"),"산출불가")))</f>
        <v/>
      </c>
      <c r="AZ34" s="19">
        <f>IF(AND(ISNUMBER(AX34),ISNUMBER(G34),G34&lt;&gt;0),AX34/G34,"")</f>
        <v/>
      </c>
      <c r="BA34" s="19">
        <f>IF(AND(ISNUMBER(AE34),ISNUMBER(G34),G34&lt;&gt;0),AE34/G34,"")</f>
        <v/>
      </c>
    </row>
    <row r="35">
      <c r="A35" s="8" t="inlineStr">
        <is>
          <t>GOOG</t>
        </is>
      </c>
      <c r="B35" s="8" t="inlineStr">
        <is>
          <t>Alphabet Inc.</t>
        </is>
      </c>
      <c r="C35" s="8" t="n">
        <v>2020</v>
      </c>
      <c r="D35" s="8" t="inlineStr">
        <is>
          <t>2020-12-31</t>
        </is>
      </c>
      <c r="E35" s="8" t="inlineStr">
        <is>
          <t>일반</t>
        </is>
      </c>
      <c r="F35" s="8" t="inlineStr">
        <is>
          <t>0001652044-23-000016</t>
        </is>
      </c>
      <c r="G35" s="15" t="n">
        <v>182.527</v>
      </c>
      <c r="H35" s="15" t="n">
        <v>48.082</v>
      </c>
      <c r="I35" s="15" t="n"/>
      <c r="J35" s="15" t="n">
        <v>7.813</v>
      </c>
      <c r="K35" s="15" t="n">
        <v>41.224</v>
      </c>
      <c r="L35" s="15" t="n">
        <v>40.269</v>
      </c>
      <c r="M35" s="15" t="n">
        <v>6.317</v>
      </c>
      <c r="N35" s="15" t="n"/>
      <c r="O35" s="15" t="n">
        <v>22.281</v>
      </c>
      <c r="P35" s="15" t="n">
        <v>65.124</v>
      </c>
      <c r="Q35" s="15" t="n">
        <v>12.991</v>
      </c>
      <c r="R35" s="15" t="n">
        <v>222.544</v>
      </c>
      <c r="S35" s="15" t="n">
        <v>201.442</v>
      </c>
      <c r="T35" s="15" t="n">
        <v>136.694</v>
      </c>
      <c r="U35" s="15" t="n">
        <v>119.675</v>
      </c>
      <c r="V35" s="15" t="n">
        <v>0</v>
      </c>
      <c r="W35" s="15" t="n">
        <v>0</v>
      </c>
      <c r="X35" s="15" t="n">
        <v>15.319</v>
      </c>
      <c r="Y35" s="15" t="n">
        <v>174.296</v>
      </c>
      <c r="Z35" s="15" t="n">
        <v>152.578</v>
      </c>
      <c r="AA35" s="15" t="n">
        <v>56.834</v>
      </c>
      <c r="AB35" s="15" t="n">
        <v>45.221</v>
      </c>
      <c r="AC35" s="15" t="n">
        <v>86.452</v>
      </c>
      <c r="AD35" s="16" t="n">
        <v>13504.44</v>
      </c>
      <c r="AE35" s="17">
        <f>IF(ISNUMBER(K35),K35,IF(AND(ISNUMBER(H35),ISNUMBER(I35)),H35+I35,IF(ISNUMBER(H35),H35,"")))</f>
        <v/>
      </c>
      <c r="AF35" s="18">
        <f>IF(OR(NOT(ISNUMBER(J35)),NOT(ISNUMBER(H35)),H35&lt;=0),기준표!$B$8,MIN(MAX(J35/H35,기준표!$B$6),기준표!$B$7))</f>
        <v/>
      </c>
      <c r="AG35" s="17">
        <f>IF(ISNUMBER(AE35),AE35*(1-AF35),"")</f>
        <v/>
      </c>
      <c r="AH35" s="17">
        <f>IF(AND(NOT(ISNUMBER(V35)),NOT(ISNUMBER(X35))),"",IF(ISNUMBER(V35),V35,0)+IF(ISNUMBER(X35),X35,0))</f>
        <v/>
      </c>
      <c r="AI35" s="17">
        <f>IF(E35="금융","",IF(AND(ISNUMBER(R35),ISNUMBER(AH35),ISNUMBER(T35)),R35+AH35-T35,""))</f>
        <v/>
      </c>
      <c r="AJ35" s="17">
        <f>IF(E35="금융","",IF(NOT(ISNUMBER(AI35)),"",IF(ISNUMBER(AC35),(AI35+AC35)/2,AI35)))</f>
        <v/>
      </c>
      <c r="AK35" s="19">
        <f>IF(AND(ISNUMBER(AG35),ISNUMBER(AJ35),AJ35&gt;0),AG35/AJ35,"")</f>
        <v/>
      </c>
      <c r="AL35" s="17">
        <f>IF(E35="금융","",IF(AND(ISNUMBER(R35),ISNUMBER(AH35)),R35+AH35,""))</f>
        <v/>
      </c>
      <c r="AM35" s="19">
        <f>IF(OR(NOT(ISNUMBER(AG35)),NOT(ISNUMBER(AL35)),AL35&lt;=0),"",IF(AND(ISNUMBER(G35),AL35&lt;0.1*G35),"",AG35/AL35))</f>
        <v/>
      </c>
      <c r="AN35" s="17">
        <f>IF(NOT(ISNUMBER(R35)),"",IF(ISNUMBER(S35),(R35+S35)/2,R35))</f>
        <v/>
      </c>
      <c r="AO35" s="19">
        <f>IF(AND(ISNUMBER(L35),ISNUMBER(AN35),AN35&gt;0),L35/AN35,"")</f>
        <v/>
      </c>
      <c r="AP35" s="19">
        <f>IF(AND(ISNUMBER(AO35),ISNUMBER({ROIC})),AO35-{ROIC},"")</f>
        <v/>
      </c>
      <c r="AQ35" s="17">
        <f>IF(AND(ISNUMBER(AE35),ISNUMBER(N35)),AE35+N35,"")</f>
        <v/>
      </c>
      <c r="AR35" s="20">
        <f>IF(AND(ISNUMBER(AH35),ISNUMBER(T35),ISNUMBER(AQ35),AQ35&gt;0),(AH35-T35)/AQ35,"")</f>
        <v/>
      </c>
      <c r="AS35" s="20">
        <f>IF(AND(ISNUMBER(AE35),ISNUMBER(I35),I35&lt;&gt;0,AE35&gt;0),AE35/I35,"")</f>
        <v/>
      </c>
      <c r="AT35" s="17">
        <f>IF(AND(ISNUMBER(Y35),ISNUMBER(AA35)),Y35-IF(ISNUMBER(T35),T35,0)-(AA35-IF(ISNUMBER(V35),V35,0)),"")</f>
        <v/>
      </c>
      <c r="AU35" s="17">
        <f>IF(AND(ISNUMBER(Z35),ISNUMBER(AB35)),Z35-IF(ISNUMBER(U35),U35,0)-(AB35-IF(ISNUMBER(W35),W35,0)),"")</f>
        <v/>
      </c>
      <c r="AV35" s="17">
        <f>IF(AND(ISNUMBER(AT35),ISNUMBER(AU35)),AT35-AU35,"")</f>
        <v/>
      </c>
      <c r="AW35" s="17">
        <f>IF(AND(ISNUMBER(L35),ISNUMBER(M35),ISNUMBER(AF35)),L35-M35*(1-AF35),IF(ISNUMBER(L35),L35,""))</f>
        <v/>
      </c>
      <c r="AX35" s="17">
        <f>IF(E35="금융","",IF(AND(ISNUMBER(AW35),ISNUMBER(N35),ISNUMBER(O35),ISNUMBER(AV35)),AW35+N35-O35-AV35,IF(AND(ISNUMBER(P35),ISNUMBER(O35)),P35-O35-IF(ISNUMBER(Q35),Q35,0),"")))</f>
        <v/>
      </c>
      <c r="AY35" s="8">
        <f>IF(E35="금융","금융업 - 정의되지 않음",IF(AND(ISNUMBER(AW35),ISNUMBER(N35),ISNUMBER(O35),ISNUMBER(AV35)),"영업순이익+감가상각-설비투자-운전자본증감",IF(AND(ISNUMBER(P35),ISNUMBER(O35)),IF(ISNUMBER(Q35),"영업현금흐름-설비투자-주식보상비용","영업현금흐름-설비투자(주식보상비용 미태깅)"),"산출불가")))</f>
        <v/>
      </c>
      <c r="AZ35" s="19">
        <f>IF(AND(ISNUMBER(AX35),ISNUMBER(G35),G35&lt;&gt;0),AX35/G35,"")</f>
        <v/>
      </c>
      <c r="BA35" s="19">
        <f>IF(AND(ISNUMBER(AE35),ISNUMBER(G35),G35&lt;&gt;0),AE35/G35,"")</f>
        <v/>
      </c>
    </row>
    <row r="36">
      <c r="A36" s="8" t="inlineStr">
        <is>
          <t>GOOG</t>
        </is>
      </c>
      <c r="B36" s="8" t="inlineStr">
        <is>
          <t>Alphabet Inc.</t>
        </is>
      </c>
      <c r="C36" s="8" t="n">
        <v>2021</v>
      </c>
      <c r="D36" s="8" t="inlineStr">
        <is>
          <t>2021-12-31</t>
        </is>
      </c>
      <c r="E36" s="8" t="inlineStr">
        <is>
          <t>일반</t>
        </is>
      </c>
      <c r="F36" s="8" t="inlineStr">
        <is>
          <t>0001652044-24-000022</t>
        </is>
      </c>
      <c r="G36" s="15" t="n">
        <v>257.637</v>
      </c>
      <c r="H36" s="15" t="n">
        <v>90.73399999999999</v>
      </c>
      <c r="I36" s="15" t="n"/>
      <c r="J36" s="15" t="n">
        <v>14.701</v>
      </c>
      <c r="K36" s="15" t="n">
        <v>78.714</v>
      </c>
      <c r="L36" s="15" t="n">
        <v>76.033</v>
      </c>
      <c r="M36" s="15" t="n">
        <v>12.27</v>
      </c>
      <c r="N36" s="15" t="n">
        <v>10.273</v>
      </c>
      <c r="O36" s="15" t="n">
        <v>24.64</v>
      </c>
      <c r="P36" s="15" t="n">
        <v>91.652</v>
      </c>
      <c r="Q36" s="15" t="n">
        <v>15.376</v>
      </c>
      <c r="R36" s="15" t="n">
        <v>251.635</v>
      </c>
      <c r="S36" s="15" t="n">
        <v>222.544</v>
      </c>
      <c r="T36" s="15" t="n">
        <v>139.649</v>
      </c>
      <c r="U36" s="15" t="n">
        <v>136.694</v>
      </c>
      <c r="V36" s="15" t="n">
        <v>0</v>
      </c>
      <c r="W36" s="15" t="n">
        <v>0</v>
      </c>
      <c r="X36" s="15" t="n">
        <v>15.44</v>
      </c>
      <c r="Y36" s="15" t="n">
        <v>188.143</v>
      </c>
      <c r="Z36" s="15" t="n">
        <v>174.296</v>
      </c>
      <c r="AA36" s="15" t="n">
        <v>64.254</v>
      </c>
      <c r="AB36" s="15" t="n">
        <v>56.834</v>
      </c>
      <c r="AC36" s="15" t="n">
        <v>101.169</v>
      </c>
      <c r="AD36" s="16" t="n">
        <v>13242</v>
      </c>
      <c r="AE36" s="17">
        <f>IF(ISNUMBER(K36),K36,IF(AND(ISNUMBER(H36),ISNUMBER(I36)),H36+I36,IF(ISNUMBER(H36),H36,"")))</f>
        <v/>
      </c>
      <c r="AF36" s="18">
        <f>IF(OR(NOT(ISNUMBER(J36)),NOT(ISNUMBER(H36)),H36&lt;=0),기준표!$B$8,MIN(MAX(J36/H36,기준표!$B$6),기준표!$B$7))</f>
        <v/>
      </c>
      <c r="AG36" s="17">
        <f>IF(ISNUMBER(AE36),AE36*(1-AF36),"")</f>
        <v/>
      </c>
      <c r="AH36" s="17">
        <f>IF(AND(NOT(ISNUMBER(V36)),NOT(ISNUMBER(X36))),"",IF(ISNUMBER(V36),V36,0)+IF(ISNUMBER(X36),X36,0))</f>
        <v/>
      </c>
      <c r="AI36" s="17">
        <f>IF(E36="금융","",IF(AND(ISNUMBER(R36),ISNUMBER(AH36),ISNUMBER(T36)),R36+AH36-T36,""))</f>
        <v/>
      </c>
      <c r="AJ36" s="17">
        <f>IF(E36="금융","",IF(NOT(ISNUMBER(AI36)),"",IF(ISNUMBER(AC36),(AI36+AC36)/2,AI36)))</f>
        <v/>
      </c>
      <c r="AK36" s="19">
        <f>IF(AND(ISNUMBER(AG36),ISNUMBER(AJ36),AJ36&gt;0),AG36/AJ36,"")</f>
        <v/>
      </c>
      <c r="AL36" s="17">
        <f>IF(E36="금융","",IF(AND(ISNUMBER(R36),ISNUMBER(AH36)),R36+AH36,""))</f>
        <v/>
      </c>
      <c r="AM36" s="19">
        <f>IF(OR(NOT(ISNUMBER(AG36)),NOT(ISNUMBER(AL36)),AL36&lt;=0),"",IF(AND(ISNUMBER(G36),AL36&lt;0.1*G36),"",AG36/AL36))</f>
        <v/>
      </c>
      <c r="AN36" s="17">
        <f>IF(NOT(ISNUMBER(R36)),"",IF(ISNUMBER(S36),(R36+S36)/2,R36))</f>
        <v/>
      </c>
      <c r="AO36" s="19">
        <f>IF(AND(ISNUMBER(L36),ISNUMBER(AN36),AN36&gt;0),L36/AN36,"")</f>
        <v/>
      </c>
      <c r="AP36" s="19">
        <f>IF(AND(ISNUMBER(AO36),ISNUMBER({ROIC})),AO36-{ROIC},"")</f>
        <v/>
      </c>
      <c r="AQ36" s="17">
        <f>IF(AND(ISNUMBER(AE36),ISNUMBER(N36)),AE36+N36,"")</f>
        <v/>
      </c>
      <c r="AR36" s="20">
        <f>IF(AND(ISNUMBER(AH36),ISNUMBER(T36),ISNUMBER(AQ36),AQ36&gt;0),(AH36-T36)/AQ36,"")</f>
        <v/>
      </c>
      <c r="AS36" s="20">
        <f>IF(AND(ISNUMBER(AE36),ISNUMBER(I36),I36&lt;&gt;0,AE36&gt;0),AE36/I36,"")</f>
        <v/>
      </c>
      <c r="AT36" s="17">
        <f>IF(AND(ISNUMBER(Y36),ISNUMBER(AA36)),Y36-IF(ISNUMBER(T36),T36,0)-(AA36-IF(ISNUMBER(V36),V36,0)),"")</f>
        <v/>
      </c>
      <c r="AU36" s="17">
        <f>IF(AND(ISNUMBER(Z36),ISNUMBER(AB36)),Z36-IF(ISNUMBER(U36),U36,0)-(AB36-IF(ISNUMBER(W36),W36,0)),"")</f>
        <v/>
      </c>
      <c r="AV36" s="17">
        <f>IF(AND(ISNUMBER(AT36),ISNUMBER(AU36)),AT36-AU36,"")</f>
        <v/>
      </c>
      <c r="AW36" s="17">
        <f>IF(AND(ISNUMBER(L36),ISNUMBER(M36),ISNUMBER(AF36)),L36-M36*(1-AF36),IF(ISNUMBER(L36),L36,""))</f>
        <v/>
      </c>
      <c r="AX36" s="17">
        <f>IF(E36="금융","",IF(AND(ISNUMBER(AW36),ISNUMBER(N36),ISNUMBER(O36),ISNUMBER(AV36)),AW36+N36-O36-AV36,IF(AND(ISNUMBER(P36),ISNUMBER(O36)),P36-O36-IF(ISNUMBER(Q36),Q36,0),"")))</f>
        <v/>
      </c>
      <c r="AY36" s="8">
        <f>IF(E36="금융","금융업 - 정의되지 않음",IF(AND(ISNUMBER(AW36),ISNUMBER(N36),ISNUMBER(O36),ISNUMBER(AV36)),"영업순이익+감가상각-설비투자-운전자본증감",IF(AND(ISNUMBER(P36),ISNUMBER(O36)),IF(ISNUMBER(Q36),"영업현금흐름-설비투자-주식보상비용","영업현금흐름-설비투자(주식보상비용 미태깅)"),"산출불가")))</f>
        <v/>
      </c>
      <c r="AZ36" s="19">
        <f>IF(AND(ISNUMBER(AX36),ISNUMBER(G36),G36&lt;&gt;0),AX36/G36,"")</f>
        <v/>
      </c>
      <c r="BA36" s="19">
        <f>IF(AND(ISNUMBER(AE36),ISNUMBER(G36),G36&lt;&gt;0),AE36/G36,"")</f>
        <v/>
      </c>
    </row>
    <row r="37">
      <c r="A37" s="8" t="inlineStr">
        <is>
          <t>GOOG</t>
        </is>
      </c>
      <c r="B37" s="8" t="inlineStr">
        <is>
          <t>Alphabet Inc.</t>
        </is>
      </c>
      <c r="C37" s="8" t="n">
        <v>2022</v>
      </c>
      <c r="D37" s="8" t="inlineStr">
        <is>
          <t>2022-12-31</t>
        </is>
      </c>
      <c r="E37" s="8" t="inlineStr">
        <is>
          <t>일반</t>
        </is>
      </c>
      <c r="F37" s="8" t="inlineStr">
        <is>
          <t>0001652044-25-000014</t>
        </is>
      </c>
      <c r="G37" s="15" t="n">
        <v>282.836</v>
      </c>
      <c r="H37" s="15" t="n">
        <v>71.328</v>
      </c>
      <c r="I37" s="15" t="n">
        <v>0.357</v>
      </c>
      <c r="J37" s="15" t="n">
        <v>11.356</v>
      </c>
      <c r="K37" s="15" t="n">
        <v>74.842</v>
      </c>
      <c r="L37" s="15" t="n">
        <v>59.972</v>
      </c>
      <c r="M37" s="15" t="n">
        <v>-5.519</v>
      </c>
      <c r="N37" s="15" t="n">
        <v>13.475</v>
      </c>
      <c r="O37" s="15" t="n">
        <v>31.485</v>
      </c>
      <c r="P37" s="15" t="n">
        <v>91.495</v>
      </c>
      <c r="Q37" s="15" t="n">
        <v>19.362</v>
      </c>
      <c r="R37" s="15" t="n">
        <v>256.144</v>
      </c>
      <c r="S37" s="15" t="n">
        <v>251.635</v>
      </c>
      <c r="T37" s="15" t="n">
        <v>113.762</v>
      </c>
      <c r="U37" s="15" t="n">
        <v>139.649</v>
      </c>
      <c r="V37" s="15" t="n">
        <v>0</v>
      </c>
      <c r="W37" s="15" t="n">
        <v>0</v>
      </c>
      <c r="X37" s="15" t="n">
        <v>15.312</v>
      </c>
      <c r="Y37" s="15" t="n">
        <v>164.795</v>
      </c>
      <c r="Z37" s="15" t="n">
        <v>188.143</v>
      </c>
      <c r="AA37" s="15" t="n">
        <v>69.3</v>
      </c>
      <c r="AB37" s="15" t="n">
        <v>64.254</v>
      </c>
      <c r="AC37" s="15" t="n">
        <v>127.426</v>
      </c>
      <c r="AD37" s="16" t="n">
        <v>12849</v>
      </c>
      <c r="AE37" s="17">
        <f>IF(ISNUMBER(K37),K37,IF(AND(ISNUMBER(H37),ISNUMBER(I37)),H37+I37,IF(ISNUMBER(H37),H37,"")))</f>
        <v/>
      </c>
      <c r="AF37" s="18">
        <f>IF(OR(NOT(ISNUMBER(J37)),NOT(ISNUMBER(H37)),H37&lt;=0),기준표!$B$8,MIN(MAX(J37/H37,기준표!$B$6),기준표!$B$7))</f>
        <v/>
      </c>
      <c r="AG37" s="17">
        <f>IF(ISNUMBER(AE37),AE37*(1-AF37),"")</f>
        <v/>
      </c>
      <c r="AH37" s="17">
        <f>IF(AND(NOT(ISNUMBER(V37)),NOT(ISNUMBER(X37))),"",IF(ISNUMBER(V37),V37,0)+IF(ISNUMBER(X37),X37,0))</f>
        <v/>
      </c>
      <c r="AI37" s="17">
        <f>IF(E37="금융","",IF(AND(ISNUMBER(R37),ISNUMBER(AH37),ISNUMBER(T37)),R37+AH37-T37,""))</f>
        <v/>
      </c>
      <c r="AJ37" s="17">
        <f>IF(E37="금융","",IF(NOT(ISNUMBER(AI37)),"",IF(ISNUMBER(AC37),(AI37+AC37)/2,AI37)))</f>
        <v/>
      </c>
      <c r="AK37" s="19">
        <f>IF(AND(ISNUMBER(AG37),ISNUMBER(AJ37),AJ37&gt;0),AG37/AJ37,"")</f>
        <v/>
      </c>
      <c r="AL37" s="17">
        <f>IF(E37="금융","",IF(AND(ISNUMBER(R37),ISNUMBER(AH37)),R37+AH37,""))</f>
        <v/>
      </c>
      <c r="AM37" s="19">
        <f>IF(OR(NOT(ISNUMBER(AG37)),NOT(ISNUMBER(AL37)),AL37&lt;=0),"",IF(AND(ISNUMBER(G37),AL37&lt;0.1*G37),"",AG37/AL37))</f>
        <v/>
      </c>
      <c r="AN37" s="17">
        <f>IF(NOT(ISNUMBER(R37)),"",IF(ISNUMBER(S37),(R37+S37)/2,R37))</f>
        <v/>
      </c>
      <c r="AO37" s="19">
        <f>IF(AND(ISNUMBER(L37),ISNUMBER(AN37),AN37&gt;0),L37/AN37,"")</f>
        <v/>
      </c>
      <c r="AP37" s="19">
        <f>IF(AND(ISNUMBER(AO37),ISNUMBER({ROIC})),AO37-{ROIC},"")</f>
        <v/>
      </c>
      <c r="AQ37" s="17">
        <f>IF(AND(ISNUMBER(AE37),ISNUMBER(N37)),AE37+N37,"")</f>
        <v/>
      </c>
      <c r="AR37" s="20">
        <f>IF(AND(ISNUMBER(AH37),ISNUMBER(T37),ISNUMBER(AQ37),AQ37&gt;0),(AH37-T37)/AQ37,"")</f>
        <v/>
      </c>
      <c r="AS37" s="20">
        <f>IF(AND(ISNUMBER(AE37),ISNUMBER(I37),I37&lt;&gt;0,AE37&gt;0),AE37/I37,"")</f>
        <v/>
      </c>
      <c r="AT37" s="17">
        <f>IF(AND(ISNUMBER(Y37),ISNUMBER(AA37)),Y37-IF(ISNUMBER(T37),T37,0)-(AA37-IF(ISNUMBER(V37),V37,0)),"")</f>
        <v/>
      </c>
      <c r="AU37" s="17">
        <f>IF(AND(ISNUMBER(Z37),ISNUMBER(AB37)),Z37-IF(ISNUMBER(U37),U37,0)-(AB37-IF(ISNUMBER(W37),W37,0)),"")</f>
        <v/>
      </c>
      <c r="AV37" s="17">
        <f>IF(AND(ISNUMBER(AT37),ISNUMBER(AU37)),AT37-AU37,"")</f>
        <v/>
      </c>
      <c r="AW37" s="17">
        <f>IF(AND(ISNUMBER(L37),ISNUMBER(M37),ISNUMBER(AF37)),L37-M37*(1-AF37),IF(ISNUMBER(L37),L37,""))</f>
        <v/>
      </c>
      <c r="AX37" s="17">
        <f>IF(E37="금융","",IF(AND(ISNUMBER(AW37),ISNUMBER(N37),ISNUMBER(O37),ISNUMBER(AV37)),AW37+N37-O37-AV37,IF(AND(ISNUMBER(P37),ISNUMBER(O37)),P37-O37-IF(ISNUMBER(Q37),Q37,0),"")))</f>
        <v/>
      </c>
      <c r="AY37" s="8">
        <f>IF(E37="금융","금융업 - 정의되지 않음",IF(AND(ISNUMBER(AW37),ISNUMBER(N37),ISNUMBER(O37),ISNUMBER(AV37)),"영업순이익+감가상각-설비투자-운전자본증감",IF(AND(ISNUMBER(P37),ISNUMBER(O37)),IF(ISNUMBER(Q37),"영업현금흐름-설비투자-주식보상비용","영업현금흐름-설비투자(주식보상비용 미태깅)"),"산출불가")))</f>
        <v/>
      </c>
      <c r="AZ37" s="19">
        <f>IF(AND(ISNUMBER(AX37),ISNUMBER(G37),G37&lt;&gt;0),AX37/G37,"")</f>
        <v/>
      </c>
      <c r="BA37" s="19">
        <f>IF(AND(ISNUMBER(AE37),ISNUMBER(G37),G37&lt;&gt;0),AE37/G37,"")</f>
        <v/>
      </c>
    </row>
    <row r="38">
      <c r="A38" s="8" t="inlineStr">
        <is>
          <t>GOOG</t>
        </is>
      </c>
      <c r="B38" s="8" t="inlineStr">
        <is>
          <t>Alphabet Inc.</t>
        </is>
      </c>
      <c r="C38" s="8" t="n">
        <v>2023</v>
      </c>
      <c r="D38" s="8" t="inlineStr">
        <is>
          <t>2023-12-31</t>
        </is>
      </c>
      <c r="E38" s="8" t="inlineStr">
        <is>
          <t>일반</t>
        </is>
      </c>
      <c r="F38" s="8" t="inlineStr">
        <is>
          <t>0001652044-26-000018</t>
        </is>
      </c>
      <c r="G38" s="15" t="n">
        <v>307.394</v>
      </c>
      <c r="H38" s="15" t="n">
        <v>85.717</v>
      </c>
      <c r="I38" s="15" t="n">
        <v>0.308</v>
      </c>
      <c r="J38" s="15" t="n">
        <v>11.922</v>
      </c>
      <c r="K38" s="15" t="n">
        <v>84.29300000000001</v>
      </c>
      <c r="L38" s="15" t="n">
        <v>73.795</v>
      </c>
      <c r="M38" s="15" t="n">
        <v>-0.823</v>
      </c>
      <c r="N38" s="15" t="n">
        <v>11.946</v>
      </c>
      <c r="O38" s="15" t="n">
        <v>32.251</v>
      </c>
      <c r="P38" s="15" t="n">
        <v>101.746</v>
      </c>
      <c r="Q38" s="15" t="n">
        <v>22.46</v>
      </c>
      <c r="R38" s="15" t="n">
        <v>283.379</v>
      </c>
      <c r="S38" s="15" t="n">
        <v>256.144</v>
      </c>
      <c r="T38" s="15" t="n">
        <v>110.916</v>
      </c>
      <c r="U38" s="15" t="n">
        <v>113.762</v>
      </c>
      <c r="V38" s="15" t="n">
        <v>0</v>
      </c>
      <c r="W38" s="15" t="n">
        <v>0</v>
      </c>
      <c r="X38" s="15" t="n">
        <v>13</v>
      </c>
      <c r="Y38" s="15" t="n">
        <v>171.53</v>
      </c>
      <c r="Z38" s="15" t="n">
        <v>164.795</v>
      </c>
      <c r="AA38" s="15" t="n">
        <v>81.81399999999999</v>
      </c>
      <c r="AB38" s="15" t="n">
        <v>69.3</v>
      </c>
      <c r="AC38" s="15" t="n">
        <v>157.694</v>
      </c>
      <c r="AD38" s="16" t="n">
        <v>12460</v>
      </c>
      <c r="AE38" s="17">
        <f>IF(ISNUMBER(K38),K38,IF(AND(ISNUMBER(H38),ISNUMBER(I38)),H38+I38,IF(ISNUMBER(H38),H38,"")))</f>
        <v/>
      </c>
      <c r="AF38" s="18">
        <f>IF(OR(NOT(ISNUMBER(J38)),NOT(ISNUMBER(H38)),H38&lt;=0),기준표!$B$8,MIN(MAX(J38/H38,기준표!$B$6),기준표!$B$7))</f>
        <v/>
      </c>
      <c r="AG38" s="17">
        <f>IF(ISNUMBER(AE38),AE38*(1-AF38),"")</f>
        <v/>
      </c>
      <c r="AH38" s="17">
        <f>IF(AND(NOT(ISNUMBER(V38)),NOT(ISNUMBER(X38))),"",IF(ISNUMBER(V38),V38,0)+IF(ISNUMBER(X38),X38,0))</f>
        <v/>
      </c>
      <c r="AI38" s="17">
        <f>IF(E38="금융","",IF(AND(ISNUMBER(R38),ISNUMBER(AH38),ISNUMBER(T38)),R38+AH38-T38,""))</f>
        <v/>
      </c>
      <c r="AJ38" s="17">
        <f>IF(E38="금융","",IF(NOT(ISNUMBER(AI38)),"",IF(ISNUMBER(AC38),(AI38+AC38)/2,AI38)))</f>
        <v/>
      </c>
      <c r="AK38" s="19">
        <f>IF(AND(ISNUMBER(AG38),ISNUMBER(AJ38),AJ38&gt;0),AG38/AJ38,"")</f>
        <v/>
      </c>
      <c r="AL38" s="17">
        <f>IF(E38="금융","",IF(AND(ISNUMBER(R38),ISNUMBER(AH38)),R38+AH38,""))</f>
        <v/>
      </c>
      <c r="AM38" s="19">
        <f>IF(OR(NOT(ISNUMBER(AG38)),NOT(ISNUMBER(AL38)),AL38&lt;=0),"",IF(AND(ISNUMBER(G38),AL38&lt;0.1*G38),"",AG38/AL38))</f>
        <v/>
      </c>
      <c r="AN38" s="17">
        <f>IF(NOT(ISNUMBER(R38)),"",IF(ISNUMBER(S38),(R38+S38)/2,R38))</f>
        <v/>
      </c>
      <c r="AO38" s="19">
        <f>IF(AND(ISNUMBER(L38),ISNUMBER(AN38),AN38&gt;0),L38/AN38,"")</f>
        <v/>
      </c>
      <c r="AP38" s="19">
        <f>IF(AND(ISNUMBER(AO38),ISNUMBER({ROIC})),AO38-{ROIC},"")</f>
        <v/>
      </c>
      <c r="AQ38" s="17">
        <f>IF(AND(ISNUMBER(AE38),ISNUMBER(N38)),AE38+N38,"")</f>
        <v/>
      </c>
      <c r="AR38" s="20">
        <f>IF(AND(ISNUMBER(AH38),ISNUMBER(T38),ISNUMBER(AQ38),AQ38&gt;0),(AH38-T38)/AQ38,"")</f>
        <v/>
      </c>
      <c r="AS38" s="20">
        <f>IF(AND(ISNUMBER(AE38),ISNUMBER(I38),I38&lt;&gt;0,AE38&gt;0),AE38/I38,"")</f>
        <v/>
      </c>
      <c r="AT38" s="17">
        <f>IF(AND(ISNUMBER(Y38),ISNUMBER(AA38)),Y38-IF(ISNUMBER(T38),T38,0)-(AA38-IF(ISNUMBER(V38),V38,0)),"")</f>
        <v/>
      </c>
      <c r="AU38" s="17">
        <f>IF(AND(ISNUMBER(Z38),ISNUMBER(AB38)),Z38-IF(ISNUMBER(U38),U38,0)-(AB38-IF(ISNUMBER(W38),W38,0)),"")</f>
        <v/>
      </c>
      <c r="AV38" s="17">
        <f>IF(AND(ISNUMBER(AT38),ISNUMBER(AU38)),AT38-AU38,"")</f>
        <v/>
      </c>
      <c r="AW38" s="17">
        <f>IF(AND(ISNUMBER(L38),ISNUMBER(M38),ISNUMBER(AF38)),L38-M38*(1-AF38),IF(ISNUMBER(L38),L38,""))</f>
        <v/>
      </c>
      <c r="AX38" s="17">
        <f>IF(E38="금융","",IF(AND(ISNUMBER(AW38),ISNUMBER(N38),ISNUMBER(O38),ISNUMBER(AV38)),AW38+N38-O38-AV38,IF(AND(ISNUMBER(P38),ISNUMBER(O38)),P38-O38-IF(ISNUMBER(Q38),Q38,0),"")))</f>
        <v/>
      </c>
      <c r="AY38" s="8">
        <f>IF(E38="금융","금융업 - 정의되지 않음",IF(AND(ISNUMBER(AW38),ISNUMBER(N38),ISNUMBER(O38),ISNUMBER(AV38)),"영업순이익+감가상각-설비투자-운전자본증감",IF(AND(ISNUMBER(P38),ISNUMBER(O38)),IF(ISNUMBER(Q38),"영업현금흐름-설비투자-주식보상비용","영업현금흐름-설비투자(주식보상비용 미태깅)"),"산출불가")))</f>
        <v/>
      </c>
      <c r="AZ38" s="19">
        <f>IF(AND(ISNUMBER(AX38),ISNUMBER(G38),G38&lt;&gt;0),AX38/G38,"")</f>
        <v/>
      </c>
      <c r="BA38" s="19">
        <f>IF(AND(ISNUMBER(AE38),ISNUMBER(G38),G38&lt;&gt;0),AE38/G38,"")</f>
        <v/>
      </c>
    </row>
    <row r="39">
      <c r="A39" s="8" t="inlineStr">
        <is>
          <t>GOOG</t>
        </is>
      </c>
      <c r="B39" s="8" t="inlineStr">
        <is>
          <t>Alphabet Inc.</t>
        </is>
      </c>
      <c r="C39" s="8" t="n">
        <v>2024</v>
      </c>
      <c r="D39" s="8" t="inlineStr">
        <is>
          <t>2024-12-31</t>
        </is>
      </c>
      <c r="E39" s="8" t="inlineStr">
        <is>
          <t>일반</t>
        </is>
      </c>
      <c r="F39" s="8" t="inlineStr">
        <is>
          <t>0001652044-26-000018</t>
        </is>
      </c>
      <c r="G39" s="15" t="n">
        <v>350.018</v>
      </c>
      <c r="H39" s="15" t="n">
        <v>119.815</v>
      </c>
      <c r="I39" s="15" t="n">
        <v>0.268</v>
      </c>
      <c r="J39" s="15" t="n">
        <v>19.697</v>
      </c>
      <c r="K39" s="15" t="n">
        <v>112.39</v>
      </c>
      <c r="L39" s="15" t="n">
        <v>100.118</v>
      </c>
      <c r="M39" s="15" t="n">
        <v>2.671</v>
      </c>
      <c r="N39" s="15" t="n">
        <v>15.311</v>
      </c>
      <c r="O39" s="15" t="n">
        <v>52.535</v>
      </c>
      <c r="P39" s="15" t="n">
        <v>125.299</v>
      </c>
      <c r="Q39" s="15" t="n">
        <v>22.785</v>
      </c>
      <c r="R39" s="15" t="n">
        <v>325.084</v>
      </c>
      <c r="S39" s="15" t="n">
        <v>283.379</v>
      </c>
      <c r="T39" s="15" t="n">
        <v>95.657</v>
      </c>
      <c r="U39" s="15" t="n">
        <v>110.916</v>
      </c>
      <c r="V39" s="15" t="n">
        <v>2.3</v>
      </c>
      <c r="W39" s="15" t="n">
        <v>0</v>
      </c>
      <c r="X39" s="15" t="n">
        <v>12</v>
      </c>
      <c r="Y39" s="15" t="n">
        <v>163.711</v>
      </c>
      <c r="Z39" s="15" t="n">
        <v>171.53</v>
      </c>
      <c r="AA39" s="15" t="n">
        <v>89.122</v>
      </c>
      <c r="AB39" s="15" t="n">
        <v>81.81399999999999</v>
      </c>
      <c r="AC39" s="15" t="n">
        <v>185.463</v>
      </c>
      <c r="AD39" s="16" t="n">
        <v>12211</v>
      </c>
      <c r="AE39" s="17">
        <f>IF(ISNUMBER(K39),K39,IF(AND(ISNUMBER(H39),ISNUMBER(I39)),H39+I39,IF(ISNUMBER(H39),H39,"")))</f>
        <v/>
      </c>
      <c r="AF39" s="18">
        <f>IF(OR(NOT(ISNUMBER(J39)),NOT(ISNUMBER(H39)),H39&lt;=0),기준표!$B$8,MIN(MAX(J39/H39,기준표!$B$6),기준표!$B$7))</f>
        <v/>
      </c>
      <c r="AG39" s="17">
        <f>IF(ISNUMBER(AE39),AE39*(1-AF39),"")</f>
        <v/>
      </c>
      <c r="AH39" s="17">
        <f>IF(AND(NOT(ISNUMBER(V39)),NOT(ISNUMBER(X39))),"",IF(ISNUMBER(V39),V39,0)+IF(ISNUMBER(X39),X39,0))</f>
        <v/>
      </c>
      <c r="AI39" s="17">
        <f>IF(E39="금융","",IF(AND(ISNUMBER(R39),ISNUMBER(AH39),ISNUMBER(T39)),R39+AH39-T39,""))</f>
        <v/>
      </c>
      <c r="AJ39" s="17">
        <f>IF(E39="금융","",IF(NOT(ISNUMBER(AI39)),"",IF(ISNUMBER(AC39),(AI39+AC39)/2,AI39)))</f>
        <v/>
      </c>
      <c r="AK39" s="19">
        <f>IF(AND(ISNUMBER(AG39),ISNUMBER(AJ39),AJ39&gt;0),AG39/AJ39,"")</f>
        <v/>
      </c>
      <c r="AL39" s="17">
        <f>IF(E39="금융","",IF(AND(ISNUMBER(R39),ISNUMBER(AH39)),R39+AH39,""))</f>
        <v/>
      </c>
      <c r="AM39" s="19">
        <f>IF(OR(NOT(ISNUMBER(AG39)),NOT(ISNUMBER(AL39)),AL39&lt;=0),"",IF(AND(ISNUMBER(G39),AL39&lt;0.1*G39),"",AG39/AL39))</f>
        <v/>
      </c>
      <c r="AN39" s="17">
        <f>IF(NOT(ISNUMBER(R39)),"",IF(ISNUMBER(S39),(R39+S39)/2,R39))</f>
        <v/>
      </c>
      <c r="AO39" s="19">
        <f>IF(AND(ISNUMBER(L39),ISNUMBER(AN39),AN39&gt;0),L39/AN39,"")</f>
        <v/>
      </c>
      <c r="AP39" s="19">
        <f>IF(AND(ISNUMBER(AO39),ISNUMBER({ROIC})),AO39-{ROIC},"")</f>
        <v/>
      </c>
      <c r="AQ39" s="17">
        <f>IF(AND(ISNUMBER(AE39),ISNUMBER(N39)),AE39+N39,"")</f>
        <v/>
      </c>
      <c r="AR39" s="20">
        <f>IF(AND(ISNUMBER(AH39),ISNUMBER(T39),ISNUMBER(AQ39),AQ39&gt;0),(AH39-T39)/AQ39,"")</f>
        <v/>
      </c>
      <c r="AS39" s="20">
        <f>IF(AND(ISNUMBER(AE39),ISNUMBER(I39),I39&lt;&gt;0,AE39&gt;0),AE39/I39,"")</f>
        <v/>
      </c>
      <c r="AT39" s="17">
        <f>IF(AND(ISNUMBER(Y39),ISNUMBER(AA39)),Y39-IF(ISNUMBER(T39),T39,0)-(AA39-IF(ISNUMBER(V39),V39,0)),"")</f>
        <v/>
      </c>
      <c r="AU39" s="17">
        <f>IF(AND(ISNUMBER(Z39),ISNUMBER(AB39)),Z39-IF(ISNUMBER(U39),U39,0)-(AB39-IF(ISNUMBER(W39),W39,0)),"")</f>
        <v/>
      </c>
      <c r="AV39" s="17">
        <f>IF(AND(ISNUMBER(AT39),ISNUMBER(AU39)),AT39-AU39,"")</f>
        <v/>
      </c>
      <c r="AW39" s="17">
        <f>IF(AND(ISNUMBER(L39),ISNUMBER(M39),ISNUMBER(AF39)),L39-M39*(1-AF39),IF(ISNUMBER(L39),L39,""))</f>
        <v/>
      </c>
      <c r="AX39" s="17">
        <f>IF(E39="금융","",IF(AND(ISNUMBER(AW39),ISNUMBER(N39),ISNUMBER(O39),ISNUMBER(AV39)),AW39+N39-O39-AV39,IF(AND(ISNUMBER(P39),ISNUMBER(O39)),P39-O39-IF(ISNUMBER(Q39),Q39,0),"")))</f>
        <v/>
      </c>
      <c r="AY39" s="8">
        <f>IF(E39="금융","금융업 - 정의되지 않음",IF(AND(ISNUMBER(AW39),ISNUMBER(N39),ISNUMBER(O39),ISNUMBER(AV39)),"영업순이익+감가상각-설비투자-운전자본증감",IF(AND(ISNUMBER(P39),ISNUMBER(O39)),IF(ISNUMBER(Q39),"영업현금흐름-설비투자-주식보상비용","영업현금흐름-설비투자(주식보상비용 미태깅)"),"산출불가")))</f>
        <v/>
      </c>
      <c r="AZ39" s="19">
        <f>IF(AND(ISNUMBER(AX39),ISNUMBER(G39),G39&lt;&gt;0),AX39/G39,"")</f>
        <v/>
      </c>
      <c r="BA39" s="19">
        <f>IF(AND(ISNUMBER(AE39),ISNUMBER(G39),G39&lt;&gt;0),AE39/G39,"")</f>
        <v/>
      </c>
    </row>
    <row r="40">
      <c r="A40" s="8" t="inlineStr">
        <is>
          <t>GOOG</t>
        </is>
      </c>
      <c r="B40" s="8" t="inlineStr">
        <is>
          <t>Alphabet Inc.</t>
        </is>
      </c>
      <c r="C40" s="8" t="n">
        <v>2025</v>
      </c>
      <c r="D40" s="8" t="inlineStr">
        <is>
          <t>2025-12-31</t>
        </is>
      </c>
      <c r="E40" s="8" t="inlineStr">
        <is>
          <t>일반</t>
        </is>
      </c>
      <c r="F40" s="8" t="inlineStr">
        <is>
          <t>0001652044-26-000018</t>
        </is>
      </c>
      <c r="G40" s="15" t="n">
        <v>402.836</v>
      </c>
      <c r="H40" s="15" t="n">
        <v>158.826</v>
      </c>
      <c r="I40" s="15" t="n">
        <v>0.736</v>
      </c>
      <c r="J40" s="15" t="n">
        <v>26.656</v>
      </c>
      <c r="K40" s="15" t="n">
        <v>129.039</v>
      </c>
      <c r="L40" s="15" t="n">
        <v>132.17</v>
      </c>
      <c r="M40" s="15" t="n">
        <v>24.62</v>
      </c>
      <c r="N40" s="15" t="n">
        <v>21.136</v>
      </c>
      <c r="O40" s="15" t="n">
        <v>91.447</v>
      </c>
      <c r="P40" s="15" t="n">
        <v>164.713</v>
      </c>
      <c r="Q40" s="15" t="n">
        <v>24.953</v>
      </c>
      <c r="R40" s="15" t="n">
        <v>415.265</v>
      </c>
      <c r="S40" s="15" t="n">
        <v>325.084</v>
      </c>
      <c r="T40" s="15" t="n">
        <v>126.843</v>
      </c>
      <c r="U40" s="15" t="n">
        <v>95.657</v>
      </c>
      <c r="V40" s="15" t="n">
        <v>0</v>
      </c>
      <c r="W40" s="15" t="n">
        <v>2.3</v>
      </c>
      <c r="X40" s="15" t="n">
        <v>49.085</v>
      </c>
      <c r="Y40" s="15" t="n">
        <v>206.038</v>
      </c>
      <c r="Z40" s="15" t="n">
        <v>163.711</v>
      </c>
      <c r="AA40" s="15" t="n">
        <v>102.745</v>
      </c>
      <c r="AB40" s="15" t="n">
        <v>89.122</v>
      </c>
      <c r="AC40" s="15" t="n">
        <v>243.727</v>
      </c>
      <c r="AD40" s="16" t="n">
        <v>12088</v>
      </c>
      <c r="AE40" s="17">
        <f>IF(ISNUMBER(K40),K40,IF(AND(ISNUMBER(H40),ISNUMBER(I40)),H40+I40,IF(ISNUMBER(H40),H40,"")))</f>
        <v/>
      </c>
      <c r="AF40" s="18">
        <f>IF(OR(NOT(ISNUMBER(J40)),NOT(ISNUMBER(H40)),H40&lt;=0),기준표!$B$8,MIN(MAX(J40/H40,기준표!$B$6),기준표!$B$7))</f>
        <v/>
      </c>
      <c r="AG40" s="17">
        <f>IF(ISNUMBER(AE40),AE40*(1-AF40),"")</f>
        <v/>
      </c>
      <c r="AH40" s="17">
        <f>IF(AND(NOT(ISNUMBER(V40)),NOT(ISNUMBER(X40))),"",IF(ISNUMBER(V40),V40,0)+IF(ISNUMBER(X40),X40,0))</f>
        <v/>
      </c>
      <c r="AI40" s="17">
        <f>IF(E40="금융","",IF(AND(ISNUMBER(R40),ISNUMBER(AH40),ISNUMBER(T40)),R40+AH40-T40,""))</f>
        <v/>
      </c>
      <c r="AJ40" s="17">
        <f>IF(E40="금융","",IF(NOT(ISNUMBER(AI40)),"",IF(ISNUMBER(AC40),(AI40+AC40)/2,AI40)))</f>
        <v/>
      </c>
      <c r="AK40" s="19">
        <f>IF(AND(ISNUMBER(AG40),ISNUMBER(AJ40),AJ40&gt;0),AG40/AJ40,"")</f>
        <v/>
      </c>
      <c r="AL40" s="17">
        <f>IF(E40="금융","",IF(AND(ISNUMBER(R40),ISNUMBER(AH40)),R40+AH40,""))</f>
        <v/>
      </c>
      <c r="AM40" s="19">
        <f>IF(OR(NOT(ISNUMBER(AG40)),NOT(ISNUMBER(AL40)),AL40&lt;=0),"",IF(AND(ISNUMBER(G40),AL40&lt;0.1*G40),"",AG40/AL40))</f>
        <v/>
      </c>
      <c r="AN40" s="17">
        <f>IF(NOT(ISNUMBER(R40)),"",IF(ISNUMBER(S40),(R40+S40)/2,R40))</f>
        <v/>
      </c>
      <c r="AO40" s="19">
        <f>IF(AND(ISNUMBER(L40),ISNUMBER(AN40),AN40&gt;0),L40/AN40,"")</f>
        <v/>
      </c>
      <c r="AP40" s="19">
        <f>IF(AND(ISNUMBER(AO40),ISNUMBER({ROIC})),AO40-{ROIC},"")</f>
        <v/>
      </c>
      <c r="AQ40" s="17">
        <f>IF(AND(ISNUMBER(AE40),ISNUMBER(N40)),AE40+N40,"")</f>
        <v/>
      </c>
      <c r="AR40" s="20">
        <f>IF(AND(ISNUMBER(AH40),ISNUMBER(T40),ISNUMBER(AQ40),AQ40&gt;0),(AH40-T40)/AQ40,"")</f>
        <v/>
      </c>
      <c r="AS40" s="20">
        <f>IF(AND(ISNUMBER(AE40),ISNUMBER(I40),I40&lt;&gt;0,AE40&gt;0),AE40/I40,"")</f>
        <v/>
      </c>
      <c r="AT40" s="17">
        <f>IF(AND(ISNUMBER(Y40),ISNUMBER(AA40)),Y40-IF(ISNUMBER(T40),T40,0)-(AA40-IF(ISNUMBER(V40),V40,0)),"")</f>
        <v/>
      </c>
      <c r="AU40" s="17">
        <f>IF(AND(ISNUMBER(Z40),ISNUMBER(AB40)),Z40-IF(ISNUMBER(U40),U40,0)-(AB40-IF(ISNUMBER(W40),W40,0)),"")</f>
        <v/>
      </c>
      <c r="AV40" s="17">
        <f>IF(AND(ISNUMBER(AT40),ISNUMBER(AU40)),AT40-AU40,"")</f>
        <v/>
      </c>
      <c r="AW40" s="17">
        <f>IF(AND(ISNUMBER(L40),ISNUMBER(M40),ISNUMBER(AF40)),L40-M40*(1-AF40),IF(ISNUMBER(L40),L40,""))</f>
        <v/>
      </c>
      <c r="AX40" s="17">
        <f>IF(E40="금융","",IF(AND(ISNUMBER(AW40),ISNUMBER(N40),ISNUMBER(O40),ISNUMBER(AV40)),AW40+N40-O40-AV40,IF(AND(ISNUMBER(P40),ISNUMBER(O40)),P40-O40-IF(ISNUMBER(Q40),Q40,0),"")))</f>
        <v/>
      </c>
      <c r="AY40" s="8">
        <f>IF(E40="금융","금융업 - 정의되지 않음",IF(AND(ISNUMBER(AW40),ISNUMBER(N40),ISNUMBER(O40),ISNUMBER(AV40)),"영업순이익+감가상각-설비투자-운전자본증감",IF(AND(ISNUMBER(P40),ISNUMBER(O40)),IF(ISNUMBER(Q40),"영업현금흐름-설비투자-주식보상비용","영업현금흐름-설비투자(주식보상비용 미태깅)"),"산출불가")))</f>
        <v/>
      </c>
      <c r="AZ40" s="19">
        <f>IF(AND(ISNUMBER(AX40),ISNUMBER(G40),G40&lt;&gt;0),AX40/G40,"")</f>
        <v/>
      </c>
      <c r="BA40" s="19">
        <f>IF(AND(ISNUMBER(AE40),ISNUMBER(G40),G40&lt;&gt;0),AE40/G40,"")</f>
        <v/>
      </c>
    </row>
    <row r="41">
      <c r="A41" s="8" t="inlineStr">
        <is>
          <t>MSFT</t>
        </is>
      </c>
      <c r="B41" s="8" t="inlineStr">
        <is>
          <t>MICROSOFT CORP</t>
        </is>
      </c>
      <c r="C41" s="8" t="n">
        <v>2015</v>
      </c>
      <c r="D41" s="8" t="inlineStr">
        <is>
          <t>2015-06-30</t>
        </is>
      </c>
      <c r="E41" s="8" t="inlineStr">
        <is>
          <t>일반</t>
        </is>
      </c>
      <c r="F41" s="8" t="inlineStr">
        <is>
          <t>0001564590-17-014900</t>
        </is>
      </c>
      <c r="G41" s="15" t="n"/>
      <c r="H41" s="15" t="n">
        <v>18.507</v>
      </c>
      <c r="I41" s="15" t="n"/>
      <c r="J41" s="15" t="n">
        <v>6.314</v>
      </c>
      <c r="K41" s="15" t="n">
        <v>18.161</v>
      </c>
      <c r="L41" s="15" t="n">
        <v>12.193</v>
      </c>
      <c r="M41" s="15" t="n">
        <v>0.716</v>
      </c>
      <c r="N41" s="15" t="n">
        <v>4.1</v>
      </c>
      <c r="O41" s="15" t="n">
        <v>5.944</v>
      </c>
      <c r="P41" s="15" t="n">
        <v>29.668</v>
      </c>
      <c r="Q41" s="15" t="n">
        <v>2.574</v>
      </c>
      <c r="R41" s="15" t="n">
        <v>80.083</v>
      </c>
      <c r="S41" s="15" t="n"/>
      <c r="T41" s="15" t="n">
        <v>96.526</v>
      </c>
      <c r="U41" s="15" t="n"/>
      <c r="V41" s="15" t="n">
        <v>2.499</v>
      </c>
      <c r="W41" s="15" t="n"/>
      <c r="X41" s="15" t="n">
        <v>27.808</v>
      </c>
      <c r="Y41" s="15" t="n">
        <v>122.797</v>
      </c>
      <c r="Z41" s="15" t="n"/>
      <c r="AA41" s="15" t="n">
        <v>49.647</v>
      </c>
      <c r="AB41" s="15" t="n"/>
      <c r="AC41" s="15" t="n"/>
      <c r="AD41" s="16" t="n">
        <v>8027</v>
      </c>
      <c r="AE41" s="17">
        <f>IF(ISNUMBER(K41),K41,IF(AND(ISNUMBER(H41),ISNUMBER(I41)),H41+I41,IF(ISNUMBER(H41),H41,"")))</f>
        <v/>
      </c>
      <c r="AF41" s="18">
        <f>IF(OR(NOT(ISNUMBER(J41)),NOT(ISNUMBER(H41)),H41&lt;=0),기준표!$B$8,MIN(MAX(J41/H41,기준표!$B$6),기준표!$B$7))</f>
        <v/>
      </c>
      <c r="AG41" s="17">
        <f>IF(ISNUMBER(AE41),AE41*(1-AF41),"")</f>
        <v/>
      </c>
      <c r="AH41" s="17">
        <f>IF(AND(NOT(ISNUMBER(V41)),NOT(ISNUMBER(X41))),"",IF(ISNUMBER(V41),V41,0)+IF(ISNUMBER(X41),X41,0))</f>
        <v/>
      </c>
      <c r="AI41" s="17">
        <f>IF(E41="금융","",IF(AND(ISNUMBER(R41),ISNUMBER(AH41),ISNUMBER(T41)),R41+AH41-T41,""))</f>
        <v/>
      </c>
      <c r="AJ41" s="17">
        <f>IF(E41="금융","",IF(NOT(ISNUMBER(AI41)),"",IF(ISNUMBER(AC41),(AI41+AC41)/2,AI41)))</f>
        <v/>
      </c>
      <c r="AK41" s="19">
        <f>IF(AND(ISNUMBER(AG41),ISNUMBER(AJ41),AJ41&gt;0),AG41/AJ41,"")</f>
        <v/>
      </c>
      <c r="AL41" s="17">
        <f>IF(E41="금융","",IF(AND(ISNUMBER(R41),ISNUMBER(AH41)),R41+AH41,""))</f>
        <v/>
      </c>
      <c r="AM41" s="19">
        <f>IF(OR(NOT(ISNUMBER(AG41)),NOT(ISNUMBER(AL41)),AL41&lt;=0),"",IF(AND(ISNUMBER(G41),AL41&lt;0.1*G41),"",AG41/AL41))</f>
        <v/>
      </c>
      <c r="AN41" s="17">
        <f>IF(NOT(ISNUMBER(R41)),"",IF(ISNUMBER(S41),(R41+S41)/2,R41))</f>
        <v/>
      </c>
      <c r="AO41" s="19">
        <f>IF(AND(ISNUMBER(L41),ISNUMBER(AN41),AN41&gt;0),L41/AN41,"")</f>
        <v/>
      </c>
      <c r="AP41" s="19">
        <f>IF(AND(ISNUMBER(AO41),ISNUMBER({ROIC})),AO41-{ROIC},"")</f>
        <v/>
      </c>
      <c r="AQ41" s="17">
        <f>IF(AND(ISNUMBER(AE41),ISNUMBER(N41)),AE41+N41,"")</f>
        <v/>
      </c>
      <c r="AR41" s="20">
        <f>IF(AND(ISNUMBER(AH41),ISNUMBER(T41),ISNUMBER(AQ41),AQ41&gt;0),(AH41-T41)/AQ41,"")</f>
        <v/>
      </c>
      <c r="AS41" s="20">
        <f>IF(AND(ISNUMBER(AE41),ISNUMBER(I41),I41&lt;&gt;0,AE41&gt;0),AE41/I41,"")</f>
        <v/>
      </c>
      <c r="AT41" s="17">
        <f>IF(AND(ISNUMBER(Y41),ISNUMBER(AA41)),Y41-IF(ISNUMBER(T41),T41,0)-(AA41-IF(ISNUMBER(V41),V41,0)),"")</f>
        <v/>
      </c>
      <c r="AU41" s="17">
        <f>IF(AND(ISNUMBER(Z41),ISNUMBER(AB41)),Z41-IF(ISNUMBER(U41),U41,0)-(AB41-IF(ISNUMBER(W41),W41,0)),"")</f>
        <v/>
      </c>
      <c r="AV41" s="17">
        <f>IF(AND(ISNUMBER(AT41),ISNUMBER(AU41)),AT41-AU41,"")</f>
        <v/>
      </c>
      <c r="AW41" s="17">
        <f>IF(AND(ISNUMBER(L41),ISNUMBER(M41),ISNUMBER(AF41)),L41-M41*(1-AF41),IF(ISNUMBER(L41),L41,""))</f>
        <v/>
      </c>
      <c r="AX41" s="17">
        <f>IF(E41="금융","",IF(AND(ISNUMBER(AW41),ISNUMBER(N41),ISNUMBER(O41),ISNUMBER(AV41)),AW41+N41-O41-AV41,IF(AND(ISNUMBER(P41),ISNUMBER(O41)),P41-O41-IF(ISNUMBER(Q41),Q41,0),"")))</f>
        <v/>
      </c>
      <c r="AY41" s="8">
        <f>IF(E41="금융","금융업 - 정의되지 않음",IF(AND(ISNUMBER(AW41),ISNUMBER(N41),ISNUMBER(O41),ISNUMBER(AV41)),"영업순이익+감가상각-설비투자-운전자본증감",IF(AND(ISNUMBER(P41),ISNUMBER(O41)),IF(ISNUMBER(Q41),"영업현금흐름-설비투자-주식보상비용","영업현금흐름-설비투자(주식보상비용 미태깅)"),"산출불가")))</f>
        <v/>
      </c>
      <c r="AZ41" s="19">
        <f>IF(AND(ISNUMBER(AX41),ISNUMBER(G41),G41&lt;&gt;0),AX41/G41,"")</f>
        <v/>
      </c>
      <c r="BA41" s="19">
        <f>IF(AND(ISNUMBER(AE41),ISNUMBER(G41),G41&lt;&gt;0),AE41/G41,"")</f>
        <v/>
      </c>
    </row>
    <row r="42">
      <c r="A42" s="8" t="inlineStr">
        <is>
          <t>MSFT</t>
        </is>
      </c>
      <c r="B42" s="8" t="inlineStr">
        <is>
          <t>MICROSOFT CORP</t>
        </is>
      </c>
      <c r="C42" s="8" t="n">
        <v>2016</v>
      </c>
      <c r="D42" s="8" t="inlineStr">
        <is>
          <t>2016-06-30</t>
        </is>
      </c>
      <c r="E42" s="8" t="inlineStr">
        <is>
          <t>일반</t>
        </is>
      </c>
      <c r="F42" s="8" t="inlineStr">
        <is>
          <t>0001564590-18-019062</t>
        </is>
      </c>
      <c r="G42" s="15" t="n">
        <v>91.154</v>
      </c>
      <c r="H42" s="15" t="n">
        <v>25.639</v>
      </c>
      <c r="I42" s="15" t="n"/>
      <c r="J42" s="15" t="n">
        <v>5.1</v>
      </c>
      <c r="K42" s="15" t="n">
        <v>26.078</v>
      </c>
      <c r="L42" s="15" t="n">
        <v>20.539</v>
      </c>
      <c r="M42" s="15" t="n">
        <v>0.668</v>
      </c>
      <c r="N42" s="15" t="n">
        <v>4.9</v>
      </c>
      <c r="O42" s="15" t="n">
        <v>8.343</v>
      </c>
      <c r="P42" s="15" t="n">
        <v>33.325</v>
      </c>
      <c r="Q42" s="15" t="n">
        <v>2.668</v>
      </c>
      <c r="R42" s="15" t="n">
        <v>83.09</v>
      </c>
      <c r="S42" s="15" t="n">
        <v>80.083</v>
      </c>
      <c r="T42" s="15" t="n">
        <v>113.24</v>
      </c>
      <c r="U42" s="15" t="n">
        <v>96.526</v>
      </c>
      <c r="V42" s="15" t="n">
        <v>0</v>
      </c>
      <c r="W42" s="15" t="n">
        <v>2.499</v>
      </c>
      <c r="X42" s="15" t="n">
        <v>40.557</v>
      </c>
      <c r="Y42" s="15" t="n">
        <v>139.66</v>
      </c>
      <c r="Z42" s="15" t="n">
        <v>122.797</v>
      </c>
      <c r="AA42" s="15" t="n">
        <v>59.357</v>
      </c>
      <c r="AB42" s="15" t="n">
        <v>49.647</v>
      </c>
      <c r="AC42" s="15" t="n">
        <v>13.864</v>
      </c>
      <c r="AD42" s="16" t="n">
        <v>7808</v>
      </c>
      <c r="AE42" s="17">
        <f>IF(ISNUMBER(K42),K42,IF(AND(ISNUMBER(H42),ISNUMBER(I42)),H42+I42,IF(ISNUMBER(H42),H42,"")))</f>
        <v/>
      </c>
      <c r="AF42" s="18">
        <f>IF(OR(NOT(ISNUMBER(J42)),NOT(ISNUMBER(H42)),H42&lt;=0),기준표!$B$8,MIN(MAX(J42/H42,기준표!$B$6),기준표!$B$7))</f>
        <v/>
      </c>
      <c r="AG42" s="17">
        <f>IF(ISNUMBER(AE42),AE42*(1-AF42),"")</f>
        <v/>
      </c>
      <c r="AH42" s="17">
        <f>IF(AND(NOT(ISNUMBER(V42)),NOT(ISNUMBER(X42))),"",IF(ISNUMBER(V42),V42,0)+IF(ISNUMBER(X42),X42,0))</f>
        <v/>
      </c>
      <c r="AI42" s="17">
        <f>IF(E42="금융","",IF(AND(ISNUMBER(R42),ISNUMBER(AH42),ISNUMBER(T42)),R42+AH42-T42,""))</f>
        <v/>
      </c>
      <c r="AJ42" s="17">
        <f>IF(E42="금융","",IF(NOT(ISNUMBER(AI42)),"",IF(ISNUMBER(AC42),(AI42+AC42)/2,AI42)))</f>
        <v/>
      </c>
      <c r="AK42" s="19">
        <f>IF(AND(ISNUMBER(AG42),ISNUMBER(AJ42),AJ42&gt;0),AG42/AJ42,"")</f>
        <v/>
      </c>
      <c r="AL42" s="17">
        <f>IF(E42="금융","",IF(AND(ISNUMBER(R42),ISNUMBER(AH42)),R42+AH42,""))</f>
        <v/>
      </c>
      <c r="AM42" s="19">
        <f>IF(OR(NOT(ISNUMBER(AG42)),NOT(ISNUMBER(AL42)),AL42&lt;=0),"",IF(AND(ISNUMBER(G42),AL42&lt;0.1*G42),"",AG42/AL42))</f>
        <v/>
      </c>
      <c r="AN42" s="17">
        <f>IF(NOT(ISNUMBER(R42)),"",IF(ISNUMBER(S42),(R42+S42)/2,R42))</f>
        <v/>
      </c>
      <c r="AO42" s="19">
        <f>IF(AND(ISNUMBER(L42),ISNUMBER(AN42),AN42&gt;0),L42/AN42,"")</f>
        <v/>
      </c>
      <c r="AP42" s="19">
        <f>IF(AND(ISNUMBER(AO42),ISNUMBER({ROIC})),AO42-{ROIC},"")</f>
        <v/>
      </c>
      <c r="AQ42" s="17">
        <f>IF(AND(ISNUMBER(AE42),ISNUMBER(N42)),AE42+N42,"")</f>
        <v/>
      </c>
      <c r="AR42" s="20">
        <f>IF(AND(ISNUMBER(AH42),ISNUMBER(T42),ISNUMBER(AQ42),AQ42&gt;0),(AH42-T42)/AQ42,"")</f>
        <v/>
      </c>
      <c r="AS42" s="20">
        <f>IF(AND(ISNUMBER(AE42),ISNUMBER(I42),I42&lt;&gt;0,AE42&gt;0),AE42/I42,"")</f>
        <v/>
      </c>
      <c r="AT42" s="17">
        <f>IF(AND(ISNUMBER(Y42),ISNUMBER(AA42)),Y42-IF(ISNUMBER(T42),T42,0)-(AA42-IF(ISNUMBER(V42),V42,0)),"")</f>
        <v/>
      </c>
      <c r="AU42" s="17">
        <f>IF(AND(ISNUMBER(Z42),ISNUMBER(AB42)),Z42-IF(ISNUMBER(U42),U42,0)-(AB42-IF(ISNUMBER(W42),W42,0)),"")</f>
        <v/>
      </c>
      <c r="AV42" s="17">
        <f>IF(AND(ISNUMBER(AT42),ISNUMBER(AU42)),AT42-AU42,"")</f>
        <v/>
      </c>
      <c r="AW42" s="17">
        <f>IF(AND(ISNUMBER(L42),ISNUMBER(M42),ISNUMBER(AF42)),L42-M42*(1-AF42),IF(ISNUMBER(L42),L42,""))</f>
        <v/>
      </c>
      <c r="AX42" s="17">
        <f>IF(E42="금융","",IF(AND(ISNUMBER(AW42),ISNUMBER(N42),ISNUMBER(O42),ISNUMBER(AV42)),AW42+N42-O42-AV42,IF(AND(ISNUMBER(P42),ISNUMBER(O42)),P42-O42-IF(ISNUMBER(Q42),Q42,0),"")))</f>
        <v/>
      </c>
      <c r="AY42" s="8">
        <f>IF(E42="금융","금융업 - 정의되지 않음",IF(AND(ISNUMBER(AW42),ISNUMBER(N42),ISNUMBER(O42),ISNUMBER(AV42)),"영업순이익+감가상각-설비투자-운전자본증감",IF(AND(ISNUMBER(P42),ISNUMBER(O42)),IF(ISNUMBER(Q42),"영업현금흐름-설비투자-주식보상비용","영업현금흐름-설비투자(주식보상비용 미태깅)"),"산출불가")))</f>
        <v/>
      </c>
      <c r="AZ42" s="19">
        <f>IF(AND(ISNUMBER(AX42),ISNUMBER(G42),G42&lt;&gt;0),AX42/G42,"")</f>
        <v/>
      </c>
      <c r="BA42" s="19">
        <f>IF(AND(ISNUMBER(AE42),ISNUMBER(G42),G42&lt;&gt;0),AE42/G42,"")</f>
        <v/>
      </c>
    </row>
    <row r="43">
      <c r="A43" s="8" t="inlineStr">
        <is>
          <t>MSFT</t>
        </is>
      </c>
      <c r="B43" s="8" t="inlineStr">
        <is>
          <t>MICROSOFT CORP</t>
        </is>
      </c>
      <c r="C43" s="8" t="n">
        <v>2017</v>
      </c>
      <c r="D43" s="8" t="inlineStr">
        <is>
          <t>2017-06-30</t>
        </is>
      </c>
      <c r="E43" s="8" t="inlineStr">
        <is>
          <t>일반</t>
        </is>
      </c>
      <c r="F43" s="8" t="inlineStr">
        <is>
          <t>0001564590-19-027952</t>
        </is>
      </c>
      <c r="G43" s="15" t="n">
        <v>96.571</v>
      </c>
      <c r="H43" s="15" t="n">
        <v>29.901</v>
      </c>
      <c r="I43" s="15" t="n"/>
      <c r="J43" s="15" t="n">
        <v>4.412</v>
      </c>
      <c r="K43" s="15" t="n">
        <v>29.025</v>
      </c>
      <c r="L43" s="15" t="n">
        <v>25.489</v>
      </c>
      <c r="M43" s="15" t="n">
        <v>2.583</v>
      </c>
      <c r="N43" s="15" t="n">
        <v>6.1</v>
      </c>
      <c r="O43" s="15" t="n">
        <v>8.129</v>
      </c>
      <c r="P43" s="15" t="n">
        <v>39.507</v>
      </c>
      <c r="Q43" s="15" t="n">
        <v>3.266</v>
      </c>
      <c r="R43" s="15" t="n">
        <v>87.711</v>
      </c>
      <c r="S43" s="15" t="n">
        <v>83.09</v>
      </c>
      <c r="T43" s="15" t="n">
        <v>132.981</v>
      </c>
      <c r="U43" s="15" t="n">
        <v>113.24</v>
      </c>
      <c r="V43" s="15" t="n">
        <v>1.049</v>
      </c>
      <c r="W43" s="15" t="n">
        <v>0</v>
      </c>
      <c r="X43" s="15" t="n">
        <v>76.07299999999999</v>
      </c>
      <c r="Y43" s="15" t="n">
        <v>162.696</v>
      </c>
      <c r="Z43" s="15" t="n">
        <v>139.66</v>
      </c>
      <c r="AA43" s="15" t="n">
        <v>55.745</v>
      </c>
      <c r="AB43" s="15" t="n">
        <v>59.357</v>
      </c>
      <c r="AC43" s="15" t="n">
        <v>10.407</v>
      </c>
      <c r="AD43" s="16" t="n">
        <v>7708</v>
      </c>
      <c r="AE43" s="17">
        <f>IF(ISNUMBER(K43),K43,IF(AND(ISNUMBER(H43),ISNUMBER(I43)),H43+I43,IF(ISNUMBER(H43),H43,"")))</f>
        <v/>
      </c>
      <c r="AF43" s="18">
        <f>IF(OR(NOT(ISNUMBER(J43)),NOT(ISNUMBER(H43)),H43&lt;=0),기준표!$B$8,MIN(MAX(J43/H43,기준표!$B$6),기준표!$B$7))</f>
        <v/>
      </c>
      <c r="AG43" s="17">
        <f>IF(ISNUMBER(AE43),AE43*(1-AF43),"")</f>
        <v/>
      </c>
      <c r="AH43" s="17">
        <f>IF(AND(NOT(ISNUMBER(V43)),NOT(ISNUMBER(X43))),"",IF(ISNUMBER(V43),V43,0)+IF(ISNUMBER(X43),X43,0))</f>
        <v/>
      </c>
      <c r="AI43" s="17">
        <f>IF(E43="금융","",IF(AND(ISNUMBER(R43),ISNUMBER(AH43),ISNUMBER(T43)),R43+AH43-T43,""))</f>
        <v/>
      </c>
      <c r="AJ43" s="17">
        <f>IF(E43="금융","",IF(NOT(ISNUMBER(AI43)),"",IF(ISNUMBER(AC43),(AI43+AC43)/2,AI43)))</f>
        <v/>
      </c>
      <c r="AK43" s="19">
        <f>IF(AND(ISNUMBER(AG43),ISNUMBER(AJ43),AJ43&gt;0),AG43/AJ43,"")</f>
        <v/>
      </c>
      <c r="AL43" s="17">
        <f>IF(E43="금융","",IF(AND(ISNUMBER(R43),ISNUMBER(AH43)),R43+AH43,""))</f>
        <v/>
      </c>
      <c r="AM43" s="19">
        <f>IF(OR(NOT(ISNUMBER(AG43)),NOT(ISNUMBER(AL43)),AL43&lt;=0),"",IF(AND(ISNUMBER(G43),AL43&lt;0.1*G43),"",AG43/AL43))</f>
        <v/>
      </c>
      <c r="AN43" s="17">
        <f>IF(NOT(ISNUMBER(R43)),"",IF(ISNUMBER(S43),(R43+S43)/2,R43))</f>
        <v/>
      </c>
      <c r="AO43" s="19">
        <f>IF(AND(ISNUMBER(L43),ISNUMBER(AN43),AN43&gt;0),L43/AN43,"")</f>
        <v/>
      </c>
      <c r="AP43" s="19">
        <f>IF(AND(ISNUMBER(AO43),ISNUMBER({ROIC})),AO43-{ROIC},"")</f>
        <v/>
      </c>
      <c r="AQ43" s="17">
        <f>IF(AND(ISNUMBER(AE43),ISNUMBER(N43)),AE43+N43,"")</f>
        <v/>
      </c>
      <c r="AR43" s="20">
        <f>IF(AND(ISNUMBER(AH43),ISNUMBER(T43),ISNUMBER(AQ43),AQ43&gt;0),(AH43-T43)/AQ43,"")</f>
        <v/>
      </c>
      <c r="AS43" s="20">
        <f>IF(AND(ISNUMBER(AE43),ISNUMBER(I43),I43&lt;&gt;0,AE43&gt;0),AE43/I43,"")</f>
        <v/>
      </c>
      <c r="AT43" s="17">
        <f>IF(AND(ISNUMBER(Y43),ISNUMBER(AA43)),Y43-IF(ISNUMBER(T43),T43,0)-(AA43-IF(ISNUMBER(V43),V43,0)),"")</f>
        <v/>
      </c>
      <c r="AU43" s="17">
        <f>IF(AND(ISNUMBER(Z43),ISNUMBER(AB43)),Z43-IF(ISNUMBER(U43),U43,0)-(AB43-IF(ISNUMBER(W43),W43,0)),"")</f>
        <v/>
      </c>
      <c r="AV43" s="17">
        <f>IF(AND(ISNUMBER(AT43),ISNUMBER(AU43)),AT43-AU43,"")</f>
        <v/>
      </c>
      <c r="AW43" s="17">
        <f>IF(AND(ISNUMBER(L43),ISNUMBER(M43),ISNUMBER(AF43)),L43-M43*(1-AF43),IF(ISNUMBER(L43),L43,""))</f>
        <v/>
      </c>
      <c r="AX43" s="17">
        <f>IF(E43="금융","",IF(AND(ISNUMBER(AW43),ISNUMBER(N43),ISNUMBER(O43),ISNUMBER(AV43)),AW43+N43-O43-AV43,IF(AND(ISNUMBER(P43),ISNUMBER(O43)),P43-O43-IF(ISNUMBER(Q43),Q43,0),"")))</f>
        <v/>
      </c>
      <c r="AY43" s="8">
        <f>IF(E43="금융","금융업 - 정의되지 않음",IF(AND(ISNUMBER(AW43),ISNUMBER(N43),ISNUMBER(O43),ISNUMBER(AV43)),"영업순이익+감가상각-설비투자-운전자본증감",IF(AND(ISNUMBER(P43),ISNUMBER(O43)),IF(ISNUMBER(Q43),"영업현금흐름-설비투자-주식보상비용","영업현금흐름-설비투자(주식보상비용 미태깅)"),"산출불가")))</f>
        <v/>
      </c>
      <c r="AZ43" s="19">
        <f>IF(AND(ISNUMBER(AX43),ISNUMBER(G43),G43&lt;&gt;0),AX43/G43,"")</f>
        <v/>
      </c>
      <c r="BA43" s="19">
        <f>IF(AND(ISNUMBER(AE43),ISNUMBER(G43),G43&lt;&gt;0),AE43/G43,"")</f>
        <v/>
      </c>
    </row>
    <row r="44">
      <c r="A44" s="8" t="inlineStr">
        <is>
          <t>MSFT</t>
        </is>
      </c>
      <c r="B44" s="8" t="inlineStr">
        <is>
          <t>MICROSOFT CORP</t>
        </is>
      </c>
      <c r="C44" s="8" t="n">
        <v>2018</v>
      </c>
      <c r="D44" s="8" t="inlineStr">
        <is>
          <t>2018-06-30</t>
        </is>
      </c>
      <c r="E44" s="8" t="inlineStr">
        <is>
          <t>일반</t>
        </is>
      </c>
      <c r="F44" s="8" t="inlineStr">
        <is>
          <t>0001564590-20-034944</t>
        </is>
      </c>
      <c r="G44" s="15" t="n">
        <v>110.36</v>
      </c>
      <c r="H44" s="15" t="n">
        <v>36.474</v>
      </c>
      <c r="I44" s="15" t="n"/>
      <c r="J44" s="15" t="n">
        <v>19.903</v>
      </c>
      <c r="K44" s="15" t="n">
        <v>35.058</v>
      </c>
      <c r="L44" s="15" t="n">
        <v>16.571</v>
      </c>
      <c r="M44" s="15" t="n">
        <v>2.399</v>
      </c>
      <c r="N44" s="15" t="n">
        <v>7.7</v>
      </c>
      <c r="O44" s="15" t="n">
        <v>11.632</v>
      </c>
      <c r="P44" s="15" t="n">
        <v>43.884</v>
      </c>
      <c r="Q44" s="15" t="n">
        <v>3.94</v>
      </c>
      <c r="R44" s="15" t="n">
        <v>82.718</v>
      </c>
      <c r="S44" s="15" t="n">
        <v>87.711</v>
      </c>
      <c r="T44" s="15" t="n">
        <v>133.768</v>
      </c>
      <c r="U44" s="15" t="n">
        <v>132.981</v>
      </c>
      <c r="V44" s="15" t="n">
        <v>3.998</v>
      </c>
      <c r="W44" s="15" t="n">
        <v>1.049</v>
      </c>
      <c r="X44" s="15" t="n">
        <v>72.242</v>
      </c>
      <c r="Y44" s="15" t="n">
        <v>169.662</v>
      </c>
      <c r="Z44" s="15" t="n">
        <v>162.696</v>
      </c>
      <c r="AA44" s="15" t="n">
        <v>58.488</v>
      </c>
      <c r="AB44" s="15" t="n">
        <v>55.745</v>
      </c>
      <c r="AC44" s="15" t="n">
        <v>31.852</v>
      </c>
      <c r="AD44" s="16" t="n">
        <v>7677</v>
      </c>
      <c r="AE44" s="17">
        <f>IF(ISNUMBER(K44),K44,IF(AND(ISNUMBER(H44),ISNUMBER(I44)),H44+I44,IF(ISNUMBER(H44),H44,"")))</f>
        <v/>
      </c>
      <c r="AF44" s="18">
        <f>IF(OR(NOT(ISNUMBER(J44)),NOT(ISNUMBER(H44)),H44&lt;=0),기준표!$B$8,MIN(MAX(J44/H44,기준표!$B$6),기준표!$B$7))</f>
        <v/>
      </c>
      <c r="AG44" s="17">
        <f>IF(ISNUMBER(AE44),AE44*(1-AF44),"")</f>
        <v/>
      </c>
      <c r="AH44" s="17">
        <f>IF(AND(NOT(ISNUMBER(V44)),NOT(ISNUMBER(X44))),"",IF(ISNUMBER(V44),V44,0)+IF(ISNUMBER(X44),X44,0))</f>
        <v/>
      </c>
      <c r="AI44" s="17">
        <f>IF(E44="금융","",IF(AND(ISNUMBER(R44),ISNUMBER(AH44),ISNUMBER(T44)),R44+AH44-T44,""))</f>
        <v/>
      </c>
      <c r="AJ44" s="17">
        <f>IF(E44="금융","",IF(NOT(ISNUMBER(AI44)),"",IF(ISNUMBER(AC44),(AI44+AC44)/2,AI44)))</f>
        <v/>
      </c>
      <c r="AK44" s="19">
        <f>IF(AND(ISNUMBER(AG44),ISNUMBER(AJ44),AJ44&gt;0),AG44/AJ44,"")</f>
        <v/>
      </c>
      <c r="AL44" s="17">
        <f>IF(E44="금융","",IF(AND(ISNUMBER(R44),ISNUMBER(AH44)),R44+AH44,""))</f>
        <v/>
      </c>
      <c r="AM44" s="19">
        <f>IF(OR(NOT(ISNUMBER(AG44)),NOT(ISNUMBER(AL44)),AL44&lt;=0),"",IF(AND(ISNUMBER(G44),AL44&lt;0.1*G44),"",AG44/AL44))</f>
        <v/>
      </c>
      <c r="AN44" s="17">
        <f>IF(NOT(ISNUMBER(R44)),"",IF(ISNUMBER(S44),(R44+S44)/2,R44))</f>
        <v/>
      </c>
      <c r="AO44" s="19">
        <f>IF(AND(ISNUMBER(L44),ISNUMBER(AN44),AN44&gt;0),L44/AN44,"")</f>
        <v/>
      </c>
      <c r="AP44" s="19">
        <f>IF(AND(ISNUMBER(AO44),ISNUMBER({ROIC})),AO44-{ROIC},"")</f>
        <v/>
      </c>
      <c r="AQ44" s="17">
        <f>IF(AND(ISNUMBER(AE44),ISNUMBER(N44)),AE44+N44,"")</f>
        <v/>
      </c>
      <c r="AR44" s="20">
        <f>IF(AND(ISNUMBER(AH44),ISNUMBER(T44),ISNUMBER(AQ44),AQ44&gt;0),(AH44-T44)/AQ44,"")</f>
        <v/>
      </c>
      <c r="AS44" s="20">
        <f>IF(AND(ISNUMBER(AE44),ISNUMBER(I44),I44&lt;&gt;0,AE44&gt;0),AE44/I44,"")</f>
        <v/>
      </c>
      <c r="AT44" s="17">
        <f>IF(AND(ISNUMBER(Y44),ISNUMBER(AA44)),Y44-IF(ISNUMBER(T44),T44,0)-(AA44-IF(ISNUMBER(V44),V44,0)),"")</f>
        <v/>
      </c>
      <c r="AU44" s="17">
        <f>IF(AND(ISNUMBER(Z44),ISNUMBER(AB44)),Z44-IF(ISNUMBER(U44),U44,0)-(AB44-IF(ISNUMBER(W44),W44,0)),"")</f>
        <v/>
      </c>
      <c r="AV44" s="17">
        <f>IF(AND(ISNUMBER(AT44),ISNUMBER(AU44)),AT44-AU44,"")</f>
        <v/>
      </c>
      <c r="AW44" s="17">
        <f>IF(AND(ISNUMBER(L44),ISNUMBER(M44),ISNUMBER(AF44)),L44-M44*(1-AF44),IF(ISNUMBER(L44),L44,""))</f>
        <v/>
      </c>
      <c r="AX44" s="17">
        <f>IF(E44="금융","",IF(AND(ISNUMBER(AW44),ISNUMBER(N44),ISNUMBER(O44),ISNUMBER(AV44)),AW44+N44-O44-AV44,IF(AND(ISNUMBER(P44),ISNUMBER(O44)),P44-O44-IF(ISNUMBER(Q44),Q44,0),"")))</f>
        <v/>
      </c>
      <c r="AY44" s="8">
        <f>IF(E44="금융","금융업 - 정의되지 않음",IF(AND(ISNUMBER(AW44),ISNUMBER(N44),ISNUMBER(O44),ISNUMBER(AV44)),"영업순이익+감가상각-설비투자-운전자본증감",IF(AND(ISNUMBER(P44),ISNUMBER(O44)),IF(ISNUMBER(Q44),"영업현금흐름-설비투자-주식보상비용","영업현금흐름-설비투자(주식보상비용 미태깅)"),"산출불가")))</f>
        <v/>
      </c>
      <c r="AZ44" s="19">
        <f>IF(AND(ISNUMBER(AX44),ISNUMBER(G44),G44&lt;&gt;0),AX44/G44,"")</f>
        <v/>
      </c>
      <c r="BA44" s="19">
        <f>IF(AND(ISNUMBER(AE44),ISNUMBER(G44),G44&lt;&gt;0),AE44/G44,"")</f>
        <v/>
      </c>
    </row>
    <row r="45">
      <c r="A45" s="8" t="inlineStr">
        <is>
          <t>MSFT</t>
        </is>
      </c>
      <c r="B45" s="8" t="inlineStr">
        <is>
          <t>MICROSOFT CORP</t>
        </is>
      </c>
      <c r="C45" s="8" t="n">
        <v>2019</v>
      </c>
      <c r="D45" s="8" t="inlineStr">
        <is>
          <t>2019-06-30</t>
        </is>
      </c>
      <c r="E45" s="8" t="inlineStr">
        <is>
          <t>일반</t>
        </is>
      </c>
      <c r="F45" s="8" t="inlineStr">
        <is>
          <t>0001564590-21-039151</t>
        </is>
      </c>
      <c r="G45" s="15" t="n">
        <v>125.843</v>
      </c>
      <c r="H45" s="15" t="n">
        <v>43.688</v>
      </c>
      <c r="I45" s="15" t="n"/>
      <c r="J45" s="15" t="n">
        <v>4.448</v>
      </c>
      <c r="K45" s="15" t="n">
        <v>42.959</v>
      </c>
      <c r="L45" s="15" t="n">
        <v>39.24</v>
      </c>
      <c r="M45" s="15" t="n">
        <v>0.648</v>
      </c>
      <c r="N45" s="15" t="n">
        <v>9.699999999999999</v>
      </c>
      <c r="O45" s="15" t="n">
        <v>13.925</v>
      </c>
      <c r="P45" s="15" t="n">
        <v>52.185</v>
      </c>
      <c r="Q45" s="15" t="n">
        <v>4.652</v>
      </c>
      <c r="R45" s="15" t="n">
        <v>102.33</v>
      </c>
      <c r="S45" s="15" t="n">
        <v>82.718</v>
      </c>
      <c r="T45" s="15" t="n">
        <v>133.819</v>
      </c>
      <c r="U45" s="15" t="n">
        <v>133.768</v>
      </c>
      <c r="V45" s="15" t="n">
        <v>5.516</v>
      </c>
      <c r="W45" s="15" t="n">
        <v>3.998</v>
      </c>
      <c r="X45" s="15" t="n">
        <v>66.66200000000001</v>
      </c>
      <c r="Y45" s="15" t="n">
        <v>175.552</v>
      </c>
      <c r="Z45" s="15" t="n">
        <v>169.662</v>
      </c>
      <c r="AA45" s="15" t="n">
        <v>69.42</v>
      </c>
      <c r="AB45" s="15" t="n">
        <v>58.488</v>
      </c>
      <c r="AC45" s="15" t="n">
        <v>25.19</v>
      </c>
      <c r="AD45" s="16" t="n">
        <v>7643</v>
      </c>
      <c r="AE45" s="17">
        <f>IF(ISNUMBER(K45),K45,IF(AND(ISNUMBER(H45),ISNUMBER(I45)),H45+I45,IF(ISNUMBER(H45),H45,"")))</f>
        <v/>
      </c>
      <c r="AF45" s="18">
        <f>IF(OR(NOT(ISNUMBER(J45)),NOT(ISNUMBER(H45)),H45&lt;=0),기준표!$B$8,MIN(MAX(J45/H45,기준표!$B$6),기준표!$B$7))</f>
        <v/>
      </c>
      <c r="AG45" s="17">
        <f>IF(ISNUMBER(AE45),AE45*(1-AF45),"")</f>
        <v/>
      </c>
      <c r="AH45" s="17">
        <f>IF(AND(NOT(ISNUMBER(V45)),NOT(ISNUMBER(X45))),"",IF(ISNUMBER(V45),V45,0)+IF(ISNUMBER(X45),X45,0))</f>
        <v/>
      </c>
      <c r="AI45" s="17">
        <f>IF(E45="금융","",IF(AND(ISNUMBER(R45),ISNUMBER(AH45),ISNUMBER(T45)),R45+AH45-T45,""))</f>
        <v/>
      </c>
      <c r="AJ45" s="17">
        <f>IF(E45="금융","",IF(NOT(ISNUMBER(AI45)),"",IF(ISNUMBER(AC45),(AI45+AC45)/2,AI45)))</f>
        <v/>
      </c>
      <c r="AK45" s="19">
        <f>IF(AND(ISNUMBER(AG45),ISNUMBER(AJ45),AJ45&gt;0),AG45/AJ45,"")</f>
        <v/>
      </c>
      <c r="AL45" s="17">
        <f>IF(E45="금융","",IF(AND(ISNUMBER(R45),ISNUMBER(AH45)),R45+AH45,""))</f>
        <v/>
      </c>
      <c r="AM45" s="19">
        <f>IF(OR(NOT(ISNUMBER(AG45)),NOT(ISNUMBER(AL45)),AL45&lt;=0),"",IF(AND(ISNUMBER(G45),AL45&lt;0.1*G45),"",AG45/AL45))</f>
        <v/>
      </c>
      <c r="AN45" s="17">
        <f>IF(NOT(ISNUMBER(R45)),"",IF(ISNUMBER(S45),(R45+S45)/2,R45))</f>
        <v/>
      </c>
      <c r="AO45" s="19">
        <f>IF(AND(ISNUMBER(L45),ISNUMBER(AN45),AN45&gt;0),L45/AN45,"")</f>
        <v/>
      </c>
      <c r="AP45" s="19">
        <f>IF(AND(ISNUMBER(AO45),ISNUMBER({ROIC})),AO45-{ROIC},"")</f>
        <v/>
      </c>
      <c r="AQ45" s="17">
        <f>IF(AND(ISNUMBER(AE45),ISNUMBER(N45)),AE45+N45,"")</f>
        <v/>
      </c>
      <c r="AR45" s="20">
        <f>IF(AND(ISNUMBER(AH45),ISNUMBER(T45),ISNUMBER(AQ45),AQ45&gt;0),(AH45-T45)/AQ45,"")</f>
        <v/>
      </c>
      <c r="AS45" s="20">
        <f>IF(AND(ISNUMBER(AE45),ISNUMBER(I45),I45&lt;&gt;0,AE45&gt;0),AE45/I45,"")</f>
        <v/>
      </c>
      <c r="AT45" s="17">
        <f>IF(AND(ISNUMBER(Y45),ISNUMBER(AA45)),Y45-IF(ISNUMBER(T45),T45,0)-(AA45-IF(ISNUMBER(V45),V45,0)),"")</f>
        <v/>
      </c>
      <c r="AU45" s="17">
        <f>IF(AND(ISNUMBER(Z45),ISNUMBER(AB45)),Z45-IF(ISNUMBER(U45),U45,0)-(AB45-IF(ISNUMBER(W45),W45,0)),"")</f>
        <v/>
      </c>
      <c r="AV45" s="17">
        <f>IF(AND(ISNUMBER(AT45),ISNUMBER(AU45)),AT45-AU45,"")</f>
        <v/>
      </c>
      <c r="AW45" s="17">
        <f>IF(AND(ISNUMBER(L45),ISNUMBER(M45),ISNUMBER(AF45)),L45-M45*(1-AF45),IF(ISNUMBER(L45),L45,""))</f>
        <v/>
      </c>
      <c r="AX45" s="17">
        <f>IF(E45="금융","",IF(AND(ISNUMBER(AW45),ISNUMBER(N45),ISNUMBER(O45),ISNUMBER(AV45)),AW45+N45-O45-AV45,IF(AND(ISNUMBER(P45),ISNUMBER(O45)),P45-O45-IF(ISNUMBER(Q45),Q45,0),"")))</f>
        <v/>
      </c>
      <c r="AY45" s="8">
        <f>IF(E45="금융","금융업 - 정의되지 않음",IF(AND(ISNUMBER(AW45),ISNUMBER(N45),ISNUMBER(O45),ISNUMBER(AV45)),"영업순이익+감가상각-설비투자-운전자본증감",IF(AND(ISNUMBER(P45),ISNUMBER(O45)),IF(ISNUMBER(Q45),"영업현금흐름-설비투자-주식보상비용","영업현금흐름-설비투자(주식보상비용 미태깅)"),"산출불가")))</f>
        <v/>
      </c>
      <c r="AZ45" s="19">
        <f>IF(AND(ISNUMBER(AX45),ISNUMBER(G45),G45&lt;&gt;0),AX45/G45,"")</f>
        <v/>
      </c>
      <c r="BA45" s="19">
        <f>IF(AND(ISNUMBER(AE45),ISNUMBER(G45),G45&lt;&gt;0),AE45/G45,"")</f>
        <v/>
      </c>
    </row>
    <row r="46">
      <c r="A46" s="8" t="inlineStr">
        <is>
          <t>MSFT</t>
        </is>
      </c>
      <c r="B46" s="8" t="inlineStr">
        <is>
          <t>MICROSOFT CORP</t>
        </is>
      </c>
      <c r="C46" s="8" t="n">
        <v>2020</v>
      </c>
      <c r="D46" s="8" t="inlineStr">
        <is>
          <t>2020-06-30</t>
        </is>
      </c>
      <c r="E46" s="8" t="inlineStr">
        <is>
          <t>일반</t>
        </is>
      </c>
      <c r="F46" s="8" t="inlineStr">
        <is>
          <t>0001564590-22-026876</t>
        </is>
      </c>
      <c r="G46" s="15" t="n">
        <v>143.015</v>
      </c>
      <c r="H46" s="15" t="n">
        <v>53.036</v>
      </c>
      <c r="I46" s="15" t="n"/>
      <c r="J46" s="15" t="n">
        <v>8.755000000000001</v>
      </c>
      <c r="K46" s="15" t="n">
        <v>52.959</v>
      </c>
      <c r="L46" s="15" t="n">
        <v>44.281</v>
      </c>
      <c r="M46" s="15" t="n">
        <v>0.032</v>
      </c>
      <c r="N46" s="15" t="n">
        <v>10.7</v>
      </c>
      <c r="O46" s="15" t="n">
        <v>15.441</v>
      </c>
      <c r="P46" s="15" t="n">
        <v>60.675</v>
      </c>
      <c r="Q46" s="15" t="n">
        <v>5.289</v>
      </c>
      <c r="R46" s="15" t="n">
        <v>118.304</v>
      </c>
      <c r="S46" s="15" t="n">
        <v>102.33</v>
      </c>
      <c r="T46" s="15" t="n">
        <v>136.527</v>
      </c>
      <c r="U46" s="15" t="n">
        <v>133.819</v>
      </c>
      <c r="V46" s="15" t="n">
        <v>3.749</v>
      </c>
      <c r="W46" s="15" t="n">
        <v>5.516</v>
      </c>
      <c r="X46" s="15" t="n">
        <v>59.578</v>
      </c>
      <c r="Y46" s="15" t="n">
        <v>181.915</v>
      </c>
      <c r="Z46" s="15" t="n">
        <v>175.552</v>
      </c>
      <c r="AA46" s="15" t="n">
        <v>72.31</v>
      </c>
      <c r="AB46" s="15" t="n">
        <v>69.42</v>
      </c>
      <c r="AC46" s="15" t="n">
        <v>40.689</v>
      </c>
      <c r="AD46" s="16" t="n">
        <v>7571</v>
      </c>
      <c r="AE46" s="17">
        <f>IF(ISNUMBER(K46),K46,IF(AND(ISNUMBER(H46),ISNUMBER(I46)),H46+I46,IF(ISNUMBER(H46),H46,"")))</f>
        <v/>
      </c>
      <c r="AF46" s="18">
        <f>IF(OR(NOT(ISNUMBER(J46)),NOT(ISNUMBER(H46)),H46&lt;=0),기준표!$B$8,MIN(MAX(J46/H46,기준표!$B$6),기준표!$B$7))</f>
        <v/>
      </c>
      <c r="AG46" s="17">
        <f>IF(ISNUMBER(AE46),AE46*(1-AF46),"")</f>
        <v/>
      </c>
      <c r="AH46" s="17">
        <f>IF(AND(NOT(ISNUMBER(V46)),NOT(ISNUMBER(X46))),"",IF(ISNUMBER(V46),V46,0)+IF(ISNUMBER(X46),X46,0))</f>
        <v/>
      </c>
      <c r="AI46" s="17">
        <f>IF(E46="금융","",IF(AND(ISNUMBER(R46),ISNUMBER(AH46),ISNUMBER(T46)),R46+AH46-T46,""))</f>
        <v/>
      </c>
      <c r="AJ46" s="17">
        <f>IF(E46="금융","",IF(NOT(ISNUMBER(AI46)),"",IF(ISNUMBER(AC46),(AI46+AC46)/2,AI46)))</f>
        <v/>
      </c>
      <c r="AK46" s="19">
        <f>IF(AND(ISNUMBER(AG46),ISNUMBER(AJ46),AJ46&gt;0),AG46/AJ46,"")</f>
        <v/>
      </c>
      <c r="AL46" s="17">
        <f>IF(E46="금융","",IF(AND(ISNUMBER(R46),ISNUMBER(AH46)),R46+AH46,""))</f>
        <v/>
      </c>
      <c r="AM46" s="19">
        <f>IF(OR(NOT(ISNUMBER(AG46)),NOT(ISNUMBER(AL46)),AL46&lt;=0),"",IF(AND(ISNUMBER(G46),AL46&lt;0.1*G46),"",AG46/AL46))</f>
        <v/>
      </c>
      <c r="AN46" s="17">
        <f>IF(NOT(ISNUMBER(R46)),"",IF(ISNUMBER(S46),(R46+S46)/2,R46))</f>
        <v/>
      </c>
      <c r="AO46" s="19">
        <f>IF(AND(ISNUMBER(L46),ISNUMBER(AN46),AN46&gt;0),L46/AN46,"")</f>
        <v/>
      </c>
      <c r="AP46" s="19">
        <f>IF(AND(ISNUMBER(AO46),ISNUMBER({ROIC})),AO46-{ROIC},"")</f>
        <v/>
      </c>
      <c r="AQ46" s="17">
        <f>IF(AND(ISNUMBER(AE46),ISNUMBER(N46)),AE46+N46,"")</f>
        <v/>
      </c>
      <c r="AR46" s="20">
        <f>IF(AND(ISNUMBER(AH46),ISNUMBER(T46),ISNUMBER(AQ46),AQ46&gt;0),(AH46-T46)/AQ46,"")</f>
        <v/>
      </c>
      <c r="AS46" s="20">
        <f>IF(AND(ISNUMBER(AE46),ISNUMBER(I46),I46&lt;&gt;0,AE46&gt;0),AE46/I46,"")</f>
        <v/>
      </c>
      <c r="AT46" s="17">
        <f>IF(AND(ISNUMBER(Y46),ISNUMBER(AA46)),Y46-IF(ISNUMBER(T46),T46,0)-(AA46-IF(ISNUMBER(V46),V46,0)),"")</f>
        <v/>
      </c>
      <c r="AU46" s="17">
        <f>IF(AND(ISNUMBER(Z46),ISNUMBER(AB46)),Z46-IF(ISNUMBER(U46),U46,0)-(AB46-IF(ISNUMBER(W46),W46,0)),"")</f>
        <v/>
      </c>
      <c r="AV46" s="17">
        <f>IF(AND(ISNUMBER(AT46),ISNUMBER(AU46)),AT46-AU46,"")</f>
        <v/>
      </c>
      <c r="AW46" s="17">
        <f>IF(AND(ISNUMBER(L46),ISNUMBER(M46),ISNUMBER(AF46)),L46-M46*(1-AF46),IF(ISNUMBER(L46),L46,""))</f>
        <v/>
      </c>
      <c r="AX46" s="17">
        <f>IF(E46="금융","",IF(AND(ISNUMBER(AW46),ISNUMBER(N46),ISNUMBER(O46),ISNUMBER(AV46)),AW46+N46-O46-AV46,IF(AND(ISNUMBER(P46),ISNUMBER(O46)),P46-O46-IF(ISNUMBER(Q46),Q46,0),"")))</f>
        <v/>
      </c>
      <c r="AY46" s="8">
        <f>IF(E46="금융","금융업 - 정의되지 않음",IF(AND(ISNUMBER(AW46),ISNUMBER(N46),ISNUMBER(O46),ISNUMBER(AV46)),"영업순이익+감가상각-설비투자-운전자본증감",IF(AND(ISNUMBER(P46),ISNUMBER(O46)),IF(ISNUMBER(Q46),"영업현금흐름-설비투자-주식보상비용","영업현금흐름-설비투자(주식보상비용 미태깅)"),"산출불가")))</f>
        <v/>
      </c>
      <c r="AZ46" s="19">
        <f>IF(AND(ISNUMBER(AX46),ISNUMBER(G46),G46&lt;&gt;0),AX46/G46,"")</f>
        <v/>
      </c>
      <c r="BA46" s="19">
        <f>IF(AND(ISNUMBER(AE46),ISNUMBER(G46),G46&lt;&gt;0),AE46/G46,"")</f>
        <v/>
      </c>
    </row>
    <row r="47">
      <c r="A47" s="8" t="inlineStr">
        <is>
          <t>MSFT</t>
        </is>
      </c>
      <c r="B47" s="8" t="inlineStr">
        <is>
          <t>MICROSOFT CORP</t>
        </is>
      </c>
      <c r="C47" s="8" t="n">
        <v>2021</v>
      </c>
      <c r="D47" s="8" t="inlineStr">
        <is>
          <t>2021-06-30</t>
        </is>
      </c>
      <c r="E47" s="8" t="inlineStr">
        <is>
          <t>일반</t>
        </is>
      </c>
      <c r="F47" s="8" t="inlineStr">
        <is>
          <t>0000950170-23-035122</t>
        </is>
      </c>
      <c r="G47" s="15" t="n">
        <v>168.088</v>
      </c>
      <c r="H47" s="15" t="n">
        <v>71.102</v>
      </c>
      <c r="I47" s="15" t="n"/>
      <c r="J47" s="15" t="n">
        <v>9.831</v>
      </c>
      <c r="K47" s="15" t="n">
        <v>69.916</v>
      </c>
      <c r="L47" s="15" t="n">
        <v>61.271</v>
      </c>
      <c r="M47" s="15" t="n">
        <v>1.232</v>
      </c>
      <c r="N47" s="15" t="n">
        <v>9.300000000000001</v>
      </c>
      <c r="O47" s="15" t="n">
        <v>20.622</v>
      </c>
      <c r="P47" s="15" t="n">
        <v>76.73999999999999</v>
      </c>
      <c r="Q47" s="15" t="n">
        <v>6.118</v>
      </c>
      <c r="R47" s="15" t="n">
        <v>141.988</v>
      </c>
      <c r="S47" s="15" t="n">
        <v>118.304</v>
      </c>
      <c r="T47" s="15" t="n">
        <v>130.334</v>
      </c>
      <c r="U47" s="15" t="n">
        <v>136.527</v>
      </c>
      <c r="V47" s="15" t="n">
        <v>8.071999999999999</v>
      </c>
      <c r="W47" s="15" t="n">
        <v>3.749</v>
      </c>
      <c r="X47" s="15" t="n">
        <v>50.074</v>
      </c>
      <c r="Y47" s="15" t="n">
        <v>184.406</v>
      </c>
      <c r="Z47" s="15" t="n">
        <v>181.915</v>
      </c>
      <c r="AA47" s="15" t="n">
        <v>88.657</v>
      </c>
      <c r="AB47" s="15" t="n">
        <v>72.31</v>
      </c>
      <c r="AC47" s="15" t="n">
        <v>45.104</v>
      </c>
      <c r="AD47" s="16" t="n">
        <v>7519</v>
      </c>
      <c r="AE47" s="17">
        <f>IF(ISNUMBER(K47),K47,IF(AND(ISNUMBER(H47),ISNUMBER(I47)),H47+I47,IF(ISNUMBER(H47),H47,"")))</f>
        <v/>
      </c>
      <c r="AF47" s="18">
        <f>IF(OR(NOT(ISNUMBER(J47)),NOT(ISNUMBER(H47)),H47&lt;=0),기준표!$B$8,MIN(MAX(J47/H47,기준표!$B$6),기준표!$B$7))</f>
        <v/>
      </c>
      <c r="AG47" s="17">
        <f>IF(ISNUMBER(AE47),AE47*(1-AF47),"")</f>
        <v/>
      </c>
      <c r="AH47" s="17">
        <f>IF(AND(NOT(ISNUMBER(V47)),NOT(ISNUMBER(X47))),"",IF(ISNUMBER(V47),V47,0)+IF(ISNUMBER(X47),X47,0))</f>
        <v/>
      </c>
      <c r="AI47" s="17">
        <f>IF(E47="금융","",IF(AND(ISNUMBER(R47),ISNUMBER(AH47),ISNUMBER(T47)),R47+AH47-T47,""))</f>
        <v/>
      </c>
      <c r="AJ47" s="17">
        <f>IF(E47="금융","",IF(NOT(ISNUMBER(AI47)),"",IF(ISNUMBER(AC47),(AI47+AC47)/2,AI47)))</f>
        <v/>
      </c>
      <c r="AK47" s="19">
        <f>IF(AND(ISNUMBER(AG47),ISNUMBER(AJ47),AJ47&gt;0),AG47/AJ47,"")</f>
        <v/>
      </c>
      <c r="AL47" s="17">
        <f>IF(E47="금융","",IF(AND(ISNUMBER(R47),ISNUMBER(AH47)),R47+AH47,""))</f>
        <v/>
      </c>
      <c r="AM47" s="19">
        <f>IF(OR(NOT(ISNUMBER(AG47)),NOT(ISNUMBER(AL47)),AL47&lt;=0),"",IF(AND(ISNUMBER(G47),AL47&lt;0.1*G47),"",AG47/AL47))</f>
        <v/>
      </c>
      <c r="AN47" s="17">
        <f>IF(NOT(ISNUMBER(R47)),"",IF(ISNUMBER(S47),(R47+S47)/2,R47))</f>
        <v/>
      </c>
      <c r="AO47" s="19">
        <f>IF(AND(ISNUMBER(L47),ISNUMBER(AN47),AN47&gt;0),L47/AN47,"")</f>
        <v/>
      </c>
      <c r="AP47" s="19">
        <f>IF(AND(ISNUMBER(AO47),ISNUMBER({ROIC})),AO47-{ROIC},"")</f>
        <v/>
      </c>
      <c r="AQ47" s="17">
        <f>IF(AND(ISNUMBER(AE47),ISNUMBER(N47)),AE47+N47,"")</f>
        <v/>
      </c>
      <c r="AR47" s="20">
        <f>IF(AND(ISNUMBER(AH47),ISNUMBER(T47),ISNUMBER(AQ47),AQ47&gt;0),(AH47-T47)/AQ47,"")</f>
        <v/>
      </c>
      <c r="AS47" s="20">
        <f>IF(AND(ISNUMBER(AE47),ISNUMBER(I47),I47&lt;&gt;0,AE47&gt;0),AE47/I47,"")</f>
        <v/>
      </c>
      <c r="AT47" s="17">
        <f>IF(AND(ISNUMBER(Y47),ISNUMBER(AA47)),Y47-IF(ISNUMBER(T47),T47,0)-(AA47-IF(ISNUMBER(V47),V47,0)),"")</f>
        <v/>
      </c>
      <c r="AU47" s="17">
        <f>IF(AND(ISNUMBER(Z47),ISNUMBER(AB47)),Z47-IF(ISNUMBER(U47),U47,0)-(AB47-IF(ISNUMBER(W47),W47,0)),"")</f>
        <v/>
      </c>
      <c r="AV47" s="17">
        <f>IF(AND(ISNUMBER(AT47),ISNUMBER(AU47)),AT47-AU47,"")</f>
        <v/>
      </c>
      <c r="AW47" s="17">
        <f>IF(AND(ISNUMBER(L47),ISNUMBER(M47),ISNUMBER(AF47)),L47-M47*(1-AF47),IF(ISNUMBER(L47),L47,""))</f>
        <v/>
      </c>
      <c r="AX47" s="17">
        <f>IF(E47="금융","",IF(AND(ISNUMBER(AW47),ISNUMBER(N47),ISNUMBER(O47),ISNUMBER(AV47)),AW47+N47-O47-AV47,IF(AND(ISNUMBER(P47),ISNUMBER(O47)),P47-O47-IF(ISNUMBER(Q47),Q47,0),"")))</f>
        <v/>
      </c>
      <c r="AY47" s="8">
        <f>IF(E47="금융","금융업 - 정의되지 않음",IF(AND(ISNUMBER(AW47),ISNUMBER(N47),ISNUMBER(O47),ISNUMBER(AV47)),"영업순이익+감가상각-설비투자-운전자본증감",IF(AND(ISNUMBER(P47),ISNUMBER(O47)),IF(ISNUMBER(Q47),"영업현금흐름-설비투자-주식보상비용","영업현금흐름-설비투자(주식보상비용 미태깅)"),"산출불가")))</f>
        <v/>
      </c>
      <c r="AZ47" s="19">
        <f>IF(AND(ISNUMBER(AX47),ISNUMBER(G47),G47&lt;&gt;0),AX47/G47,"")</f>
        <v/>
      </c>
      <c r="BA47" s="19">
        <f>IF(AND(ISNUMBER(AE47),ISNUMBER(G47),G47&lt;&gt;0),AE47/G47,"")</f>
        <v/>
      </c>
    </row>
    <row r="48">
      <c r="A48" s="8" t="inlineStr">
        <is>
          <t>MSFT</t>
        </is>
      </c>
      <c r="B48" s="8" t="inlineStr">
        <is>
          <t>MICROSOFT CORP</t>
        </is>
      </c>
      <c r="C48" s="8" t="n">
        <v>2022</v>
      </c>
      <c r="D48" s="8" t="inlineStr">
        <is>
          <t>2022-06-30</t>
        </is>
      </c>
      <c r="E48" s="8" t="inlineStr">
        <is>
          <t>일반</t>
        </is>
      </c>
      <c r="F48" s="8" t="inlineStr">
        <is>
          <t>0000950170-24-087843</t>
        </is>
      </c>
      <c r="G48" s="15" t="n">
        <v>198.27</v>
      </c>
      <c r="H48" s="15" t="n">
        <v>83.71599999999999</v>
      </c>
      <c r="I48" s="15" t="n"/>
      <c r="J48" s="15" t="n">
        <v>10.978</v>
      </c>
      <c r="K48" s="15" t="n">
        <v>83.383</v>
      </c>
      <c r="L48" s="15" t="n">
        <v>72.738</v>
      </c>
      <c r="M48" s="15" t="n">
        <v>0.461</v>
      </c>
      <c r="N48" s="15" t="n">
        <v>12.6</v>
      </c>
      <c r="O48" s="15" t="n">
        <v>23.886</v>
      </c>
      <c r="P48" s="15" t="n">
        <v>89.035</v>
      </c>
      <c r="Q48" s="15" t="n">
        <v>7.502</v>
      </c>
      <c r="R48" s="15" t="n">
        <v>166.542</v>
      </c>
      <c r="S48" s="15" t="n">
        <v>141.988</v>
      </c>
      <c r="T48" s="15" t="n">
        <v>104.757</v>
      </c>
      <c r="U48" s="15" t="n">
        <v>130.334</v>
      </c>
      <c r="V48" s="15" t="n">
        <v>2.749</v>
      </c>
      <c r="W48" s="15" t="n">
        <v>8.071999999999999</v>
      </c>
      <c r="X48" s="15" t="n">
        <v>47.032</v>
      </c>
      <c r="Y48" s="15" t="n">
        <v>169.684</v>
      </c>
      <c r="Z48" s="15" t="n">
        <v>184.406</v>
      </c>
      <c r="AA48" s="15" t="n">
        <v>95.08199999999999</v>
      </c>
      <c r="AB48" s="15" t="n">
        <v>88.657</v>
      </c>
      <c r="AC48" s="15" t="n">
        <v>69.8</v>
      </c>
      <c r="AD48" s="16" t="n">
        <v>7464</v>
      </c>
      <c r="AE48" s="17">
        <f>IF(ISNUMBER(K48),K48,IF(AND(ISNUMBER(H48),ISNUMBER(I48)),H48+I48,IF(ISNUMBER(H48),H48,"")))</f>
        <v/>
      </c>
      <c r="AF48" s="18">
        <f>IF(OR(NOT(ISNUMBER(J48)),NOT(ISNUMBER(H48)),H48&lt;=0),기준표!$B$8,MIN(MAX(J48/H48,기준표!$B$6),기준표!$B$7))</f>
        <v/>
      </c>
      <c r="AG48" s="17">
        <f>IF(ISNUMBER(AE48),AE48*(1-AF48),"")</f>
        <v/>
      </c>
      <c r="AH48" s="17">
        <f>IF(AND(NOT(ISNUMBER(V48)),NOT(ISNUMBER(X48))),"",IF(ISNUMBER(V48),V48,0)+IF(ISNUMBER(X48),X48,0))</f>
        <v/>
      </c>
      <c r="AI48" s="17">
        <f>IF(E48="금융","",IF(AND(ISNUMBER(R48),ISNUMBER(AH48),ISNUMBER(T48)),R48+AH48-T48,""))</f>
        <v/>
      </c>
      <c r="AJ48" s="17">
        <f>IF(E48="금융","",IF(NOT(ISNUMBER(AI48)),"",IF(ISNUMBER(AC48),(AI48+AC48)/2,AI48)))</f>
        <v/>
      </c>
      <c r="AK48" s="19">
        <f>IF(AND(ISNUMBER(AG48),ISNUMBER(AJ48),AJ48&gt;0),AG48/AJ48,"")</f>
        <v/>
      </c>
      <c r="AL48" s="17">
        <f>IF(E48="금융","",IF(AND(ISNUMBER(R48),ISNUMBER(AH48)),R48+AH48,""))</f>
        <v/>
      </c>
      <c r="AM48" s="19">
        <f>IF(OR(NOT(ISNUMBER(AG48)),NOT(ISNUMBER(AL48)),AL48&lt;=0),"",IF(AND(ISNUMBER(G48),AL48&lt;0.1*G48),"",AG48/AL48))</f>
        <v/>
      </c>
      <c r="AN48" s="17">
        <f>IF(NOT(ISNUMBER(R48)),"",IF(ISNUMBER(S48),(R48+S48)/2,R48))</f>
        <v/>
      </c>
      <c r="AO48" s="19">
        <f>IF(AND(ISNUMBER(L48),ISNUMBER(AN48),AN48&gt;0),L48/AN48,"")</f>
        <v/>
      </c>
      <c r="AP48" s="19">
        <f>IF(AND(ISNUMBER(AO48),ISNUMBER({ROIC})),AO48-{ROIC},"")</f>
        <v/>
      </c>
      <c r="AQ48" s="17">
        <f>IF(AND(ISNUMBER(AE48),ISNUMBER(N48)),AE48+N48,"")</f>
        <v/>
      </c>
      <c r="AR48" s="20">
        <f>IF(AND(ISNUMBER(AH48),ISNUMBER(T48),ISNUMBER(AQ48),AQ48&gt;0),(AH48-T48)/AQ48,"")</f>
        <v/>
      </c>
      <c r="AS48" s="20">
        <f>IF(AND(ISNUMBER(AE48),ISNUMBER(I48),I48&lt;&gt;0,AE48&gt;0),AE48/I48,"")</f>
        <v/>
      </c>
      <c r="AT48" s="17">
        <f>IF(AND(ISNUMBER(Y48),ISNUMBER(AA48)),Y48-IF(ISNUMBER(T48),T48,0)-(AA48-IF(ISNUMBER(V48),V48,0)),"")</f>
        <v/>
      </c>
      <c r="AU48" s="17">
        <f>IF(AND(ISNUMBER(Z48),ISNUMBER(AB48)),Z48-IF(ISNUMBER(U48),U48,0)-(AB48-IF(ISNUMBER(W48),W48,0)),"")</f>
        <v/>
      </c>
      <c r="AV48" s="17">
        <f>IF(AND(ISNUMBER(AT48),ISNUMBER(AU48)),AT48-AU48,"")</f>
        <v/>
      </c>
      <c r="AW48" s="17">
        <f>IF(AND(ISNUMBER(L48),ISNUMBER(M48),ISNUMBER(AF48)),L48-M48*(1-AF48),IF(ISNUMBER(L48),L48,""))</f>
        <v/>
      </c>
      <c r="AX48" s="17">
        <f>IF(E48="금융","",IF(AND(ISNUMBER(AW48),ISNUMBER(N48),ISNUMBER(O48),ISNUMBER(AV48)),AW48+N48-O48-AV48,IF(AND(ISNUMBER(P48),ISNUMBER(O48)),P48-O48-IF(ISNUMBER(Q48),Q48,0),"")))</f>
        <v/>
      </c>
      <c r="AY48" s="8">
        <f>IF(E48="금융","금융업 - 정의되지 않음",IF(AND(ISNUMBER(AW48),ISNUMBER(N48),ISNUMBER(O48),ISNUMBER(AV48)),"영업순이익+감가상각-설비투자-운전자본증감",IF(AND(ISNUMBER(P48),ISNUMBER(O48)),IF(ISNUMBER(Q48),"영업현금흐름-설비투자-주식보상비용","영업현금흐름-설비투자(주식보상비용 미태깅)"),"산출불가")))</f>
        <v/>
      </c>
      <c r="AZ48" s="19">
        <f>IF(AND(ISNUMBER(AX48),ISNUMBER(G48),G48&lt;&gt;0),AX48/G48,"")</f>
        <v/>
      </c>
      <c r="BA48" s="19">
        <f>IF(AND(ISNUMBER(AE48),ISNUMBER(G48),G48&lt;&gt;0),AE48/G48,"")</f>
        <v/>
      </c>
    </row>
    <row r="49">
      <c r="A49" s="8" t="inlineStr">
        <is>
          <t>MSFT</t>
        </is>
      </c>
      <c r="B49" s="8" t="inlineStr">
        <is>
          <t>MICROSOFT CORP</t>
        </is>
      </c>
      <c r="C49" s="8" t="n">
        <v>2023</v>
      </c>
      <c r="D49" s="8" t="inlineStr">
        <is>
          <t>2023-06-30</t>
        </is>
      </c>
      <c r="E49" s="8" t="inlineStr">
        <is>
          <t>일반</t>
        </is>
      </c>
      <c r="F49" s="8" t="inlineStr">
        <is>
          <t>0000950170-25-100235</t>
        </is>
      </c>
      <c r="G49" s="15" t="n">
        <v>211.915</v>
      </c>
      <c r="H49" s="15" t="n">
        <v>89.31100000000001</v>
      </c>
      <c r="I49" s="15" t="n">
        <v>1.968</v>
      </c>
      <c r="J49" s="15" t="n">
        <v>16.95</v>
      </c>
      <c r="K49" s="15" t="n">
        <v>88.523</v>
      </c>
      <c r="L49" s="15" t="n">
        <v>72.361</v>
      </c>
      <c r="M49" s="15" t="n">
        <v>0.26</v>
      </c>
      <c r="N49" s="15" t="n">
        <v>11</v>
      </c>
      <c r="O49" s="15" t="n">
        <v>28.107</v>
      </c>
      <c r="P49" s="15" t="n">
        <v>87.58199999999999</v>
      </c>
      <c r="Q49" s="15" t="n">
        <v>9.611000000000001</v>
      </c>
      <c r="R49" s="15" t="n">
        <v>206.223</v>
      </c>
      <c r="S49" s="15" t="n">
        <v>166.542</v>
      </c>
      <c r="T49" s="15" t="n">
        <v>111.262</v>
      </c>
      <c r="U49" s="15" t="n">
        <v>104.757</v>
      </c>
      <c r="V49" s="15" t="n">
        <v>5.247</v>
      </c>
      <c r="W49" s="15" t="n">
        <v>2.749</v>
      </c>
      <c r="X49" s="15" t="n">
        <v>41.99</v>
      </c>
      <c r="Y49" s="15" t="n">
        <v>184.257</v>
      </c>
      <c r="Z49" s="15" t="n">
        <v>169.684</v>
      </c>
      <c r="AA49" s="15" t="n">
        <v>104.149</v>
      </c>
      <c r="AB49" s="15" t="n">
        <v>95.08199999999999</v>
      </c>
      <c r="AC49" s="15" t="n">
        <v>111.566</v>
      </c>
      <c r="AD49" s="16" t="n">
        <v>7432</v>
      </c>
      <c r="AE49" s="17">
        <f>IF(ISNUMBER(K49),K49,IF(AND(ISNUMBER(H49),ISNUMBER(I49)),H49+I49,IF(ISNUMBER(H49),H49,"")))</f>
        <v/>
      </c>
      <c r="AF49" s="18">
        <f>IF(OR(NOT(ISNUMBER(J49)),NOT(ISNUMBER(H49)),H49&lt;=0),기준표!$B$8,MIN(MAX(J49/H49,기준표!$B$6),기준표!$B$7))</f>
        <v/>
      </c>
      <c r="AG49" s="17">
        <f>IF(ISNUMBER(AE49),AE49*(1-AF49),"")</f>
        <v/>
      </c>
      <c r="AH49" s="17">
        <f>IF(AND(NOT(ISNUMBER(V49)),NOT(ISNUMBER(X49))),"",IF(ISNUMBER(V49),V49,0)+IF(ISNUMBER(X49),X49,0))</f>
        <v/>
      </c>
      <c r="AI49" s="17">
        <f>IF(E49="금융","",IF(AND(ISNUMBER(R49),ISNUMBER(AH49),ISNUMBER(T49)),R49+AH49-T49,""))</f>
        <v/>
      </c>
      <c r="AJ49" s="17">
        <f>IF(E49="금융","",IF(NOT(ISNUMBER(AI49)),"",IF(ISNUMBER(AC49),(AI49+AC49)/2,AI49)))</f>
        <v/>
      </c>
      <c r="AK49" s="19">
        <f>IF(AND(ISNUMBER(AG49),ISNUMBER(AJ49),AJ49&gt;0),AG49/AJ49,"")</f>
        <v/>
      </c>
      <c r="AL49" s="17">
        <f>IF(E49="금융","",IF(AND(ISNUMBER(R49),ISNUMBER(AH49)),R49+AH49,""))</f>
        <v/>
      </c>
      <c r="AM49" s="19">
        <f>IF(OR(NOT(ISNUMBER(AG49)),NOT(ISNUMBER(AL49)),AL49&lt;=0),"",IF(AND(ISNUMBER(G49),AL49&lt;0.1*G49),"",AG49/AL49))</f>
        <v/>
      </c>
      <c r="AN49" s="17">
        <f>IF(NOT(ISNUMBER(R49)),"",IF(ISNUMBER(S49),(R49+S49)/2,R49))</f>
        <v/>
      </c>
      <c r="AO49" s="19">
        <f>IF(AND(ISNUMBER(L49),ISNUMBER(AN49),AN49&gt;0),L49/AN49,"")</f>
        <v/>
      </c>
      <c r="AP49" s="19">
        <f>IF(AND(ISNUMBER(AO49),ISNUMBER({ROIC})),AO49-{ROIC},"")</f>
        <v/>
      </c>
      <c r="AQ49" s="17">
        <f>IF(AND(ISNUMBER(AE49),ISNUMBER(N49)),AE49+N49,"")</f>
        <v/>
      </c>
      <c r="AR49" s="20">
        <f>IF(AND(ISNUMBER(AH49),ISNUMBER(T49),ISNUMBER(AQ49),AQ49&gt;0),(AH49-T49)/AQ49,"")</f>
        <v/>
      </c>
      <c r="AS49" s="20">
        <f>IF(AND(ISNUMBER(AE49),ISNUMBER(I49),I49&lt;&gt;0,AE49&gt;0),AE49/I49,"")</f>
        <v/>
      </c>
      <c r="AT49" s="17">
        <f>IF(AND(ISNUMBER(Y49),ISNUMBER(AA49)),Y49-IF(ISNUMBER(T49),T49,0)-(AA49-IF(ISNUMBER(V49),V49,0)),"")</f>
        <v/>
      </c>
      <c r="AU49" s="17">
        <f>IF(AND(ISNUMBER(Z49),ISNUMBER(AB49)),Z49-IF(ISNUMBER(U49),U49,0)-(AB49-IF(ISNUMBER(W49),W49,0)),"")</f>
        <v/>
      </c>
      <c r="AV49" s="17">
        <f>IF(AND(ISNUMBER(AT49),ISNUMBER(AU49)),AT49-AU49,"")</f>
        <v/>
      </c>
      <c r="AW49" s="17">
        <f>IF(AND(ISNUMBER(L49),ISNUMBER(M49),ISNUMBER(AF49)),L49-M49*(1-AF49),IF(ISNUMBER(L49),L49,""))</f>
        <v/>
      </c>
      <c r="AX49" s="17">
        <f>IF(E49="금융","",IF(AND(ISNUMBER(AW49),ISNUMBER(N49),ISNUMBER(O49),ISNUMBER(AV49)),AW49+N49-O49-AV49,IF(AND(ISNUMBER(P49),ISNUMBER(O49)),P49-O49-IF(ISNUMBER(Q49),Q49,0),"")))</f>
        <v/>
      </c>
      <c r="AY49" s="8">
        <f>IF(E49="금융","금융업 - 정의되지 않음",IF(AND(ISNUMBER(AW49),ISNUMBER(N49),ISNUMBER(O49),ISNUMBER(AV49)),"영업순이익+감가상각-설비투자-운전자본증감",IF(AND(ISNUMBER(P49),ISNUMBER(O49)),IF(ISNUMBER(Q49),"영업현금흐름-설비투자-주식보상비용","영업현금흐름-설비투자(주식보상비용 미태깅)"),"산출불가")))</f>
        <v/>
      </c>
      <c r="AZ49" s="19">
        <f>IF(AND(ISNUMBER(AX49),ISNUMBER(G49),G49&lt;&gt;0),AX49/G49,"")</f>
        <v/>
      </c>
      <c r="BA49" s="19">
        <f>IF(AND(ISNUMBER(AE49),ISNUMBER(G49),G49&lt;&gt;0),AE49/G49,"")</f>
        <v/>
      </c>
    </row>
    <row r="50">
      <c r="A50" s="8" t="inlineStr">
        <is>
          <t>MSFT</t>
        </is>
      </c>
      <c r="B50" s="8" t="inlineStr">
        <is>
          <t>MICROSOFT CORP</t>
        </is>
      </c>
      <c r="C50" s="8" t="n">
        <v>2024</v>
      </c>
      <c r="D50" s="8" t="inlineStr">
        <is>
          <t>2024-06-30</t>
        </is>
      </c>
      <c r="E50" s="8" t="inlineStr">
        <is>
          <t>일반</t>
        </is>
      </c>
      <c r="F50" s="8" t="inlineStr">
        <is>
          <t>0001193125-26-323660</t>
        </is>
      </c>
      <c r="G50" s="15" t="n">
        <v>245.122</v>
      </c>
      <c r="H50" s="15" t="n">
        <v>107.787</v>
      </c>
      <c r="I50" s="15" t="n">
        <v>2.935</v>
      </c>
      <c r="J50" s="15" t="n">
        <v>19.651</v>
      </c>
      <c r="K50" s="15" t="n">
        <v>109.433</v>
      </c>
      <c r="L50" s="15" t="n">
        <v>88.136</v>
      </c>
      <c r="M50" s="15" t="n">
        <v>-0.118</v>
      </c>
      <c r="N50" s="15" t="n">
        <v>15.2</v>
      </c>
      <c r="O50" s="15" t="n">
        <v>44.477</v>
      </c>
      <c r="P50" s="15" t="n">
        <v>118.548</v>
      </c>
      <c r="Q50" s="15" t="n">
        <v>10.734</v>
      </c>
      <c r="R50" s="15" t="n">
        <v>268.477</v>
      </c>
      <c r="S50" s="15" t="n">
        <v>206.223</v>
      </c>
      <c r="T50" s="15" t="n">
        <v>75.54300000000001</v>
      </c>
      <c r="U50" s="15" t="n">
        <v>111.262</v>
      </c>
      <c r="V50" s="15" t="n">
        <v>2.249</v>
      </c>
      <c r="W50" s="15" t="n">
        <v>5.247</v>
      </c>
      <c r="X50" s="15" t="n">
        <v>42.688</v>
      </c>
      <c r="Y50" s="15" t="n">
        <v>159.734</v>
      </c>
      <c r="Z50" s="15" t="n">
        <v>184.257</v>
      </c>
      <c r="AA50" s="15" t="n">
        <v>125.286</v>
      </c>
      <c r="AB50" s="15" t="n">
        <v>104.149</v>
      </c>
      <c r="AC50" s="15" t="n">
        <v>142.198</v>
      </c>
      <c r="AD50" s="16" t="n">
        <v>7434</v>
      </c>
      <c r="AE50" s="17">
        <f>IF(ISNUMBER(K50),K50,IF(AND(ISNUMBER(H50),ISNUMBER(I50)),H50+I50,IF(ISNUMBER(H50),H50,"")))</f>
        <v/>
      </c>
      <c r="AF50" s="18">
        <f>IF(OR(NOT(ISNUMBER(J50)),NOT(ISNUMBER(H50)),H50&lt;=0),기준표!$B$8,MIN(MAX(J50/H50,기준표!$B$6),기준표!$B$7))</f>
        <v/>
      </c>
      <c r="AG50" s="17">
        <f>IF(ISNUMBER(AE50),AE50*(1-AF50),"")</f>
        <v/>
      </c>
      <c r="AH50" s="17">
        <f>IF(AND(NOT(ISNUMBER(V50)),NOT(ISNUMBER(X50))),"",IF(ISNUMBER(V50),V50,0)+IF(ISNUMBER(X50),X50,0))</f>
        <v/>
      </c>
      <c r="AI50" s="17">
        <f>IF(E50="금융","",IF(AND(ISNUMBER(R50),ISNUMBER(AH50),ISNUMBER(T50)),R50+AH50-T50,""))</f>
        <v/>
      </c>
      <c r="AJ50" s="17">
        <f>IF(E50="금융","",IF(NOT(ISNUMBER(AI50)),"",IF(ISNUMBER(AC50),(AI50+AC50)/2,AI50)))</f>
        <v/>
      </c>
      <c r="AK50" s="19">
        <f>IF(AND(ISNUMBER(AG50),ISNUMBER(AJ50),AJ50&gt;0),AG50/AJ50,"")</f>
        <v/>
      </c>
      <c r="AL50" s="17">
        <f>IF(E50="금융","",IF(AND(ISNUMBER(R50),ISNUMBER(AH50)),R50+AH50,""))</f>
        <v/>
      </c>
      <c r="AM50" s="19">
        <f>IF(OR(NOT(ISNUMBER(AG50)),NOT(ISNUMBER(AL50)),AL50&lt;=0),"",IF(AND(ISNUMBER(G50),AL50&lt;0.1*G50),"",AG50/AL50))</f>
        <v/>
      </c>
      <c r="AN50" s="17">
        <f>IF(NOT(ISNUMBER(R50)),"",IF(ISNUMBER(S50),(R50+S50)/2,R50))</f>
        <v/>
      </c>
      <c r="AO50" s="19">
        <f>IF(AND(ISNUMBER(L50),ISNUMBER(AN50),AN50&gt;0),L50/AN50,"")</f>
        <v/>
      </c>
      <c r="AP50" s="19">
        <f>IF(AND(ISNUMBER(AO50),ISNUMBER({ROIC})),AO50-{ROIC},"")</f>
        <v/>
      </c>
      <c r="AQ50" s="17">
        <f>IF(AND(ISNUMBER(AE50),ISNUMBER(N50)),AE50+N50,"")</f>
        <v/>
      </c>
      <c r="AR50" s="20">
        <f>IF(AND(ISNUMBER(AH50),ISNUMBER(T50),ISNUMBER(AQ50),AQ50&gt;0),(AH50-T50)/AQ50,"")</f>
        <v/>
      </c>
      <c r="AS50" s="20">
        <f>IF(AND(ISNUMBER(AE50),ISNUMBER(I50),I50&lt;&gt;0,AE50&gt;0),AE50/I50,"")</f>
        <v/>
      </c>
      <c r="AT50" s="17">
        <f>IF(AND(ISNUMBER(Y50),ISNUMBER(AA50)),Y50-IF(ISNUMBER(T50),T50,0)-(AA50-IF(ISNUMBER(V50),V50,0)),"")</f>
        <v/>
      </c>
      <c r="AU50" s="17">
        <f>IF(AND(ISNUMBER(Z50),ISNUMBER(AB50)),Z50-IF(ISNUMBER(U50),U50,0)-(AB50-IF(ISNUMBER(W50),W50,0)),"")</f>
        <v/>
      </c>
      <c r="AV50" s="17">
        <f>IF(AND(ISNUMBER(AT50),ISNUMBER(AU50)),AT50-AU50,"")</f>
        <v/>
      </c>
      <c r="AW50" s="17">
        <f>IF(AND(ISNUMBER(L50),ISNUMBER(M50),ISNUMBER(AF50)),L50-M50*(1-AF50),IF(ISNUMBER(L50),L50,""))</f>
        <v/>
      </c>
      <c r="AX50" s="17">
        <f>IF(E50="금융","",IF(AND(ISNUMBER(AW50),ISNUMBER(N50),ISNUMBER(O50),ISNUMBER(AV50)),AW50+N50-O50-AV50,IF(AND(ISNUMBER(P50),ISNUMBER(O50)),P50-O50-IF(ISNUMBER(Q50),Q50,0),"")))</f>
        <v/>
      </c>
      <c r="AY50" s="8">
        <f>IF(E50="금융","금융업 - 정의되지 않음",IF(AND(ISNUMBER(AW50),ISNUMBER(N50),ISNUMBER(O50),ISNUMBER(AV50)),"영업순이익+감가상각-설비투자-운전자본증감",IF(AND(ISNUMBER(P50),ISNUMBER(O50)),IF(ISNUMBER(Q50),"영업현금흐름-설비투자-주식보상비용","영업현금흐름-설비투자(주식보상비용 미태깅)"),"산출불가")))</f>
        <v/>
      </c>
      <c r="AZ50" s="19">
        <f>IF(AND(ISNUMBER(AX50),ISNUMBER(G50),G50&lt;&gt;0),AX50/G50,"")</f>
        <v/>
      </c>
      <c r="BA50" s="19">
        <f>IF(AND(ISNUMBER(AE50),ISNUMBER(G50),G50&lt;&gt;0),AE50/G50,"")</f>
        <v/>
      </c>
    </row>
    <row r="51">
      <c r="A51" s="8" t="inlineStr">
        <is>
          <t>MSFT</t>
        </is>
      </c>
      <c r="B51" s="8" t="inlineStr">
        <is>
          <t>MICROSOFT CORP</t>
        </is>
      </c>
      <c r="C51" s="8" t="n">
        <v>2025</v>
      </c>
      <c r="D51" s="8" t="inlineStr">
        <is>
          <t>2025-06-30</t>
        </is>
      </c>
      <c r="E51" s="8" t="inlineStr">
        <is>
          <t>일반</t>
        </is>
      </c>
      <c r="F51" s="8" t="inlineStr">
        <is>
          <t>0001193125-26-323660</t>
        </is>
      </c>
      <c r="G51" s="15" t="n">
        <v>281.724</v>
      </c>
      <c r="H51" s="15" t="n">
        <v>123.627</v>
      </c>
      <c r="I51" s="15" t="n">
        <v>2.385</v>
      </c>
      <c r="J51" s="15" t="n">
        <v>21.795</v>
      </c>
      <c r="K51" s="15" t="n">
        <v>128.528</v>
      </c>
      <c r="L51" s="15" t="n">
        <v>101.832</v>
      </c>
      <c r="M51" s="15" t="n">
        <v>-0.349</v>
      </c>
      <c r="N51" s="15" t="n">
        <v>22</v>
      </c>
      <c r="O51" s="15" t="n">
        <v>64.551</v>
      </c>
      <c r="P51" s="15" t="n">
        <v>136.162</v>
      </c>
      <c r="Q51" s="15" t="n">
        <v>11.974</v>
      </c>
      <c r="R51" s="15" t="n">
        <v>343.479</v>
      </c>
      <c r="S51" s="15" t="n">
        <v>268.477</v>
      </c>
      <c r="T51" s="15" t="n">
        <v>94.565</v>
      </c>
      <c r="U51" s="15" t="n">
        <v>75.54300000000001</v>
      </c>
      <c r="V51" s="15" t="n">
        <v>2.999</v>
      </c>
      <c r="W51" s="15" t="n">
        <v>2.249</v>
      </c>
      <c r="X51" s="15" t="n">
        <v>40.152</v>
      </c>
      <c r="Y51" s="15" t="n">
        <v>191.131</v>
      </c>
      <c r="Z51" s="15" t="n">
        <v>159.734</v>
      </c>
      <c r="AA51" s="15" t="n">
        <v>141.218</v>
      </c>
      <c r="AB51" s="15" t="n">
        <v>125.286</v>
      </c>
      <c r="AC51" s="15" t="n">
        <v>237.871</v>
      </c>
      <c r="AD51" s="16" t="n">
        <v>7434</v>
      </c>
      <c r="AE51" s="17">
        <f>IF(ISNUMBER(K51),K51,IF(AND(ISNUMBER(H51),ISNUMBER(I51)),H51+I51,IF(ISNUMBER(H51),H51,"")))</f>
        <v/>
      </c>
      <c r="AF51" s="18">
        <f>IF(OR(NOT(ISNUMBER(J51)),NOT(ISNUMBER(H51)),H51&lt;=0),기준표!$B$8,MIN(MAX(J51/H51,기준표!$B$6),기준표!$B$7))</f>
        <v/>
      </c>
      <c r="AG51" s="17">
        <f>IF(ISNUMBER(AE51),AE51*(1-AF51),"")</f>
        <v/>
      </c>
      <c r="AH51" s="17">
        <f>IF(AND(NOT(ISNUMBER(V51)),NOT(ISNUMBER(X51))),"",IF(ISNUMBER(V51),V51,0)+IF(ISNUMBER(X51),X51,0))</f>
        <v/>
      </c>
      <c r="AI51" s="17">
        <f>IF(E51="금융","",IF(AND(ISNUMBER(R51),ISNUMBER(AH51),ISNUMBER(T51)),R51+AH51-T51,""))</f>
        <v/>
      </c>
      <c r="AJ51" s="17">
        <f>IF(E51="금융","",IF(NOT(ISNUMBER(AI51)),"",IF(ISNUMBER(AC51),(AI51+AC51)/2,AI51)))</f>
        <v/>
      </c>
      <c r="AK51" s="19">
        <f>IF(AND(ISNUMBER(AG51),ISNUMBER(AJ51),AJ51&gt;0),AG51/AJ51,"")</f>
        <v/>
      </c>
      <c r="AL51" s="17">
        <f>IF(E51="금융","",IF(AND(ISNUMBER(R51),ISNUMBER(AH51)),R51+AH51,""))</f>
        <v/>
      </c>
      <c r="AM51" s="19">
        <f>IF(OR(NOT(ISNUMBER(AG51)),NOT(ISNUMBER(AL51)),AL51&lt;=0),"",IF(AND(ISNUMBER(G51),AL51&lt;0.1*G51),"",AG51/AL51))</f>
        <v/>
      </c>
      <c r="AN51" s="17">
        <f>IF(NOT(ISNUMBER(R51)),"",IF(ISNUMBER(S51),(R51+S51)/2,R51))</f>
        <v/>
      </c>
      <c r="AO51" s="19">
        <f>IF(AND(ISNUMBER(L51),ISNUMBER(AN51),AN51&gt;0),L51/AN51,"")</f>
        <v/>
      </c>
      <c r="AP51" s="19">
        <f>IF(AND(ISNUMBER(AO51),ISNUMBER({ROIC})),AO51-{ROIC},"")</f>
        <v/>
      </c>
      <c r="AQ51" s="17">
        <f>IF(AND(ISNUMBER(AE51),ISNUMBER(N51)),AE51+N51,"")</f>
        <v/>
      </c>
      <c r="AR51" s="20">
        <f>IF(AND(ISNUMBER(AH51),ISNUMBER(T51),ISNUMBER(AQ51),AQ51&gt;0),(AH51-T51)/AQ51,"")</f>
        <v/>
      </c>
      <c r="AS51" s="20">
        <f>IF(AND(ISNUMBER(AE51),ISNUMBER(I51),I51&lt;&gt;0,AE51&gt;0),AE51/I51,"")</f>
        <v/>
      </c>
      <c r="AT51" s="17">
        <f>IF(AND(ISNUMBER(Y51),ISNUMBER(AA51)),Y51-IF(ISNUMBER(T51),T51,0)-(AA51-IF(ISNUMBER(V51),V51,0)),"")</f>
        <v/>
      </c>
      <c r="AU51" s="17">
        <f>IF(AND(ISNUMBER(Z51),ISNUMBER(AB51)),Z51-IF(ISNUMBER(U51),U51,0)-(AB51-IF(ISNUMBER(W51),W51,0)),"")</f>
        <v/>
      </c>
      <c r="AV51" s="17">
        <f>IF(AND(ISNUMBER(AT51),ISNUMBER(AU51)),AT51-AU51,"")</f>
        <v/>
      </c>
      <c r="AW51" s="17">
        <f>IF(AND(ISNUMBER(L51),ISNUMBER(M51),ISNUMBER(AF51)),L51-M51*(1-AF51),IF(ISNUMBER(L51),L51,""))</f>
        <v/>
      </c>
      <c r="AX51" s="17">
        <f>IF(E51="금융","",IF(AND(ISNUMBER(AW51),ISNUMBER(N51),ISNUMBER(O51),ISNUMBER(AV51)),AW51+N51-O51-AV51,IF(AND(ISNUMBER(P51),ISNUMBER(O51)),P51-O51-IF(ISNUMBER(Q51),Q51,0),"")))</f>
        <v/>
      </c>
      <c r="AY51" s="8">
        <f>IF(E51="금융","금융업 - 정의되지 않음",IF(AND(ISNUMBER(AW51),ISNUMBER(N51),ISNUMBER(O51),ISNUMBER(AV51)),"영업순이익+감가상각-설비투자-운전자본증감",IF(AND(ISNUMBER(P51),ISNUMBER(O51)),IF(ISNUMBER(Q51),"영업현금흐름-설비투자-주식보상비용","영업현금흐름-설비투자(주식보상비용 미태깅)"),"산출불가")))</f>
        <v/>
      </c>
      <c r="AZ51" s="19">
        <f>IF(AND(ISNUMBER(AX51),ISNUMBER(G51),G51&lt;&gt;0),AX51/G51,"")</f>
        <v/>
      </c>
      <c r="BA51" s="19">
        <f>IF(AND(ISNUMBER(AE51),ISNUMBER(G51),G51&lt;&gt;0),AE51/G51,"")</f>
        <v/>
      </c>
    </row>
    <row r="52">
      <c r="A52" s="8" t="inlineStr">
        <is>
          <t>MSFT</t>
        </is>
      </c>
      <c r="B52" s="8" t="inlineStr">
        <is>
          <t>MICROSOFT CORP</t>
        </is>
      </c>
      <c r="C52" s="8" t="n">
        <v>2026</v>
      </c>
      <c r="D52" s="8" t="inlineStr">
        <is>
          <t>2026-06-30</t>
        </is>
      </c>
      <c r="E52" s="8" t="inlineStr">
        <is>
          <t>일반</t>
        </is>
      </c>
      <c r="F52" s="8" t="inlineStr">
        <is>
          <t>0001193125-26-323660</t>
        </is>
      </c>
      <c r="G52" s="15" t="n">
        <v>331.839</v>
      </c>
      <c r="H52" s="15" t="n">
        <v>165.934</v>
      </c>
      <c r="I52" s="15" t="n">
        <v>3.051</v>
      </c>
      <c r="J52" s="15" t="n">
        <v>32.185</v>
      </c>
      <c r="K52" s="15" t="n">
        <v>155.237</v>
      </c>
      <c r="L52" s="15" t="n">
        <v>133.749</v>
      </c>
      <c r="M52" s="15" t="n">
        <v>4.385</v>
      </c>
      <c r="N52" s="15" t="n">
        <v>34.3</v>
      </c>
      <c r="O52" s="15" t="n">
        <v>115.948</v>
      </c>
      <c r="P52" s="15" t="n">
        <v>182.935</v>
      </c>
      <c r="Q52" s="15" t="n">
        <v>12.405</v>
      </c>
      <c r="R52" s="15" t="n">
        <v>442.387</v>
      </c>
      <c r="S52" s="15" t="n">
        <v>343.479</v>
      </c>
      <c r="T52" s="15" t="n">
        <v>76.843</v>
      </c>
      <c r="U52" s="15" t="n">
        <v>94.565</v>
      </c>
      <c r="V52" s="15" t="n">
        <v>9.227</v>
      </c>
      <c r="W52" s="15" t="n">
        <v>2.999</v>
      </c>
      <c r="X52" s="15" t="n">
        <v>31.067</v>
      </c>
      <c r="Y52" s="15" t="n">
        <v>207.71</v>
      </c>
      <c r="Z52" s="15" t="n">
        <v>191.131</v>
      </c>
      <c r="AA52" s="15" t="n">
        <v>168.825</v>
      </c>
      <c r="AB52" s="15" t="n">
        <v>141.218</v>
      </c>
      <c r="AC52" s="15" t="n">
        <v>292.065</v>
      </c>
      <c r="AD52" s="16" t="n">
        <v>7427</v>
      </c>
      <c r="AE52" s="17">
        <f>IF(ISNUMBER(K52),K52,IF(AND(ISNUMBER(H52),ISNUMBER(I52)),H52+I52,IF(ISNUMBER(H52),H52,"")))</f>
        <v/>
      </c>
      <c r="AF52" s="18">
        <f>IF(OR(NOT(ISNUMBER(J52)),NOT(ISNUMBER(H52)),H52&lt;=0),기준표!$B$8,MIN(MAX(J52/H52,기준표!$B$6),기준표!$B$7))</f>
        <v/>
      </c>
      <c r="AG52" s="17">
        <f>IF(ISNUMBER(AE52),AE52*(1-AF52),"")</f>
        <v/>
      </c>
      <c r="AH52" s="17">
        <f>IF(AND(NOT(ISNUMBER(V52)),NOT(ISNUMBER(X52))),"",IF(ISNUMBER(V52),V52,0)+IF(ISNUMBER(X52),X52,0))</f>
        <v/>
      </c>
      <c r="AI52" s="17">
        <f>IF(E52="금융","",IF(AND(ISNUMBER(R52),ISNUMBER(AH52),ISNUMBER(T52)),R52+AH52-T52,""))</f>
        <v/>
      </c>
      <c r="AJ52" s="17">
        <f>IF(E52="금융","",IF(NOT(ISNUMBER(AI52)),"",IF(ISNUMBER(AC52),(AI52+AC52)/2,AI52)))</f>
        <v/>
      </c>
      <c r="AK52" s="19">
        <f>IF(AND(ISNUMBER(AG52),ISNUMBER(AJ52),AJ52&gt;0),AG52/AJ52,"")</f>
        <v/>
      </c>
      <c r="AL52" s="17">
        <f>IF(E52="금융","",IF(AND(ISNUMBER(R52),ISNUMBER(AH52)),R52+AH52,""))</f>
        <v/>
      </c>
      <c r="AM52" s="19">
        <f>IF(OR(NOT(ISNUMBER(AG52)),NOT(ISNUMBER(AL52)),AL52&lt;=0),"",IF(AND(ISNUMBER(G52),AL52&lt;0.1*G52),"",AG52/AL52))</f>
        <v/>
      </c>
      <c r="AN52" s="17">
        <f>IF(NOT(ISNUMBER(R52)),"",IF(ISNUMBER(S52),(R52+S52)/2,R52))</f>
        <v/>
      </c>
      <c r="AO52" s="19">
        <f>IF(AND(ISNUMBER(L52),ISNUMBER(AN52),AN52&gt;0),L52/AN52,"")</f>
        <v/>
      </c>
      <c r="AP52" s="19">
        <f>IF(AND(ISNUMBER(AO52),ISNUMBER({ROIC})),AO52-{ROIC},"")</f>
        <v/>
      </c>
      <c r="AQ52" s="17">
        <f>IF(AND(ISNUMBER(AE52),ISNUMBER(N52)),AE52+N52,"")</f>
        <v/>
      </c>
      <c r="AR52" s="20">
        <f>IF(AND(ISNUMBER(AH52),ISNUMBER(T52),ISNUMBER(AQ52),AQ52&gt;0),(AH52-T52)/AQ52,"")</f>
        <v/>
      </c>
      <c r="AS52" s="20">
        <f>IF(AND(ISNUMBER(AE52),ISNUMBER(I52),I52&lt;&gt;0,AE52&gt;0),AE52/I52,"")</f>
        <v/>
      </c>
      <c r="AT52" s="17">
        <f>IF(AND(ISNUMBER(Y52),ISNUMBER(AA52)),Y52-IF(ISNUMBER(T52),T52,0)-(AA52-IF(ISNUMBER(V52),V52,0)),"")</f>
        <v/>
      </c>
      <c r="AU52" s="17">
        <f>IF(AND(ISNUMBER(Z52),ISNUMBER(AB52)),Z52-IF(ISNUMBER(U52),U52,0)-(AB52-IF(ISNUMBER(W52),W52,0)),"")</f>
        <v/>
      </c>
      <c r="AV52" s="17">
        <f>IF(AND(ISNUMBER(AT52),ISNUMBER(AU52)),AT52-AU52,"")</f>
        <v/>
      </c>
      <c r="AW52" s="17">
        <f>IF(AND(ISNUMBER(L52),ISNUMBER(M52),ISNUMBER(AF52)),L52-M52*(1-AF52),IF(ISNUMBER(L52),L52,""))</f>
        <v/>
      </c>
      <c r="AX52" s="17">
        <f>IF(E52="금융","",IF(AND(ISNUMBER(AW52),ISNUMBER(N52),ISNUMBER(O52),ISNUMBER(AV52)),AW52+N52-O52-AV52,IF(AND(ISNUMBER(P52),ISNUMBER(O52)),P52-O52-IF(ISNUMBER(Q52),Q52,0),"")))</f>
        <v/>
      </c>
      <c r="AY52" s="8">
        <f>IF(E52="금융","금융업 - 정의되지 않음",IF(AND(ISNUMBER(AW52),ISNUMBER(N52),ISNUMBER(O52),ISNUMBER(AV52)),"영업순이익+감가상각-설비투자-운전자본증감",IF(AND(ISNUMBER(P52),ISNUMBER(O52)),IF(ISNUMBER(Q52),"영업현금흐름-설비투자-주식보상비용","영업현금흐름-설비투자(주식보상비용 미태깅)"),"산출불가")))</f>
        <v/>
      </c>
      <c r="AZ52" s="19">
        <f>IF(AND(ISNUMBER(AX52),ISNUMBER(G52),G52&lt;&gt;0),AX52/G52,"")</f>
        <v/>
      </c>
      <c r="BA52" s="19">
        <f>IF(AND(ISNUMBER(AE52),ISNUMBER(G52),G52&lt;&gt;0),AE52/G52,"")</f>
        <v/>
      </c>
    </row>
    <row r="53">
      <c r="A53" s="8" t="inlineStr">
        <is>
          <t>AMZN</t>
        </is>
      </c>
      <c r="B53" s="8" t="inlineStr">
        <is>
          <t>AMAZON COM INC</t>
        </is>
      </c>
      <c r="C53" s="8" t="n">
        <v>2014</v>
      </c>
      <c r="D53" s="8" t="inlineStr">
        <is>
          <t>2014-12-31</t>
        </is>
      </c>
      <c r="E53" s="8" t="inlineStr">
        <is>
          <t>일반</t>
        </is>
      </c>
      <c r="F53" s="8" t="inlineStr">
        <is>
          <t>0001018724-17-000011</t>
        </is>
      </c>
      <c r="G53" s="15" t="n"/>
      <c r="H53" s="15" t="n">
        <v>-0.111</v>
      </c>
      <c r="I53" s="15" t="n"/>
      <c r="J53" s="15" t="n">
        <v>0.167</v>
      </c>
      <c r="K53" s="15" t="n">
        <v>0.178</v>
      </c>
      <c r="L53" s="15" t="n">
        <v>-0.241</v>
      </c>
      <c r="M53" s="15" t="n"/>
      <c r="N53" s="15" t="n">
        <v>3.616</v>
      </c>
      <c r="O53" s="15" t="n"/>
      <c r="P53" s="15" t="n">
        <v>6.842</v>
      </c>
      <c r="Q53" s="15" t="n">
        <v>1.497</v>
      </c>
      <c r="R53" s="15" t="n">
        <v>10.741</v>
      </c>
      <c r="S53" s="15" t="n"/>
      <c r="T53" s="15" t="n">
        <v>17.416</v>
      </c>
      <c r="U53" s="15" t="n"/>
      <c r="V53" s="15" t="n">
        <v>1.52</v>
      </c>
      <c r="W53" s="15" t="n"/>
      <c r="X53" s="15" t="n">
        <v>8.265000000000001</v>
      </c>
      <c r="Y53" s="15" t="n">
        <v>31.327</v>
      </c>
      <c r="Z53" s="15" t="n"/>
      <c r="AA53" s="15" t="n">
        <v>28.089</v>
      </c>
      <c r="AB53" s="15" t="n"/>
      <c r="AC53" s="15" t="n"/>
      <c r="AD53" s="16" t="n">
        <v>9300</v>
      </c>
      <c r="AE53" s="17">
        <f>IF(ISNUMBER(K53),K53,IF(AND(ISNUMBER(H53),ISNUMBER(I53)),H53+I53,IF(ISNUMBER(H53),H53,"")))</f>
        <v/>
      </c>
      <c r="AF53" s="18">
        <f>IF(OR(NOT(ISNUMBER(J53)),NOT(ISNUMBER(H53)),H53&lt;=0),기준표!$B$8,MIN(MAX(J53/H53,기준표!$B$6),기준표!$B$7))</f>
        <v/>
      </c>
      <c r="AG53" s="17">
        <f>IF(ISNUMBER(AE53),AE53*(1-AF53),"")</f>
        <v/>
      </c>
      <c r="AH53" s="17">
        <f>IF(AND(NOT(ISNUMBER(V53)),NOT(ISNUMBER(X53))),"",IF(ISNUMBER(V53),V53,0)+IF(ISNUMBER(X53),X53,0))</f>
        <v/>
      </c>
      <c r="AI53" s="17">
        <f>IF(E53="금융","",IF(AND(ISNUMBER(R53),ISNUMBER(AH53),ISNUMBER(T53)),R53+AH53-T53,""))</f>
        <v/>
      </c>
      <c r="AJ53" s="17">
        <f>IF(E53="금융","",IF(NOT(ISNUMBER(AI53)),"",IF(ISNUMBER(AC53),(AI53+AC53)/2,AI53)))</f>
        <v/>
      </c>
      <c r="AK53" s="19">
        <f>IF(AND(ISNUMBER(AG53),ISNUMBER(AJ53),AJ53&gt;0),AG53/AJ53,"")</f>
        <v/>
      </c>
      <c r="AL53" s="17">
        <f>IF(E53="금융","",IF(AND(ISNUMBER(R53),ISNUMBER(AH53)),R53+AH53,""))</f>
        <v/>
      </c>
      <c r="AM53" s="19">
        <f>IF(OR(NOT(ISNUMBER(AG53)),NOT(ISNUMBER(AL53)),AL53&lt;=0),"",IF(AND(ISNUMBER(G53),AL53&lt;0.1*G53),"",AG53/AL53))</f>
        <v/>
      </c>
      <c r="AN53" s="17">
        <f>IF(NOT(ISNUMBER(R53)),"",IF(ISNUMBER(S53),(R53+S53)/2,R53))</f>
        <v/>
      </c>
      <c r="AO53" s="19">
        <f>IF(AND(ISNUMBER(L53),ISNUMBER(AN53),AN53&gt;0),L53/AN53,"")</f>
        <v/>
      </c>
      <c r="AP53" s="19">
        <f>IF(AND(ISNUMBER(AO53),ISNUMBER({ROIC})),AO53-{ROIC},"")</f>
        <v/>
      </c>
      <c r="AQ53" s="17">
        <f>IF(AND(ISNUMBER(AE53),ISNUMBER(N53)),AE53+N53,"")</f>
        <v/>
      </c>
      <c r="AR53" s="20">
        <f>IF(AND(ISNUMBER(AH53),ISNUMBER(T53),ISNUMBER(AQ53),AQ53&gt;0),(AH53-T53)/AQ53,"")</f>
        <v/>
      </c>
      <c r="AS53" s="20">
        <f>IF(AND(ISNUMBER(AE53),ISNUMBER(I53),I53&lt;&gt;0,AE53&gt;0),AE53/I53,"")</f>
        <v/>
      </c>
      <c r="AT53" s="17">
        <f>IF(AND(ISNUMBER(Y53),ISNUMBER(AA53)),Y53-IF(ISNUMBER(T53),T53,0)-(AA53-IF(ISNUMBER(V53),V53,0)),"")</f>
        <v/>
      </c>
      <c r="AU53" s="17">
        <f>IF(AND(ISNUMBER(Z53),ISNUMBER(AB53)),Z53-IF(ISNUMBER(U53),U53,0)-(AB53-IF(ISNUMBER(W53),W53,0)),"")</f>
        <v/>
      </c>
      <c r="AV53" s="17">
        <f>IF(AND(ISNUMBER(AT53),ISNUMBER(AU53)),AT53-AU53,"")</f>
        <v/>
      </c>
      <c r="AW53" s="17">
        <f>IF(AND(ISNUMBER(L53),ISNUMBER(M53),ISNUMBER(AF53)),L53-M53*(1-AF53),IF(ISNUMBER(L53),L53,""))</f>
        <v/>
      </c>
      <c r="AX53" s="17">
        <f>IF(E53="금융","",IF(AND(ISNUMBER(AW53),ISNUMBER(N53),ISNUMBER(O53),ISNUMBER(AV53)),AW53+N53-O53-AV53,IF(AND(ISNUMBER(P53),ISNUMBER(O53)),P53-O53-IF(ISNUMBER(Q53),Q53,0),"")))</f>
        <v/>
      </c>
      <c r="AY53" s="8">
        <f>IF(E53="금융","금융업 - 정의되지 않음",IF(AND(ISNUMBER(AW53),ISNUMBER(N53),ISNUMBER(O53),ISNUMBER(AV53)),"영업순이익+감가상각-설비투자-운전자본증감",IF(AND(ISNUMBER(P53),ISNUMBER(O53)),IF(ISNUMBER(Q53),"영업현금흐름-설비투자-주식보상비용","영업현금흐름-설비투자(주식보상비용 미태깅)"),"산출불가")))</f>
        <v/>
      </c>
      <c r="AZ53" s="19">
        <f>IF(AND(ISNUMBER(AX53),ISNUMBER(G53),G53&lt;&gt;0),AX53/G53,"")</f>
        <v/>
      </c>
      <c r="BA53" s="19">
        <f>IF(AND(ISNUMBER(AE53),ISNUMBER(G53),G53&lt;&gt;0),AE53/G53,"")</f>
        <v/>
      </c>
    </row>
    <row r="54">
      <c r="A54" s="8" t="inlineStr">
        <is>
          <t>AMZN</t>
        </is>
      </c>
      <c r="B54" s="8" t="inlineStr">
        <is>
          <t>AMAZON COM INC</t>
        </is>
      </c>
      <c r="C54" s="8" t="n">
        <v>2015</v>
      </c>
      <c r="D54" s="8" t="inlineStr">
        <is>
          <t>2015-12-31</t>
        </is>
      </c>
      <c r="E54" s="8" t="inlineStr">
        <is>
          <t>일반</t>
        </is>
      </c>
      <c r="F54" s="8" t="inlineStr">
        <is>
          <t>0001018724-18-000005</t>
        </is>
      </c>
      <c r="G54" s="15" t="n"/>
      <c r="H54" s="15" t="n">
        <v>1.568</v>
      </c>
      <c r="I54" s="15" t="n"/>
      <c r="J54" s="15" t="n">
        <v>0.95</v>
      </c>
      <c r="K54" s="15" t="n">
        <v>2.233</v>
      </c>
      <c r="L54" s="15" t="n">
        <v>0.596</v>
      </c>
      <c r="M54" s="15" t="n"/>
      <c r="N54" s="15" t="n">
        <v>6.281</v>
      </c>
      <c r="O54" s="15" t="n"/>
      <c r="P54" s="15" t="n">
        <v>12.039</v>
      </c>
      <c r="Q54" s="15" t="n">
        <v>2.119</v>
      </c>
      <c r="R54" s="15" t="n">
        <v>13.384</v>
      </c>
      <c r="S54" s="15" t="n">
        <v>10.741</v>
      </c>
      <c r="T54" s="15" t="n">
        <v>19.808</v>
      </c>
      <c r="U54" s="15" t="n">
        <v>17.416</v>
      </c>
      <c r="V54" s="15" t="n">
        <v>0.238</v>
      </c>
      <c r="W54" s="15" t="n">
        <v>1.52</v>
      </c>
      <c r="X54" s="15" t="n">
        <v>8.227</v>
      </c>
      <c r="Y54" s="15" t="n">
        <v>35.705</v>
      </c>
      <c r="Z54" s="15" t="n">
        <v>31.327</v>
      </c>
      <c r="AA54" s="15" t="n">
        <v>33.887</v>
      </c>
      <c r="AB54" s="15" t="n">
        <v>28.089</v>
      </c>
      <c r="AC54" s="15" t="n">
        <v>3.11</v>
      </c>
      <c r="AD54" s="16" t="n">
        <v>9420</v>
      </c>
      <c r="AE54" s="17">
        <f>IF(ISNUMBER(K54),K54,IF(AND(ISNUMBER(H54),ISNUMBER(I54)),H54+I54,IF(ISNUMBER(H54),H54,"")))</f>
        <v/>
      </c>
      <c r="AF54" s="18">
        <f>IF(OR(NOT(ISNUMBER(J54)),NOT(ISNUMBER(H54)),H54&lt;=0),기준표!$B$8,MIN(MAX(J54/H54,기준표!$B$6),기준표!$B$7))</f>
        <v/>
      </c>
      <c r="AG54" s="17">
        <f>IF(ISNUMBER(AE54),AE54*(1-AF54),"")</f>
        <v/>
      </c>
      <c r="AH54" s="17">
        <f>IF(AND(NOT(ISNUMBER(V54)),NOT(ISNUMBER(X54))),"",IF(ISNUMBER(V54),V54,0)+IF(ISNUMBER(X54),X54,0))</f>
        <v/>
      </c>
      <c r="AI54" s="17">
        <f>IF(E54="금융","",IF(AND(ISNUMBER(R54),ISNUMBER(AH54),ISNUMBER(T54)),R54+AH54-T54,""))</f>
        <v/>
      </c>
      <c r="AJ54" s="17">
        <f>IF(E54="금융","",IF(NOT(ISNUMBER(AI54)),"",IF(ISNUMBER(AC54),(AI54+AC54)/2,AI54)))</f>
        <v/>
      </c>
      <c r="AK54" s="19">
        <f>IF(AND(ISNUMBER(AG54),ISNUMBER(AJ54),AJ54&gt;0),AG54/AJ54,"")</f>
        <v/>
      </c>
      <c r="AL54" s="17">
        <f>IF(E54="금융","",IF(AND(ISNUMBER(R54),ISNUMBER(AH54)),R54+AH54,""))</f>
        <v/>
      </c>
      <c r="AM54" s="19">
        <f>IF(OR(NOT(ISNUMBER(AG54)),NOT(ISNUMBER(AL54)),AL54&lt;=0),"",IF(AND(ISNUMBER(G54),AL54&lt;0.1*G54),"",AG54/AL54))</f>
        <v/>
      </c>
      <c r="AN54" s="17">
        <f>IF(NOT(ISNUMBER(R54)),"",IF(ISNUMBER(S54),(R54+S54)/2,R54))</f>
        <v/>
      </c>
      <c r="AO54" s="19">
        <f>IF(AND(ISNUMBER(L54),ISNUMBER(AN54),AN54&gt;0),L54/AN54,"")</f>
        <v/>
      </c>
      <c r="AP54" s="19">
        <f>IF(AND(ISNUMBER(AO54),ISNUMBER({ROIC})),AO54-{ROIC},"")</f>
        <v/>
      </c>
      <c r="AQ54" s="17">
        <f>IF(AND(ISNUMBER(AE54),ISNUMBER(N54)),AE54+N54,"")</f>
        <v/>
      </c>
      <c r="AR54" s="20">
        <f>IF(AND(ISNUMBER(AH54),ISNUMBER(T54),ISNUMBER(AQ54),AQ54&gt;0),(AH54-T54)/AQ54,"")</f>
        <v/>
      </c>
      <c r="AS54" s="20">
        <f>IF(AND(ISNUMBER(AE54),ISNUMBER(I54),I54&lt;&gt;0,AE54&gt;0),AE54/I54,"")</f>
        <v/>
      </c>
      <c r="AT54" s="17">
        <f>IF(AND(ISNUMBER(Y54),ISNUMBER(AA54)),Y54-IF(ISNUMBER(T54),T54,0)-(AA54-IF(ISNUMBER(V54),V54,0)),"")</f>
        <v/>
      </c>
      <c r="AU54" s="17">
        <f>IF(AND(ISNUMBER(Z54),ISNUMBER(AB54)),Z54-IF(ISNUMBER(U54),U54,0)-(AB54-IF(ISNUMBER(W54),W54,0)),"")</f>
        <v/>
      </c>
      <c r="AV54" s="17">
        <f>IF(AND(ISNUMBER(AT54),ISNUMBER(AU54)),AT54-AU54,"")</f>
        <v/>
      </c>
      <c r="AW54" s="17">
        <f>IF(AND(ISNUMBER(L54),ISNUMBER(M54),ISNUMBER(AF54)),L54-M54*(1-AF54),IF(ISNUMBER(L54),L54,""))</f>
        <v/>
      </c>
      <c r="AX54" s="17">
        <f>IF(E54="금융","",IF(AND(ISNUMBER(AW54),ISNUMBER(N54),ISNUMBER(O54),ISNUMBER(AV54)),AW54+N54-O54-AV54,IF(AND(ISNUMBER(P54),ISNUMBER(O54)),P54-O54-IF(ISNUMBER(Q54),Q54,0),"")))</f>
        <v/>
      </c>
      <c r="AY54" s="8">
        <f>IF(E54="금융","금융업 - 정의되지 않음",IF(AND(ISNUMBER(AW54),ISNUMBER(N54),ISNUMBER(O54),ISNUMBER(AV54)),"영업순이익+감가상각-설비투자-운전자본증감",IF(AND(ISNUMBER(P54),ISNUMBER(O54)),IF(ISNUMBER(Q54),"영업현금흐름-설비투자-주식보상비용","영업현금흐름-설비투자(주식보상비용 미태깅)"),"산출불가")))</f>
        <v/>
      </c>
      <c r="AZ54" s="19">
        <f>IF(AND(ISNUMBER(AX54),ISNUMBER(G54),G54&lt;&gt;0),AX54/G54,"")</f>
        <v/>
      </c>
      <c r="BA54" s="19">
        <f>IF(AND(ISNUMBER(AE54),ISNUMBER(G54),G54&lt;&gt;0),AE54/G54,"")</f>
        <v/>
      </c>
    </row>
    <row r="55">
      <c r="A55" s="8" t="inlineStr">
        <is>
          <t>AMZN</t>
        </is>
      </c>
      <c r="B55" s="8" t="inlineStr">
        <is>
          <t>AMAZON COM INC</t>
        </is>
      </c>
      <c r="C55" s="8" t="n">
        <v>2016</v>
      </c>
      <c r="D55" s="8" t="inlineStr">
        <is>
          <t>2016-12-31</t>
        </is>
      </c>
      <c r="E55" s="8" t="inlineStr">
        <is>
          <t>일반</t>
        </is>
      </c>
      <c r="F55" s="8" t="inlineStr">
        <is>
          <t>0001018724-19-000004</t>
        </is>
      </c>
      <c r="G55" s="15" t="n">
        <v>135.987</v>
      </c>
      <c r="H55" s="15" t="n">
        <v>3.892</v>
      </c>
      <c r="I55" s="15" t="n"/>
      <c r="J55" s="15" t="n">
        <v>1.425</v>
      </c>
      <c r="K55" s="15" t="n">
        <v>4.186</v>
      </c>
      <c r="L55" s="15" t="n">
        <v>2.371</v>
      </c>
      <c r="M55" s="15" t="n">
        <v>0.001</v>
      </c>
      <c r="N55" s="15" t="n">
        <v>8.116</v>
      </c>
      <c r="O55" s="15" t="n">
        <v>7.804</v>
      </c>
      <c r="P55" s="15" t="n">
        <v>17.203</v>
      </c>
      <c r="Q55" s="15" t="n">
        <v>2.975</v>
      </c>
      <c r="R55" s="15" t="n">
        <v>19.285</v>
      </c>
      <c r="S55" s="15" t="n">
        <v>13.384</v>
      </c>
      <c r="T55" s="15" t="n">
        <v>25.981</v>
      </c>
      <c r="U55" s="15" t="n">
        <v>19.808</v>
      </c>
      <c r="V55" s="15" t="n">
        <v>1.056</v>
      </c>
      <c r="W55" s="15" t="n">
        <v>0.238</v>
      </c>
      <c r="X55" s="15" t="n">
        <v>7.694</v>
      </c>
      <c r="Y55" s="15" t="n">
        <v>45.781</v>
      </c>
      <c r="Z55" s="15" t="n">
        <v>35.705</v>
      </c>
      <c r="AA55" s="15" t="n">
        <v>43.816</v>
      </c>
      <c r="AB55" s="15" t="n">
        <v>33.887</v>
      </c>
      <c r="AC55" s="15" t="n">
        <v>2.041</v>
      </c>
      <c r="AD55" s="16" t="n">
        <v>9540</v>
      </c>
      <c r="AE55" s="17">
        <f>IF(ISNUMBER(K55),K55,IF(AND(ISNUMBER(H55),ISNUMBER(I55)),H55+I55,IF(ISNUMBER(H55),H55,"")))</f>
        <v/>
      </c>
      <c r="AF55" s="18">
        <f>IF(OR(NOT(ISNUMBER(J55)),NOT(ISNUMBER(H55)),H55&lt;=0),기준표!$B$8,MIN(MAX(J55/H55,기준표!$B$6),기준표!$B$7))</f>
        <v/>
      </c>
      <c r="AG55" s="17">
        <f>IF(ISNUMBER(AE55),AE55*(1-AF55),"")</f>
        <v/>
      </c>
      <c r="AH55" s="17">
        <f>IF(AND(NOT(ISNUMBER(V55)),NOT(ISNUMBER(X55))),"",IF(ISNUMBER(V55),V55,0)+IF(ISNUMBER(X55),X55,0))</f>
        <v/>
      </c>
      <c r="AI55" s="17">
        <f>IF(E55="금융","",IF(AND(ISNUMBER(R55),ISNUMBER(AH55),ISNUMBER(T55)),R55+AH55-T55,""))</f>
        <v/>
      </c>
      <c r="AJ55" s="17">
        <f>IF(E55="금융","",IF(NOT(ISNUMBER(AI55)),"",IF(ISNUMBER(AC55),(AI55+AC55)/2,AI55)))</f>
        <v/>
      </c>
      <c r="AK55" s="19">
        <f>IF(AND(ISNUMBER(AG55),ISNUMBER(AJ55),AJ55&gt;0),AG55/AJ55,"")</f>
        <v/>
      </c>
      <c r="AL55" s="17">
        <f>IF(E55="금융","",IF(AND(ISNUMBER(R55),ISNUMBER(AH55)),R55+AH55,""))</f>
        <v/>
      </c>
      <c r="AM55" s="19">
        <f>IF(OR(NOT(ISNUMBER(AG55)),NOT(ISNUMBER(AL55)),AL55&lt;=0),"",IF(AND(ISNUMBER(G55),AL55&lt;0.1*G55),"",AG55/AL55))</f>
        <v/>
      </c>
      <c r="AN55" s="17">
        <f>IF(NOT(ISNUMBER(R55)),"",IF(ISNUMBER(S55),(R55+S55)/2,R55))</f>
        <v/>
      </c>
      <c r="AO55" s="19">
        <f>IF(AND(ISNUMBER(L55),ISNUMBER(AN55),AN55&gt;0),L55/AN55,"")</f>
        <v/>
      </c>
      <c r="AP55" s="19">
        <f>IF(AND(ISNUMBER(AO55),ISNUMBER({ROIC})),AO55-{ROIC},"")</f>
        <v/>
      </c>
      <c r="AQ55" s="17">
        <f>IF(AND(ISNUMBER(AE55),ISNUMBER(N55)),AE55+N55,"")</f>
        <v/>
      </c>
      <c r="AR55" s="20">
        <f>IF(AND(ISNUMBER(AH55),ISNUMBER(T55),ISNUMBER(AQ55),AQ55&gt;0),(AH55-T55)/AQ55,"")</f>
        <v/>
      </c>
      <c r="AS55" s="20">
        <f>IF(AND(ISNUMBER(AE55),ISNUMBER(I55),I55&lt;&gt;0,AE55&gt;0),AE55/I55,"")</f>
        <v/>
      </c>
      <c r="AT55" s="17">
        <f>IF(AND(ISNUMBER(Y55),ISNUMBER(AA55)),Y55-IF(ISNUMBER(T55),T55,0)-(AA55-IF(ISNUMBER(V55),V55,0)),"")</f>
        <v/>
      </c>
      <c r="AU55" s="17">
        <f>IF(AND(ISNUMBER(Z55),ISNUMBER(AB55)),Z55-IF(ISNUMBER(U55),U55,0)-(AB55-IF(ISNUMBER(W55),W55,0)),"")</f>
        <v/>
      </c>
      <c r="AV55" s="17">
        <f>IF(AND(ISNUMBER(AT55),ISNUMBER(AU55)),AT55-AU55,"")</f>
        <v/>
      </c>
      <c r="AW55" s="17">
        <f>IF(AND(ISNUMBER(L55),ISNUMBER(M55),ISNUMBER(AF55)),L55-M55*(1-AF55),IF(ISNUMBER(L55),L55,""))</f>
        <v/>
      </c>
      <c r="AX55" s="17">
        <f>IF(E55="금융","",IF(AND(ISNUMBER(AW55),ISNUMBER(N55),ISNUMBER(O55),ISNUMBER(AV55)),AW55+N55-O55-AV55,IF(AND(ISNUMBER(P55),ISNUMBER(O55)),P55-O55-IF(ISNUMBER(Q55),Q55,0),"")))</f>
        <v/>
      </c>
      <c r="AY55" s="8">
        <f>IF(E55="금융","금융업 - 정의되지 않음",IF(AND(ISNUMBER(AW55),ISNUMBER(N55),ISNUMBER(O55),ISNUMBER(AV55)),"영업순이익+감가상각-설비투자-운전자본증감",IF(AND(ISNUMBER(P55),ISNUMBER(O55)),IF(ISNUMBER(Q55),"영업현금흐름-설비투자-주식보상비용","영업현금흐름-설비투자(주식보상비용 미태깅)"),"산출불가")))</f>
        <v/>
      </c>
      <c r="AZ55" s="19">
        <f>IF(AND(ISNUMBER(AX55),ISNUMBER(G55),G55&lt;&gt;0),AX55/G55,"")</f>
        <v/>
      </c>
      <c r="BA55" s="19">
        <f>IF(AND(ISNUMBER(AE55),ISNUMBER(G55),G55&lt;&gt;0),AE55/G55,"")</f>
        <v/>
      </c>
    </row>
    <row r="56">
      <c r="A56" s="8" t="inlineStr">
        <is>
          <t>AMZN</t>
        </is>
      </c>
      <c r="B56" s="8" t="inlineStr">
        <is>
          <t>AMAZON COM INC</t>
        </is>
      </c>
      <c r="C56" s="8" t="n">
        <v>2017</v>
      </c>
      <c r="D56" s="8" t="inlineStr">
        <is>
          <t>2017-12-31</t>
        </is>
      </c>
      <c r="E56" s="8" t="inlineStr">
        <is>
          <t>일반</t>
        </is>
      </c>
      <c r="F56" s="8" t="inlineStr">
        <is>
          <t>0001018724-20-000004</t>
        </is>
      </c>
      <c r="G56" s="15" t="n">
        <v>177.866</v>
      </c>
      <c r="H56" s="15" t="n">
        <v>3.806</v>
      </c>
      <c r="I56" s="15" t="n"/>
      <c r="J56" s="15" t="n">
        <v>0.769</v>
      </c>
      <c r="K56" s="15" t="n">
        <v>4.106</v>
      </c>
      <c r="L56" s="15" t="n">
        <v>3.033</v>
      </c>
      <c r="M56" s="15" t="n">
        <v>0.018</v>
      </c>
      <c r="N56" s="15" t="n">
        <v>11.478</v>
      </c>
      <c r="O56" s="15" t="n">
        <v>11.955</v>
      </c>
      <c r="P56" s="15" t="n">
        <v>18.365</v>
      </c>
      <c r="Q56" s="15" t="n">
        <v>4.215</v>
      </c>
      <c r="R56" s="15" t="n">
        <v>27.709</v>
      </c>
      <c r="S56" s="15" t="n">
        <v>19.285</v>
      </c>
      <c r="T56" s="15" t="n">
        <v>30.986</v>
      </c>
      <c r="U56" s="15" t="n">
        <v>25.981</v>
      </c>
      <c r="V56" s="15" t="n">
        <v>0.1</v>
      </c>
      <c r="W56" s="15" t="n">
        <v>1.056</v>
      </c>
      <c r="X56" s="15" t="n">
        <v>24.743</v>
      </c>
      <c r="Y56" s="15" t="n">
        <v>60.197</v>
      </c>
      <c r="Z56" s="15" t="n">
        <v>45.781</v>
      </c>
      <c r="AA56" s="15" t="n">
        <v>57.883</v>
      </c>
      <c r="AB56" s="15" t="n">
        <v>43.816</v>
      </c>
      <c r="AC56" s="15" t="n">
        <v>2.054</v>
      </c>
      <c r="AD56" s="16" t="n">
        <v>9680</v>
      </c>
      <c r="AE56" s="17">
        <f>IF(ISNUMBER(K56),K56,IF(AND(ISNUMBER(H56),ISNUMBER(I56)),H56+I56,IF(ISNUMBER(H56),H56,"")))</f>
        <v/>
      </c>
      <c r="AF56" s="18">
        <f>IF(OR(NOT(ISNUMBER(J56)),NOT(ISNUMBER(H56)),H56&lt;=0),기준표!$B$8,MIN(MAX(J56/H56,기준표!$B$6),기준표!$B$7))</f>
        <v/>
      </c>
      <c r="AG56" s="17">
        <f>IF(ISNUMBER(AE56),AE56*(1-AF56),"")</f>
        <v/>
      </c>
      <c r="AH56" s="17">
        <f>IF(AND(NOT(ISNUMBER(V56)),NOT(ISNUMBER(X56))),"",IF(ISNUMBER(V56),V56,0)+IF(ISNUMBER(X56),X56,0))</f>
        <v/>
      </c>
      <c r="AI56" s="17">
        <f>IF(E56="금융","",IF(AND(ISNUMBER(R56),ISNUMBER(AH56),ISNUMBER(T56)),R56+AH56-T56,""))</f>
        <v/>
      </c>
      <c r="AJ56" s="17">
        <f>IF(E56="금융","",IF(NOT(ISNUMBER(AI56)),"",IF(ISNUMBER(AC56),(AI56+AC56)/2,AI56)))</f>
        <v/>
      </c>
      <c r="AK56" s="19">
        <f>IF(AND(ISNUMBER(AG56),ISNUMBER(AJ56),AJ56&gt;0),AG56/AJ56,"")</f>
        <v/>
      </c>
      <c r="AL56" s="17">
        <f>IF(E56="금융","",IF(AND(ISNUMBER(R56),ISNUMBER(AH56)),R56+AH56,""))</f>
        <v/>
      </c>
      <c r="AM56" s="19">
        <f>IF(OR(NOT(ISNUMBER(AG56)),NOT(ISNUMBER(AL56)),AL56&lt;=0),"",IF(AND(ISNUMBER(G56),AL56&lt;0.1*G56),"",AG56/AL56))</f>
        <v/>
      </c>
      <c r="AN56" s="17">
        <f>IF(NOT(ISNUMBER(R56)),"",IF(ISNUMBER(S56),(R56+S56)/2,R56))</f>
        <v/>
      </c>
      <c r="AO56" s="19">
        <f>IF(AND(ISNUMBER(L56),ISNUMBER(AN56),AN56&gt;0),L56/AN56,"")</f>
        <v/>
      </c>
      <c r="AP56" s="19">
        <f>IF(AND(ISNUMBER(AO56),ISNUMBER({ROIC})),AO56-{ROIC},"")</f>
        <v/>
      </c>
      <c r="AQ56" s="17">
        <f>IF(AND(ISNUMBER(AE56),ISNUMBER(N56)),AE56+N56,"")</f>
        <v/>
      </c>
      <c r="AR56" s="20">
        <f>IF(AND(ISNUMBER(AH56),ISNUMBER(T56),ISNUMBER(AQ56),AQ56&gt;0),(AH56-T56)/AQ56,"")</f>
        <v/>
      </c>
      <c r="AS56" s="20">
        <f>IF(AND(ISNUMBER(AE56),ISNUMBER(I56),I56&lt;&gt;0,AE56&gt;0),AE56/I56,"")</f>
        <v/>
      </c>
      <c r="AT56" s="17">
        <f>IF(AND(ISNUMBER(Y56),ISNUMBER(AA56)),Y56-IF(ISNUMBER(T56),T56,0)-(AA56-IF(ISNUMBER(V56),V56,0)),"")</f>
        <v/>
      </c>
      <c r="AU56" s="17">
        <f>IF(AND(ISNUMBER(Z56),ISNUMBER(AB56)),Z56-IF(ISNUMBER(U56),U56,0)-(AB56-IF(ISNUMBER(W56),W56,0)),"")</f>
        <v/>
      </c>
      <c r="AV56" s="17">
        <f>IF(AND(ISNUMBER(AT56),ISNUMBER(AU56)),AT56-AU56,"")</f>
        <v/>
      </c>
      <c r="AW56" s="17">
        <f>IF(AND(ISNUMBER(L56),ISNUMBER(M56),ISNUMBER(AF56)),L56-M56*(1-AF56),IF(ISNUMBER(L56),L56,""))</f>
        <v/>
      </c>
      <c r="AX56" s="17">
        <f>IF(E56="금융","",IF(AND(ISNUMBER(AW56),ISNUMBER(N56),ISNUMBER(O56),ISNUMBER(AV56)),AW56+N56-O56-AV56,IF(AND(ISNUMBER(P56),ISNUMBER(O56)),P56-O56-IF(ISNUMBER(Q56),Q56,0),"")))</f>
        <v/>
      </c>
      <c r="AY56" s="8">
        <f>IF(E56="금융","금융업 - 정의되지 않음",IF(AND(ISNUMBER(AW56),ISNUMBER(N56),ISNUMBER(O56),ISNUMBER(AV56)),"영업순이익+감가상각-설비투자-운전자본증감",IF(AND(ISNUMBER(P56),ISNUMBER(O56)),IF(ISNUMBER(Q56),"영업현금흐름-설비투자-주식보상비용","영업현금흐름-설비투자(주식보상비용 미태깅)"),"산출불가")))</f>
        <v/>
      </c>
      <c r="AZ56" s="19">
        <f>IF(AND(ISNUMBER(AX56),ISNUMBER(G56),G56&lt;&gt;0),AX56/G56,"")</f>
        <v/>
      </c>
      <c r="BA56" s="19">
        <f>IF(AND(ISNUMBER(AE56),ISNUMBER(G56),G56&lt;&gt;0),AE56/G56,"")</f>
        <v/>
      </c>
    </row>
    <row r="57">
      <c r="A57" s="8" t="inlineStr">
        <is>
          <t>AMZN</t>
        </is>
      </c>
      <c r="B57" s="8" t="inlineStr">
        <is>
          <t>AMAZON COM INC</t>
        </is>
      </c>
      <c r="C57" s="8" t="n">
        <v>2018</v>
      </c>
      <c r="D57" s="8" t="inlineStr">
        <is>
          <t>2018-12-31</t>
        </is>
      </c>
      <c r="E57" s="8" t="inlineStr">
        <is>
          <t>일반</t>
        </is>
      </c>
      <c r="F57" s="8" t="inlineStr">
        <is>
          <t>0001018724-21-000004</t>
        </is>
      </c>
      <c r="G57" s="15" t="n">
        <v>232.887</v>
      </c>
      <c r="H57" s="15" t="n">
        <v>11.261</v>
      </c>
      <c r="I57" s="15" t="n"/>
      <c r="J57" s="15" t="n">
        <v>1.197</v>
      </c>
      <c r="K57" s="15" t="n">
        <v>12.421</v>
      </c>
      <c r="L57" s="15" t="n">
        <v>10.073</v>
      </c>
      <c r="M57" s="15" t="n">
        <v>0.145</v>
      </c>
      <c r="N57" s="15" t="n">
        <v>15.341</v>
      </c>
      <c r="O57" s="15" t="n">
        <v>13.427</v>
      </c>
      <c r="P57" s="15" t="n">
        <v>30.723</v>
      </c>
      <c r="Q57" s="15" t="n">
        <v>5.418</v>
      </c>
      <c r="R57" s="15" t="n">
        <v>43.549</v>
      </c>
      <c r="S57" s="15" t="n">
        <v>27.709</v>
      </c>
      <c r="T57" s="15" t="n">
        <v>41.25</v>
      </c>
      <c r="U57" s="15" t="n">
        <v>30.986</v>
      </c>
      <c r="V57" s="15" t="n">
        <v>1.371</v>
      </c>
      <c r="W57" s="15" t="n">
        <v>0.1</v>
      </c>
      <c r="X57" s="15" t="n">
        <v>23.495</v>
      </c>
      <c r="Y57" s="15" t="n">
        <v>75.101</v>
      </c>
      <c r="Z57" s="15" t="n">
        <v>60.197</v>
      </c>
      <c r="AA57" s="15" t="n">
        <v>68.39100000000001</v>
      </c>
      <c r="AB57" s="15" t="n">
        <v>57.883</v>
      </c>
      <c r="AC57" s="15" t="n">
        <v>21.566</v>
      </c>
      <c r="AD57" s="16" t="n">
        <v>9820</v>
      </c>
      <c r="AE57" s="17">
        <f>IF(ISNUMBER(K57),K57,IF(AND(ISNUMBER(H57),ISNUMBER(I57)),H57+I57,IF(ISNUMBER(H57),H57,"")))</f>
        <v/>
      </c>
      <c r="AF57" s="18">
        <f>IF(OR(NOT(ISNUMBER(J57)),NOT(ISNUMBER(H57)),H57&lt;=0),기준표!$B$8,MIN(MAX(J57/H57,기준표!$B$6),기준표!$B$7))</f>
        <v/>
      </c>
      <c r="AG57" s="17">
        <f>IF(ISNUMBER(AE57),AE57*(1-AF57),"")</f>
        <v/>
      </c>
      <c r="AH57" s="17">
        <f>IF(AND(NOT(ISNUMBER(V57)),NOT(ISNUMBER(X57))),"",IF(ISNUMBER(V57),V57,0)+IF(ISNUMBER(X57),X57,0))</f>
        <v/>
      </c>
      <c r="AI57" s="17">
        <f>IF(E57="금융","",IF(AND(ISNUMBER(R57),ISNUMBER(AH57),ISNUMBER(T57)),R57+AH57-T57,""))</f>
        <v/>
      </c>
      <c r="AJ57" s="17">
        <f>IF(E57="금융","",IF(NOT(ISNUMBER(AI57)),"",IF(ISNUMBER(AC57),(AI57+AC57)/2,AI57)))</f>
        <v/>
      </c>
      <c r="AK57" s="19">
        <f>IF(AND(ISNUMBER(AG57),ISNUMBER(AJ57),AJ57&gt;0),AG57/AJ57,"")</f>
        <v/>
      </c>
      <c r="AL57" s="17">
        <f>IF(E57="금융","",IF(AND(ISNUMBER(R57),ISNUMBER(AH57)),R57+AH57,""))</f>
        <v/>
      </c>
      <c r="AM57" s="19">
        <f>IF(OR(NOT(ISNUMBER(AG57)),NOT(ISNUMBER(AL57)),AL57&lt;=0),"",IF(AND(ISNUMBER(G57),AL57&lt;0.1*G57),"",AG57/AL57))</f>
        <v/>
      </c>
      <c r="AN57" s="17">
        <f>IF(NOT(ISNUMBER(R57)),"",IF(ISNUMBER(S57),(R57+S57)/2,R57))</f>
        <v/>
      </c>
      <c r="AO57" s="19">
        <f>IF(AND(ISNUMBER(L57),ISNUMBER(AN57),AN57&gt;0),L57/AN57,"")</f>
        <v/>
      </c>
      <c r="AP57" s="19">
        <f>IF(AND(ISNUMBER(AO57),ISNUMBER({ROIC})),AO57-{ROIC},"")</f>
        <v/>
      </c>
      <c r="AQ57" s="17">
        <f>IF(AND(ISNUMBER(AE57),ISNUMBER(N57)),AE57+N57,"")</f>
        <v/>
      </c>
      <c r="AR57" s="20">
        <f>IF(AND(ISNUMBER(AH57),ISNUMBER(T57),ISNUMBER(AQ57),AQ57&gt;0),(AH57-T57)/AQ57,"")</f>
        <v/>
      </c>
      <c r="AS57" s="20">
        <f>IF(AND(ISNUMBER(AE57),ISNUMBER(I57),I57&lt;&gt;0,AE57&gt;0),AE57/I57,"")</f>
        <v/>
      </c>
      <c r="AT57" s="17">
        <f>IF(AND(ISNUMBER(Y57),ISNUMBER(AA57)),Y57-IF(ISNUMBER(T57),T57,0)-(AA57-IF(ISNUMBER(V57),V57,0)),"")</f>
        <v/>
      </c>
      <c r="AU57" s="17">
        <f>IF(AND(ISNUMBER(Z57),ISNUMBER(AB57)),Z57-IF(ISNUMBER(U57),U57,0)-(AB57-IF(ISNUMBER(W57),W57,0)),"")</f>
        <v/>
      </c>
      <c r="AV57" s="17">
        <f>IF(AND(ISNUMBER(AT57),ISNUMBER(AU57)),AT57-AU57,"")</f>
        <v/>
      </c>
      <c r="AW57" s="17">
        <f>IF(AND(ISNUMBER(L57),ISNUMBER(M57),ISNUMBER(AF57)),L57-M57*(1-AF57),IF(ISNUMBER(L57),L57,""))</f>
        <v/>
      </c>
      <c r="AX57" s="17">
        <f>IF(E57="금융","",IF(AND(ISNUMBER(AW57),ISNUMBER(N57),ISNUMBER(O57),ISNUMBER(AV57)),AW57+N57-O57-AV57,IF(AND(ISNUMBER(P57),ISNUMBER(O57)),P57-O57-IF(ISNUMBER(Q57),Q57,0),"")))</f>
        <v/>
      </c>
      <c r="AY57" s="8">
        <f>IF(E57="금융","금융업 - 정의되지 않음",IF(AND(ISNUMBER(AW57),ISNUMBER(N57),ISNUMBER(O57),ISNUMBER(AV57)),"영업순이익+감가상각-설비투자-운전자본증감",IF(AND(ISNUMBER(P57),ISNUMBER(O57)),IF(ISNUMBER(Q57),"영업현금흐름-설비투자-주식보상비용","영업현금흐름-설비투자(주식보상비용 미태깅)"),"산출불가")))</f>
        <v/>
      </c>
      <c r="AZ57" s="19">
        <f>IF(AND(ISNUMBER(AX57),ISNUMBER(G57),G57&lt;&gt;0),AX57/G57,"")</f>
        <v/>
      </c>
      <c r="BA57" s="19">
        <f>IF(AND(ISNUMBER(AE57),ISNUMBER(G57),G57&lt;&gt;0),AE57/G57,"")</f>
        <v/>
      </c>
    </row>
    <row r="58">
      <c r="A58" s="8" t="inlineStr">
        <is>
          <t>AMZN</t>
        </is>
      </c>
      <c r="B58" s="8" t="inlineStr">
        <is>
          <t>AMAZON COM INC</t>
        </is>
      </c>
      <c r="C58" s="8" t="n">
        <v>2019</v>
      </c>
      <c r="D58" s="8" t="inlineStr">
        <is>
          <t>2019-12-31</t>
        </is>
      </c>
      <c r="E58" s="8" t="inlineStr">
        <is>
          <t>일반</t>
        </is>
      </c>
      <c r="F58" s="8" t="inlineStr">
        <is>
          <t>0001018724-22-000005</t>
        </is>
      </c>
      <c r="G58" s="15" t="n">
        <v>280.522</v>
      </c>
      <c r="H58" s="15" t="n">
        <v>13.976</v>
      </c>
      <c r="I58" s="15" t="n"/>
      <c r="J58" s="15" t="n">
        <v>2.374</v>
      </c>
      <c r="K58" s="15" t="n">
        <v>14.541</v>
      </c>
      <c r="L58" s="15" t="n">
        <v>11.588</v>
      </c>
      <c r="M58" s="15" t="n">
        <v>0.231</v>
      </c>
      <c r="N58" s="15" t="n">
        <v>21.789</v>
      </c>
      <c r="O58" s="15" t="n">
        <v>16.861</v>
      </c>
      <c r="P58" s="15" t="n">
        <v>38.514</v>
      </c>
      <c r="Q58" s="15" t="n">
        <v>6.864</v>
      </c>
      <c r="R58" s="15" t="n">
        <v>62.06</v>
      </c>
      <c r="S58" s="15" t="n">
        <v>43.549</v>
      </c>
      <c r="T58" s="15" t="n">
        <v>55.021</v>
      </c>
      <c r="U58" s="15" t="n">
        <v>41.25</v>
      </c>
      <c r="V58" s="15" t="n">
        <v>1.305</v>
      </c>
      <c r="W58" s="15" t="n">
        <v>1.371</v>
      </c>
      <c r="X58" s="15" t="n">
        <v>23.414</v>
      </c>
      <c r="Y58" s="15" t="n">
        <v>96.334</v>
      </c>
      <c r="Z58" s="15" t="n">
        <v>75.101</v>
      </c>
      <c r="AA58" s="15" t="n">
        <v>87.812</v>
      </c>
      <c r="AB58" s="15" t="n">
        <v>68.39100000000001</v>
      </c>
      <c r="AC58" s="15" t="n">
        <v>27.165</v>
      </c>
      <c r="AD58" s="16" t="n">
        <v>9960</v>
      </c>
      <c r="AE58" s="17">
        <f>IF(ISNUMBER(K58),K58,IF(AND(ISNUMBER(H58),ISNUMBER(I58)),H58+I58,IF(ISNUMBER(H58),H58,"")))</f>
        <v/>
      </c>
      <c r="AF58" s="18">
        <f>IF(OR(NOT(ISNUMBER(J58)),NOT(ISNUMBER(H58)),H58&lt;=0),기준표!$B$8,MIN(MAX(J58/H58,기준표!$B$6),기준표!$B$7))</f>
        <v/>
      </c>
      <c r="AG58" s="17">
        <f>IF(ISNUMBER(AE58),AE58*(1-AF58),"")</f>
        <v/>
      </c>
      <c r="AH58" s="17">
        <f>IF(AND(NOT(ISNUMBER(V58)),NOT(ISNUMBER(X58))),"",IF(ISNUMBER(V58),V58,0)+IF(ISNUMBER(X58),X58,0))</f>
        <v/>
      </c>
      <c r="AI58" s="17">
        <f>IF(E58="금융","",IF(AND(ISNUMBER(R58),ISNUMBER(AH58),ISNUMBER(T58)),R58+AH58-T58,""))</f>
        <v/>
      </c>
      <c r="AJ58" s="17">
        <f>IF(E58="금융","",IF(NOT(ISNUMBER(AI58)),"",IF(ISNUMBER(AC58),(AI58+AC58)/2,AI58)))</f>
        <v/>
      </c>
      <c r="AK58" s="19">
        <f>IF(AND(ISNUMBER(AG58),ISNUMBER(AJ58),AJ58&gt;0),AG58/AJ58,"")</f>
        <v/>
      </c>
      <c r="AL58" s="17">
        <f>IF(E58="금융","",IF(AND(ISNUMBER(R58),ISNUMBER(AH58)),R58+AH58,""))</f>
        <v/>
      </c>
      <c r="AM58" s="19">
        <f>IF(OR(NOT(ISNUMBER(AG58)),NOT(ISNUMBER(AL58)),AL58&lt;=0),"",IF(AND(ISNUMBER(G58),AL58&lt;0.1*G58),"",AG58/AL58))</f>
        <v/>
      </c>
      <c r="AN58" s="17">
        <f>IF(NOT(ISNUMBER(R58)),"",IF(ISNUMBER(S58),(R58+S58)/2,R58))</f>
        <v/>
      </c>
      <c r="AO58" s="19">
        <f>IF(AND(ISNUMBER(L58),ISNUMBER(AN58),AN58&gt;0),L58/AN58,"")</f>
        <v/>
      </c>
      <c r="AP58" s="19">
        <f>IF(AND(ISNUMBER(AO58),ISNUMBER({ROIC})),AO58-{ROIC},"")</f>
        <v/>
      </c>
      <c r="AQ58" s="17">
        <f>IF(AND(ISNUMBER(AE58),ISNUMBER(N58)),AE58+N58,"")</f>
        <v/>
      </c>
      <c r="AR58" s="20">
        <f>IF(AND(ISNUMBER(AH58),ISNUMBER(T58),ISNUMBER(AQ58),AQ58&gt;0),(AH58-T58)/AQ58,"")</f>
        <v/>
      </c>
      <c r="AS58" s="20">
        <f>IF(AND(ISNUMBER(AE58),ISNUMBER(I58),I58&lt;&gt;0,AE58&gt;0),AE58/I58,"")</f>
        <v/>
      </c>
      <c r="AT58" s="17">
        <f>IF(AND(ISNUMBER(Y58),ISNUMBER(AA58)),Y58-IF(ISNUMBER(T58),T58,0)-(AA58-IF(ISNUMBER(V58),V58,0)),"")</f>
        <v/>
      </c>
      <c r="AU58" s="17">
        <f>IF(AND(ISNUMBER(Z58),ISNUMBER(AB58)),Z58-IF(ISNUMBER(U58),U58,0)-(AB58-IF(ISNUMBER(W58),W58,0)),"")</f>
        <v/>
      </c>
      <c r="AV58" s="17">
        <f>IF(AND(ISNUMBER(AT58),ISNUMBER(AU58)),AT58-AU58,"")</f>
        <v/>
      </c>
      <c r="AW58" s="17">
        <f>IF(AND(ISNUMBER(L58),ISNUMBER(M58),ISNUMBER(AF58)),L58-M58*(1-AF58),IF(ISNUMBER(L58),L58,""))</f>
        <v/>
      </c>
      <c r="AX58" s="17">
        <f>IF(E58="금융","",IF(AND(ISNUMBER(AW58),ISNUMBER(N58),ISNUMBER(O58),ISNUMBER(AV58)),AW58+N58-O58-AV58,IF(AND(ISNUMBER(P58),ISNUMBER(O58)),P58-O58-IF(ISNUMBER(Q58),Q58,0),"")))</f>
        <v/>
      </c>
      <c r="AY58" s="8">
        <f>IF(E58="금융","금융업 - 정의되지 않음",IF(AND(ISNUMBER(AW58),ISNUMBER(N58),ISNUMBER(O58),ISNUMBER(AV58)),"영업순이익+감가상각-설비투자-운전자본증감",IF(AND(ISNUMBER(P58),ISNUMBER(O58)),IF(ISNUMBER(Q58),"영업현금흐름-설비투자-주식보상비용","영업현금흐름-설비투자(주식보상비용 미태깅)"),"산출불가")))</f>
        <v/>
      </c>
      <c r="AZ58" s="19">
        <f>IF(AND(ISNUMBER(AX58),ISNUMBER(G58),G58&lt;&gt;0),AX58/G58,"")</f>
        <v/>
      </c>
      <c r="BA58" s="19">
        <f>IF(AND(ISNUMBER(AE58),ISNUMBER(G58),G58&lt;&gt;0),AE58/G58,"")</f>
        <v/>
      </c>
    </row>
    <row r="59">
      <c r="A59" s="8" t="inlineStr">
        <is>
          <t>AMZN</t>
        </is>
      </c>
      <c r="B59" s="8" t="inlineStr">
        <is>
          <t>AMAZON COM INC</t>
        </is>
      </c>
      <c r="C59" s="8" t="n">
        <v>2020</v>
      </c>
      <c r="D59" s="8" t="inlineStr">
        <is>
          <t>2020-12-31</t>
        </is>
      </c>
      <c r="E59" s="8" t="inlineStr">
        <is>
          <t>일반</t>
        </is>
      </c>
      <c r="F59" s="8" t="inlineStr">
        <is>
          <t>0001018724-23-000004</t>
        </is>
      </c>
      <c r="G59" s="15" t="n">
        <v>386.064</v>
      </c>
      <c r="H59" s="15" t="n">
        <v>24.178</v>
      </c>
      <c r="I59" s="15" t="n"/>
      <c r="J59" s="15" t="n">
        <v>2.863</v>
      </c>
      <c r="K59" s="15" t="n">
        <v>22.899</v>
      </c>
      <c r="L59" s="15" t="n">
        <v>21.331</v>
      </c>
      <c r="M59" s="15" t="n">
        <v>0.833</v>
      </c>
      <c r="N59" s="15" t="n">
        <v>25.18</v>
      </c>
      <c r="O59" s="15" t="n">
        <v>40.14</v>
      </c>
      <c r="P59" s="15" t="n">
        <v>66.06399999999999</v>
      </c>
      <c r="Q59" s="15" t="n">
        <v>9.208</v>
      </c>
      <c r="R59" s="15" t="n">
        <v>93.404</v>
      </c>
      <c r="S59" s="15" t="n">
        <v>62.06</v>
      </c>
      <c r="T59" s="15" t="n">
        <v>84.396</v>
      </c>
      <c r="U59" s="15" t="n">
        <v>55.021</v>
      </c>
      <c r="V59" s="15" t="n">
        <v>1.155</v>
      </c>
      <c r="W59" s="15" t="n">
        <v>1.305</v>
      </c>
      <c r="X59" s="15" t="n">
        <v>31.816</v>
      </c>
      <c r="Y59" s="15" t="n">
        <v>132.733</v>
      </c>
      <c r="Z59" s="15" t="n">
        <v>96.334</v>
      </c>
      <c r="AA59" s="15" t="n">
        <v>126.385</v>
      </c>
      <c r="AB59" s="15" t="n">
        <v>87.812</v>
      </c>
      <c r="AC59" s="15" t="n">
        <v>31.758</v>
      </c>
      <c r="AD59" s="16" t="n">
        <v>10060</v>
      </c>
      <c r="AE59" s="17">
        <f>IF(ISNUMBER(K59),K59,IF(AND(ISNUMBER(H59),ISNUMBER(I59)),H59+I59,IF(ISNUMBER(H59),H59,"")))</f>
        <v/>
      </c>
      <c r="AF59" s="18">
        <f>IF(OR(NOT(ISNUMBER(J59)),NOT(ISNUMBER(H59)),H59&lt;=0),기준표!$B$8,MIN(MAX(J59/H59,기준표!$B$6),기준표!$B$7))</f>
        <v/>
      </c>
      <c r="AG59" s="17">
        <f>IF(ISNUMBER(AE59),AE59*(1-AF59),"")</f>
        <v/>
      </c>
      <c r="AH59" s="17">
        <f>IF(AND(NOT(ISNUMBER(V59)),NOT(ISNUMBER(X59))),"",IF(ISNUMBER(V59),V59,0)+IF(ISNUMBER(X59),X59,0))</f>
        <v/>
      </c>
      <c r="AI59" s="17">
        <f>IF(E59="금융","",IF(AND(ISNUMBER(R59),ISNUMBER(AH59),ISNUMBER(T59)),R59+AH59-T59,""))</f>
        <v/>
      </c>
      <c r="AJ59" s="17">
        <f>IF(E59="금융","",IF(NOT(ISNUMBER(AI59)),"",IF(ISNUMBER(AC59),(AI59+AC59)/2,AI59)))</f>
        <v/>
      </c>
      <c r="AK59" s="19">
        <f>IF(AND(ISNUMBER(AG59),ISNUMBER(AJ59),AJ59&gt;0),AG59/AJ59,"")</f>
        <v/>
      </c>
      <c r="AL59" s="17">
        <f>IF(E59="금융","",IF(AND(ISNUMBER(R59),ISNUMBER(AH59)),R59+AH59,""))</f>
        <v/>
      </c>
      <c r="AM59" s="19">
        <f>IF(OR(NOT(ISNUMBER(AG59)),NOT(ISNUMBER(AL59)),AL59&lt;=0),"",IF(AND(ISNUMBER(G59),AL59&lt;0.1*G59),"",AG59/AL59))</f>
        <v/>
      </c>
      <c r="AN59" s="17">
        <f>IF(NOT(ISNUMBER(R59)),"",IF(ISNUMBER(S59),(R59+S59)/2,R59))</f>
        <v/>
      </c>
      <c r="AO59" s="19">
        <f>IF(AND(ISNUMBER(L59),ISNUMBER(AN59),AN59&gt;0),L59/AN59,"")</f>
        <v/>
      </c>
      <c r="AP59" s="19">
        <f>IF(AND(ISNUMBER(AO59),ISNUMBER({ROIC})),AO59-{ROIC},"")</f>
        <v/>
      </c>
      <c r="AQ59" s="17">
        <f>IF(AND(ISNUMBER(AE59),ISNUMBER(N59)),AE59+N59,"")</f>
        <v/>
      </c>
      <c r="AR59" s="20">
        <f>IF(AND(ISNUMBER(AH59),ISNUMBER(T59),ISNUMBER(AQ59),AQ59&gt;0),(AH59-T59)/AQ59,"")</f>
        <v/>
      </c>
      <c r="AS59" s="20">
        <f>IF(AND(ISNUMBER(AE59),ISNUMBER(I59),I59&lt;&gt;0,AE59&gt;0),AE59/I59,"")</f>
        <v/>
      </c>
      <c r="AT59" s="17">
        <f>IF(AND(ISNUMBER(Y59),ISNUMBER(AA59)),Y59-IF(ISNUMBER(T59),T59,0)-(AA59-IF(ISNUMBER(V59),V59,0)),"")</f>
        <v/>
      </c>
      <c r="AU59" s="17">
        <f>IF(AND(ISNUMBER(Z59),ISNUMBER(AB59)),Z59-IF(ISNUMBER(U59),U59,0)-(AB59-IF(ISNUMBER(W59),W59,0)),"")</f>
        <v/>
      </c>
      <c r="AV59" s="17">
        <f>IF(AND(ISNUMBER(AT59),ISNUMBER(AU59)),AT59-AU59,"")</f>
        <v/>
      </c>
      <c r="AW59" s="17">
        <f>IF(AND(ISNUMBER(L59),ISNUMBER(M59),ISNUMBER(AF59)),L59-M59*(1-AF59),IF(ISNUMBER(L59),L59,""))</f>
        <v/>
      </c>
      <c r="AX59" s="17">
        <f>IF(E59="금융","",IF(AND(ISNUMBER(AW59),ISNUMBER(N59),ISNUMBER(O59),ISNUMBER(AV59)),AW59+N59-O59-AV59,IF(AND(ISNUMBER(P59),ISNUMBER(O59)),P59-O59-IF(ISNUMBER(Q59),Q59,0),"")))</f>
        <v/>
      </c>
      <c r="AY59" s="8">
        <f>IF(E59="금융","금융업 - 정의되지 않음",IF(AND(ISNUMBER(AW59),ISNUMBER(N59),ISNUMBER(O59),ISNUMBER(AV59)),"영업순이익+감가상각-설비투자-운전자본증감",IF(AND(ISNUMBER(P59),ISNUMBER(O59)),IF(ISNUMBER(Q59),"영업현금흐름-설비투자-주식보상비용","영업현금흐름-설비투자(주식보상비용 미태깅)"),"산출불가")))</f>
        <v/>
      </c>
      <c r="AZ59" s="19">
        <f>IF(AND(ISNUMBER(AX59),ISNUMBER(G59),G59&lt;&gt;0),AX59/G59,"")</f>
        <v/>
      </c>
      <c r="BA59" s="19">
        <f>IF(AND(ISNUMBER(AE59),ISNUMBER(G59),G59&lt;&gt;0),AE59/G59,"")</f>
        <v/>
      </c>
    </row>
    <row r="60">
      <c r="A60" s="8" t="inlineStr">
        <is>
          <t>AMZN</t>
        </is>
      </c>
      <c r="B60" s="8" t="inlineStr">
        <is>
          <t>AMAZON COM INC</t>
        </is>
      </c>
      <c r="C60" s="8" t="n">
        <v>2021</v>
      </c>
      <c r="D60" s="8" t="inlineStr">
        <is>
          <t>2021-12-31</t>
        </is>
      </c>
      <c r="E60" s="8" t="inlineStr">
        <is>
          <t>일반</t>
        </is>
      </c>
      <c r="F60" s="8" t="inlineStr">
        <is>
          <t>0001018724-24-000008</t>
        </is>
      </c>
      <c r="G60" s="15" t="n">
        <v>469.822</v>
      </c>
      <c r="H60" s="15" t="n">
        <v>38.151</v>
      </c>
      <c r="I60" s="15" t="n"/>
      <c r="J60" s="15" t="n">
        <v>4.791</v>
      </c>
      <c r="K60" s="15" t="n">
        <v>24.879</v>
      </c>
      <c r="L60" s="15" t="n">
        <v>33.364</v>
      </c>
      <c r="M60" s="15" t="n"/>
      <c r="N60" s="15" t="n">
        <v>34.433</v>
      </c>
      <c r="O60" s="15" t="n">
        <v>61.053</v>
      </c>
      <c r="P60" s="15" t="n">
        <v>46.327</v>
      </c>
      <c r="Q60" s="15" t="n">
        <v>12.757</v>
      </c>
      <c r="R60" s="15" t="n">
        <v>138.245</v>
      </c>
      <c r="S60" s="15" t="n">
        <v>93.404</v>
      </c>
      <c r="T60" s="15" t="n">
        <v>96.04900000000001</v>
      </c>
      <c r="U60" s="15" t="n">
        <v>84.396</v>
      </c>
      <c r="V60" s="15" t="n">
        <v>1.491</v>
      </c>
      <c r="W60" s="15" t="n">
        <v>1.155</v>
      </c>
      <c r="X60" s="15" t="n">
        <v>48.744</v>
      </c>
      <c r="Y60" s="15" t="n">
        <v>161.58</v>
      </c>
      <c r="Z60" s="15" t="n">
        <v>132.733</v>
      </c>
      <c r="AA60" s="15" t="n">
        <v>142.266</v>
      </c>
      <c r="AB60" s="15" t="n">
        <v>126.385</v>
      </c>
      <c r="AC60" s="15" t="n">
        <v>41.979</v>
      </c>
      <c r="AD60" s="16" t="n">
        <v>10175</v>
      </c>
      <c r="AE60" s="17">
        <f>IF(ISNUMBER(K60),K60,IF(AND(ISNUMBER(H60),ISNUMBER(I60)),H60+I60,IF(ISNUMBER(H60),H60,"")))</f>
        <v/>
      </c>
      <c r="AF60" s="18">
        <f>IF(OR(NOT(ISNUMBER(J60)),NOT(ISNUMBER(H60)),H60&lt;=0),기준표!$B$8,MIN(MAX(J60/H60,기준표!$B$6),기준표!$B$7))</f>
        <v/>
      </c>
      <c r="AG60" s="17">
        <f>IF(ISNUMBER(AE60),AE60*(1-AF60),"")</f>
        <v/>
      </c>
      <c r="AH60" s="17">
        <f>IF(AND(NOT(ISNUMBER(V60)),NOT(ISNUMBER(X60))),"",IF(ISNUMBER(V60),V60,0)+IF(ISNUMBER(X60),X60,0))</f>
        <v/>
      </c>
      <c r="AI60" s="17">
        <f>IF(E60="금융","",IF(AND(ISNUMBER(R60),ISNUMBER(AH60),ISNUMBER(T60)),R60+AH60-T60,""))</f>
        <v/>
      </c>
      <c r="AJ60" s="17">
        <f>IF(E60="금융","",IF(NOT(ISNUMBER(AI60)),"",IF(ISNUMBER(AC60),(AI60+AC60)/2,AI60)))</f>
        <v/>
      </c>
      <c r="AK60" s="19">
        <f>IF(AND(ISNUMBER(AG60),ISNUMBER(AJ60),AJ60&gt;0),AG60/AJ60,"")</f>
        <v/>
      </c>
      <c r="AL60" s="17">
        <f>IF(E60="금융","",IF(AND(ISNUMBER(R60),ISNUMBER(AH60)),R60+AH60,""))</f>
        <v/>
      </c>
      <c r="AM60" s="19">
        <f>IF(OR(NOT(ISNUMBER(AG60)),NOT(ISNUMBER(AL60)),AL60&lt;=0),"",IF(AND(ISNUMBER(G60),AL60&lt;0.1*G60),"",AG60/AL60))</f>
        <v/>
      </c>
      <c r="AN60" s="17">
        <f>IF(NOT(ISNUMBER(R60)),"",IF(ISNUMBER(S60),(R60+S60)/2,R60))</f>
        <v/>
      </c>
      <c r="AO60" s="19">
        <f>IF(AND(ISNUMBER(L60),ISNUMBER(AN60),AN60&gt;0),L60/AN60,"")</f>
        <v/>
      </c>
      <c r="AP60" s="19">
        <f>IF(AND(ISNUMBER(AO60),ISNUMBER({ROIC})),AO60-{ROIC},"")</f>
        <v/>
      </c>
      <c r="AQ60" s="17">
        <f>IF(AND(ISNUMBER(AE60),ISNUMBER(N60)),AE60+N60,"")</f>
        <v/>
      </c>
      <c r="AR60" s="20">
        <f>IF(AND(ISNUMBER(AH60),ISNUMBER(T60),ISNUMBER(AQ60),AQ60&gt;0),(AH60-T60)/AQ60,"")</f>
        <v/>
      </c>
      <c r="AS60" s="20">
        <f>IF(AND(ISNUMBER(AE60),ISNUMBER(I60),I60&lt;&gt;0,AE60&gt;0),AE60/I60,"")</f>
        <v/>
      </c>
      <c r="AT60" s="17">
        <f>IF(AND(ISNUMBER(Y60),ISNUMBER(AA60)),Y60-IF(ISNUMBER(T60),T60,0)-(AA60-IF(ISNUMBER(V60),V60,0)),"")</f>
        <v/>
      </c>
      <c r="AU60" s="17">
        <f>IF(AND(ISNUMBER(Z60),ISNUMBER(AB60)),Z60-IF(ISNUMBER(U60),U60,0)-(AB60-IF(ISNUMBER(W60),W60,0)),"")</f>
        <v/>
      </c>
      <c r="AV60" s="17">
        <f>IF(AND(ISNUMBER(AT60),ISNUMBER(AU60)),AT60-AU60,"")</f>
        <v/>
      </c>
      <c r="AW60" s="17">
        <f>IF(AND(ISNUMBER(L60),ISNUMBER(M60),ISNUMBER(AF60)),L60-M60*(1-AF60),IF(ISNUMBER(L60),L60,""))</f>
        <v/>
      </c>
      <c r="AX60" s="17">
        <f>IF(E60="금융","",IF(AND(ISNUMBER(AW60),ISNUMBER(N60),ISNUMBER(O60),ISNUMBER(AV60)),AW60+N60-O60-AV60,IF(AND(ISNUMBER(P60),ISNUMBER(O60)),P60-O60-IF(ISNUMBER(Q60),Q60,0),"")))</f>
        <v/>
      </c>
      <c r="AY60" s="8">
        <f>IF(E60="금융","금융업 - 정의되지 않음",IF(AND(ISNUMBER(AW60),ISNUMBER(N60),ISNUMBER(O60),ISNUMBER(AV60)),"영업순이익+감가상각-설비투자-운전자본증감",IF(AND(ISNUMBER(P60),ISNUMBER(O60)),IF(ISNUMBER(Q60),"영업현금흐름-설비투자-주식보상비용","영업현금흐름-설비투자(주식보상비용 미태깅)"),"산출불가")))</f>
        <v/>
      </c>
      <c r="AZ60" s="19">
        <f>IF(AND(ISNUMBER(AX60),ISNUMBER(G60),G60&lt;&gt;0),AX60/G60,"")</f>
        <v/>
      </c>
      <c r="BA60" s="19">
        <f>IF(AND(ISNUMBER(AE60),ISNUMBER(G60),G60&lt;&gt;0),AE60/G60,"")</f>
        <v/>
      </c>
    </row>
    <row r="61">
      <c r="A61" s="8" t="inlineStr">
        <is>
          <t>AMZN</t>
        </is>
      </c>
      <c r="B61" s="8" t="inlineStr">
        <is>
          <t>AMAZON COM INC</t>
        </is>
      </c>
      <c r="C61" s="8" t="n">
        <v>2022</v>
      </c>
      <c r="D61" s="8" t="inlineStr">
        <is>
          <t>2022-12-31</t>
        </is>
      </c>
      <c r="E61" s="8" t="inlineStr">
        <is>
          <t>일반</t>
        </is>
      </c>
      <c r="F61" s="8" t="inlineStr">
        <is>
          <t>0001018724-25-000004</t>
        </is>
      </c>
      <c r="G61" s="15" t="n">
        <v>513.9829999999999</v>
      </c>
      <c r="H61" s="15" t="n">
        <v>-5.936</v>
      </c>
      <c r="I61" s="15" t="n">
        <v>2.367</v>
      </c>
      <c r="J61" s="15" t="n">
        <v>-3.217</v>
      </c>
      <c r="K61" s="15" t="n">
        <v>12.248</v>
      </c>
      <c r="L61" s="15" t="n">
        <v>-2.722</v>
      </c>
      <c r="M61" s="15" t="n"/>
      <c r="N61" s="15" t="n">
        <v>41.921</v>
      </c>
      <c r="O61" s="15" t="n">
        <v>63.645</v>
      </c>
      <c r="P61" s="15" t="n">
        <v>46.752</v>
      </c>
      <c r="Q61" s="15" t="n">
        <v>19.621</v>
      </c>
      <c r="R61" s="15" t="n">
        <v>146.043</v>
      </c>
      <c r="S61" s="15" t="n">
        <v>138.245</v>
      </c>
      <c r="T61" s="15" t="n">
        <v>70.026</v>
      </c>
      <c r="U61" s="15" t="n">
        <v>96.04900000000001</v>
      </c>
      <c r="V61" s="15" t="n">
        <v>2.999</v>
      </c>
      <c r="W61" s="15" t="n">
        <v>1.491</v>
      </c>
      <c r="X61" s="15" t="n">
        <v>67.15000000000001</v>
      </c>
      <c r="Y61" s="15" t="n">
        <v>146.791</v>
      </c>
      <c r="Z61" s="15" t="n">
        <v>161.58</v>
      </c>
      <c r="AA61" s="15" t="n">
        <v>155.393</v>
      </c>
      <c r="AB61" s="15" t="n">
        <v>142.266</v>
      </c>
      <c r="AC61" s="15" t="n">
        <v>92.431</v>
      </c>
      <c r="AD61" s="16" t="n">
        <v>10242</v>
      </c>
      <c r="AE61" s="17">
        <f>IF(ISNUMBER(K61),K61,IF(AND(ISNUMBER(H61),ISNUMBER(I61)),H61+I61,IF(ISNUMBER(H61),H61,"")))</f>
        <v/>
      </c>
      <c r="AF61" s="18">
        <f>IF(OR(NOT(ISNUMBER(J61)),NOT(ISNUMBER(H61)),H61&lt;=0),기준표!$B$8,MIN(MAX(J61/H61,기준표!$B$6),기준표!$B$7))</f>
        <v/>
      </c>
      <c r="AG61" s="17">
        <f>IF(ISNUMBER(AE61),AE61*(1-AF61),"")</f>
        <v/>
      </c>
      <c r="AH61" s="17">
        <f>IF(AND(NOT(ISNUMBER(V61)),NOT(ISNUMBER(X61))),"",IF(ISNUMBER(V61),V61,0)+IF(ISNUMBER(X61),X61,0))</f>
        <v/>
      </c>
      <c r="AI61" s="17">
        <f>IF(E61="금융","",IF(AND(ISNUMBER(R61),ISNUMBER(AH61),ISNUMBER(T61)),R61+AH61-T61,""))</f>
        <v/>
      </c>
      <c r="AJ61" s="17">
        <f>IF(E61="금융","",IF(NOT(ISNUMBER(AI61)),"",IF(ISNUMBER(AC61),(AI61+AC61)/2,AI61)))</f>
        <v/>
      </c>
      <c r="AK61" s="19">
        <f>IF(AND(ISNUMBER(AG61),ISNUMBER(AJ61),AJ61&gt;0),AG61/AJ61,"")</f>
        <v/>
      </c>
      <c r="AL61" s="17">
        <f>IF(E61="금융","",IF(AND(ISNUMBER(R61),ISNUMBER(AH61)),R61+AH61,""))</f>
        <v/>
      </c>
      <c r="AM61" s="19">
        <f>IF(OR(NOT(ISNUMBER(AG61)),NOT(ISNUMBER(AL61)),AL61&lt;=0),"",IF(AND(ISNUMBER(G61),AL61&lt;0.1*G61),"",AG61/AL61))</f>
        <v/>
      </c>
      <c r="AN61" s="17">
        <f>IF(NOT(ISNUMBER(R61)),"",IF(ISNUMBER(S61),(R61+S61)/2,R61))</f>
        <v/>
      </c>
      <c r="AO61" s="19">
        <f>IF(AND(ISNUMBER(L61),ISNUMBER(AN61),AN61&gt;0),L61/AN61,"")</f>
        <v/>
      </c>
      <c r="AP61" s="19">
        <f>IF(AND(ISNUMBER(AO61),ISNUMBER({ROIC})),AO61-{ROIC},"")</f>
        <v/>
      </c>
      <c r="AQ61" s="17">
        <f>IF(AND(ISNUMBER(AE61),ISNUMBER(N61)),AE61+N61,"")</f>
        <v/>
      </c>
      <c r="AR61" s="20">
        <f>IF(AND(ISNUMBER(AH61),ISNUMBER(T61),ISNUMBER(AQ61),AQ61&gt;0),(AH61-T61)/AQ61,"")</f>
        <v/>
      </c>
      <c r="AS61" s="20">
        <f>IF(AND(ISNUMBER(AE61),ISNUMBER(I61),I61&lt;&gt;0,AE61&gt;0),AE61/I61,"")</f>
        <v/>
      </c>
      <c r="AT61" s="17">
        <f>IF(AND(ISNUMBER(Y61),ISNUMBER(AA61)),Y61-IF(ISNUMBER(T61),T61,0)-(AA61-IF(ISNUMBER(V61),V61,0)),"")</f>
        <v/>
      </c>
      <c r="AU61" s="17">
        <f>IF(AND(ISNUMBER(Z61),ISNUMBER(AB61)),Z61-IF(ISNUMBER(U61),U61,0)-(AB61-IF(ISNUMBER(W61),W61,0)),"")</f>
        <v/>
      </c>
      <c r="AV61" s="17">
        <f>IF(AND(ISNUMBER(AT61),ISNUMBER(AU61)),AT61-AU61,"")</f>
        <v/>
      </c>
      <c r="AW61" s="17">
        <f>IF(AND(ISNUMBER(L61),ISNUMBER(M61),ISNUMBER(AF61)),L61-M61*(1-AF61),IF(ISNUMBER(L61),L61,""))</f>
        <v/>
      </c>
      <c r="AX61" s="17">
        <f>IF(E61="금융","",IF(AND(ISNUMBER(AW61),ISNUMBER(N61),ISNUMBER(O61),ISNUMBER(AV61)),AW61+N61-O61-AV61,IF(AND(ISNUMBER(P61),ISNUMBER(O61)),P61-O61-IF(ISNUMBER(Q61),Q61,0),"")))</f>
        <v/>
      </c>
      <c r="AY61" s="8">
        <f>IF(E61="금융","금융업 - 정의되지 않음",IF(AND(ISNUMBER(AW61),ISNUMBER(N61),ISNUMBER(O61),ISNUMBER(AV61)),"영업순이익+감가상각-설비투자-운전자본증감",IF(AND(ISNUMBER(P61),ISNUMBER(O61)),IF(ISNUMBER(Q61),"영업현금흐름-설비투자-주식보상비용","영업현금흐름-설비투자(주식보상비용 미태깅)"),"산출불가")))</f>
        <v/>
      </c>
      <c r="AZ61" s="19">
        <f>IF(AND(ISNUMBER(AX61),ISNUMBER(G61),G61&lt;&gt;0),AX61/G61,"")</f>
        <v/>
      </c>
      <c r="BA61" s="19">
        <f>IF(AND(ISNUMBER(AE61),ISNUMBER(G61),G61&lt;&gt;0),AE61/G61,"")</f>
        <v/>
      </c>
    </row>
    <row r="62">
      <c r="A62" s="8" t="inlineStr">
        <is>
          <t>AMZN</t>
        </is>
      </c>
      <c r="B62" s="8" t="inlineStr">
        <is>
          <t>AMAZON COM INC</t>
        </is>
      </c>
      <c r="C62" s="8" t="n">
        <v>2023</v>
      </c>
      <c r="D62" s="8" t="inlineStr">
        <is>
          <t>2023-12-31</t>
        </is>
      </c>
      <c r="E62" s="8" t="inlineStr">
        <is>
          <t>일반</t>
        </is>
      </c>
      <c r="F62" s="8" t="inlineStr">
        <is>
          <t>0001018724-26-000004</t>
        </is>
      </c>
      <c r="G62" s="15" t="n">
        <v>574.785</v>
      </c>
      <c r="H62" s="15" t="n">
        <v>37.557</v>
      </c>
      <c r="I62" s="15" t="n">
        <v>3.182</v>
      </c>
      <c r="J62" s="15" t="n">
        <v>7.12</v>
      </c>
      <c r="K62" s="15" t="n">
        <v>36.852</v>
      </c>
      <c r="L62" s="15" t="n">
        <v>30.425</v>
      </c>
      <c r="M62" s="15" t="n">
        <v>1</v>
      </c>
      <c r="N62" s="15" t="n">
        <v>48.663</v>
      </c>
      <c r="O62" s="15" t="n">
        <v>52.729</v>
      </c>
      <c r="P62" s="15" t="n">
        <v>84.946</v>
      </c>
      <c r="Q62" s="15" t="n">
        <v>24.023</v>
      </c>
      <c r="R62" s="15" t="n">
        <v>201.875</v>
      </c>
      <c r="S62" s="15" t="n">
        <v>146.043</v>
      </c>
      <c r="T62" s="15" t="n">
        <v>86.78</v>
      </c>
      <c r="U62" s="15" t="n">
        <v>70.026</v>
      </c>
      <c r="V62" s="15" t="n">
        <v>8.494</v>
      </c>
      <c r="W62" s="15" t="n">
        <v>2.999</v>
      </c>
      <c r="X62" s="15" t="n">
        <v>58.314</v>
      </c>
      <c r="Y62" s="15" t="n">
        <v>172.351</v>
      </c>
      <c r="Z62" s="15" t="n">
        <v>146.791</v>
      </c>
      <c r="AA62" s="15" t="n">
        <v>164.917</v>
      </c>
      <c r="AB62" s="15" t="n">
        <v>155.393</v>
      </c>
      <c r="AC62" s="15" t="n">
        <v>146.166</v>
      </c>
      <c r="AD62" s="16" t="n">
        <v>10383</v>
      </c>
      <c r="AE62" s="17">
        <f>IF(ISNUMBER(K62),K62,IF(AND(ISNUMBER(H62),ISNUMBER(I62)),H62+I62,IF(ISNUMBER(H62),H62,"")))</f>
        <v/>
      </c>
      <c r="AF62" s="18">
        <f>IF(OR(NOT(ISNUMBER(J62)),NOT(ISNUMBER(H62)),H62&lt;=0),기준표!$B$8,MIN(MAX(J62/H62,기준표!$B$6),기준표!$B$7))</f>
        <v/>
      </c>
      <c r="AG62" s="17">
        <f>IF(ISNUMBER(AE62),AE62*(1-AF62),"")</f>
        <v/>
      </c>
      <c r="AH62" s="17">
        <f>IF(AND(NOT(ISNUMBER(V62)),NOT(ISNUMBER(X62))),"",IF(ISNUMBER(V62),V62,0)+IF(ISNUMBER(X62),X62,0))</f>
        <v/>
      </c>
      <c r="AI62" s="17">
        <f>IF(E62="금융","",IF(AND(ISNUMBER(R62),ISNUMBER(AH62),ISNUMBER(T62)),R62+AH62-T62,""))</f>
        <v/>
      </c>
      <c r="AJ62" s="17">
        <f>IF(E62="금융","",IF(NOT(ISNUMBER(AI62)),"",IF(ISNUMBER(AC62),(AI62+AC62)/2,AI62)))</f>
        <v/>
      </c>
      <c r="AK62" s="19">
        <f>IF(AND(ISNUMBER(AG62),ISNUMBER(AJ62),AJ62&gt;0),AG62/AJ62,"")</f>
        <v/>
      </c>
      <c r="AL62" s="17">
        <f>IF(E62="금융","",IF(AND(ISNUMBER(R62),ISNUMBER(AH62)),R62+AH62,""))</f>
        <v/>
      </c>
      <c r="AM62" s="19">
        <f>IF(OR(NOT(ISNUMBER(AG62)),NOT(ISNUMBER(AL62)),AL62&lt;=0),"",IF(AND(ISNUMBER(G62),AL62&lt;0.1*G62),"",AG62/AL62))</f>
        <v/>
      </c>
      <c r="AN62" s="17">
        <f>IF(NOT(ISNUMBER(R62)),"",IF(ISNUMBER(S62),(R62+S62)/2,R62))</f>
        <v/>
      </c>
      <c r="AO62" s="19">
        <f>IF(AND(ISNUMBER(L62),ISNUMBER(AN62),AN62&gt;0),L62/AN62,"")</f>
        <v/>
      </c>
      <c r="AP62" s="19">
        <f>IF(AND(ISNUMBER(AO62),ISNUMBER({ROIC})),AO62-{ROIC},"")</f>
        <v/>
      </c>
      <c r="AQ62" s="17">
        <f>IF(AND(ISNUMBER(AE62),ISNUMBER(N62)),AE62+N62,"")</f>
        <v/>
      </c>
      <c r="AR62" s="20">
        <f>IF(AND(ISNUMBER(AH62),ISNUMBER(T62),ISNUMBER(AQ62),AQ62&gt;0),(AH62-T62)/AQ62,"")</f>
        <v/>
      </c>
      <c r="AS62" s="20">
        <f>IF(AND(ISNUMBER(AE62),ISNUMBER(I62),I62&lt;&gt;0,AE62&gt;0),AE62/I62,"")</f>
        <v/>
      </c>
      <c r="AT62" s="17">
        <f>IF(AND(ISNUMBER(Y62),ISNUMBER(AA62)),Y62-IF(ISNUMBER(T62),T62,0)-(AA62-IF(ISNUMBER(V62),V62,0)),"")</f>
        <v/>
      </c>
      <c r="AU62" s="17">
        <f>IF(AND(ISNUMBER(Z62),ISNUMBER(AB62)),Z62-IF(ISNUMBER(U62),U62,0)-(AB62-IF(ISNUMBER(W62),W62,0)),"")</f>
        <v/>
      </c>
      <c r="AV62" s="17">
        <f>IF(AND(ISNUMBER(AT62),ISNUMBER(AU62)),AT62-AU62,"")</f>
        <v/>
      </c>
      <c r="AW62" s="17">
        <f>IF(AND(ISNUMBER(L62),ISNUMBER(M62),ISNUMBER(AF62)),L62-M62*(1-AF62),IF(ISNUMBER(L62),L62,""))</f>
        <v/>
      </c>
      <c r="AX62" s="17">
        <f>IF(E62="금융","",IF(AND(ISNUMBER(AW62),ISNUMBER(N62),ISNUMBER(O62),ISNUMBER(AV62)),AW62+N62-O62-AV62,IF(AND(ISNUMBER(P62),ISNUMBER(O62)),P62-O62-IF(ISNUMBER(Q62),Q62,0),"")))</f>
        <v/>
      </c>
      <c r="AY62" s="8">
        <f>IF(E62="금융","금융업 - 정의되지 않음",IF(AND(ISNUMBER(AW62),ISNUMBER(N62),ISNUMBER(O62),ISNUMBER(AV62)),"영업순이익+감가상각-설비투자-운전자본증감",IF(AND(ISNUMBER(P62),ISNUMBER(O62)),IF(ISNUMBER(Q62),"영업현금흐름-설비투자-주식보상비용","영업현금흐름-설비투자(주식보상비용 미태깅)"),"산출불가")))</f>
        <v/>
      </c>
      <c r="AZ62" s="19">
        <f>IF(AND(ISNUMBER(AX62),ISNUMBER(G62),G62&lt;&gt;0),AX62/G62,"")</f>
        <v/>
      </c>
      <c r="BA62" s="19">
        <f>IF(AND(ISNUMBER(AE62),ISNUMBER(G62),G62&lt;&gt;0),AE62/G62,"")</f>
        <v/>
      </c>
    </row>
    <row r="63">
      <c r="A63" s="8" t="inlineStr">
        <is>
          <t>AMZN</t>
        </is>
      </c>
      <c r="B63" s="8" t="inlineStr">
        <is>
          <t>AMAZON COM INC</t>
        </is>
      </c>
      <c r="C63" s="8" t="n">
        <v>2024</v>
      </c>
      <c r="D63" s="8" t="inlineStr">
        <is>
          <t>2024-12-31</t>
        </is>
      </c>
      <c r="E63" s="8" t="inlineStr">
        <is>
          <t>일반</t>
        </is>
      </c>
      <c r="F63" s="8" t="inlineStr">
        <is>
          <t>0001018724-26-000004</t>
        </is>
      </c>
      <c r="G63" s="15" t="n">
        <v>637.9589999999999</v>
      </c>
      <c r="H63" s="15" t="n">
        <v>68.614</v>
      </c>
      <c r="I63" s="15" t="n">
        <v>2.406</v>
      </c>
      <c r="J63" s="15" t="n">
        <v>9.265000000000001</v>
      </c>
      <c r="K63" s="15" t="n">
        <v>68.593</v>
      </c>
      <c r="L63" s="15" t="n">
        <v>59.248</v>
      </c>
      <c r="M63" s="15" t="n">
        <v>-1.3</v>
      </c>
      <c r="N63" s="15" t="n">
        <v>52.795</v>
      </c>
      <c r="O63" s="15" t="n">
        <v>82.999</v>
      </c>
      <c r="P63" s="15" t="n">
        <v>115.877</v>
      </c>
      <c r="Q63" s="15" t="n">
        <v>22.011</v>
      </c>
      <c r="R63" s="15" t="n">
        <v>285.97</v>
      </c>
      <c r="S63" s="15" t="n">
        <v>201.875</v>
      </c>
      <c r="T63" s="15" t="n">
        <v>101.202</v>
      </c>
      <c r="U63" s="15" t="n">
        <v>86.78</v>
      </c>
      <c r="V63" s="15" t="n">
        <v>5.017</v>
      </c>
      <c r="W63" s="15" t="n">
        <v>8.494</v>
      </c>
      <c r="X63" s="15" t="n">
        <v>52.623</v>
      </c>
      <c r="Y63" s="15" t="n">
        <v>190.867</v>
      </c>
      <c r="Z63" s="15" t="n">
        <v>172.351</v>
      </c>
      <c r="AA63" s="15" t="n">
        <v>179.431</v>
      </c>
      <c r="AB63" s="15" t="n">
        <v>164.917</v>
      </c>
      <c r="AC63" s="15" t="n">
        <v>181.903</v>
      </c>
      <c r="AD63" s="16" t="n">
        <v>10593</v>
      </c>
      <c r="AE63" s="17">
        <f>IF(ISNUMBER(K63),K63,IF(AND(ISNUMBER(H63),ISNUMBER(I63)),H63+I63,IF(ISNUMBER(H63),H63,"")))</f>
        <v/>
      </c>
      <c r="AF63" s="18">
        <f>IF(OR(NOT(ISNUMBER(J63)),NOT(ISNUMBER(H63)),H63&lt;=0),기준표!$B$8,MIN(MAX(J63/H63,기준표!$B$6),기준표!$B$7))</f>
        <v/>
      </c>
      <c r="AG63" s="17">
        <f>IF(ISNUMBER(AE63),AE63*(1-AF63),"")</f>
        <v/>
      </c>
      <c r="AH63" s="17">
        <f>IF(AND(NOT(ISNUMBER(V63)),NOT(ISNUMBER(X63))),"",IF(ISNUMBER(V63),V63,0)+IF(ISNUMBER(X63),X63,0))</f>
        <v/>
      </c>
      <c r="AI63" s="17">
        <f>IF(E63="금융","",IF(AND(ISNUMBER(R63),ISNUMBER(AH63),ISNUMBER(T63)),R63+AH63-T63,""))</f>
        <v/>
      </c>
      <c r="AJ63" s="17">
        <f>IF(E63="금융","",IF(NOT(ISNUMBER(AI63)),"",IF(ISNUMBER(AC63),(AI63+AC63)/2,AI63)))</f>
        <v/>
      </c>
      <c r="AK63" s="19">
        <f>IF(AND(ISNUMBER(AG63),ISNUMBER(AJ63),AJ63&gt;0),AG63/AJ63,"")</f>
        <v/>
      </c>
      <c r="AL63" s="17">
        <f>IF(E63="금융","",IF(AND(ISNUMBER(R63),ISNUMBER(AH63)),R63+AH63,""))</f>
        <v/>
      </c>
      <c r="AM63" s="19">
        <f>IF(OR(NOT(ISNUMBER(AG63)),NOT(ISNUMBER(AL63)),AL63&lt;=0),"",IF(AND(ISNUMBER(G63),AL63&lt;0.1*G63),"",AG63/AL63))</f>
        <v/>
      </c>
      <c r="AN63" s="17">
        <f>IF(NOT(ISNUMBER(R63)),"",IF(ISNUMBER(S63),(R63+S63)/2,R63))</f>
        <v/>
      </c>
      <c r="AO63" s="19">
        <f>IF(AND(ISNUMBER(L63),ISNUMBER(AN63),AN63&gt;0),L63/AN63,"")</f>
        <v/>
      </c>
      <c r="AP63" s="19">
        <f>IF(AND(ISNUMBER(AO63),ISNUMBER({ROIC})),AO63-{ROIC},"")</f>
        <v/>
      </c>
      <c r="AQ63" s="17">
        <f>IF(AND(ISNUMBER(AE63),ISNUMBER(N63)),AE63+N63,"")</f>
        <v/>
      </c>
      <c r="AR63" s="20">
        <f>IF(AND(ISNUMBER(AH63),ISNUMBER(T63),ISNUMBER(AQ63),AQ63&gt;0),(AH63-T63)/AQ63,"")</f>
        <v/>
      </c>
      <c r="AS63" s="20">
        <f>IF(AND(ISNUMBER(AE63),ISNUMBER(I63),I63&lt;&gt;0,AE63&gt;0),AE63/I63,"")</f>
        <v/>
      </c>
      <c r="AT63" s="17">
        <f>IF(AND(ISNUMBER(Y63),ISNUMBER(AA63)),Y63-IF(ISNUMBER(T63),T63,0)-(AA63-IF(ISNUMBER(V63),V63,0)),"")</f>
        <v/>
      </c>
      <c r="AU63" s="17">
        <f>IF(AND(ISNUMBER(Z63),ISNUMBER(AB63)),Z63-IF(ISNUMBER(U63),U63,0)-(AB63-IF(ISNUMBER(W63),W63,0)),"")</f>
        <v/>
      </c>
      <c r="AV63" s="17">
        <f>IF(AND(ISNUMBER(AT63),ISNUMBER(AU63)),AT63-AU63,"")</f>
        <v/>
      </c>
      <c r="AW63" s="17">
        <f>IF(AND(ISNUMBER(L63),ISNUMBER(M63),ISNUMBER(AF63)),L63-M63*(1-AF63),IF(ISNUMBER(L63),L63,""))</f>
        <v/>
      </c>
      <c r="AX63" s="17">
        <f>IF(E63="금융","",IF(AND(ISNUMBER(AW63),ISNUMBER(N63),ISNUMBER(O63),ISNUMBER(AV63)),AW63+N63-O63-AV63,IF(AND(ISNUMBER(P63),ISNUMBER(O63)),P63-O63-IF(ISNUMBER(Q63),Q63,0),"")))</f>
        <v/>
      </c>
      <c r="AY63" s="8">
        <f>IF(E63="금융","금융업 - 정의되지 않음",IF(AND(ISNUMBER(AW63),ISNUMBER(N63),ISNUMBER(O63),ISNUMBER(AV63)),"영업순이익+감가상각-설비투자-운전자본증감",IF(AND(ISNUMBER(P63),ISNUMBER(O63)),IF(ISNUMBER(Q63),"영업현금흐름-설비투자-주식보상비용","영업현금흐름-설비투자(주식보상비용 미태깅)"),"산출불가")))</f>
        <v/>
      </c>
      <c r="AZ63" s="19">
        <f>IF(AND(ISNUMBER(AX63),ISNUMBER(G63),G63&lt;&gt;0),AX63/G63,"")</f>
        <v/>
      </c>
      <c r="BA63" s="19">
        <f>IF(AND(ISNUMBER(AE63),ISNUMBER(G63),G63&lt;&gt;0),AE63/G63,"")</f>
        <v/>
      </c>
    </row>
    <row r="64">
      <c r="A64" s="8" t="inlineStr">
        <is>
          <t>AMZN</t>
        </is>
      </c>
      <c r="B64" s="8" t="inlineStr">
        <is>
          <t>AMAZON COM INC</t>
        </is>
      </c>
      <c r="C64" s="8" t="n">
        <v>2025</v>
      </c>
      <c r="D64" s="8" t="inlineStr">
        <is>
          <t>2025-12-31</t>
        </is>
      </c>
      <c r="E64" s="8" t="inlineStr">
        <is>
          <t>일반</t>
        </is>
      </c>
      <c r="F64" s="8" t="inlineStr">
        <is>
          <t>0001018724-26-000004</t>
        </is>
      </c>
      <c r="G64" s="15" t="n">
        <v>716.924</v>
      </c>
      <c r="H64" s="15" t="n">
        <v>97.31100000000001</v>
      </c>
      <c r="I64" s="15" t="n">
        <v>2.274</v>
      </c>
      <c r="J64" s="15" t="n">
        <v>19.087</v>
      </c>
      <c r="K64" s="15" t="n">
        <v>79.97499999999999</v>
      </c>
      <c r="L64" s="15" t="n">
        <v>77.67</v>
      </c>
      <c r="M64" s="15" t="n">
        <v>1.2</v>
      </c>
      <c r="N64" s="15" t="n">
        <v>65.756</v>
      </c>
      <c r="O64" s="15" t="n">
        <v>131.819</v>
      </c>
      <c r="P64" s="15" t="n">
        <v>139.514</v>
      </c>
      <c r="Q64" s="15" t="n">
        <v>19.467</v>
      </c>
      <c r="R64" s="15" t="n">
        <v>411.065</v>
      </c>
      <c r="S64" s="15" t="n">
        <v>285.97</v>
      </c>
      <c r="T64" s="15" t="n">
        <v>123.029</v>
      </c>
      <c r="U64" s="15" t="n">
        <v>101.202</v>
      </c>
      <c r="V64" s="15" t="n">
        <v>2.748</v>
      </c>
      <c r="W64" s="15" t="n">
        <v>5.017</v>
      </c>
      <c r="X64" s="15" t="n">
        <v>65.648</v>
      </c>
      <c r="Y64" s="15" t="n">
        <v>229.083</v>
      </c>
      <c r="Z64" s="15" t="n">
        <v>190.867</v>
      </c>
      <c r="AA64" s="15" t="n">
        <v>218.005</v>
      </c>
      <c r="AB64" s="15" t="n">
        <v>179.431</v>
      </c>
      <c r="AC64" s="15" t="n">
        <v>242.408</v>
      </c>
      <c r="AD64" s="16" t="n">
        <v>10731</v>
      </c>
      <c r="AE64" s="17">
        <f>IF(ISNUMBER(K64),K64,IF(AND(ISNUMBER(H64),ISNUMBER(I64)),H64+I64,IF(ISNUMBER(H64),H64,"")))</f>
        <v/>
      </c>
      <c r="AF64" s="18">
        <f>IF(OR(NOT(ISNUMBER(J64)),NOT(ISNUMBER(H64)),H64&lt;=0),기준표!$B$8,MIN(MAX(J64/H64,기준표!$B$6),기준표!$B$7))</f>
        <v/>
      </c>
      <c r="AG64" s="17">
        <f>IF(ISNUMBER(AE64),AE64*(1-AF64),"")</f>
        <v/>
      </c>
      <c r="AH64" s="17">
        <f>IF(AND(NOT(ISNUMBER(V64)),NOT(ISNUMBER(X64))),"",IF(ISNUMBER(V64),V64,0)+IF(ISNUMBER(X64),X64,0))</f>
        <v/>
      </c>
      <c r="AI64" s="17">
        <f>IF(E64="금융","",IF(AND(ISNUMBER(R64),ISNUMBER(AH64),ISNUMBER(T64)),R64+AH64-T64,""))</f>
        <v/>
      </c>
      <c r="AJ64" s="17">
        <f>IF(E64="금융","",IF(NOT(ISNUMBER(AI64)),"",IF(ISNUMBER(AC64),(AI64+AC64)/2,AI64)))</f>
        <v/>
      </c>
      <c r="AK64" s="19">
        <f>IF(AND(ISNUMBER(AG64),ISNUMBER(AJ64),AJ64&gt;0),AG64/AJ64,"")</f>
        <v/>
      </c>
      <c r="AL64" s="17">
        <f>IF(E64="금융","",IF(AND(ISNUMBER(R64),ISNUMBER(AH64)),R64+AH64,""))</f>
        <v/>
      </c>
      <c r="AM64" s="19">
        <f>IF(OR(NOT(ISNUMBER(AG64)),NOT(ISNUMBER(AL64)),AL64&lt;=0),"",IF(AND(ISNUMBER(G64),AL64&lt;0.1*G64),"",AG64/AL64))</f>
        <v/>
      </c>
      <c r="AN64" s="17">
        <f>IF(NOT(ISNUMBER(R64)),"",IF(ISNUMBER(S64),(R64+S64)/2,R64))</f>
        <v/>
      </c>
      <c r="AO64" s="19">
        <f>IF(AND(ISNUMBER(L64),ISNUMBER(AN64),AN64&gt;0),L64/AN64,"")</f>
        <v/>
      </c>
      <c r="AP64" s="19">
        <f>IF(AND(ISNUMBER(AO64),ISNUMBER({ROIC})),AO64-{ROIC},"")</f>
        <v/>
      </c>
      <c r="AQ64" s="17">
        <f>IF(AND(ISNUMBER(AE64),ISNUMBER(N64)),AE64+N64,"")</f>
        <v/>
      </c>
      <c r="AR64" s="20">
        <f>IF(AND(ISNUMBER(AH64),ISNUMBER(T64),ISNUMBER(AQ64),AQ64&gt;0),(AH64-T64)/AQ64,"")</f>
        <v/>
      </c>
      <c r="AS64" s="20">
        <f>IF(AND(ISNUMBER(AE64),ISNUMBER(I64),I64&lt;&gt;0,AE64&gt;0),AE64/I64,"")</f>
        <v/>
      </c>
      <c r="AT64" s="17">
        <f>IF(AND(ISNUMBER(Y64),ISNUMBER(AA64)),Y64-IF(ISNUMBER(T64),T64,0)-(AA64-IF(ISNUMBER(V64),V64,0)),"")</f>
        <v/>
      </c>
      <c r="AU64" s="17">
        <f>IF(AND(ISNUMBER(Z64),ISNUMBER(AB64)),Z64-IF(ISNUMBER(U64),U64,0)-(AB64-IF(ISNUMBER(W64),W64,0)),"")</f>
        <v/>
      </c>
      <c r="AV64" s="17">
        <f>IF(AND(ISNUMBER(AT64),ISNUMBER(AU64)),AT64-AU64,"")</f>
        <v/>
      </c>
      <c r="AW64" s="17">
        <f>IF(AND(ISNUMBER(L64),ISNUMBER(M64),ISNUMBER(AF64)),L64-M64*(1-AF64),IF(ISNUMBER(L64),L64,""))</f>
        <v/>
      </c>
      <c r="AX64" s="17">
        <f>IF(E64="금융","",IF(AND(ISNUMBER(AW64),ISNUMBER(N64),ISNUMBER(O64),ISNUMBER(AV64)),AW64+N64-O64-AV64,IF(AND(ISNUMBER(P64),ISNUMBER(O64)),P64-O64-IF(ISNUMBER(Q64),Q64,0),"")))</f>
        <v/>
      </c>
      <c r="AY64" s="8">
        <f>IF(E64="금융","금융업 - 정의되지 않음",IF(AND(ISNUMBER(AW64),ISNUMBER(N64),ISNUMBER(O64),ISNUMBER(AV64)),"영업순이익+감가상각-설비투자-운전자본증감",IF(AND(ISNUMBER(P64),ISNUMBER(O64)),IF(ISNUMBER(Q64),"영업현금흐름-설비투자-주식보상비용","영업현금흐름-설비투자(주식보상비용 미태깅)"),"산출불가")))</f>
        <v/>
      </c>
      <c r="AZ64" s="19">
        <f>IF(AND(ISNUMBER(AX64),ISNUMBER(G64),G64&lt;&gt;0),AX64/G64,"")</f>
        <v/>
      </c>
      <c r="BA64" s="19">
        <f>IF(AND(ISNUMBER(AE64),ISNUMBER(G64),G64&lt;&gt;0),AE64/G64,"")</f>
        <v/>
      </c>
    </row>
    <row r="65">
      <c r="A65" s="8" t="inlineStr">
        <is>
          <t>AVGO</t>
        </is>
      </c>
      <c r="B65" s="8" t="inlineStr">
        <is>
          <t>Broadcom Inc.</t>
        </is>
      </c>
      <c r="C65" s="8" t="n">
        <v>2016</v>
      </c>
      <c r="D65" s="8" t="inlineStr">
        <is>
          <t>2016-10-30</t>
        </is>
      </c>
      <c r="E65" s="8" t="inlineStr">
        <is>
          <t>일반</t>
        </is>
      </c>
      <c r="F65" s="8" t="inlineStr">
        <is>
          <t>0001730168-18-000084</t>
        </is>
      </c>
      <c r="G65" s="15" t="n"/>
      <c r="H65" s="15" t="n">
        <v>-1.107</v>
      </c>
      <c r="I65" s="15" t="n"/>
      <c r="J65" s="15" t="n">
        <v>0.642</v>
      </c>
      <c r="K65" s="15" t="n">
        <v>-0.409</v>
      </c>
      <c r="L65" s="15" t="n">
        <v>-1.861</v>
      </c>
      <c r="M65" s="15" t="n"/>
      <c r="N65" s="15" t="n">
        <v>0.402</v>
      </c>
      <c r="O65" s="15" t="n">
        <v>0.723</v>
      </c>
      <c r="P65" s="15" t="n">
        <v>3.411</v>
      </c>
      <c r="Q65" s="15" t="n">
        <v>0.679</v>
      </c>
      <c r="R65" s="15" t="n">
        <v>21.876</v>
      </c>
      <c r="S65" s="15" t="n"/>
      <c r="T65" s="15" t="n">
        <v>3.097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6" t="n">
        <v>3830</v>
      </c>
      <c r="AE65" s="17">
        <f>IF(ISNUMBER(K65),K65,IF(AND(ISNUMBER(H65),ISNUMBER(I65)),H65+I65,IF(ISNUMBER(H65),H65,"")))</f>
        <v/>
      </c>
      <c r="AF65" s="18">
        <f>IF(OR(NOT(ISNUMBER(J65)),NOT(ISNUMBER(H65)),H65&lt;=0),기준표!$B$8,MIN(MAX(J65/H65,기준표!$B$6),기준표!$B$7))</f>
        <v/>
      </c>
      <c r="AG65" s="17">
        <f>IF(ISNUMBER(AE65),AE65*(1-AF65),"")</f>
        <v/>
      </c>
      <c r="AH65" s="17">
        <f>IF(AND(NOT(ISNUMBER(V65)),NOT(ISNUMBER(X65))),"",IF(ISNUMBER(V65),V65,0)+IF(ISNUMBER(X65),X65,0))</f>
        <v/>
      </c>
      <c r="AI65" s="17">
        <f>IF(E65="금융","",IF(AND(ISNUMBER(R65),ISNUMBER(AH65),ISNUMBER(T65)),R65+AH65-T65,""))</f>
        <v/>
      </c>
      <c r="AJ65" s="17">
        <f>IF(E65="금융","",IF(NOT(ISNUMBER(AI65)),"",IF(ISNUMBER(AC65),(AI65+AC65)/2,AI65)))</f>
        <v/>
      </c>
      <c r="AK65" s="19">
        <f>IF(AND(ISNUMBER(AG65),ISNUMBER(AJ65),AJ65&gt;0),AG65/AJ65,"")</f>
        <v/>
      </c>
      <c r="AL65" s="17">
        <f>IF(E65="금융","",IF(AND(ISNUMBER(R65),ISNUMBER(AH65)),R65+AH65,""))</f>
        <v/>
      </c>
      <c r="AM65" s="19">
        <f>IF(OR(NOT(ISNUMBER(AG65)),NOT(ISNUMBER(AL65)),AL65&lt;=0),"",IF(AND(ISNUMBER(G65),AL65&lt;0.1*G65),"",AG65/AL65))</f>
        <v/>
      </c>
      <c r="AN65" s="17">
        <f>IF(NOT(ISNUMBER(R65)),"",IF(ISNUMBER(S65),(R65+S65)/2,R65))</f>
        <v/>
      </c>
      <c r="AO65" s="19">
        <f>IF(AND(ISNUMBER(L65),ISNUMBER(AN65),AN65&gt;0),L65/AN65,"")</f>
        <v/>
      </c>
      <c r="AP65" s="19">
        <f>IF(AND(ISNUMBER(AO65),ISNUMBER({ROIC})),AO65-{ROIC},"")</f>
        <v/>
      </c>
      <c r="AQ65" s="17">
        <f>IF(AND(ISNUMBER(AE65),ISNUMBER(N65)),AE65+N65,"")</f>
        <v/>
      </c>
      <c r="AR65" s="20">
        <f>IF(AND(ISNUMBER(AH65),ISNUMBER(T65),ISNUMBER(AQ65),AQ65&gt;0),(AH65-T65)/AQ65,"")</f>
        <v/>
      </c>
      <c r="AS65" s="20">
        <f>IF(AND(ISNUMBER(AE65),ISNUMBER(I65),I65&lt;&gt;0,AE65&gt;0),AE65/I65,"")</f>
        <v/>
      </c>
      <c r="AT65" s="17">
        <f>IF(AND(ISNUMBER(Y65),ISNUMBER(AA65)),Y65-IF(ISNUMBER(T65),T65,0)-(AA65-IF(ISNUMBER(V65),V65,0)),"")</f>
        <v/>
      </c>
      <c r="AU65" s="17">
        <f>IF(AND(ISNUMBER(Z65),ISNUMBER(AB65)),Z65-IF(ISNUMBER(U65),U65,0)-(AB65-IF(ISNUMBER(W65),W65,0)),"")</f>
        <v/>
      </c>
      <c r="AV65" s="17">
        <f>IF(AND(ISNUMBER(AT65),ISNUMBER(AU65)),AT65-AU65,"")</f>
        <v/>
      </c>
      <c r="AW65" s="17">
        <f>IF(AND(ISNUMBER(L65),ISNUMBER(M65),ISNUMBER(AF65)),L65-M65*(1-AF65),IF(ISNUMBER(L65),L65,""))</f>
        <v/>
      </c>
      <c r="AX65" s="17">
        <f>IF(E65="금융","",IF(AND(ISNUMBER(AW65),ISNUMBER(N65),ISNUMBER(O65),ISNUMBER(AV65)),AW65+N65-O65-AV65,IF(AND(ISNUMBER(P65),ISNUMBER(O65)),P65-O65-IF(ISNUMBER(Q65),Q65,0),"")))</f>
        <v/>
      </c>
      <c r="AY65" s="8">
        <f>IF(E65="금융","금융업 - 정의되지 않음",IF(AND(ISNUMBER(AW65),ISNUMBER(N65),ISNUMBER(O65),ISNUMBER(AV65)),"영업순이익+감가상각-설비투자-운전자본증감",IF(AND(ISNUMBER(P65),ISNUMBER(O65)),IF(ISNUMBER(Q65),"영업현금흐름-설비투자-주식보상비용","영업현금흐름-설비투자(주식보상비용 미태깅)"),"산출불가")))</f>
        <v/>
      </c>
      <c r="AZ65" s="19">
        <f>IF(AND(ISNUMBER(AX65),ISNUMBER(G65),G65&lt;&gt;0),AX65/G65,"")</f>
        <v/>
      </c>
      <c r="BA65" s="19">
        <f>IF(AND(ISNUMBER(AE65),ISNUMBER(G65),G65&lt;&gt;0),AE65/G65,"")</f>
        <v/>
      </c>
    </row>
    <row r="66">
      <c r="A66" s="8" t="inlineStr">
        <is>
          <t>AVGO</t>
        </is>
      </c>
      <c r="B66" s="8" t="inlineStr">
        <is>
          <t>Broadcom Inc.</t>
        </is>
      </c>
      <c r="C66" s="8" t="n">
        <v>2017</v>
      </c>
      <c r="D66" s="8" t="inlineStr">
        <is>
          <t>2017-10-29</t>
        </is>
      </c>
      <c r="E66" s="8" t="inlineStr">
        <is>
          <t>일반</t>
        </is>
      </c>
      <c r="F66" s="8" t="inlineStr">
        <is>
          <t>0001730168-19-000144</t>
        </is>
      </c>
      <c r="G66" s="15" t="n">
        <v>17.636</v>
      </c>
      <c r="H66" s="15" t="n">
        <v>1.825</v>
      </c>
      <c r="I66" s="15" t="n"/>
      <c r="J66" s="15" t="n">
        <v>0.035</v>
      </c>
      <c r="K66" s="15" t="n">
        <v>2.371</v>
      </c>
      <c r="L66" s="15" t="n">
        <v>1.784</v>
      </c>
      <c r="M66" s="15" t="n">
        <v>-0.001</v>
      </c>
      <c r="N66" s="15" t="n">
        <v>0.451</v>
      </c>
      <c r="O66" s="15" t="n">
        <v>1.069</v>
      </c>
      <c r="P66" s="15" t="n">
        <v>6.551</v>
      </c>
      <c r="Q66" s="15" t="n">
        <v>0.921</v>
      </c>
      <c r="R66" s="15" t="n">
        <v>23.186</v>
      </c>
      <c r="S66" s="15" t="n">
        <v>21.876</v>
      </c>
      <c r="T66" s="15" t="n">
        <v>11.204</v>
      </c>
      <c r="U66" s="15" t="n">
        <v>3.097</v>
      </c>
      <c r="V66" s="15" t="n">
        <v>0.117</v>
      </c>
      <c r="W66" s="15" t="n"/>
      <c r="X66" s="15" t="n"/>
      <c r="Y66" s="15" t="n">
        <v>15.823</v>
      </c>
      <c r="Z66" s="15" t="n"/>
      <c r="AA66" s="15" t="n">
        <v>2.529</v>
      </c>
      <c r="AB66" s="15" t="n"/>
      <c r="AC66" s="15" t="n"/>
      <c r="AD66" s="16" t="n">
        <v>4210</v>
      </c>
      <c r="AE66" s="17">
        <f>IF(ISNUMBER(K66),K66,IF(AND(ISNUMBER(H66),ISNUMBER(I66)),H66+I66,IF(ISNUMBER(H66),H66,"")))</f>
        <v/>
      </c>
      <c r="AF66" s="18">
        <f>IF(OR(NOT(ISNUMBER(J66)),NOT(ISNUMBER(H66)),H66&lt;=0),기준표!$B$8,MIN(MAX(J66/H66,기준표!$B$6),기준표!$B$7))</f>
        <v/>
      </c>
      <c r="AG66" s="17">
        <f>IF(ISNUMBER(AE66),AE66*(1-AF66),"")</f>
        <v/>
      </c>
      <c r="AH66" s="17">
        <f>IF(AND(NOT(ISNUMBER(V66)),NOT(ISNUMBER(X66))),"",IF(ISNUMBER(V66),V66,0)+IF(ISNUMBER(X66),X66,0))</f>
        <v/>
      </c>
      <c r="AI66" s="17">
        <f>IF(E66="금융","",IF(AND(ISNUMBER(R66),ISNUMBER(AH66),ISNUMBER(T66)),R66+AH66-T66,""))</f>
        <v/>
      </c>
      <c r="AJ66" s="17">
        <f>IF(E66="금융","",IF(NOT(ISNUMBER(AI66)),"",IF(ISNUMBER(AC66),(AI66+AC66)/2,AI66)))</f>
        <v/>
      </c>
      <c r="AK66" s="19">
        <f>IF(AND(ISNUMBER(AG66),ISNUMBER(AJ66),AJ66&gt;0),AG66/AJ66,"")</f>
        <v/>
      </c>
      <c r="AL66" s="17">
        <f>IF(E66="금융","",IF(AND(ISNUMBER(R66),ISNUMBER(AH66)),R66+AH66,""))</f>
        <v/>
      </c>
      <c r="AM66" s="19">
        <f>IF(OR(NOT(ISNUMBER(AG66)),NOT(ISNUMBER(AL66)),AL66&lt;=0),"",IF(AND(ISNUMBER(G66),AL66&lt;0.1*G66),"",AG66/AL66))</f>
        <v/>
      </c>
      <c r="AN66" s="17">
        <f>IF(NOT(ISNUMBER(R66)),"",IF(ISNUMBER(S66),(R66+S66)/2,R66))</f>
        <v/>
      </c>
      <c r="AO66" s="19">
        <f>IF(AND(ISNUMBER(L66),ISNUMBER(AN66),AN66&gt;0),L66/AN66,"")</f>
        <v/>
      </c>
      <c r="AP66" s="19">
        <f>IF(AND(ISNUMBER(AO66),ISNUMBER({ROIC})),AO66-{ROIC},"")</f>
        <v/>
      </c>
      <c r="AQ66" s="17">
        <f>IF(AND(ISNUMBER(AE66),ISNUMBER(N66)),AE66+N66,"")</f>
        <v/>
      </c>
      <c r="AR66" s="20">
        <f>IF(AND(ISNUMBER(AH66),ISNUMBER(T66),ISNUMBER(AQ66),AQ66&gt;0),(AH66-T66)/AQ66,"")</f>
        <v/>
      </c>
      <c r="AS66" s="20">
        <f>IF(AND(ISNUMBER(AE66),ISNUMBER(I66),I66&lt;&gt;0,AE66&gt;0),AE66/I66,"")</f>
        <v/>
      </c>
      <c r="AT66" s="17">
        <f>IF(AND(ISNUMBER(Y66),ISNUMBER(AA66)),Y66-IF(ISNUMBER(T66),T66,0)-(AA66-IF(ISNUMBER(V66),V66,0)),"")</f>
        <v/>
      </c>
      <c r="AU66" s="17">
        <f>IF(AND(ISNUMBER(Z66),ISNUMBER(AB66)),Z66-IF(ISNUMBER(U66),U66,0)-(AB66-IF(ISNUMBER(W66),W66,0)),"")</f>
        <v/>
      </c>
      <c r="AV66" s="17">
        <f>IF(AND(ISNUMBER(AT66),ISNUMBER(AU66)),AT66-AU66,"")</f>
        <v/>
      </c>
      <c r="AW66" s="17">
        <f>IF(AND(ISNUMBER(L66),ISNUMBER(M66),ISNUMBER(AF66)),L66-M66*(1-AF66),IF(ISNUMBER(L66),L66,""))</f>
        <v/>
      </c>
      <c r="AX66" s="17">
        <f>IF(E66="금융","",IF(AND(ISNUMBER(AW66),ISNUMBER(N66),ISNUMBER(O66),ISNUMBER(AV66)),AW66+N66-O66-AV66,IF(AND(ISNUMBER(P66),ISNUMBER(O66)),P66-O66-IF(ISNUMBER(Q66),Q66,0),"")))</f>
        <v/>
      </c>
      <c r="AY66" s="8">
        <f>IF(E66="금융","금융업 - 정의되지 않음",IF(AND(ISNUMBER(AW66),ISNUMBER(N66),ISNUMBER(O66),ISNUMBER(AV66)),"영업순이익+감가상각-설비투자-운전자본증감",IF(AND(ISNUMBER(P66),ISNUMBER(O66)),IF(ISNUMBER(Q66),"영업현금흐름-설비투자-주식보상비용","영업현금흐름-설비투자(주식보상비용 미태깅)"),"산출불가")))</f>
        <v/>
      </c>
      <c r="AZ66" s="19">
        <f>IF(AND(ISNUMBER(AX66),ISNUMBER(G66),G66&lt;&gt;0),AX66/G66,"")</f>
        <v/>
      </c>
      <c r="BA66" s="19">
        <f>IF(AND(ISNUMBER(AE66),ISNUMBER(G66),G66&lt;&gt;0),AE66/G66,"")</f>
        <v/>
      </c>
    </row>
    <row r="67">
      <c r="A67" s="8" t="inlineStr">
        <is>
          <t>AVGO</t>
        </is>
      </c>
      <c r="B67" s="8" t="inlineStr">
        <is>
          <t>Broadcom Inc.</t>
        </is>
      </c>
      <c r="C67" s="8" t="n">
        <v>2018</v>
      </c>
      <c r="D67" s="8" t="inlineStr">
        <is>
          <t>2018-11-04</t>
        </is>
      </c>
      <c r="E67" s="8" t="inlineStr">
        <is>
          <t>일반</t>
        </is>
      </c>
      <c r="F67" s="8" t="inlineStr">
        <is>
          <t>0001730168-20-000226</t>
        </is>
      </c>
      <c r="G67" s="15" t="n">
        <v>20.848</v>
      </c>
      <c r="H67" s="15" t="n">
        <v>4.545</v>
      </c>
      <c r="I67" s="15" t="n"/>
      <c r="J67" s="15" t="n">
        <v>-8.084</v>
      </c>
      <c r="K67" s="15" t="n">
        <v>5.135</v>
      </c>
      <c r="L67" s="15" t="n">
        <v>12.61</v>
      </c>
      <c r="M67" s="15" t="n">
        <v>0.003</v>
      </c>
      <c r="N67" s="15" t="n">
        <v>0.515</v>
      </c>
      <c r="O67" s="15" t="n">
        <v>0.635</v>
      </c>
      <c r="P67" s="15" t="n">
        <v>8.880000000000001</v>
      </c>
      <c r="Q67" s="15" t="n">
        <v>1.227</v>
      </c>
      <c r="R67" s="15" t="n">
        <v>26.657</v>
      </c>
      <c r="S67" s="15" t="n">
        <v>23.186</v>
      </c>
      <c r="T67" s="15" t="n">
        <v>4.292</v>
      </c>
      <c r="U67" s="15" t="n">
        <v>11.204</v>
      </c>
      <c r="V67" s="15" t="n">
        <v>0</v>
      </c>
      <c r="W67" s="15" t="n">
        <v>0.117</v>
      </c>
      <c r="X67" s="15" t="n"/>
      <c r="Y67" s="15" t="n">
        <v>9.106999999999999</v>
      </c>
      <c r="Z67" s="15" t="n">
        <v>15.823</v>
      </c>
      <c r="AA67" s="15" t="n">
        <v>2.338</v>
      </c>
      <c r="AB67" s="15" t="n">
        <v>2.529</v>
      </c>
      <c r="AC67" s="15" t="n">
        <v>12.099</v>
      </c>
      <c r="AD67" s="16" t="n">
        <v>4310</v>
      </c>
      <c r="AE67" s="17">
        <f>IF(ISNUMBER(K67),K67,IF(AND(ISNUMBER(H67),ISNUMBER(I67)),H67+I67,IF(ISNUMBER(H67),H67,"")))</f>
        <v/>
      </c>
      <c r="AF67" s="18">
        <f>IF(OR(NOT(ISNUMBER(J67)),NOT(ISNUMBER(H67)),H67&lt;=0),기준표!$B$8,MIN(MAX(J67/H67,기준표!$B$6),기준표!$B$7))</f>
        <v/>
      </c>
      <c r="AG67" s="17">
        <f>IF(ISNUMBER(AE67),AE67*(1-AF67),"")</f>
        <v/>
      </c>
      <c r="AH67" s="17">
        <f>IF(AND(NOT(ISNUMBER(V67)),NOT(ISNUMBER(X67))),"",IF(ISNUMBER(V67),V67,0)+IF(ISNUMBER(X67),X67,0))</f>
        <v/>
      </c>
      <c r="AI67" s="17">
        <f>IF(E67="금융","",IF(AND(ISNUMBER(R67),ISNUMBER(AH67),ISNUMBER(T67)),R67+AH67-T67,""))</f>
        <v/>
      </c>
      <c r="AJ67" s="17">
        <f>IF(E67="금융","",IF(NOT(ISNUMBER(AI67)),"",IF(ISNUMBER(AC67),(AI67+AC67)/2,AI67)))</f>
        <v/>
      </c>
      <c r="AK67" s="19">
        <f>IF(AND(ISNUMBER(AG67),ISNUMBER(AJ67),AJ67&gt;0),AG67/AJ67,"")</f>
        <v/>
      </c>
      <c r="AL67" s="17">
        <f>IF(E67="금융","",IF(AND(ISNUMBER(R67),ISNUMBER(AH67)),R67+AH67,""))</f>
        <v/>
      </c>
      <c r="AM67" s="19">
        <f>IF(OR(NOT(ISNUMBER(AG67)),NOT(ISNUMBER(AL67)),AL67&lt;=0),"",IF(AND(ISNUMBER(G67),AL67&lt;0.1*G67),"",AG67/AL67))</f>
        <v/>
      </c>
      <c r="AN67" s="17">
        <f>IF(NOT(ISNUMBER(R67)),"",IF(ISNUMBER(S67),(R67+S67)/2,R67))</f>
        <v/>
      </c>
      <c r="AO67" s="19">
        <f>IF(AND(ISNUMBER(L67),ISNUMBER(AN67),AN67&gt;0),L67/AN67,"")</f>
        <v/>
      </c>
      <c r="AP67" s="19">
        <f>IF(AND(ISNUMBER(AO67),ISNUMBER({ROIC})),AO67-{ROIC},"")</f>
        <v/>
      </c>
      <c r="AQ67" s="17">
        <f>IF(AND(ISNUMBER(AE67),ISNUMBER(N67)),AE67+N67,"")</f>
        <v/>
      </c>
      <c r="AR67" s="20">
        <f>IF(AND(ISNUMBER(AH67),ISNUMBER(T67),ISNUMBER(AQ67),AQ67&gt;0),(AH67-T67)/AQ67,"")</f>
        <v/>
      </c>
      <c r="AS67" s="20">
        <f>IF(AND(ISNUMBER(AE67),ISNUMBER(I67),I67&lt;&gt;0,AE67&gt;0),AE67/I67,"")</f>
        <v/>
      </c>
      <c r="AT67" s="17">
        <f>IF(AND(ISNUMBER(Y67),ISNUMBER(AA67)),Y67-IF(ISNUMBER(T67),T67,0)-(AA67-IF(ISNUMBER(V67),V67,0)),"")</f>
        <v/>
      </c>
      <c r="AU67" s="17">
        <f>IF(AND(ISNUMBER(Z67),ISNUMBER(AB67)),Z67-IF(ISNUMBER(U67),U67,0)-(AB67-IF(ISNUMBER(W67),W67,0)),"")</f>
        <v/>
      </c>
      <c r="AV67" s="17">
        <f>IF(AND(ISNUMBER(AT67),ISNUMBER(AU67)),AT67-AU67,"")</f>
        <v/>
      </c>
      <c r="AW67" s="17">
        <f>IF(AND(ISNUMBER(L67),ISNUMBER(M67),ISNUMBER(AF67)),L67-M67*(1-AF67),IF(ISNUMBER(L67),L67,""))</f>
        <v/>
      </c>
      <c r="AX67" s="17">
        <f>IF(E67="금융","",IF(AND(ISNUMBER(AW67),ISNUMBER(N67),ISNUMBER(O67),ISNUMBER(AV67)),AW67+N67-O67-AV67,IF(AND(ISNUMBER(P67),ISNUMBER(O67)),P67-O67-IF(ISNUMBER(Q67),Q67,0),"")))</f>
        <v/>
      </c>
      <c r="AY67" s="8">
        <f>IF(E67="금융","금융업 - 정의되지 않음",IF(AND(ISNUMBER(AW67),ISNUMBER(N67),ISNUMBER(O67),ISNUMBER(AV67)),"영업순이익+감가상각-설비투자-운전자본증감",IF(AND(ISNUMBER(P67),ISNUMBER(O67)),IF(ISNUMBER(Q67),"영업현금흐름-설비투자-주식보상비용","영업현금흐름-설비투자(주식보상비용 미태깅)"),"산출불가")))</f>
        <v/>
      </c>
      <c r="AZ67" s="19">
        <f>IF(AND(ISNUMBER(AX67),ISNUMBER(G67),G67&lt;&gt;0),AX67/G67,"")</f>
        <v/>
      </c>
      <c r="BA67" s="19">
        <f>IF(AND(ISNUMBER(AE67),ISNUMBER(G67),G67&lt;&gt;0),AE67/G67,"")</f>
        <v/>
      </c>
    </row>
    <row r="68">
      <c r="A68" s="8" t="inlineStr">
        <is>
          <t>AVGO</t>
        </is>
      </c>
      <c r="B68" s="8" t="inlineStr">
        <is>
          <t>Broadcom Inc.</t>
        </is>
      </c>
      <c r="C68" s="8" t="n">
        <v>2019</v>
      </c>
      <c r="D68" s="8" t="inlineStr">
        <is>
          <t>2019-11-03</t>
        </is>
      </c>
      <c r="E68" s="8" t="inlineStr">
        <is>
          <t>일반</t>
        </is>
      </c>
      <c r="F68" s="8" t="inlineStr">
        <is>
          <t>0001730168-21-000153</t>
        </is>
      </c>
      <c r="G68" s="15" t="n">
        <v>22.597</v>
      </c>
      <c r="H68" s="15" t="n">
        <v>2.226</v>
      </c>
      <c r="I68" s="15" t="n"/>
      <c r="J68" s="15" t="n">
        <v>-0.51</v>
      </c>
      <c r="K68" s="15" t="n">
        <v>3.444</v>
      </c>
      <c r="L68" s="15" t="n">
        <v>2.724</v>
      </c>
      <c r="M68" s="15" t="n">
        <v>0.145</v>
      </c>
      <c r="N68" s="15" t="n">
        <v>0.569</v>
      </c>
      <c r="O68" s="15" t="n">
        <v>0.432</v>
      </c>
      <c r="P68" s="15" t="n">
        <v>9.696999999999999</v>
      </c>
      <c r="Q68" s="15" t="n">
        <v>2.185</v>
      </c>
      <c r="R68" s="15" t="n">
        <v>24.941</v>
      </c>
      <c r="S68" s="15" t="n">
        <v>26.657</v>
      </c>
      <c r="T68" s="15" t="n">
        <v>5.055</v>
      </c>
      <c r="U68" s="15" t="n">
        <v>4.292</v>
      </c>
      <c r="V68" s="15" t="n">
        <v>2.787</v>
      </c>
      <c r="W68" s="15" t="n">
        <v>0</v>
      </c>
      <c r="X68" s="15" t="n"/>
      <c r="Y68" s="15" t="n">
        <v>9.917</v>
      </c>
      <c r="Z68" s="15" t="n">
        <v>9.106999999999999</v>
      </c>
      <c r="AA68" s="15" t="n">
        <v>6.899</v>
      </c>
      <c r="AB68" s="15" t="n">
        <v>2.338</v>
      </c>
      <c r="AC68" s="15" t="n">
        <v>22.365</v>
      </c>
      <c r="AD68" s="16" t="n">
        <v>4190</v>
      </c>
      <c r="AE68" s="17">
        <f>IF(ISNUMBER(K68),K68,IF(AND(ISNUMBER(H68),ISNUMBER(I68)),H68+I68,IF(ISNUMBER(H68),H68,"")))</f>
        <v/>
      </c>
      <c r="AF68" s="18">
        <f>IF(OR(NOT(ISNUMBER(J68)),NOT(ISNUMBER(H68)),H68&lt;=0),기준표!$B$8,MIN(MAX(J68/H68,기준표!$B$6),기준표!$B$7))</f>
        <v/>
      </c>
      <c r="AG68" s="17">
        <f>IF(ISNUMBER(AE68),AE68*(1-AF68),"")</f>
        <v/>
      </c>
      <c r="AH68" s="17">
        <f>IF(AND(NOT(ISNUMBER(V68)),NOT(ISNUMBER(X68))),"",IF(ISNUMBER(V68),V68,0)+IF(ISNUMBER(X68),X68,0))</f>
        <v/>
      </c>
      <c r="AI68" s="17">
        <f>IF(E68="금융","",IF(AND(ISNUMBER(R68),ISNUMBER(AH68),ISNUMBER(T68)),R68+AH68-T68,""))</f>
        <v/>
      </c>
      <c r="AJ68" s="17">
        <f>IF(E68="금융","",IF(NOT(ISNUMBER(AI68)),"",IF(ISNUMBER(AC68),(AI68+AC68)/2,AI68)))</f>
        <v/>
      </c>
      <c r="AK68" s="19">
        <f>IF(AND(ISNUMBER(AG68),ISNUMBER(AJ68),AJ68&gt;0),AG68/AJ68,"")</f>
        <v/>
      </c>
      <c r="AL68" s="17">
        <f>IF(E68="금융","",IF(AND(ISNUMBER(R68),ISNUMBER(AH68)),R68+AH68,""))</f>
        <v/>
      </c>
      <c r="AM68" s="19">
        <f>IF(OR(NOT(ISNUMBER(AG68)),NOT(ISNUMBER(AL68)),AL68&lt;=0),"",IF(AND(ISNUMBER(G68),AL68&lt;0.1*G68),"",AG68/AL68))</f>
        <v/>
      </c>
      <c r="AN68" s="17">
        <f>IF(NOT(ISNUMBER(R68)),"",IF(ISNUMBER(S68),(R68+S68)/2,R68))</f>
        <v/>
      </c>
      <c r="AO68" s="19">
        <f>IF(AND(ISNUMBER(L68),ISNUMBER(AN68),AN68&gt;0),L68/AN68,"")</f>
        <v/>
      </c>
      <c r="AP68" s="19">
        <f>IF(AND(ISNUMBER(AO68),ISNUMBER({ROIC})),AO68-{ROIC},"")</f>
        <v/>
      </c>
      <c r="AQ68" s="17">
        <f>IF(AND(ISNUMBER(AE68),ISNUMBER(N68)),AE68+N68,"")</f>
        <v/>
      </c>
      <c r="AR68" s="20">
        <f>IF(AND(ISNUMBER(AH68),ISNUMBER(T68),ISNUMBER(AQ68),AQ68&gt;0),(AH68-T68)/AQ68,"")</f>
        <v/>
      </c>
      <c r="AS68" s="20">
        <f>IF(AND(ISNUMBER(AE68),ISNUMBER(I68),I68&lt;&gt;0,AE68&gt;0),AE68/I68,"")</f>
        <v/>
      </c>
      <c r="AT68" s="17">
        <f>IF(AND(ISNUMBER(Y68),ISNUMBER(AA68)),Y68-IF(ISNUMBER(T68),T68,0)-(AA68-IF(ISNUMBER(V68),V68,0)),"")</f>
        <v/>
      </c>
      <c r="AU68" s="17">
        <f>IF(AND(ISNUMBER(Z68),ISNUMBER(AB68)),Z68-IF(ISNUMBER(U68),U68,0)-(AB68-IF(ISNUMBER(W68),W68,0)),"")</f>
        <v/>
      </c>
      <c r="AV68" s="17">
        <f>IF(AND(ISNUMBER(AT68),ISNUMBER(AU68)),AT68-AU68,"")</f>
        <v/>
      </c>
      <c r="AW68" s="17">
        <f>IF(AND(ISNUMBER(L68),ISNUMBER(M68),ISNUMBER(AF68)),L68-M68*(1-AF68),IF(ISNUMBER(L68),L68,""))</f>
        <v/>
      </c>
      <c r="AX68" s="17">
        <f>IF(E68="금융","",IF(AND(ISNUMBER(AW68),ISNUMBER(N68),ISNUMBER(O68),ISNUMBER(AV68)),AW68+N68-O68-AV68,IF(AND(ISNUMBER(P68),ISNUMBER(O68)),P68-O68-IF(ISNUMBER(Q68),Q68,0),"")))</f>
        <v/>
      </c>
      <c r="AY68" s="8">
        <f>IF(E68="금융","금융업 - 정의되지 않음",IF(AND(ISNUMBER(AW68),ISNUMBER(N68),ISNUMBER(O68),ISNUMBER(AV68)),"영업순이익+감가상각-설비투자-운전자본증감",IF(AND(ISNUMBER(P68),ISNUMBER(O68)),IF(ISNUMBER(Q68),"영업현금흐름-설비투자-주식보상비용","영업현금흐름-설비투자(주식보상비용 미태깅)"),"산출불가")))</f>
        <v/>
      </c>
      <c r="AZ68" s="19">
        <f>IF(AND(ISNUMBER(AX68),ISNUMBER(G68),G68&lt;&gt;0),AX68/G68,"")</f>
        <v/>
      </c>
      <c r="BA68" s="19">
        <f>IF(AND(ISNUMBER(AE68),ISNUMBER(G68),G68&lt;&gt;0),AE68/G68,"")</f>
        <v/>
      </c>
    </row>
    <row r="69">
      <c r="A69" s="8" t="inlineStr">
        <is>
          <t>AVGO</t>
        </is>
      </c>
      <c r="B69" s="8" t="inlineStr">
        <is>
          <t>Broadcom Inc.</t>
        </is>
      </c>
      <c r="C69" s="8" t="n">
        <v>2020</v>
      </c>
      <c r="D69" s="8" t="inlineStr">
        <is>
          <t>2020-11-01</t>
        </is>
      </c>
      <c r="E69" s="8" t="inlineStr">
        <is>
          <t>일반</t>
        </is>
      </c>
      <c r="F69" s="8" t="inlineStr">
        <is>
          <t>0001730168-22-000118</t>
        </is>
      </c>
      <c r="G69" s="15" t="n">
        <v>23.888</v>
      </c>
      <c r="H69" s="15" t="n">
        <v>2.443</v>
      </c>
      <c r="I69" s="15" t="n"/>
      <c r="J69" s="15" t="n">
        <v>-0.518</v>
      </c>
      <c r="K69" s="15" t="n">
        <v>4.014</v>
      </c>
      <c r="L69" s="15" t="n">
        <v>2.96</v>
      </c>
      <c r="M69" s="15" t="n">
        <v>0.031</v>
      </c>
      <c r="N69" s="15" t="n">
        <v>0.57</v>
      </c>
      <c r="O69" s="15" t="n">
        <v>0.463</v>
      </c>
      <c r="P69" s="15" t="n">
        <v>12.061</v>
      </c>
      <c r="Q69" s="15" t="n">
        <v>1.976</v>
      </c>
      <c r="R69" s="15" t="n">
        <v>23.874</v>
      </c>
      <c r="S69" s="15" t="n">
        <v>24.941</v>
      </c>
      <c r="T69" s="15" t="n">
        <v>7.618</v>
      </c>
      <c r="U69" s="15" t="n">
        <v>5.055</v>
      </c>
      <c r="V69" s="15" t="n">
        <v>0.827</v>
      </c>
      <c r="W69" s="15" t="n">
        <v>2.787</v>
      </c>
      <c r="X69" s="15" t="n"/>
      <c r="Y69" s="15" t="n">
        <v>11.895</v>
      </c>
      <c r="Z69" s="15" t="n">
        <v>9.917</v>
      </c>
      <c r="AA69" s="15" t="n">
        <v>6.371</v>
      </c>
      <c r="AB69" s="15" t="n">
        <v>6.899</v>
      </c>
      <c r="AC69" s="15" t="n">
        <v>22.673</v>
      </c>
      <c r="AD69" s="16" t="n">
        <v>4210</v>
      </c>
      <c r="AE69" s="17">
        <f>IF(ISNUMBER(K69),K69,IF(AND(ISNUMBER(H69),ISNUMBER(I69)),H69+I69,IF(ISNUMBER(H69),H69,"")))</f>
        <v/>
      </c>
      <c r="AF69" s="18">
        <f>IF(OR(NOT(ISNUMBER(J69)),NOT(ISNUMBER(H69)),H69&lt;=0),기준표!$B$8,MIN(MAX(J69/H69,기준표!$B$6),기준표!$B$7))</f>
        <v/>
      </c>
      <c r="AG69" s="17">
        <f>IF(ISNUMBER(AE69),AE69*(1-AF69),"")</f>
        <v/>
      </c>
      <c r="AH69" s="17">
        <f>IF(AND(NOT(ISNUMBER(V69)),NOT(ISNUMBER(X69))),"",IF(ISNUMBER(V69),V69,0)+IF(ISNUMBER(X69),X69,0))</f>
        <v/>
      </c>
      <c r="AI69" s="17">
        <f>IF(E69="금융","",IF(AND(ISNUMBER(R69),ISNUMBER(AH69),ISNUMBER(T69)),R69+AH69-T69,""))</f>
        <v/>
      </c>
      <c r="AJ69" s="17">
        <f>IF(E69="금융","",IF(NOT(ISNUMBER(AI69)),"",IF(ISNUMBER(AC69),(AI69+AC69)/2,AI69)))</f>
        <v/>
      </c>
      <c r="AK69" s="19">
        <f>IF(AND(ISNUMBER(AG69),ISNUMBER(AJ69),AJ69&gt;0),AG69/AJ69,"")</f>
        <v/>
      </c>
      <c r="AL69" s="17">
        <f>IF(E69="금융","",IF(AND(ISNUMBER(R69),ISNUMBER(AH69)),R69+AH69,""))</f>
        <v/>
      </c>
      <c r="AM69" s="19">
        <f>IF(OR(NOT(ISNUMBER(AG69)),NOT(ISNUMBER(AL69)),AL69&lt;=0),"",IF(AND(ISNUMBER(G69),AL69&lt;0.1*G69),"",AG69/AL69))</f>
        <v/>
      </c>
      <c r="AN69" s="17">
        <f>IF(NOT(ISNUMBER(R69)),"",IF(ISNUMBER(S69),(R69+S69)/2,R69))</f>
        <v/>
      </c>
      <c r="AO69" s="19">
        <f>IF(AND(ISNUMBER(L69),ISNUMBER(AN69),AN69&gt;0),L69/AN69,"")</f>
        <v/>
      </c>
      <c r="AP69" s="19">
        <f>IF(AND(ISNUMBER(AO69),ISNUMBER({ROIC})),AO69-{ROIC},"")</f>
        <v/>
      </c>
      <c r="AQ69" s="17">
        <f>IF(AND(ISNUMBER(AE69),ISNUMBER(N69)),AE69+N69,"")</f>
        <v/>
      </c>
      <c r="AR69" s="20">
        <f>IF(AND(ISNUMBER(AH69),ISNUMBER(T69),ISNUMBER(AQ69),AQ69&gt;0),(AH69-T69)/AQ69,"")</f>
        <v/>
      </c>
      <c r="AS69" s="20">
        <f>IF(AND(ISNUMBER(AE69),ISNUMBER(I69),I69&lt;&gt;0,AE69&gt;0),AE69/I69,"")</f>
        <v/>
      </c>
      <c r="AT69" s="17">
        <f>IF(AND(ISNUMBER(Y69),ISNUMBER(AA69)),Y69-IF(ISNUMBER(T69),T69,0)-(AA69-IF(ISNUMBER(V69),V69,0)),"")</f>
        <v/>
      </c>
      <c r="AU69" s="17">
        <f>IF(AND(ISNUMBER(Z69),ISNUMBER(AB69)),Z69-IF(ISNUMBER(U69),U69,0)-(AB69-IF(ISNUMBER(W69),W69,0)),"")</f>
        <v/>
      </c>
      <c r="AV69" s="17">
        <f>IF(AND(ISNUMBER(AT69),ISNUMBER(AU69)),AT69-AU69,"")</f>
        <v/>
      </c>
      <c r="AW69" s="17">
        <f>IF(AND(ISNUMBER(L69),ISNUMBER(M69),ISNUMBER(AF69)),L69-M69*(1-AF69),IF(ISNUMBER(L69),L69,""))</f>
        <v/>
      </c>
      <c r="AX69" s="17">
        <f>IF(E69="금융","",IF(AND(ISNUMBER(AW69),ISNUMBER(N69),ISNUMBER(O69),ISNUMBER(AV69)),AW69+N69-O69-AV69,IF(AND(ISNUMBER(P69),ISNUMBER(O69)),P69-O69-IF(ISNUMBER(Q69),Q69,0),"")))</f>
        <v/>
      </c>
      <c r="AY69" s="8">
        <f>IF(E69="금융","금융업 - 정의되지 않음",IF(AND(ISNUMBER(AW69),ISNUMBER(N69),ISNUMBER(O69),ISNUMBER(AV69)),"영업순이익+감가상각-설비투자-운전자본증감",IF(AND(ISNUMBER(P69),ISNUMBER(O69)),IF(ISNUMBER(Q69),"영업현금흐름-설비투자-주식보상비용","영업현금흐름-설비투자(주식보상비용 미태깅)"),"산출불가")))</f>
        <v/>
      </c>
      <c r="AZ69" s="19">
        <f>IF(AND(ISNUMBER(AX69),ISNUMBER(G69),G69&lt;&gt;0),AX69/G69,"")</f>
        <v/>
      </c>
      <c r="BA69" s="19">
        <f>IF(AND(ISNUMBER(AE69),ISNUMBER(G69),G69&lt;&gt;0),AE69/G69,"")</f>
        <v/>
      </c>
    </row>
    <row r="70">
      <c r="A70" s="8" t="inlineStr">
        <is>
          <t>AVGO</t>
        </is>
      </c>
      <c r="B70" s="8" t="inlineStr">
        <is>
          <t>Broadcom Inc.</t>
        </is>
      </c>
      <c r="C70" s="8" t="n">
        <v>2021</v>
      </c>
      <c r="D70" s="8" t="inlineStr">
        <is>
          <t>2021-10-31</t>
        </is>
      </c>
      <c r="E70" s="8" t="inlineStr">
        <is>
          <t>일반</t>
        </is>
      </c>
      <c r="F70" s="8" t="inlineStr">
        <is>
          <t>0001730168-23-000096</t>
        </is>
      </c>
      <c r="G70" s="15" t="n">
        <v>27.45</v>
      </c>
      <c r="H70" s="15" t="n">
        <v>6.765</v>
      </c>
      <c r="I70" s="15" t="n"/>
      <c r="J70" s="15" t="n">
        <v>0.029</v>
      </c>
      <c r="K70" s="15" t="n">
        <v>8.519</v>
      </c>
      <c r="L70" s="15" t="n">
        <v>6.736</v>
      </c>
      <c r="M70" s="15" t="n">
        <v>0.099</v>
      </c>
      <c r="N70" s="15" t="n">
        <v>0.539</v>
      </c>
      <c r="O70" s="15" t="n">
        <v>0.443</v>
      </c>
      <c r="P70" s="15" t="n">
        <v>13.764</v>
      </c>
      <c r="Q70" s="15" t="n">
        <v>1.704</v>
      </c>
      <c r="R70" s="15" t="n">
        <v>24.962</v>
      </c>
      <c r="S70" s="15" t="n">
        <v>23.874</v>
      </c>
      <c r="T70" s="15" t="n">
        <v>12.163</v>
      </c>
      <c r="U70" s="15" t="n">
        <v>7.618</v>
      </c>
      <c r="V70" s="15" t="n">
        <v>0.264</v>
      </c>
      <c r="W70" s="15" t="n">
        <v>0.827</v>
      </c>
      <c r="X70" s="15" t="n">
        <v>39.44</v>
      </c>
      <c r="Y70" s="15" t="n">
        <v>16.586</v>
      </c>
      <c r="Z70" s="15" t="n">
        <v>11.895</v>
      </c>
      <c r="AA70" s="15" t="n">
        <v>6.281</v>
      </c>
      <c r="AB70" s="15" t="n">
        <v>6.371</v>
      </c>
      <c r="AC70" s="15" t="n">
        <v>17.083</v>
      </c>
      <c r="AD70" s="16" t="n">
        <v>4290</v>
      </c>
      <c r="AE70" s="17">
        <f>IF(ISNUMBER(K70),K70,IF(AND(ISNUMBER(H70),ISNUMBER(I70)),H70+I70,IF(ISNUMBER(H70),H70,"")))</f>
        <v/>
      </c>
      <c r="AF70" s="18">
        <f>IF(OR(NOT(ISNUMBER(J70)),NOT(ISNUMBER(H70)),H70&lt;=0),기준표!$B$8,MIN(MAX(J70/H70,기준표!$B$6),기준표!$B$7))</f>
        <v/>
      </c>
      <c r="AG70" s="17">
        <f>IF(ISNUMBER(AE70),AE70*(1-AF70),"")</f>
        <v/>
      </c>
      <c r="AH70" s="17">
        <f>IF(AND(NOT(ISNUMBER(V70)),NOT(ISNUMBER(X70))),"",IF(ISNUMBER(V70),V70,0)+IF(ISNUMBER(X70),X70,0))</f>
        <v/>
      </c>
      <c r="AI70" s="17">
        <f>IF(E70="금융","",IF(AND(ISNUMBER(R70),ISNUMBER(AH70),ISNUMBER(T70)),R70+AH70-T70,""))</f>
        <v/>
      </c>
      <c r="AJ70" s="17">
        <f>IF(E70="금융","",IF(NOT(ISNUMBER(AI70)),"",IF(ISNUMBER(AC70),(AI70+AC70)/2,AI70)))</f>
        <v/>
      </c>
      <c r="AK70" s="19">
        <f>IF(AND(ISNUMBER(AG70),ISNUMBER(AJ70),AJ70&gt;0),AG70/AJ70,"")</f>
        <v/>
      </c>
      <c r="AL70" s="17">
        <f>IF(E70="금융","",IF(AND(ISNUMBER(R70),ISNUMBER(AH70)),R70+AH70,""))</f>
        <v/>
      </c>
      <c r="AM70" s="19">
        <f>IF(OR(NOT(ISNUMBER(AG70)),NOT(ISNUMBER(AL70)),AL70&lt;=0),"",IF(AND(ISNUMBER(G70),AL70&lt;0.1*G70),"",AG70/AL70))</f>
        <v/>
      </c>
      <c r="AN70" s="17">
        <f>IF(NOT(ISNUMBER(R70)),"",IF(ISNUMBER(S70),(R70+S70)/2,R70))</f>
        <v/>
      </c>
      <c r="AO70" s="19">
        <f>IF(AND(ISNUMBER(L70),ISNUMBER(AN70),AN70&gt;0),L70/AN70,"")</f>
        <v/>
      </c>
      <c r="AP70" s="19">
        <f>IF(AND(ISNUMBER(AO70),ISNUMBER({ROIC})),AO70-{ROIC},"")</f>
        <v/>
      </c>
      <c r="AQ70" s="17">
        <f>IF(AND(ISNUMBER(AE70),ISNUMBER(N70)),AE70+N70,"")</f>
        <v/>
      </c>
      <c r="AR70" s="20">
        <f>IF(AND(ISNUMBER(AH70),ISNUMBER(T70),ISNUMBER(AQ70),AQ70&gt;0),(AH70-T70)/AQ70,"")</f>
        <v/>
      </c>
      <c r="AS70" s="20">
        <f>IF(AND(ISNUMBER(AE70),ISNUMBER(I70),I70&lt;&gt;0,AE70&gt;0),AE70/I70,"")</f>
        <v/>
      </c>
      <c r="AT70" s="17">
        <f>IF(AND(ISNUMBER(Y70),ISNUMBER(AA70)),Y70-IF(ISNUMBER(T70),T70,0)-(AA70-IF(ISNUMBER(V70),V70,0)),"")</f>
        <v/>
      </c>
      <c r="AU70" s="17">
        <f>IF(AND(ISNUMBER(Z70),ISNUMBER(AB70)),Z70-IF(ISNUMBER(U70),U70,0)-(AB70-IF(ISNUMBER(W70),W70,0)),"")</f>
        <v/>
      </c>
      <c r="AV70" s="17">
        <f>IF(AND(ISNUMBER(AT70),ISNUMBER(AU70)),AT70-AU70,"")</f>
        <v/>
      </c>
      <c r="AW70" s="17">
        <f>IF(AND(ISNUMBER(L70),ISNUMBER(M70),ISNUMBER(AF70)),L70-M70*(1-AF70),IF(ISNUMBER(L70),L70,""))</f>
        <v/>
      </c>
      <c r="AX70" s="17">
        <f>IF(E70="금융","",IF(AND(ISNUMBER(AW70),ISNUMBER(N70),ISNUMBER(O70),ISNUMBER(AV70)),AW70+N70-O70-AV70,IF(AND(ISNUMBER(P70),ISNUMBER(O70)),P70-O70-IF(ISNUMBER(Q70),Q70,0),"")))</f>
        <v/>
      </c>
      <c r="AY70" s="8">
        <f>IF(E70="금융","금융업 - 정의되지 않음",IF(AND(ISNUMBER(AW70),ISNUMBER(N70),ISNUMBER(O70),ISNUMBER(AV70)),"영업순이익+감가상각-설비투자-운전자본증감",IF(AND(ISNUMBER(P70),ISNUMBER(O70)),IF(ISNUMBER(Q70),"영업현금흐름-설비투자-주식보상비용","영업현금흐름-설비투자(주식보상비용 미태깅)"),"산출불가")))</f>
        <v/>
      </c>
      <c r="AZ70" s="19">
        <f>IF(AND(ISNUMBER(AX70),ISNUMBER(G70),G70&lt;&gt;0),AX70/G70,"")</f>
        <v/>
      </c>
      <c r="BA70" s="19">
        <f>IF(AND(ISNUMBER(AE70),ISNUMBER(G70),G70&lt;&gt;0),AE70/G70,"")</f>
        <v/>
      </c>
    </row>
    <row r="71">
      <c r="A71" s="8" t="inlineStr">
        <is>
          <t>AVGO</t>
        </is>
      </c>
      <c r="B71" s="8" t="inlineStr">
        <is>
          <t>Broadcom Inc.</t>
        </is>
      </c>
      <c r="C71" s="8" t="n">
        <v>2022</v>
      </c>
      <c r="D71" s="8" t="inlineStr">
        <is>
          <t>2022-10-30</t>
        </is>
      </c>
      <c r="E71" s="8" t="inlineStr">
        <is>
          <t>일반</t>
        </is>
      </c>
      <c r="F71" s="8" t="inlineStr">
        <is>
          <t>0001730168-24-000139</t>
        </is>
      </c>
      <c r="G71" s="15" t="n">
        <v>33.203</v>
      </c>
      <c r="H71" s="15" t="n">
        <v>12.434</v>
      </c>
      <c r="I71" s="15" t="n"/>
      <c r="J71" s="15" t="n">
        <v>0.9389999999999999</v>
      </c>
      <c r="K71" s="15" t="n">
        <v>14.225</v>
      </c>
      <c r="L71" s="15" t="n">
        <v>11.495</v>
      </c>
      <c r="M71" s="15" t="n">
        <v>-0.169</v>
      </c>
      <c r="N71" s="15" t="n">
        <v>0.529</v>
      </c>
      <c r="O71" s="15" t="n">
        <v>0.424</v>
      </c>
      <c r="P71" s="15" t="n">
        <v>16.736</v>
      </c>
      <c r="Q71" s="15" t="n">
        <v>1.533</v>
      </c>
      <c r="R71" s="15" t="n">
        <v>22.709</v>
      </c>
      <c r="S71" s="15" t="n">
        <v>24.962</v>
      </c>
      <c r="T71" s="15" t="n">
        <v>12.416</v>
      </c>
      <c r="U71" s="15" t="n">
        <v>12.163</v>
      </c>
      <c r="V71" s="15" t="n">
        <v>0.403</v>
      </c>
      <c r="W71" s="15" t="n">
        <v>0.264</v>
      </c>
      <c r="X71" s="15" t="n">
        <v>39.075</v>
      </c>
      <c r="Y71" s="15" t="n">
        <v>18.504</v>
      </c>
      <c r="Z71" s="15" t="n">
        <v>16.586</v>
      </c>
      <c r="AA71" s="15" t="n">
        <v>7.052</v>
      </c>
      <c r="AB71" s="15" t="n">
        <v>6.281</v>
      </c>
      <c r="AC71" s="15" t="n">
        <v>52.503</v>
      </c>
      <c r="AD71" s="16" t="n">
        <v>4232</v>
      </c>
      <c r="AE71" s="17">
        <f>IF(ISNUMBER(K71),K71,IF(AND(ISNUMBER(H71),ISNUMBER(I71)),H71+I71,IF(ISNUMBER(H71),H71,"")))</f>
        <v/>
      </c>
      <c r="AF71" s="18">
        <f>IF(OR(NOT(ISNUMBER(J71)),NOT(ISNUMBER(H71)),H71&lt;=0),기준표!$B$8,MIN(MAX(J71/H71,기준표!$B$6),기준표!$B$7))</f>
        <v/>
      </c>
      <c r="AG71" s="17">
        <f>IF(ISNUMBER(AE71),AE71*(1-AF71),"")</f>
        <v/>
      </c>
      <c r="AH71" s="17">
        <f>IF(AND(NOT(ISNUMBER(V71)),NOT(ISNUMBER(X71))),"",IF(ISNUMBER(V71),V71,0)+IF(ISNUMBER(X71),X71,0))</f>
        <v/>
      </c>
      <c r="AI71" s="17">
        <f>IF(E71="금융","",IF(AND(ISNUMBER(R71),ISNUMBER(AH71),ISNUMBER(T71)),R71+AH71-T71,""))</f>
        <v/>
      </c>
      <c r="AJ71" s="17">
        <f>IF(E71="금융","",IF(NOT(ISNUMBER(AI71)),"",IF(ISNUMBER(AC71),(AI71+AC71)/2,AI71)))</f>
        <v/>
      </c>
      <c r="AK71" s="19">
        <f>IF(AND(ISNUMBER(AG71),ISNUMBER(AJ71),AJ71&gt;0),AG71/AJ71,"")</f>
        <v/>
      </c>
      <c r="AL71" s="17">
        <f>IF(E71="금융","",IF(AND(ISNUMBER(R71),ISNUMBER(AH71)),R71+AH71,""))</f>
        <v/>
      </c>
      <c r="AM71" s="19">
        <f>IF(OR(NOT(ISNUMBER(AG71)),NOT(ISNUMBER(AL71)),AL71&lt;=0),"",IF(AND(ISNUMBER(G71),AL71&lt;0.1*G71),"",AG71/AL71))</f>
        <v/>
      </c>
      <c r="AN71" s="17">
        <f>IF(NOT(ISNUMBER(R71)),"",IF(ISNUMBER(S71),(R71+S71)/2,R71))</f>
        <v/>
      </c>
      <c r="AO71" s="19">
        <f>IF(AND(ISNUMBER(L71),ISNUMBER(AN71),AN71&gt;0),L71/AN71,"")</f>
        <v/>
      </c>
      <c r="AP71" s="19">
        <f>IF(AND(ISNUMBER(AO71),ISNUMBER({ROIC})),AO71-{ROIC},"")</f>
        <v/>
      </c>
      <c r="AQ71" s="17">
        <f>IF(AND(ISNUMBER(AE71),ISNUMBER(N71)),AE71+N71,"")</f>
        <v/>
      </c>
      <c r="AR71" s="20">
        <f>IF(AND(ISNUMBER(AH71),ISNUMBER(T71),ISNUMBER(AQ71),AQ71&gt;0),(AH71-T71)/AQ71,"")</f>
        <v/>
      </c>
      <c r="AS71" s="20">
        <f>IF(AND(ISNUMBER(AE71),ISNUMBER(I71),I71&lt;&gt;0,AE71&gt;0),AE71/I71,"")</f>
        <v/>
      </c>
      <c r="AT71" s="17">
        <f>IF(AND(ISNUMBER(Y71),ISNUMBER(AA71)),Y71-IF(ISNUMBER(T71),T71,0)-(AA71-IF(ISNUMBER(V71),V71,0)),"")</f>
        <v/>
      </c>
      <c r="AU71" s="17">
        <f>IF(AND(ISNUMBER(Z71),ISNUMBER(AB71)),Z71-IF(ISNUMBER(U71),U71,0)-(AB71-IF(ISNUMBER(W71),W71,0)),"")</f>
        <v/>
      </c>
      <c r="AV71" s="17">
        <f>IF(AND(ISNUMBER(AT71),ISNUMBER(AU71)),AT71-AU71,"")</f>
        <v/>
      </c>
      <c r="AW71" s="17">
        <f>IF(AND(ISNUMBER(L71),ISNUMBER(M71),ISNUMBER(AF71)),L71-M71*(1-AF71),IF(ISNUMBER(L71),L71,""))</f>
        <v/>
      </c>
      <c r="AX71" s="17">
        <f>IF(E71="금융","",IF(AND(ISNUMBER(AW71),ISNUMBER(N71),ISNUMBER(O71),ISNUMBER(AV71)),AW71+N71-O71-AV71,IF(AND(ISNUMBER(P71),ISNUMBER(O71)),P71-O71-IF(ISNUMBER(Q71),Q71,0),"")))</f>
        <v/>
      </c>
      <c r="AY71" s="8">
        <f>IF(E71="금융","금융업 - 정의되지 않음",IF(AND(ISNUMBER(AW71),ISNUMBER(N71),ISNUMBER(O71),ISNUMBER(AV71)),"영업순이익+감가상각-설비투자-운전자본증감",IF(AND(ISNUMBER(P71),ISNUMBER(O71)),IF(ISNUMBER(Q71),"영업현금흐름-설비투자-주식보상비용","영업현금흐름-설비투자(주식보상비용 미태깅)"),"산출불가")))</f>
        <v/>
      </c>
      <c r="AZ71" s="19">
        <f>IF(AND(ISNUMBER(AX71),ISNUMBER(G71),G71&lt;&gt;0),AX71/G71,"")</f>
        <v/>
      </c>
      <c r="BA71" s="19">
        <f>IF(AND(ISNUMBER(AE71),ISNUMBER(G71),G71&lt;&gt;0),AE71/G71,"")</f>
        <v/>
      </c>
    </row>
    <row r="72">
      <c r="A72" s="8" t="inlineStr">
        <is>
          <t>AVGO</t>
        </is>
      </c>
      <c r="B72" s="8" t="inlineStr">
        <is>
          <t>Broadcom Inc.</t>
        </is>
      </c>
      <c r="C72" s="8" t="n">
        <v>2023</v>
      </c>
      <c r="D72" s="8" t="inlineStr">
        <is>
          <t>2023-10-29</t>
        </is>
      </c>
      <c r="E72" s="8" t="inlineStr">
        <is>
          <t>일반</t>
        </is>
      </c>
      <c r="F72" s="8" t="inlineStr">
        <is>
          <t>0001730168-25-000121</t>
        </is>
      </c>
      <c r="G72" s="15" t="n">
        <v>35.819</v>
      </c>
      <c r="H72" s="15" t="n">
        <v>15.097</v>
      </c>
      <c r="I72" s="15" t="n">
        <v>1.622</v>
      </c>
      <c r="J72" s="15" t="n">
        <v>1.015</v>
      </c>
      <c r="K72" s="15" t="n">
        <v>16.207</v>
      </c>
      <c r="L72" s="15" t="n">
        <v>14.082</v>
      </c>
      <c r="M72" s="15" t="n">
        <v>0.011</v>
      </c>
      <c r="N72" s="15" t="n">
        <v>0.502</v>
      </c>
      <c r="O72" s="15" t="n">
        <v>0.452</v>
      </c>
      <c r="P72" s="15" t="n">
        <v>18.085</v>
      </c>
      <c r="Q72" s="15" t="n">
        <v>2.171</v>
      </c>
      <c r="R72" s="15" t="n">
        <v>23.988</v>
      </c>
      <c r="S72" s="15" t="n">
        <v>22.709</v>
      </c>
      <c r="T72" s="15" t="n">
        <v>14.189</v>
      </c>
      <c r="U72" s="15" t="n">
        <v>12.416</v>
      </c>
      <c r="V72" s="15" t="n">
        <v>1.563</v>
      </c>
      <c r="W72" s="15" t="n">
        <v>0.403</v>
      </c>
      <c r="X72" s="15" t="n">
        <v>37.621</v>
      </c>
      <c r="Y72" s="15" t="n">
        <v>20.847</v>
      </c>
      <c r="Z72" s="15" t="n">
        <v>18.504</v>
      </c>
      <c r="AA72" s="15" t="n">
        <v>7.405</v>
      </c>
      <c r="AB72" s="15" t="n">
        <v>7.052</v>
      </c>
      <c r="AC72" s="15" t="n">
        <v>49.771</v>
      </c>
      <c r="AD72" s="16" t="n">
        <v>4272</v>
      </c>
      <c r="AE72" s="17">
        <f>IF(ISNUMBER(K72),K72,IF(AND(ISNUMBER(H72),ISNUMBER(I72)),H72+I72,IF(ISNUMBER(H72),H72,"")))</f>
        <v/>
      </c>
      <c r="AF72" s="18">
        <f>IF(OR(NOT(ISNUMBER(J72)),NOT(ISNUMBER(H72)),H72&lt;=0),기준표!$B$8,MIN(MAX(J72/H72,기준표!$B$6),기준표!$B$7))</f>
        <v/>
      </c>
      <c r="AG72" s="17">
        <f>IF(ISNUMBER(AE72),AE72*(1-AF72),"")</f>
        <v/>
      </c>
      <c r="AH72" s="17">
        <f>IF(AND(NOT(ISNUMBER(V72)),NOT(ISNUMBER(X72))),"",IF(ISNUMBER(V72),V72,0)+IF(ISNUMBER(X72),X72,0))</f>
        <v/>
      </c>
      <c r="AI72" s="17">
        <f>IF(E72="금융","",IF(AND(ISNUMBER(R72),ISNUMBER(AH72),ISNUMBER(T72)),R72+AH72-T72,""))</f>
        <v/>
      </c>
      <c r="AJ72" s="17">
        <f>IF(E72="금융","",IF(NOT(ISNUMBER(AI72)),"",IF(ISNUMBER(AC72),(AI72+AC72)/2,AI72)))</f>
        <v/>
      </c>
      <c r="AK72" s="19">
        <f>IF(AND(ISNUMBER(AG72),ISNUMBER(AJ72),AJ72&gt;0),AG72/AJ72,"")</f>
        <v/>
      </c>
      <c r="AL72" s="17">
        <f>IF(E72="금융","",IF(AND(ISNUMBER(R72),ISNUMBER(AH72)),R72+AH72,""))</f>
        <v/>
      </c>
      <c r="AM72" s="19">
        <f>IF(OR(NOT(ISNUMBER(AG72)),NOT(ISNUMBER(AL72)),AL72&lt;=0),"",IF(AND(ISNUMBER(G72),AL72&lt;0.1*G72),"",AG72/AL72))</f>
        <v/>
      </c>
      <c r="AN72" s="17">
        <f>IF(NOT(ISNUMBER(R72)),"",IF(ISNUMBER(S72),(R72+S72)/2,R72))</f>
        <v/>
      </c>
      <c r="AO72" s="19">
        <f>IF(AND(ISNUMBER(L72),ISNUMBER(AN72),AN72&gt;0),L72/AN72,"")</f>
        <v/>
      </c>
      <c r="AP72" s="19">
        <f>IF(AND(ISNUMBER(AO72),ISNUMBER({ROIC})),AO72-{ROIC},"")</f>
        <v/>
      </c>
      <c r="AQ72" s="17">
        <f>IF(AND(ISNUMBER(AE72),ISNUMBER(N72)),AE72+N72,"")</f>
        <v/>
      </c>
      <c r="AR72" s="20">
        <f>IF(AND(ISNUMBER(AH72),ISNUMBER(T72),ISNUMBER(AQ72),AQ72&gt;0),(AH72-T72)/AQ72,"")</f>
        <v/>
      </c>
      <c r="AS72" s="20">
        <f>IF(AND(ISNUMBER(AE72),ISNUMBER(I72),I72&lt;&gt;0,AE72&gt;0),AE72/I72,"")</f>
        <v/>
      </c>
      <c r="AT72" s="17">
        <f>IF(AND(ISNUMBER(Y72),ISNUMBER(AA72)),Y72-IF(ISNUMBER(T72),T72,0)-(AA72-IF(ISNUMBER(V72),V72,0)),"")</f>
        <v/>
      </c>
      <c r="AU72" s="17">
        <f>IF(AND(ISNUMBER(Z72),ISNUMBER(AB72)),Z72-IF(ISNUMBER(U72),U72,0)-(AB72-IF(ISNUMBER(W72),W72,0)),"")</f>
        <v/>
      </c>
      <c r="AV72" s="17">
        <f>IF(AND(ISNUMBER(AT72),ISNUMBER(AU72)),AT72-AU72,"")</f>
        <v/>
      </c>
      <c r="AW72" s="17">
        <f>IF(AND(ISNUMBER(L72),ISNUMBER(M72),ISNUMBER(AF72)),L72-M72*(1-AF72),IF(ISNUMBER(L72),L72,""))</f>
        <v/>
      </c>
      <c r="AX72" s="17">
        <f>IF(E72="금융","",IF(AND(ISNUMBER(AW72),ISNUMBER(N72),ISNUMBER(O72),ISNUMBER(AV72)),AW72+N72-O72-AV72,IF(AND(ISNUMBER(P72),ISNUMBER(O72)),P72-O72-IF(ISNUMBER(Q72),Q72,0),"")))</f>
        <v/>
      </c>
      <c r="AY72" s="8">
        <f>IF(E72="금융","금융업 - 정의되지 않음",IF(AND(ISNUMBER(AW72),ISNUMBER(N72),ISNUMBER(O72),ISNUMBER(AV72)),"영업순이익+감가상각-설비투자-운전자본증감",IF(AND(ISNUMBER(P72),ISNUMBER(O72)),IF(ISNUMBER(Q72),"영업현금흐름-설비투자-주식보상비용","영업현금흐름-설비투자(주식보상비용 미태깅)"),"산출불가")))</f>
        <v/>
      </c>
      <c r="AZ72" s="19">
        <f>IF(AND(ISNUMBER(AX72),ISNUMBER(G72),G72&lt;&gt;0),AX72/G72,"")</f>
        <v/>
      </c>
      <c r="BA72" s="19">
        <f>IF(AND(ISNUMBER(AE72),ISNUMBER(G72),G72&lt;&gt;0),AE72/G72,"")</f>
        <v/>
      </c>
    </row>
    <row r="73">
      <c r="A73" s="8" t="inlineStr">
        <is>
          <t>AVGO</t>
        </is>
      </c>
      <c r="B73" s="8" t="inlineStr">
        <is>
          <t>Broadcom Inc.</t>
        </is>
      </c>
      <c r="C73" s="8" t="n">
        <v>2024</v>
      </c>
      <c r="D73" s="8" t="inlineStr">
        <is>
          <t>2024-11-03</t>
        </is>
      </c>
      <c r="E73" s="8" t="inlineStr">
        <is>
          <t>일반</t>
        </is>
      </c>
      <c r="F73" s="8" t="inlineStr">
        <is>
          <t>0001730168-25-000121</t>
        </is>
      </c>
      <c r="G73" s="15" t="n">
        <v>51.574</v>
      </c>
      <c r="H73" s="15" t="n">
        <v>9.916</v>
      </c>
      <c r="I73" s="15" t="n">
        <v>3.953</v>
      </c>
      <c r="J73" s="15" t="n">
        <v>3.748</v>
      </c>
      <c r="K73" s="15" t="n">
        <v>13.463</v>
      </c>
      <c r="L73" s="15" t="n">
        <v>5.895</v>
      </c>
      <c r="M73" s="15" t="n">
        <v>-0.012</v>
      </c>
      <c r="N73" s="15" t="n">
        <v>0.593</v>
      </c>
      <c r="O73" s="15" t="n">
        <v>0.548</v>
      </c>
      <c r="P73" s="15" t="n">
        <v>19.962</v>
      </c>
      <c r="Q73" s="15" t="n">
        <v>5.741</v>
      </c>
      <c r="R73" s="15" t="n">
        <v>67.678</v>
      </c>
      <c r="S73" s="15" t="n">
        <v>23.988</v>
      </c>
      <c r="T73" s="15" t="n">
        <v>9.348000000000001</v>
      </c>
      <c r="U73" s="15" t="n">
        <v>14.189</v>
      </c>
      <c r="V73" s="15" t="n">
        <v>1.245</v>
      </c>
      <c r="W73" s="15" t="n">
        <v>1.563</v>
      </c>
      <c r="X73" s="15" t="n">
        <v>66.295</v>
      </c>
      <c r="Y73" s="15" t="n">
        <v>19.595</v>
      </c>
      <c r="Z73" s="15" t="n">
        <v>20.847</v>
      </c>
      <c r="AA73" s="15" t="n">
        <v>16.697</v>
      </c>
      <c r="AB73" s="15" t="n">
        <v>7.405</v>
      </c>
      <c r="AC73" s="15" t="n">
        <v>48.983</v>
      </c>
      <c r="AD73" s="16" t="n">
        <v>4778</v>
      </c>
      <c r="AE73" s="17">
        <f>IF(ISNUMBER(K73),K73,IF(AND(ISNUMBER(H73),ISNUMBER(I73)),H73+I73,IF(ISNUMBER(H73),H73,"")))</f>
        <v/>
      </c>
      <c r="AF73" s="18">
        <f>IF(OR(NOT(ISNUMBER(J73)),NOT(ISNUMBER(H73)),H73&lt;=0),기준표!$B$8,MIN(MAX(J73/H73,기준표!$B$6),기준표!$B$7))</f>
        <v/>
      </c>
      <c r="AG73" s="17">
        <f>IF(ISNUMBER(AE73),AE73*(1-AF73),"")</f>
        <v/>
      </c>
      <c r="AH73" s="17">
        <f>IF(AND(NOT(ISNUMBER(V73)),NOT(ISNUMBER(X73))),"",IF(ISNUMBER(V73),V73,0)+IF(ISNUMBER(X73),X73,0))</f>
        <v/>
      </c>
      <c r="AI73" s="17">
        <f>IF(E73="금융","",IF(AND(ISNUMBER(R73),ISNUMBER(AH73),ISNUMBER(T73)),R73+AH73-T73,""))</f>
        <v/>
      </c>
      <c r="AJ73" s="17">
        <f>IF(E73="금융","",IF(NOT(ISNUMBER(AI73)),"",IF(ISNUMBER(AC73),(AI73+AC73)/2,AI73)))</f>
        <v/>
      </c>
      <c r="AK73" s="19">
        <f>IF(AND(ISNUMBER(AG73),ISNUMBER(AJ73),AJ73&gt;0),AG73/AJ73,"")</f>
        <v/>
      </c>
      <c r="AL73" s="17">
        <f>IF(E73="금융","",IF(AND(ISNUMBER(R73),ISNUMBER(AH73)),R73+AH73,""))</f>
        <v/>
      </c>
      <c r="AM73" s="19">
        <f>IF(OR(NOT(ISNUMBER(AG73)),NOT(ISNUMBER(AL73)),AL73&lt;=0),"",IF(AND(ISNUMBER(G73),AL73&lt;0.1*G73),"",AG73/AL73))</f>
        <v/>
      </c>
      <c r="AN73" s="17">
        <f>IF(NOT(ISNUMBER(R73)),"",IF(ISNUMBER(S73),(R73+S73)/2,R73))</f>
        <v/>
      </c>
      <c r="AO73" s="19">
        <f>IF(AND(ISNUMBER(L73),ISNUMBER(AN73),AN73&gt;0),L73/AN73,"")</f>
        <v/>
      </c>
      <c r="AP73" s="19">
        <f>IF(AND(ISNUMBER(AO73),ISNUMBER({ROIC})),AO73-{ROIC},"")</f>
        <v/>
      </c>
      <c r="AQ73" s="17">
        <f>IF(AND(ISNUMBER(AE73),ISNUMBER(N73)),AE73+N73,"")</f>
        <v/>
      </c>
      <c r="AR73" s="20">
        <f>IF(AND(ISNUMBER(AH73),ISNUMBER(T73),ISNUMBER(AQ73),AQ73&gt;0),(AH73-T73)/AQ73,"")</f>
        <v/>
      </c>
      <c r="AS73" s="20">
        <f>IF(AND(ISNUMBER(AE73),ISNUMBER(I73),I73&lt;&gt;0,AE73&gt;0),AE73/I73,"")</f>
        <v/>
      </c>
      <c r="AT73" s="17">
        <f>IF(AND(ISNUMBER(Y73),ISNUMBER(AA73)),Y73-IF(ISNUMBER(T73),T73,0)-(AA73-IF(ISNUMBER(V73),V73,0)),"")</f>
        <v/>
      </c>
      <c r="AU73" s="17">
        <f>IF(AND(ISNUMBER(Z73),ISNUMBER(AB73)),Z73-IF(ISNUMBER(U73),U73,0)-(AB73-IF(ISNUMBER(W73),W73,0)),"")</f>
        <v/>
      </c>
      <c r="AV73" s="17">
        <f>IF(AND(ISNUMBER(AT73),ISNUMBER(AU73)),AT73-AU73,"")</f>
        <v/>
      </c>
      <c r="AW73" s="17">
        <f>IF(AND(ISNUMBER(L73),ISNUMBER(M73),ISNUMBER(AF73)),L73-M73*(1-AF73),IF(ISNUMBER(L73),L73,""))</f>
        <v/>
      </c>
      <c r="AX73" s="17">
        <f>IF(E73="금융","",IF(AND(ISNUMBER(AW73),ISNUMBER(N73),ISNUMBER(O73),ISNUMBER(AV73)),AW73+N73-O73-AV73,IF(AND(ISNUMBER(P73),ISNUMBER(O73)),P73-O73-IF(ISNUMBER(Q73),Q73,0),"")))</f>
        <v/>
      </c>
      <c r="AY73" s="8">
        <f>IF(E73="금융","금융업 - 정의되지 않음",IF(AND(ISNUMBER(AW73),ISNUMBER(N73),ISNUMBER(O73),ISNUMBER(AV73)),"영업순이익+감가상각-설비투자-운전자본증감",IF(AND(ISNUMBER(P73),ISNUMBER(O73)),IF(ISNUMBER(Q73),"영업현금흐름-설비투자-주식보상비용","영업현금흐름-설비투자(주식보상비용 미태깅)"),"산출불가")))</f>
        <v/>
      </c>
      <c r="AZ73" s="19">
        <f>IF(AND(ISNUMBER(AX73),ISNUMBER(G73),G73&lt;&gt;0),AX73/G73,"")</f>
        <v/>
      </c>
      <c r="BA73" s="19">
        <f>IF(AND(ISNUMBER(AE73),ISNUMBER(G73),G73&lt;&gt;0),AE73/G73,"")</f>
        <v/>
      </c>
    </row>
    <row r="74">
      <c r="A74" s="8" t="inlineStr">
        <is>
          <t>AVGO</t>
        </is>
      </c>
      <c r="B74" s="8" t="inlineStr">
        <is>
          <t>Broadcom Inc.</t>
        </is>
      </c>
      <c r="C74" s="8" t="n">
        <v>2025</v>
      </c>
      <c r="D74" s="8" t="inlineStr">
        <is>
          <t>2025-11-02</t>
        </is>
      </c>
      <c r="E74" s="8" t="inlineStr">
        <is>
          <t>일반</t>
        </is>
      </c>
      <c r="F74" s="8" t="inlineStr">
        <is>
          <t>0001730168-25-000121</t>
        </is>
      </c>
      <c r="G74" s="15" t="n">
        <v>63.887</v>
      </c>
      <c r="H74" s="15" t="n">
        <v>22.729</v>
      </c>
      <c r="I74" s="15" t="n">
        <v>3.21</v>
      </c>
      <c r="J74" s="15" t="n">
        <v>-0.397</v>
      </c>
      <c r="K74" s="15" t="n">
        <v>25.484</v>
      </c>
      <c r="L74" s="15" t="n">
        <v>23.126</v>
      </c>
      <c r="M74" s="15" t="n">
        <v>-0.017</v>
      </c>
      <c r="N74" s="15" t="n">
        <v>0.574</v>
      </c>
      <c r="O74" s="15" t="n">
        <v>0.623</v>
      </c>
      <c r="P74" s="15" t="n">
        <v>27.537</v>
      </c>
      <c r="Q74" s="15" t="n">
        <v>7.568</v>
      </c>
      <c r="R74" s="15" t="n">
        <v>81.292</v>
      </c>
      <c r="S74" s="15" t="n">
        <v>67.678</v>
      </c>
      <c r="T74" s="15" t="n">
        <v>16.178</v>
      </c>
      <c r="U74" s="15" t="n">
        <v>9.348000000000001</v>
      </c>
      <c r="V74" s="15" t="n">
        <v>3.152</v>
      </c>
      <c r="W74" s="15" t="n">
        <v>1.245</v>
      </c>
      <c r="X74" s="15" t="n">
        <v>61.984</v>
      </c>
      <c r="Y74" s="15" t="n">
        <v>31.573</v>
      </c>
      <c r="Z74" s="15" t="n">
        <v>19.595</v>
      </c>
      <c r="AA74" s="15" t="n">
        <v>18.514</v>
      </c>
      <c r="AB74" s="15" t="n">
        <v>16.697</v>
      </c>
      <c r="AC74" s="15" t="n">
        <v>125.87</v>
      </c>
      <c r="AD74" s="16" t="n">
        <v>4853</v>
      </c>
      <c r="AE74" s="17">
        <f>IF(ISNUMBER(K74),K74,IF(AND(ISNUMBER(H74),ISNUMBER(I74)),H74+I74,IF(ISNUMBER(H74),H74,"")))</f>
        <v/>
      </c>
      <c r="AF74" s="18">
        <f>IF(OR(NOT(ISNUMBER(J74)),NOT(ISNUMBER(H74)),H74&lt;=0),기준표!$B$8,MIN(MAX(J74/H74,기준표!$B$6),기준표!$B$7))</f>
        <v/>
      </c>
      <c r="AG74" s="17">
        <f>IF(ISNUMBER(AE74),AE74*(1-AF74),"")</f>
        <v/>
      </c>
      <c r="AH74" s="17">
        <f>IF(AND(NOT(ISNUMBER(V74)),NOT(ISNUMBER(X74))),"",IF(ISNUMBER(V74),V74,0)+IF(ISNUMBER(X74),X74,0))</f>
        <v/>
      </c>
      <c r="AI74" s="17">
        <f>IF(E74="금융","",IF(AND(ISNUMBER(R74),ISNUMBER(AH74),ISNUMBER(T74)),R74+AH74-T74,""))</f>
        <v/>
      </c>
      <c r="AJ74" s="17">
        <f>IF(E74="금융","",IF(NOT(ISNUMBER(AI74)),"",IF(ISNUMBER(AC74),(AI74+AC74)/2,AI74)))</f>
        <v/>
      </c>
      <c r="AK74" s="19">
        <f>IF(AND(ISNUMBER(AG74),ISNUMBER(AJ74),AJ74&gt;0),AG74/AJ74,"")</f>
        <v/>
      </c>
      <c r="AL74" s="17">
        <f>IF(E74="금융","",IF(AND(ISNUMBER(R74),ISNUMBER(AH74)),R74+AH74,""))</f>
        <v/>
      </c>
      <c r="AM74" s="19">
        <f>IF(OR(NOT(ISNUMBER(AG74)),NOT(ISNUMBER(AL74)),AL74&lt;=0),"",IF(AND(ISNUMBER(G74),AL74&lt;0.1*G74),"",AG74/AL74))</f>
        <v/>
      </c>
      <c r="AN74" s="17">
        <f>IF(NOT(ISNUMBER(R74)),"",IF(ISNUMBER(S74),(R74+S74)/2,R74))</f>
        <v/>
      </c>
      <c r="AO74" s="19">
        <f>IF(AND(ISNUMBER(L74),ISNUMBER(AN74),AN74&gt;0),L74/AN74,"")</f>
        <v/>
      </c>
      <c r="AP74" s="19">
        <f>IF(AND(ISNUMBER(AO74),ISNUMBER({ROIC})),AO74-{ROIC},"")</f>
        <v/>
      </c>
      <c r="AQ74" s="17">
        <f>IF(AND(ISNUMBER(AE74),ISNUMBER(N74)),AE74+N74,"")</f>
        <v/>
      </c>
      <c r="AR74" s="20">
        <f>IF(AND(ISNUMBER(AH74),ISNUMBER(T74),ISNUMBER(AQ74),AQ74&gt;0),(AH74-T74)/AQ74,"")</f>
        <v/>
      </c>
      <c r="AS74" s="20">
        <f>IF(AND(ISNUMBER(AE74),ISNUMBER(I74),I74&lt;&gt;0,AE74&gt;0),AE74/I74,"")</f>
        <v/>
      </c>
      <c r="AT74" s="17">
        <f>IF(AND(ISNUMBER(Y74),ISNUMBER(AA74)),Y74-IF(ISNUMBER(T74),T74,0)-(AA74-IF(ISNUMBER(V74),V74,0)),"")</f>
        <v/>
      </c>
      <c r="AU74" s="17">
        <f>IF(AND(ISNUMBER(Z74),ISNUMBER(AB74)),Z74-IF(ISNUMBER(U74),U74,0)-(AB74-IF(ISNUMBER(W74),W74,0)),"")</f>
        <v/>
      </c>
      <c r="AV74" s="17">
        <f>IF(AND(ISNUMBER(AT74),ISNUMBER(AU74)),AT74-AU74,"")</f>
        <v/>
      </c>
      <c r="AW74" s="17">
        <f>IF(AND(ISNUMBER(L74),ISNUMBER(M74),ISNUMBER(AF74)),L74-M74*(1-AF74),IF(ISNUMBER(L74),L74,""))</f>
        <v/>
      </c>
      <c r="AX74" s="17">
        <f>IF(E74="금융","",IF(AND(ISNUMBER(AW74),ISNUMBER(N74),ISNUMBER(O74),ISNUMBER(AV74)),AW74+N74-O74-AV74,IF(AND(ISNUMBER(P74),ISNUMBER(O74)),P74-O74-IF(ISNUMBER(Q74),Q74,0),"")))</f>
        <v/>
      </c>
      <c r="AY74" s="8">
        <f>IF(E74="금융","금융업 - 정의되지 않음",IF(AND(ISNUMBER(AW74),ISNUMBER(N74),ISNUMBER(O74),ISNUMBER(AV74)),"영업순이익+감가상각-설비투자-운전자본증감",IF(AND(ISNUMBER(P74),ISNUMBER(O74)),IF(ISNUMBER(Q74),"영업현금흐름-설비투자-주식보상비용","영업현금흐름-설비투자(주식보상비용 미태깅)"),"산출불가")))</f>
        <v/>
      </c>
      <c r="AZ74" s="19">
        <f>IF(AND(ISNUMBER(AX74),ISNUMBER(G74),G74&lt;&gt;0),AX74/G74,"")</f>
        <v/>
      </c>
      <c r="BA74" s="19">
        <f>IF(AND(ISNUMBER(AE74),ISNUMBER(G74),G74&lt;&gt;0),AE74/G74,"")</f>
        <v/>
      </c>
    </row>
    <row r="75">
      <c r="A75" s="8" t="inlineStr">
        <is>
          <t>META</t>
        </is>
      </c>
      <c r="B75" s="8" t="inlineStr">
        <is>
          <t>Meta Platforms, Inc.</t>
        </is>
      </c>
      <c r="C75" s="8" t="n">
        <v>2014</v>
      </c>
      <c r="D75" s="8" t="inlineStr">
        <is>
          <t>2014-12-31</t>
        </is>
      </c>
      <c r="E75" s="8" t="inlineStr">
        <is>
          <t>일반</t>
        </is>
      </c>
      <c r="F75" s="8" t="inlineStr">
        <is>
          <t>0001326801-17-000007</t>
        </is>
      </c>
      <c r="G75" s="15" t="n"/>
      <c r="H75" s="15" t="n">
        <v>4.91</v>
      </c>
      <c r="I75" s="15" t="n"/>
      <c r="J75" s="15" t="n">
        <v>1.97</v>
      </c>
      <c r="K75" s="15" t="n">
        <v>4.994</v>
      </c>
      <c r="L75" s="15" t="n">
        <v>2.94</v>
      </c>
      <c r="M75" s="15" t="n"/>
      <c r="N75" s="15" t="n">
        <v>1.243</v>
      </c>
      <c r="O75" s="15" t="n">
        <v>1.831</v>
      </c>
      <c r="P75" s="15" t="n">
        <v>7.326</v>
      </c>
      <c r="Q75" s="15" t="n">
        <v>1.786</v>
      </c>
      <c r="R75" s="15" t="n">
        <v>36.096</v>
      </c>
      <c r="S75" s="15" t="n"/>
      <c r="T75" s="15" t="n">
        <v>11.199</v>
      </c>
      <c r="U75" s="15" t="n"/>
      <c r="V75" s="15" t="n">
        <v>0</v>
      </c>
      <c r="W75" s="15" t="n"/>
      <c r="X75" s="15" t="n"/>
      <c r="Y75" s="15" t="n">
        <v>13.39</v>
      </c>
      <c r="Z75" s="15" t="n"/>
      <c r="AA75" s="15" t="n">
        <v>1.424</v>
      </c>
      <c r="AB75" s="15" t="n"/>
      <c r="AC75" s="15" t="n"/>
      <c r="AD75" s="16" t="n">
        <v>2664</v>
      </c>
      <c r="AE75" s="17">
        <f>IF(ISNUMBER(K75),K75,IF(AND(ISNUMBER(H75),ISNUMBER(I75)),H75+I75,IF(ISNUMBER(H75),H75,"")))</f>
        <v/>
      </c>
      <c r="AF75" s="18">
        <f>IF(OR(NOT(ISNUMBER(J75)),NOT(ISNUMBER(H75)),H75&lt;=0),기준표!$B$8,MIN(MAX(J75/H75,기준표!$B$6),기준표!$B$7))</f>
        <v/>
      </c>
      <c r="AG75" s="17">
        <f>IF(ISNUMBER(AE75),AE75*(1-AF75),"")</f>
        <v/>
      </c>
      <c r="AH75" s="17">
        <f>IF(AND(NOT(ISNUMBER(V75)),NOT(ISNUMBER(X75))),"",IF(ISNUMBER(V75),V75,0)+IF(ISNUMBER(X75),X75,0))</f>
        <v/>
      </c>
      <c r="AI75" s="17">
        <f>IF(E75="금융","",IF(AND(ISNUMBER(R75),ISNUMBER(AH75),ISNUMBER(T75)),R75+AH75-T75,""))</f>
        <v/>
      </c>
      <c r="AJ75" s="17">
        <f>IF(E75="금융","",IF(NOT(ISNUMBER(AI75)),"",IF(ISNUMBER(AC75),(AI75+AC75)/2,AI75)))</f>
        <v/>
      </c>
      <c r="AK75" s="19">
        <f>IF(AND(ISNUMBER(AG75),ISNUMBER(AJ75),AJ75&gt;0),AG75/AJ75,"")</f>
        <v/>
      </c>
      <c r="AL75" s="17">
        <f>IF(E75="금융","",IF(AND(ISNUMBER(R75),ISNUMBER(AH75)),R75+AH75,""))</f>
        <v/>
      </c>
      <c r="AM75" s="19">
        <f>IF(OR(NOT(ISNUMBER(AG75)),NOT(ISNUMBER(AL75)),AL75&lt;=0),"",IF(AND(ISNUMBER(G75),AL75&lt;0.1*G75),"",AG75/AL75))</f>
        <v/>
      </c>
      <c r="AN75" s="17">
        <f>IF(NOT(ISNUMBER(R75)),"",IF(ISNUMBER(S75),(R75+S75)/2,R75))</f>
        <v/>
      </c>
      <c r="AO75" s="19">
        <f>IF(AND(ISNUMBER(L75),ISNUMBER(AN75),AN75&gt;0),L75/AN75,"")</f>
        <v/>
      </c>
      <c r="AP75" s="19">
        <f>IF(AND(ISNUMBER(AO75),ISNUMBER({ROIC})),AO75-{ROIC},"")</f>
        <v/>
      </c>
      <c r="AQ75" s="17">
        <f>IF(AND(ISNUMBER(AE75),ISNUMBER(N75)),AE75+N75,"")</f>
        <v/>
      </c>
      <c r="AR75" s="20">
        <f>IF(AND(ISNUMBER(AH75),ISNUMBER(T75),ISNUMBER(AQ75),AQ75&gt;0),(AH75-T75)/AQ75,"")</f>
        <v/>
      </c>
      <c r="AS75" s="20">
        <f>IF(AND(ISNUMBER(AE75),ISNUMBER(I75),I75&lt;&gt;0,AE75&gt;0),AE75/I75,"")</f>
        <v/>
      </c>
      <c r="AT75" s="17">
        <f>IF(AND(ISNUMBER(Y75),ISNUMBER(AA75)),Y75-IF(ISNUMBER(T75),T75,0)-(AA75-IF(ISNUMBER(V75),V75,0)),"")</f>
        <v/>
      </c>
      <c r="AU75" s="17">
        <f>IF(AND(ISNUMBER(Z75),ISNUMBER(AB75)),Z75-IF(ISNUMBER(U75),U75,0)-(AB75-IF(ISNUMBER(W75),W75,0)),"")</f>
        <v/>
      </c>
      <c r="AV75" s="17">
        <f>IF(AND(ISNUMBER(AT75),ISNUMBER(AU75)),AT75-AU75,"")</f>
        <v/>
      </c>
      <c r="AW75" s="17">
        <f>IF(AND(ISNUMBER(L75),ISNUMBER(M75),ISNUMBER(AF75)),L75-M75*(1-AF75),IF(ISNUMBER(L75),L75,""))</f>
        <v/>
      </c>
      <c r="AX75" s="17">
        <f>IF(E75="금융","",IF(AND(ISNUMBER(AW75),ISNUMBER(N75),ISNUMBER(O75),ISNUMBER(AV75)),AW75+N75-O75-AV75,IF(AND(ISNUMBER(P75),ISNUMBER(O75)),P75-O75-IF(ISNUMBER(Q75),Q75,0),"")))</f>
        <v/>
      </c>
      <c r="AY75" s="8">
        <f>IF(E75="금융","금융업 - 정의되지 않음",IF(AND(ISNUMBER(AW75),ISNUMBER(N75),ISNUMBER(O75),ISNUMBER(AV75)),"영업순이익+감가상각-설비투자-운전자본증감",IF(AND(ISNUMBER(P75),ISNUMBER(O75)),IF(ISNUMBER(Q75),"영업현금흐름-설비투자-주식보상비용","영업현금흐름-설비투자(주식보상비용 미태깅)"),"산출불가")))</f>
        <v/>
      </c>
      <c r="AZ75" s="19">
        <f>IF(AND(ISNUMBER(AX75),ISNUMBER(G75),G75&lt;&gt;0),AX75/G75,"")</f>
        <v/>
      </c>
      <c r="BA75" s="19">
        <f>IF(AND(ISNUMBER(AE75),ISNUMBER(G75),G75&lt;&gt;0),AE75/G75,"")</f>
        <v/>
      </c>
    </row>
    <row r="76">
      <c r="A76" s="8" t="inlineStr">
        <is>
          <t>META</t>
        </is>
      </c>
      <c r="B76" s="8" t="inlineStr">
        <is>
          <t>Meta Platforms, Inc.</t>
        </is>
      </c>
      <c r="C76" s="8" t="n">
        <v>2015</v>
      </c>
      <c r="D76" s="8" t="inlineStr">
        <is>
          <t>2015-12-31</t>
        </is>
      </c>
      <c r="E76" s="8" t="inlineStr">
        <is>
          <t>일반</t>
        </is>
      </c>
      <c r="F76" s="8" t="inlineStr">
        <is>
          <t>0001326801-18-000009</t>
        </is>
      </c>
      <c r="G76" s="15" t="n"/>
      <c r="H76" s="15" t="n">
        <v>6.194</v>
      </c>
      <c r="I76" s="15" t="n"/>
      <c r="J76" s="15" t="n">
        <v>2.506</v>
      </c>
      <c r="K76" s="15" t="n">
        <v>6.225</v>
      </c>
      <c r="L76" s="15" t="n">
        <v>3.688</v>
      </c>
      <c r="M76" s="15" t="n"/>
      <c r="N76" s="15" t="n">
        <v>1.945</v>
      </c>
      <c r="O76" s="15" t="n">
        <v>2.523</v>
      </c>
      <c r="P76" s="15" t="n">
        <v>10.32</v>
      </c>
      <c r="Q76" s="15" t="n">
        <v>2.96</v>
      </c>
      <c r="R76" s="15" t="n">
        <v>44.218</v>
      </c>
      <c r="S76" s="15" t="n">
        <v>36.096</v>
      </c>
      <c r="T76" s="15" t="n">
        <v>18.434</v>
      </c>
      <c r="U76" s="15" t="n">
        <v>11.199</v>
      </c>
      <c r="V76" s="15" t="n">
        <v>0.201</v>
      </c>
      <c r="W76" s="15" t="n">
        <v>0</v>
      </c>
      <c r="X76" s="15" t="n"/>
      <c r="Y76" s="15" t="n">
        <v>21.652</v>
      </c>
      <c r="Z76" s="15" t="n">
        <v>13.39</v>
      </c>
      <c r="AA76" s="15" t="n">
        <v>1.925</v>
      </c>
      <c r="AB76" s="15" t="n">
        <v>1.424</v>
      </c>
      <c r="AC76" s="15" t="n">
        <v>24.897</v>
      </c>
      <c r="AD76" s="16" t="n">
        <v>2905</v>
      </c>
      <c r="AE76" s="17">
        <f>IF(ISNUMBER(K76),K76,IF(AND(ISNUMBER(H76),ISNUMBER(I76)),H76+I76,IF(ISNUMBER(H76),H76,"")))</f>
        <v/>
      </c>
      <c r="AF76" s="18">
        <f>IF(OR(NOT(ISNUMBER(J76)),NOT(ISNUMBER(H76)),H76&lt;=0),기준표!$B$8,MIN(MAX(J76/H76,기준표!$B$6),기준표!$B$7))</f>
        <v/>
      </c>
      <c r="AG76" s="17">
        <f>IF(ISNUMBER(AE76),AE76*(1-AF76),"")</f>
        <v/>
      </c>
      <c r="AH76" s="17">
        <f>IF(AND(NOT(ISNUMBER(V76)),NOT(ISNUMBER(X76))),"",IF(ISNUMBER(V76),V76,0)+IF(ISNUMBER(X76),X76,0))</f>
        <v/>
      </c>
      <c r="AI76" s="17">
        <f>IF(E76="금융","",IF(AND(ISNUMBER(R76),ISNUMBER(AH76),ISNUMBER(T76)),R76+AH76-T76,""))</f>
        <v/>
      </c>
      <c r="AJ76" s="17">
        <f>IF(E76="금융","",IF(NOT(ISNUMBER(AI76)),"",IF(ISNUMBER(AC76),(AI76+AC76)/2,AI76)))</f>
        <v/>
      </c>
      <c r="AK76" s="19">
        <f>IF(AND(ISNUMBER(AG76),ISNUMBER(AJ76),AJ76&gt;0),AG76/AJ76,"")</f>
        <v/>
      </c>
      <c r="AL76" s="17">
        <f>IF(E76="금융","",IF(AND(ISNUMBER(R76),ISNUMBER(AH76)),R76+AH76,""))</f>
        <v/>
      </c>
      <c r="AM76" s="19">
        <f>IF(OR(NOT(ISNUMBER(AG76)),NOT(ISNUMBER(AL76)),AL76&lt;=0),"",IF(AND(ISNUMBER(G76),AL76&lt;0.1*G76),"",AG76/AL76))</f>
        <v/>
      </c>
      <c r="AN76" s="17">
        <f>IF(NOT(ISNUMBER(R76)),"",IF(ISNUMBER(S76),(R76+S76)/2,R76))</f>
        <v/>
      </c>
      <c r="AO76" s="19">
        <f>IF(AND(ISNUMBER(L76),ISNUMBER(AN76),AN76&gt;0),L76/AN76,"")</f>
        <v/>
      </c>
      <c r="AP76" s="19">
        <f>IF(AND(ISNUMBER(AO76),ISNUMBER({ROIC})),AO76-{ROIC},"")</f>
        <v/>
      </c>
      <c r="AQ76" s="17">
        <f>IF(AND(ISNUMBER(AE76),ISNUMBER(N76)),AE76+N76,"")</f>
        <v/>
      </c>
      <c r="AR76" s="20">
        <f>IF(AND(ISNUMBER(AH76),ISNUMBER(T76),ISNUMBER(AQ76),AQ76&gt;0),(AH76-T76)/AQ76,"")</f>
        <v/>
      </c>
      <c r="AS76" s="20">
        <f>IF(AND(ISNUMBER(AE76),ISNUMBER(I76),I76&lt;&gt;0,AE76&gt;0),AE76/I76,"")</f>
        <v/>
      </c>
      <c r="AT76" s="17">
        <f>IF(AND(ISNUMBER(Y76),ISNUMBER(AA76)),Y76-IF(ISNUMBER(T76),T76,0)-(AA76-IF(ISNUMBER(V76),V76,0)),"")</f>
        <v/>
      </c>
      <c r="AU76" s="17">
        <f>IF(AND(ISNUMBER(Z76),ISNUMBER(AB76)),Z76-IF(ISNUMBER(U76),U76,0)-(AB76-IF(ISNUMBER(W76),W76,0)),"")</f>
        <v/>
      </c>
      <c r="AV76" s="17">
        <f>IF(AND(ISNUMBER(AT76),ISNUMBER(AU76)),AT76-AU76,"")</f>
        <v/>
      </c>
      <c r="AW76" s="17">
        <f>IF(AND(ISNUMBER(L76),ISNUMBER(M76),ISNUMBER(AF76)),L76-M76*(1-AF76),IF(ISNUMBER(L76),L76,""))</f>
        <v/>
      </c>
      <c r="AX76" s="17">
        <f>IF(E76="금융","",IF(AND(ISNUMBER(AW76),ISNUMBER(N76),ISNUMBER(O76),ISNUMBER(AV76)),AW76+N76-O76-AV76,IF(AND(ISNUMBER(P76),ISNUMBER(O76)),P76-O76-IF(ISNUMBER(Q76),Q76,0),"")))</f>
        <v/>
      </c>
      <c r="AY76" s="8">
        <f>IF(E76="금융","금융업 - 정의되지 않음",IF(AND(ISNUMBER(AW76),ISNUMBER(N76),ISNUMBER(O76),ISNUMBER(AV76)),"영업순이익+감가상각-설비투자-운전자본증감",IF(AND(ISNUMBER(P76),ISNUMBER(O76)),IF(ISNUMBER(Q76),"영업현금흐름-설비투자-주식보상비용","영업현금흐름-설비투자(주식보상비용 미태깅)"),"산출불가")))</f>
        <v/>
      </c>
      <c r="AZ76" s="19">
        <f>IF(AND(ISNUMBER(AX76),ISNUMBER(G76),G76&lt;&gt;0),AX76/G76,"")</f>
        <v/>
      </c>
      <c r="BA76" s="19">
        <f>IF(AND(ISNUMBER(AE76),ISNUMBER(G76),G76&lt;&gt;0),AE76/G76,"")</f>
        <v/>
      </c>
    </row>
    <row r="77">
      <c r="A77" s="8" t="inlineStr">
        <is>
          <t>META</t>
        </is>
      </c>
      <c r="B77" s="8" t="inlineStr">
        <is>
          <t>Meta Platforms, Inc.</t>
        </is>
      </c>
      <c r="C77" s="8" t="n">
        <v>2016</v>
      </c>
      <c r="D77" s="8" t="inlineStr">
        <is>
          <t>2016-12-31</t>
        </is>
      </c>
      <c r="E77" s="8" t="inlineStr">
        <is>
          <t>일반</t>
        </is>
      </c>
      <c r="F77" s="8" t="inlineStr">
        <is>
          <t>0001326801-19-000009</t>
        </is>
      </c>
      <c r="G77" s="15" t="n">
        <v>27.638</v>
      </c>
      <c r="H77" s="15" t="n">
        <v>12.518</v>
      </c>
      <c r="I77" s="15" t="n"/>
      <c r="J77" s="15" t="n">
        <v>2.301</v>
      </c>
      <c r="K77" s="15" t="n">
        <v>12.427</v>
      </c>
      <c r="L77" s="15" t="n">
        <v>10.217</v>
      </c>
      <c r="M77" s="15" t="n"/>
      <c r="N77" s="15" t="n">
        <v>2.342</v>
      </c>
      <c r="O77" s="15" t="n">
        <v>4.491</v>
      </c>
      <c r="P77" s="15" t="n">
        <v>16.108</v>
      </c>
      <c r="Q77" s="15" t="n">
        <v>3.218</v>
      </c>
      <c r="R77" s="15" t="n">
        <v>59.194</v>
      </c>
      <c r="S77" s="15" t="n">
        <v>44.218</v>
      </c>
      <c r="T77" s="15" t="n">
        <v>29.449</v>
      </c>
      <c r="U77" s="15" t="n">
        <v>18.434</v>
      </c>
      <c r="V77" s="15" t="n">
        <v>0</v>
      </c>
      <c r="W77" s="15" t="n">
        <v>0.201</v>
      </c>
      <c r="X77" s="15" t="n"/>
      <c r="Y77" s="15" t="n">
        <v>34.401</v>
      </c>
      <c r="Z77" s="15" t="n">
        <v>21.652</v>
      </c>
      <c r="AA77" s="15" t="n">
        <v>2.875</v>
      </c>
      <c r="AB77" s="15" t="n">
        <v>1.925</v>
      </c>
      <c r="AC77" s="15" t="n">
        <v>25.985</v>
      </c>
      <c r="AD77" s="16" t="n">
        <v>2925</v>
      </c>
      <c r="AE77" s="17">
        <f>IF(ISNUMBER(K77),K77,IF(AND(ISNUMBER(H77),ISNUMBER(I77)),H77+I77,IF(ISNUMBER(H77),H77,"")))</f>
        <v/>
      </c>
      <c r="AF77" s="18">
        <f>IF(OR(NOT(ISNUMBER(J77)),NOT(ISNUMBER(H77)),H77&lt;=0),기준표!$B$8,MIN(MAX(J77/H77,기준표!$B$6),기준표!$B$7))</f>
        <v/>
      </c>
      <c r="AG77" s="17">
        <f>IF(ISNUMBER(AE77),AE77*(1-AF77),"")</f>
        <v/>
      </c>
      <c r="AH77" s="17">
        <f>IF(AND(NOT(ISNUMBER(V77)),NOT(ISNUMBER(X77))),"",IF(ISNUMBER(V77),V77,0)+IF(ISNUMBER(X77),X77,0))</f>
        <v/>
      </c>
      <c r="AI77" s="17">
        <f>IF(E77="금융","",IF(AND(ISNUMBER(R77),ISNUMBER(AH77),ISNUMBER(T77)),R77+AH77-T77,""))</f>
        <v/>
      </c>
      <c r="AJ77" s="17">
        <f>IF(E77="금융","",IF(NOT(ISNUMBER(AI77)),"",IF(ISNUMBER(AC77),(AI77+AC77)/2,AI77)))</f>
        <v/>
      </c>
      <c r="AK77" s="19">
        <f>IF(AND(ISNUMBER(AG77),ISNUMBER(AJ77),AJ77&gt;0),AG77/AJ77,"")</f>
        <v/>
      </c>
      <c r="AL77" s="17">
        <f>IF(E77="금융","",IF(AND(ISNUMBER(R77),ISNUMBER(AH77)),R77+AH77,""))</f>
        <v/>
      </c>
      <c r="AM77" s="19">
        <f>IF(OR(NOT(ISNUMBER(AG77)),NOT(ISNUMBER(AL77)),AL77&lt;=0),"",IF(AND(ISNUMBER(G77),AL77&lt;0.1*G77),"",AG77/AL77))</f>
        <v/>
      </c>
      <c r="AN77" s="17">
        <f>IF(NOT(ISNUMBER(R77)),"",IF(ISNUMBER(S77),(R77+S77)/2,R77))</f>
        <v/>
      </c>
      <c r="AO77" s="19">
        <f>IF(AND(ISNUMBER(L77),ISNUMBER(AN77),AN77&gt;0),L77/AN77,"")</f>
        <v/>
      </c>
      <c r="AP77" s="19">
        <f>IF(AND(ISNUMBER(AO77),ISNUMBER({ROIC})),AO77-{ROIC},"")</f>
        <v/>
      </c>
      <c r="AQ77" s="17">
        <f>IF(AND(ISNUMBER(AE77),ISNUMBER(N77)),AE77+N77,"")</f>
        <v/>
      </c>
      <c r="AR77" s="20">
        <f>IF(AND(ISNUMBER(AH77),ISNUMBER(T77),ISNUMBER(AQ77),AQ77&gt;0),(AH77-T77)/AQ77,"")</f>
        <v/>
      </c>
      <c r="AS77" s="20">
        <f>IF(AND(ISNUMBER(AE77),ISNUMBER(I77),I77&lt;&gt;0,AE77&gt;0),AE77/I77,"")</f>
        <v/>
      </c>
      <c r="AT77" s="17">
        <f>IF(AND(ISNUMBER(Y77),ISNUMBER(AA77)),Y77-IF(ISNUMBER(T77),T77,0)-(AA77-IF(ISNUMBER(V77),V77,0)),"")</f>
        <v/>
      </c>
      <c r="AU77" s="17">
        <f>IF(AND(ISNUMBER(Z77),ISNUMBER(AB77)),Z77-IF(ISNUMBER(U77),U77,0)-(AB77-IF(ISNUMBER(W77),W77,0)),"")</f>
        <v/>
      </c>
      <c r="AV77" s="17">
        <f>IF(AND(ISNUMBER(AT77),ISNUMBER(AU77)),AT77-AU77,"")</f>
        <v/>
      </c>
      <c r="AW77" s="17">
        <f>IF(AND(ISNUMBER(L77),ISNUMBER(M77),ISNUMBER(AF77)),L77-M77*(1-AF77),IF(ISNUMBER(L77),L77,""))</f>
        <v/>
      </c>
      <c r="AX77" s="17">
        <f>IF(E77="금융","",IF(AND(ISNUMBER(AW77),ISNUMBER(N77),ISNUMBER(O77),ISNUMBER(AV77)),AW77+N77-O77-AV77,IF(AND(ISNUMBER(P77),ISNUMBER(O77)),P77-O77-IF(ISNUMBER(Q77),Q77,0),"")))</f>
        <v/>
      </c>
      <c r="AY77" s="8">
        <f>IF(E77="금융","금융업 - 정의되지 않음",IF(AND(ISNUMBER(AW77),ISNUMBER(N77),ISNUMBER(O77),ISNUMBER(AV77)),"영업순이익+감가상각-설비투자-운전자본증감",IF(AND(ISNUMBER(P77),ISNUMBER(O77)),IF(ISNUMBER(Q77),"영업현금흐름-설비투자-주식보상비용","영업현금흐름-설비투자(주식보상비용 미태깅)"),"산출불가")))</f>
        <v/>
      </c>
      <c r="AZ77" s="19">
        <f>IF(AND(ISNUMBER(AX77),ISNUMBER(G77),G77&lt;&gt;0),AX77/G77,"")</f>
        <v/>
      </c>
      <c r="BA77" s="19">
        <f>IF(AND(ISNUMBER(AE77),ISNUMBER(G77),G77&lt;&gt;0),AE77/G77,"")</f>
        <v/>
      </c>
    </row>
    <row r="78">
      <c r="A78" s="8" t="inlineStr">
        <is>
          <t>META</t>
        </is>
      </c>
      <c r="B78" s="8" t="inlineStr">
        <is>
          <t>Meta Platforms, Inc.</t>
        </is>
      </c>
      <c r="C78" s="8" t="n">
        <v>2017</v>
      </c>
      <c r="D78" s="8" t="inlineStr">
        <is>
          <t>2017-12-31</t>
        </is>
      </c>
      <c r="E78" s="8" t="inlineStr">
        <is>
          <t>일반</t>
        </is>
      </c>
      <c r="F78" s="8" t="inlineStr">
        <is>
          <t>0001326801-20-000013</t>
        </is>
      </c>
      <c r="G78" s="15" t="n">
        <v>40.653</v>
      </c>
      <c r="H78" s="15" t="n">
        <v>20.594</v>
      </c>
      <c r="I78" s="15" t="n"/>
      <c r="J78" s="15" t="n">
        <v>4.66</v>
      </c>
      <c r="K78" s="15" t="n">
        <v>20.203</v>
      </c>
      <c r="L78" s="15" t="n">
        <v>15.934</v>
      </c>
      <c r="M78" s="15" t="n"/>
      <c r="N78" s="15" t="n">
        <v>3.025</v>
      </c>
      <c r="O78" s="15" t="n">
        <v>6.733</v>
      </c>
      <c r="P78" s="15" t="n">
        <v>24.216</v>
      </c>
      <c r="Q78" s="15" t="n">
        <v>3.723</v>
      </c>
      <c r="R78" s="15" t="n">
        <v>74.34699999999999</v>
      </c>
      <c r="S78" s="15" t="n">
        <v>59.194</v>
      </c>
      <c r="T78" s="15" t="n">
        <v>41.711</v>
      </c>
      <c r="U78" s="15" t="n">
        <v>29.449</v>
      </c>
      <c r="V78" s="15" t="n"/>
      <c r="W78" s="15" t="n">
        <v>0</v>
      </c>
      <c r="X78" s="15" t="n"/>
      <c r="Y78" s="15" t="n">
        <v>48.563</v>
      </c>
      <c r="Z78" s="15" t="n">
        <v>34.401</v>
      </c>
      <c r="AA78" s="15" t="n">
        <v>3.76</v>
      </c>
      <c r="AB78" s="15" t="n">
        <v>2.875</v>
      </c>
      <c r="AC78" s="15" t="n">
        <v>29.745</v>
      </c>
      <c r="AD78" s="16" t="n">
        <v>2956</v>
      </c>
      <c r="AE78" s="17">
        <f>IF(ISNUMBER(K78),K78,IF(AND(ISNUMBER(H78),ISNUMBER(I78)),H78+I78,IF(ISNUMBER(H78),H78,"")))</f>
        <v/>
      </c>
      <c r="AF78" s="18">
        <f>IF(OR(NOT(ISNUMBER(J78)),NOT(ISNUMBER(H78)),H78&lt;=0),기준표!$B$8,MIN(MAX(J78/H78,기준표!$B$6),기준표!$B$7))</f>
        <v/>
      </c>
      <c r="AG78" s="17">
        <f>IF(ISNUMBER(AE78),AE78*(1-AF78),"")</f>
        <v/>
      </c>
      <c r="AH78" s="17">
        <f>IF(AND(NOT(ISNUMBER(V78)),NOT(ISNUMBER(X78))),"",IF(ISNUMBER(V78),V78,0)+IF(ISNUMBER(X78),X78,0))</f>
        <v/>
      </c>
      <c r="AI78" s="17">
        <f>IF(E78="금융","",IF(AND(ISNUMBER(R78),ISNUMBER(AH78),ISNUMBER(T78)),R78+AH78-T78,""))</f>
        <v/>
      </c>
      <c r="AJ78" s="17">
        <f>IF(E78="금융","",IF(NOT(ISNUMBER(AI78)),"",IF(ISNUMBER(AC78),(AI78+AC78)/2,AI78)))</f>
        <v/>
      </c>
      <c r="AK78" s="19">
        <f>IF(AND(ISNUMBER(AG78),ISNUMBER(AJ78),AJ78&gt;0),AG78/AJ78,"")</f>
        <v/>
      </c>
      <c r="AL78" s="17">
        <f>IF(E78="금융","",IF(AND(ISNUMBER(R78),ISNUMBER(AH78)),R78+AH78,""))</f>
        <v/>
      </c>
      <c r="AM78" s="19">
        <f>IF(OR(NOT(ISNUMBER(AG78)),NOT(ISNUMBER(AL78)),AL78&lt;=0),"",IF(AND(ISNUMBER(G78),AL78&lt;0.1*G78),"",AG78/AL78))</f>
        <v/>
      </c>
      <c r="AN78" s="17">
        <f>IF(NOT(ISNUMBER(R78)),"",IF(ISNUMBER(S78),(R78+S78)/2,R78))</f>
        <v/>
      </c>
      <c r="AO78" s="19">
        <f>IF(AND(ISNUMBER(L78),ISNUMBER(AN78),AN78&gt;0),L78/AN78,"")</f>
        <v/>
      </c>
      <c r="AP78" s="19">
        <f>IF(AND(ISNUMBER(AO78),ISNUMBER({ROIC})),AO78-{ROIC},"")</f>
        <v/>
      </c>
      <c r="AQ78" s="17">
        <f>IF(AND(ISNUMBER(AE78),ISNUMBER(N78)),AE78+N78,"")</f>
        <v/>
      </c>
      <c r="AR78" s="20">
        <f>IF(AND(ISNUMBER(AH78),ISNUMBER(T78),ISNUMBER(AQ78),AQ78&gt;0),(AH78-T78)/AQ78,"")</f>
        <v/>
      </c>
      <c r="AS78" s="20">
        <f>IF(AND(ISNUMBER(AE78),ISNUMBER(I78),I78&lt;&gt;0,AE78&gt;0),AE78/I78,"")</f>
        <v/>
      </c>
      <c r="AT78" s="17">
        <f>IF(AND(ISNUMBER(Y78),ISNUMBER(AA78)),Y78-IF(ISNUMBER(T78),T78,0)-(AA78-IF(ISNUMBER(V78),V78,0)),"")</f>
        <v/>
      </c>
      <c r="AU78" s="17">
        <f>IF(AND(ISNUMBER(Z78),ISNUMBER(AB78)),Z78-IF(ISNUMBER(U78),U78,0)-(AB78-IF(ISNUMBER(W78),W78,0)),"")</f>
        <v/>
      </c>
      <c r="AV78" s="17">
        <f>IF(AND(ISNUMBER(AT78),ISNUMBER(AU78)),AT78-AU78,"")</f>
        <v/>
      </c>
      <c r="AW78" s="17">
        <f>IF(AND(ISNUMBER(L78),ISNUMBER(M78),ISNUMBER(AF78)),L78-M78*(1-AF78),IF(ISNUMBER(L78),L78,""))</f>
        <v/>
      </c>
      <c r="AX78" s="17">
        <f>IF(E78="금융","",IF(AND(ISNUMBER(AW78),ISNUMBER(N78),ISNUMBER(O78),ISNUMBER(AV78)),AW78+N78-O78-AV78,IF(AND(ISNUMBER(P78),ISNUMBER(O78)),P78-O78-IF(ISNUMBER(Q78),Q78,0),"")))</f>
        <v/>
      </c>
      <c r="AY78" s="8">
        <f>IF(E78="금융","금융업 - 정의되지 않음",IF(AND(ISNUMBER(AW78),ISNUMBER(N78),ISNUMBER(O78),ISNUMBER(AV78)),"영업순이익+감가상각-설비투자-운전자본증감",IF(AND(ISNUMBER(P78),ISNUMBER(O78)),IF(ISNUMBER(Q78),"영업현금흐름-설비투자-주식보상비용","영업현금흐름-설비투자(주식보상비용 미태깅)"),"산출불가")))</f>
        <v/>
      </c>
      <c r="AZ78" s="19">
        <f>IF(AND(ISNUMBER(AX78),ISNUMBER(G78),G78&lt;&gt;0),AX78/G78,"")</f>
        <v/>
      </c>
      <c r="BA78" s="19">
        <f>IF(AND(ISNUMBER(AE78),ISNUMBER(G78),G78&lt;&gt;0),AE78/G78,"")</f>
        <v/>
      </c>
    </row>
    <row r="79">
      <c r="A79" s="8" t="inlineStr">
        <is>
          <t>META</t>
        </is>
      </c>
      <c r="B79" s="8" t="inlineStr">
        <is>
          <t>Meta Platforms, Inc.</t>
        </is>
      </c>
      <c r="C79" s="8" t="n">
        <v>2018</v>
      </c>
      <c r="D79" s="8" t="inlineStr">
        <is>
          <t>2018-12-31</t>
        </is>
      </c>
      <c r="E79" s="8" t="inlineStr">
        <is>
          <t>일반</t>
        </is>
      </c>
      <c r="F79" s="8" t="inlineStr">
        <is>
          <t>0001326801-21-000014</t>
        </is>
      </c>
      <c r="G79" s="15" t="n">
        <v>55.838</v>
      </c>
      <c r="H79" s="15" t="n">
        <v>25.361</v>
      </c>
      <c r="I79" s="15" t="n"/>
      <c r="J79" s="15" t="n">
        <v>3.249</v>
      </c>
      <c r="K79" s="15" t="n">
        <v>24.913</v>
      </c>
      <c r="L79" s="15" t="n">
        <v>22.112</v>
      </c>
      <c r="M79" s="15" t="n"/>
      <c r="N79" s="15" t="n">
        <v>4.315</v>
      </c>
      <c r="O79" s="15" t="n">
        <v>13.915</v>
      </c>
      <c r="P79" s="15" t="n">
        <v>29.274</v>
      </c>
      <c r="Q79" s="15" t="n">
        <v>4.152</v>
      </c>
      <c r="R79" s="15" t="n">
        <v>84.127</v>
      </c>
      <c r="S79" s="15" t="n">
        <v>74.34699999999999</v>
      </c>
      <c r="T79" s="15" t="n">
        <v>41.114</v>
      </c>
      <c r="U79" s="15" t="n">
        <v>41.711</v>
      </c>
      <c r="V79" s="15" t="n"/>
      <c r="W79" s="15" t="n"/>
      <c r="X79" s="15" t="n"/>
      <c r="Y79" s="15" t="n">
        <v>50.48</v>
      </c>
      <c r="Z79" s="15" t="n">
        <v>48.563</v>
      </c>
      <c r="AA79" s="15" t="n">
        <v>7.017</v>
      </c>
      <c r="AB79" s="15" t="n">
        <v>3.76</v>
      </c>
      <c r="AC79" s="15" t="n"/>
      <c r="AD79" s="16" t="n">
        <v>2921</v>
      </c>
      <c r="AE79" s="17">
        <f>IF(ISNUMBER(K79),K79,IF(AND(ISNUMBER(H79),ISNUMBER(I79)),H79+I79,IF(ISNUMBER(H79),H79,"")))</f>
        <v/>
      </c>
      <c r="AF79" s="18">
        <f>IF(OR(NOT(ISNUMBER(J79)),NOT(ISNUMBER(H79)),H79&lt;=0),기준표!$B$8,MIN(MAX(J79/H79,기준표!$B$6),기준표!$B$7))</f>
        <v/>
      </c>
      <c r="AG79" s="17">
        <f>IF(ISNUMBER(AE79),AE79*(1-AF79),"")</f>
        <v/>
      </c>
      <c r="AH79" s="17">
        <f>IF(AND(NOT(ISNUMBER(V79)),NOT(ISNUMBER(X79))),"",IF(ISNUMBER(V79),V79,0)+IF(ISNUMBER(X79),X79,0))</f>
        <v/>
      </c>
      <c r="AI79" s="17">
        <f>IF(E79="금융","",IF(AND(ISNUMBER(R79),ISNUMBER(AH79),ISNUMBER(T79)),R79+AH79-T79,""))</f>
        <v/>
      </c>
      <c r="AJ79" s="17">
        <f>IF(E79="금융","",IF(NOT(ISNUMBER(AI79)),"",IF(ISNUMBER(AC79),(AI79+AC79)/2,AI79)))</f>
        <v/>
      </c>
      <c r="AK79" s="19">
        <f>IF(AND(ISNUMBER(AG79),ISNUMBER(AJ79),AJ79&gt;0),AG79/AJ79,"")</f>
        <v/>
      </c>
      <c r="AL79" s="17">
        <f>IF(E79="금융","",IF(AND(ISNUMBER(R79),ISNUMBER(AH79)),R79+AH79,""))</f>
        <v/>
      </c>
      <c r="AM79" s="19">
        <f>IF(OR(NOT(ISNUMBER(AG79)),NOT(ISNUMBER(AL79)),AL79&lt;=0),"",IF(AND(ISNUMBER(G79),AL79&lt;0.1*G79),"",AG79/AL79))</f>
        <v/>
      </c>
      <c r="AN79" s="17">
        <f>IF(NOT(ISNUMBER(R79)),"",IF(ISNUMBER(S79),(R79+S79)/2,R79))</f>
        <v/>
      </c>
      <c r="AO79" s="19">
        <f>IF(AND(ISNUMBER(L79),ISNUMBER(AN79),AN79&gt;0),L79/AN79,"")</f>
        <v/>
      </c>
      <c r="AP79" s="19">
        <f>IF(AND(ISNUMBER(AO79),ISNUMBER({ROIC})),AO79-{ROIC},"")</f>
        <v/>
      </c>
      <c r="AQ79" s="17">
        <f>IF(AND(ISNUMBER(AE79),ISNUMBER(N79)),AE79+N79,"")</f>
        <v/>
      </c>
      <c r="AR79" s="20">
        <f>IF(AND(ISNUMBER(AH79),ISNUMBER(T79),ISNUMBER(AQ79),AQ79&gt;0),(AH79-T79)/AQ79,"")</f>
        <v/>
      </c>
      <c r="AS79" s="20">
        <f>IF(AND(ISNUMBER(AE79),ISNUMBER(I79),I79&lt;&gt;0,AE79&gt;0),AE79/I79,"")</f>
        <v/>
      </c>
      <c r="AT79" s="17">
        <f>IF(AND(ISNUMBER(Y79),ISNUMBER(AA79)),Y79-IF(ISNUMBER(T79),T79,0)-(AA79-IF(ISNUMBER(V79),V79,0)),"")</f>
        <v/>
      </c>
      <c r="AU79" s="17">
        <f>IF(AND(ISNUMBER(Z79),ISNUMBER(AB79)),Z79-IF(ISNUMBER(U79),U79,0)-(AB79-IF(ISNUMBER(W79),W79,0)),"")</f>
        <v/>
      </c>
      <c r="AV79" s="17">
        <f>IF(AND(ISNUMBER(AT79),ISNUMBER(AU79)),AT79-AU79,"")</f>
        <v/>
      </c>
      <c r="AW79" s="17">
        <f>IF(AND(ISNUMBER(L79),ISNUMBER(M79),ISNUMBER(AF79)),L79-M79*(1-AF79),IF(ISNUMBER(L79),L79,""))</f>
        <v/>
      </c>
      <c r="AX79" s="17">
        <f>IF(E79="금융","",IF(AND(ISNUMBER(AW79),ISNUMBER(N79),ISNUMBER(O79),ISNUMBER(AV79)),AW79+N79-O79-AV79,IF(AND(ISNUMBER(P79),ISNUMBER(O79)),P79-O79-IF(ISNUMBER(Q79),Q79,0),"")))</f>
        <v/>
      </c>
      <c r="AY79" s="8">
        <f>IF(E79="금융","금융업 - 정의되지 않음",IF(AND(ISNUMBER(AW79),ISNUMBER(N79),ISNUMBER(O79),ISNUMBER(AV79)),"영업순이익+감가상각-설비투자-운전자본증감",IF(AND(ISNUMBER(P79),ISNUMBER(O79)),IF(ISNUMBER(Q79),"영업현금흐름-설비투자-주식보상비용","영업현금흐름-설비투자(주식보상비용 미태깅)"),"산출불가")))</f>
        <v/>
      </c>
      <c r="AZ79" s="19">
        <f>IF(AND(ISNUMBER(AX79),ISNUMBER(G79),G79&lt;&gt;0),AX79/G79,"")</f>
        <v/>
      </c>
      <c r="BA79" s="19">
        <f>IF(AND(ISNUMBER(AE79),ISNUMBER(G79),G79&lt;&gt;0),AE79/G79,"")</f>
        <v/>
      </c>
    </row>
    <row r="80">
      <c r="A80" s="8" t="inlineStr">
        <is>
          <t>META</t>
        </is>
      </c>
      <c r="B80" s="8" t="inlineStr">
        <is>
          <t>Meta Platforms, Inc.</t>
        </is>
      </c>
      <c r="C80" s="8" t="n">
        <v>2019</v>
      </c>
      <c r="D80" s="8" t="inlineStr">
        <is>
          <t>2019-12-31</t>
        </is>
      </c>
      <c r="E80" s="8" t="inlineStr">
        <is>
          <t>일반</t>
        </is>
      </c>
      <c r="F80" s="8" t="inlineStr">
        <is>
          <t>0001326801-22-000018</t>
        </is>
      </c>
      <c r="G80" s="15" t="n">
        <v>70.697</v>
      </c>
      <c r="H80" s="15" t="n">
        <v>24.812</v>
      </c>
      <c r="I80" s="15" t="n"/>
      <c r="J80" s="15" t="n">
        <v>6.327</v>
      </c>
      <c r="K80" s="15" t="n">
        <v>23.986</v>
      </c>
      <c r="L80" s="15" t="n">
        <v>18.485</v>
      </c>
      <c r="M80" s="15" t="n"/>
      <c r="N80" s="15" t="n">
        <v>5.741</v>
      </c>
      <c r="O80" s="15" t="n">
        <v>15.102</v>
      </c>
      <c r="P80" s="15" t="n">
        <v>36.314</v>
      </c>
      <c r="Q80" s="15" t="n">
        <v>4.836</v>
      </c>
      <c r="R80" s="15" t="n">
        <v>101.054</v>
      </c>
      <c r="S80" s="15" t="n">
        <v>84.127</v>
      </c>
      <c r="T80" s="15" t="n">
        <v>54.855</v>
      </c>
      <c r="U80" s="15" t="n">
        <v>41.114</v>
      </c>
      <c r="V80" s="15" t="n"/>
      <c r="W80" s="15" t="n"/>
      <c r="X80" s="15" t="n"/>
      <c r="Y80" s="15" t="n">
        <v>66.22499999999999</v>
      </c>
      <c r="Z80" s="15" t="n">
        <v>50.48</v>
      </c>
      <c r="AA80" s="15" t="n">
        <v>15.053</v>
      </c>
      <c r="AB80" s="15" t="n">
        <v>7.017</v>
      </c>
      <c r="AC80" s="15" t="n"/>
      <c r="AD80" s="16" t="n">
        <v>2876</v>
      </c>
      <c r="AE80" s="17">
        <f>IF(ISNUMBER(K80),K80,IF(AND(ISNUMBER(H80),ISNUMBER(I80)),H80+I80,IF(ISNUMBER(H80),H80,"")))</f>
        <v/>
      </c>
      <c r="AF80" s="18">
        <f>IF(OR(NOT(ISNUMBER(J80)),NOT(ISNUMBER(H80)),H80&lt;=0),기준표!$B$8,MIN(MAX(J80/H80,기준표!$B$6),기준표!$B$7))</f>
        <v/>
      </c>
      <c r="AG80" s="17">
        <f>IF(ISNUMBER(AE80),AE80*(1-AF80),"")</f>
        <v/>
      </c>
      <c r="AH80" s="17">
        <f>IF(AND(NOT(ISNUMBER(V80)),NOT(ISNUMBER(X80))),"",IF(ISNUMBER(V80),V80,0)+IF(ISNUMBER(X80),X80,0))</f>
        <v/>
      </c>
      <c r="AI80" s="17">
        <f>IF(E80="금융","",IF(AND(ISNUMBER(R80),ISNUMBER(AH80),ISNUMBER(T80)),R80+AH80-T80,""))</f>
        <v/>
      </c>
      <c r="AJ80" s="17">
        <f>IF(E80="금융","",IF(NOT(ISNUMBER(AI80)),"",IF(ISNUMBER(AC80),(AI80+AC80)/2,AI80)))</f>
        <v/>
      </c>
      <c r="AK80" s="19">
        <f>IF(AND(ISNUMBER(AG80),ISNUMBER(AJ80),AJ80&gt;0),AG80/AJ80,"")</f>
        <v/>
      </c>
      <c r="AL80" s="17">
        <f>IF(E80="금융","",IF(AND(ISNUMBER(R80),ISNUMBER(AH80)),R80+AH80,""))</f>
        <v/>
      </c>
      <c r="AM80" s="19">
        <f>IF(OR(NOT(ISNUMBER(AG80)),NOT(ISNUMBER(AL80)),AL80&lt;=0),"",IF(AND(ISNUMBER(G80),AL80&lt;0.1*G80),"",AG80/AL80))</f>
        <v/>
      </c>
      <c r="AN80" s="17">
        <f>IF(NOT(ISNUMBER(R80)),"",IF(ISNUMBER(S80),(R80+S80)/2,R80))</f>
        <v/>
      </c>
      <c r="AO80" s="19">
        <f>IF(AND(ISNUMBER(L80),ISNUMBER(AN80),AN80&gt;0),L80/AN80,"")</f>
        <v/>
      </c>
      <c r="AP80" s="19">
        <f>IF(AND(ISNUMBER(AO80),ISNUMBER({ROIC})),AO80-{ROIC},"")</f>
        <v/>
      </c>
      <c r="AQ80" s="17">
        <f>IF(AND(ISNUMBER(AE80),ISNUMBER(N80)),AE80+N80,"")</f>
        <v/>
      </c>
      <c r="AR80" s="20">
        <f>IF(AND(ISNUMBER(AH80),ISNUMBER(T80),ISNUMBER(AQ80),AQ80&gt;0),(AH80-T80)/AQ80,"")</f>
        <v/>
      </c>
      <c r="AS80" s="20">
        <f>IF(AND(ISNUMBER(AE80),ISNUMBER(I80),I80&lt;&gt;0,AE80&gt;0),AE80/I80,"")</f>
        <v/>
      </c>
      <c r="AT80" s="17">
        <f>IF(AND(ISNUMBER(Y80),ISNUMBER(AA80)),Y80-IF(ISNUMBER(T80),T80,0)-(AA80-IF(ISNUMBER(V80),V80,0)),"")</f>
        <v/>
      </c>
      <c r="AU80" s="17">
        <f>IF(AND(ISNUMBER(Z80),ISNUMBER(AB80)),Z80-IF(ISNUMBER(U80),U80,0)-(AB80-IF(ISNUMBER(W80),W80,0)),"")</f>
        <v/>
      </c>
      <c r="AV80" s="17">
        <f>IF(AND(ISNUMBER(AT80),ISNUMBER(AU80)),AT80-AU80,"")</f>
        <v/>
      </c>
      <c r="AW80" s="17">
        <f>IF(AND(ISNUMBER(L80),ISNUMBER(M80),ISNUMBER(AF80)),L80-M80*(1-AF80),IF(ISNUMBER(L80),L80,""))</f>
        <v/>
      </c>
      <c r="AX80" s="17">
        <f>IF(E80="금융","",IF(AND(ISNUMBER(AW80),ISNUMBER(N80),ISNUMBER(O80),ISNUMBER(AV80)),AW80+N80-O80-AV80,IF(AND(ISNUMBER(P80),ISNUMBER(O80)),P80-O80-IF(ISNUMBER(Q80),Q80,0),"")))</f>
        <v/>
      </c>
      <c r="AY80" s="8">
        <f>IF(E80="금융","금융업 - 정의되지 않음",IF(AND(ISNUMBER(AW80),ISNUMBER(N80),ISNUMBER(O80),ISNUMBER(AV80)),"영업순이익+감가상각-설비투자-운전자본증감",IF(AND(ISNUMBER(P80),ISNUMBER(O80)),IF(ISNUMBER(Q80),"영업현금흐름-설비투자-주식보상비용","영업현금흐름-설비투자(주식보상비용 미태깅)"),"산출불가")))</f>
        <v/>
      </c>
      <c r="AZ80" s="19">
        <f>IF(AND(ISNUMBER(AX80),ISNUMBER(G80),G80&lt;&gt;0),AX80/G80,"")</f>
        <v/>
      </c>
      <c r="BA80" s="19">
        <f>IF(AND(ISNUMBER(AE80),ISNUMBER(G80),G80&lt;&gt;0),AE80/G80,"")</f>
        <v/>
      </c>
    </row>
    <row r="81">
      <c r="A81" s="8" t="inlineStr">
        <is>
          <t>META</t>
        </is>
      </c>
      <c r="B81" s="8" t="inlineStr">
        <is>
          <t>Meta Platforms, Inc.</t>
        </is>
      </c>
      <c r="C81" s="8" t="n">
        <v>2020</v>
      </c>
      <c r="D81" s="8" t="inlineStr">
        <is>
          <t>2020-12-31</t>
        </is>
      </c>
      <c r="E81" s="8" t="inlineStr">
        <is>
          <t>일반</t>
        </is>
      </c>
      <c r="F81" s="8" t="inlineStr">
        <is>
          <t>0001326801-23-000013</t>
        </is>
      </c>
      <c r="G81" s="15" t="n">
        <v>85.965</v>
      </c>
      <c r="H81" s="15" t="n">
        <v>33.18</v>
      </c>
      <c r="I81" s="15" t="n"/>
      <c r="J81" s="15" t="n">
        <v>4.034</v>
      </c>
      <c r="K81" s="15" t="n">
        <v>32.671</v>
      </c>
      <c r="L81" s="15" t="n">
        <v>29.146</v>
      </c>
      <c r="M81" s="15" t="n">
        <v>-0.033</v>
      </c>
      <c r="N81" s="15" t="n">
        <v>6.862</v>
      </c>
      <c r="O81" s="15" t="n">
        <v>15.163</v>
      </c>
      <c r="P81" s="15" t="n">
        <v>38.747</v>
      </c>
      <c r="Q81" s="15" t="n">
        <v>6.536</v>
      </c>
      <c r="R81" s="15" t="n">
        <v>128.29</v>
      </c>
      <c r="S81" s="15" t="n">
        <v>101.054</v>
      </c>
      <c r="T81" s="15" t="n">
        <v>61.954</v>
      </c>
      <c r="U81" s="15" t="n">
        <v>54.855</v>
      </c>
      <c r="V81" s="15" t="n"/>
      <c r="W81" s="15" t="n"/>
      <c r="X81" s="15" t="n"/>
      <c r="Y81" s="15" t="n">
        <v>75.67</v>
      </c>
      <c r="Z81" s="15" t="n">
        <v>66.22499999999999</v>
      </c>
      <c r="AA81" s="15" t="n">
        <v>14.981</v>
      </c>
      <c r="AB81" s="15" t="n">
        <v>15.053</v>
      </c>
      <c r="AC81" s="15" t="n"/>
      <c r="AD81" s="16" t="n">
        <v>2888</v>
      </c>
      <c r="AE81" s="17">
        <f>IF(ISNUMBER(K81),K81,IF(AND(ISNUMBER(H81),ISNUMBER(I81)),H81+I81,IF(ISNUMBER(H81),H81,"")))</f>
        <v/>
      </c>
      <c r="AF81" s="18">
        <f>IF(OR(NOT(ISNUMBER(J81)),NOT(ISNUMBER(H81)),H81&lt;=0),기준표!$B$8,MIN(MAX(J81/H81,기준표!$B$6),기준표!$B$7))</f>
        <v/>
      </c>
      <c r="AG81" s="17">
        <f>IF(ISNUMBER(AE81),AE81*(1-AF81),"")</f>
        <v/>
      </c>
      <c r="AH81" s="17">
        <f>IF(AND(NOT(ISNUMBER(V81)),NOT(ISNUMBER(X81))),"",IF(ISNUMBER(V81),V81,0)+IF(ISNUMBER(X81),X81,0))</f>
        <v/>
      </c>
      <c r="AI81" s="17">
        <f>IF(E81="금융","",IF(AND(ISNUMBER(R81),ISNUMBER(AH81),ISNUMBER(T81)),R81+AH81-T81,""))</f>
        <v/>
      </c>
      <c r="AJ81" s="17">
        <f>IF(E81="금융","",IF(NOT(ISNUMBER(AI81)),"",IF(ISNUMBER(AC81),(AI81+AC81)/2,AI81)))</f>
        <v/>
      </c>
      <c r="AK81" s="19">
        <f>IF(AND(ISNUMBER(AG81),ISNUMBER(AJ81),AJ81&gt;0),AG81/AJ81,"")</f>
        <v/>
      </c>
      <c r="AL81" s="17">
        <f>IF(E81="금융","",IF(AND(ISNUMBER(R81),ISNUMBER(AH81)),R81+AH81,""))</f>
        <v/>
      </c>
      <c r="AM81" s="19">
        <f>IF(OR(NOT(ISNUMBER(AG81)),NOT(ISNUMBER(AL81)),AL81&lt;=0),"",IF(AND(ISNUMBER(G81),AL81&lt;0.1*G81),"",AG81/AL81))</f>
        <v/>
      </c>
      <c r="AN81" s="17">
        <f>IF(NOT(ISNUMBER(R81)),"",IF(ISNUMBER(S81),(R81+S81)/2,R81))</f>
        <v/>
      </c>
      <c r="AO81" s="19">
        <f>IF(AND(ISNUMBER(L81),ISNUMBER(AN81),AN81&gt;0),L81/AN81,"")</f>
        <v/>
      </c>
      <c r="AP81" s="19">
        <f>IF(AND(ISNUMBER(AO81),ISNUMBER({ROIC})),AO81-{ROIC},"")</f>
        <v/>
      </c>
      <c r="AQ81" s="17">
        <f>IF(AND(ISNUMBER(AE81),ISNUMBER(N81)),AE81+N81,"")</f>
        <v/>
      </c>
      <c r="AR81" s="20">
        <f>IF(AND(ISNUMBER(AH81),ISNUMBER(T81),ISNUMBER(AQ81),AQ81&gt;0),(AH81-T81)/AQ81,"")</f>
        <v/>
      </c>
      <c r="AS81" s="20">
        <f>IF(AND(ISNUMBER(AE81),ISNUMBER(I81),I81&lt;&gt;0,AE81&gt;0),AE81/I81,"")</f>
        <v/>
      </c>
      <c r="AT81" s="17">
        <f>IF(AND(ISNUMBER(Y81),ISNUMBER(AA81)),Y81-IF(ISNUMBER(T81),T81,0)-(AA81-IF(ISNUMBER(V81),V81,0)),"")</f>
        <v/>
      </c>
      <c r="AU81" s="17">
        <f>IF(AND(ISNUMBER(Z81),ISNUMBER(AB81)),Z81-IF(ISNUMBER(U81),U81,0)-(AB81-IF(ISNUMBER(W81),W81,0)),"")</f>
        <v/>
      </c>
      <c r="AV81" s="17">
        <f>IF(AND(ISNUMBER(AT81),ISNUMBER(AU81)),AT81-AU81,"")</f>
        <v/>
      </c>
      <c r="AW81" s="17">
        <f>IF(AND(ISNUMBER(L81),ISNUMBER(M81),ISNUMBER(AF81)),L81-M81*(1-AF81),IF(ISNUMBER(L81),L81,""))</f>
        <v/>
      </c>
      <c r="AX81" s="17">
        <f>IF(E81="금융","",IF(AND(ISNUMBER(AW81),ISNUMBER(N81),ISNUMBER(O81),ISNUMBER(AV81)),AW81+N81-O81-AV81,IF(AND(ISNUMBER(P81),ISNUMBER(O81)),P81-O81-IF(ISNUMBER(Q81),Q81,0),"")))</f>
        <v/>
      </c>
      <c r="AY81" s="8">
        <f>IF(E81="금융","금융업 - 정의되지 않음",IF(AND(ISNUMBER(AW81),ISNUMBER(N81),ISNUMBER(O81),ISNUMBER(AV81)),"영업순이익+감가상각-설비투자-운전자본증감",IF(AND(ISNUMBER(P81),ISNUMBER(O81)),IF(ISNUMBER(Q81),"영업현금흐름-설비투자-주식보상비용","영업현금흐름-설비투자(주식보상비용 미태깅)"),"산출불가")))</f>
        <v/>
      </c>
      <c r="AZ81" s="19">
        <f>IF(AND(ISNUMBER(AX81),ISNUMBER(G81),G81&lt;&gt;0),AX81/G81,"")</f>
        <v/>
      </c>
      <c r="BA81" s="19">
        <f>IF(AND(ISNUMBER(AE81),ISNUMBER(G81),G81&lt;&gt;0),AE81/G81,"")</f>
        <v/>
      </c>
    </row>
    <row r="82">
      <c r="A82" s="8" t="inlineStr">
        <is>
          <t>META</t>
        </is>
      </c>
      <c r="B82" s="8" t="inlineStr">
        <is>
          <t>Meta Platforms, Inc.</t>
        </is>
      </c>
      <c r="C82" s="8" t="n">
        <v>2021</v>
      </c>
      <c r="D82" s="8" t="inlineStr">
        <is>
          <t>2021-12-31</t>
        </is>
      </c>
      <c r="E82" s="8" t="inlineStr">
        <is>
          <t>일반</t>
        </is>
      </c>
      <c r="F82" s="8" t="inlineStr">
        <is>
          <t>0001326801-24-000012</t>
        </is>
      </c>
      <c r="G82" s="15" t="n">
        <v>117.929</v>
      </c>
      <c r="H82" s="15" t="n">
        <v>47.284</v>
      </c>
      <c r="I82" s="15" t="n"/>
      <c r="J82" s="15" t="n">
        <v>7.914</v>
      </c>
      <c r="K82" s="15" t="n">
        <v>46.753</v>
      </c>
      <c r="L82" s="15" t="n">
        <v>39.37</v>
      </c>
      <c r="M82" s="15" t="n">
        <v>0.232</v>
      </c>
      <c r="N82" s="15" t="n">
        <v>7.967</v>
      </c>
      <c r="O82" s="15" t="n">
        <v>18.69</v>
      </c>
      <c r="P82" s="15" t="n">
        <v>57.683</v>
      </c>
      <c r="Q82" s="15" t="n">
        <v>9.164</v>
      </c>
      <c r="R82" s="15" t="n">
        <v>124.879</v>
      </c>
      <c r="S82" s="15" t="n">
        <v>128.29</v>
      </c>
      <c r="T82" s="15" t="n">
        <v>47.998</v>
      </c>
      <c r="U82" s="15" t="n">
        <v>61.954</v>
      </c>
      <c r="V82" s="15" t="n"/>
      <c r="W82" s="15" t="n"/>
      <c r="X82" s="15" t="n">
        <v>0</v>
      </c>
      <c r="Y82" s="15" t="n">
        <v>66.666</v>
      </c>
      <c r="Z82" s="15" t="n">
        <v>75.67</v>
      </c>
      <c r="AA82" s="15" t="n">
        <v>21.135</v>
      </c>
      <c r="AB82" s="15" t="n">
        <v>14.981</v>
      </c>
      <c r="AC82" s="15" t="n"/>
      <c r="AD82" s="16" t="n">
        <v>2859</v>
      </c>
      <c r="AE82" s="17">
        <f>IF(ISNUMBER(K82),K82,IF(AND(ISNUMBER(H82),ISNUMBER(I82)),H82+I82,IF(ISNUMBER(H82),H82,"")))</f>
        <v/>
      </c>
      <c r="AF82" s="18">
        <f>IF(OR(NOT(ISNUMBER(J82)),NOT(ISNUMBER(H82)),H82&lt;=0),기준표!$B$8,MIN(MAX(J82/H82,기준표!$B$6),기준표!$B$7))</f>
        <v/>
      </c>
      <c r="AG82" s="17">
        <f>IF(ISNUMBER(AE82),AE82*(1-AF82),"")</f>
        <v/>
      </c>
      <c r="AH82" s="17">
        <f>IF(AND(NOT(ISNUMBER(V82)),NOT(ISNUMBER(X82))),"",IF(ISNUMBER(V82),V82,0)+IF(ISNUMBER(X82),X82,0))</f>
        <v/>
      </c>
      <c r="AI82" s="17">
        <f>IF(E82="금융","",IF(AND(ISNUMBER(R82),ISNUMBER(AH82),ISNUMBER(T82)),R82+AH82-T82,""))</f>
        <v/>
      </c>
      <c r="AJ82" s="17">
        <f>IF(E82="금융","",IF(NOT(ISNUMBER(AI82)),"",IF(ISNUMBER(AC82),(AI82+AC82)/2,AI82)))</f>
        <v/>
      </c>
      <c r="AK82" s="19">
        <f>IF(AND(ISNUMBER(AG82),ISNUMBER(AJ82),AJ82&gt;0),AG82/AJ82,"")</f>
        <v/>
      </c>
      <c r="AL82" s="17">
        <f>IF(E82="금융","",IF(AND(ISNUMBER(R82),ISNUMBER(AH82)),R82+AH82,""))</f>
        <v/>
      </c>
      <c r="AM82" s="19">
        <f>IF(OR(NOT(ISNUMBER(AG82)),NOT(ISNUMBER(AL82)),AL82&lt;=0),"",IF(AND(ISNUMBER(G82),AL82&lt;0.1*G82),"",AG82/AL82))</f>
        <v/>
      </c>
      <c r="AN82" s="17">
        <f>IF(NOT(ISNUMBER(R82)),"",IF(ISNUMBER(S82),(R82+S82)/2,R82))</f>
        <v/>
      </c>
      <c r="AO82" s="19">
        <f>IF(AND(ISNUMBER(L82),ISNUMBER(AN82),AN82&gt;0),L82/AN82,"")</f>
        <v/>
      </c>
      <c r="AP82" s="19">
        <f>IF(AND(ISNUMBER(AO82),ISNUMBER({ROIC})),AO82-{ROIC},"")</f>
        <v/>
      </c>
      <c r="AQ82" s="17">
        <f>IF(AND(ISNUMBER(AE82),ISNUMBER(N82)),AE82+N82,"")</f>
        <v/>
      </c>
      <c r="AR82" s="20">
        <f>IF(AND(ISNUMBER(AH82),ISNUMBER(T82),ISNUMBER(AQ82),AQ82&gt;0),(AH82-T82)/AQ82,"")</f>
        <v/>
      </c>
      <c r="AS82" s="20">
        <f>IF(AND(ISNUMBER(AE82),ISNUMBER(I82),I82&lt;&gt;0,AE82&gt;0),AE82/I82,"")</f>
        <v/>
      </c>
      <c r="AT82" s="17">
        <f>IF(AND(ISNUMBER(Y82),ISNUMBER(AA82)),Y82-IF(ISNUMBER(T82),T82,0)-(AA82-IF(ISNUMBER(V82),V82,0)),"")</f>
        <v/>
      </c>
      <c r="AU82" s="17">
        <f>IF(AND(ISNUMBER(Z82),ISNUMBER(AB82)),Z82-IF(ISNUMBER(U82),U82,0)-(AB82-IF(ISNUMBER(W82),W82,0)),"")</f>
        <v/>
      </c>
      <c r="AV82" s="17">
        <f>IF(AND(ISNUMBER(AT82),ISNUMBER(AU82)),AT82-AU82,"")</f>
        <v/>
      </c>
      <c r="AW82" s="17">
        <f>IF(AND(ISNUMBER(L82),ISNUMBER(M82),ISNUMBER(AF82)),L82-M82*(1-AF82),IF(ISNUMBER(L82),L82,""))</f>
        <v/>
      </c>
      <c r="AX82" s="17">
        <f>IF(E82="금융","",IF(AND(ISNUMBER(AW82),ISNUMBER(N82),ISNUMBER(O82),ISNUMBER(AV82)),AW82+N82-O82-AV82,IF(AND(ISNUMBER(P82),ISNUMBER(O82)),P82-O82-IF(ISNUMBER(Q82),Q82,0),"")))</f>
        <v/>
      </c>
      <c r="AY82" s="8">
        <f>IF(E82="금융","금융업 - 정의되지 않음",IF(AND(ISNUMBER(AW82),ISNUMBER(N82),ISNUMBER(O82),ISNUMBER(AV82)),"영업순이익+감가상각-설비투자-운전자본증감",IF(AND(ISNUMBER(P82),ISNUMBER(O82)),IF(ISNUMBER(Q82),"영업현금흐름-설비투자-주식보상비용","영업현금흐름-설비투자(주식보상비용 미태깅)"),"산출불가")))</f>
        <v/>
      </c>
      <c r="AZ82" s="19">
        <f>IF(AND(ISNUMBER(AX82),ISNUMBER(G82),G82&lt;&gt;0),AX82/G82,"")</f>
        <v/>
      </c>
      <c r="BA82" s="19">
        <f>IF(AND(ISNUMBER(AE82),ISNUMBER(G82),G82&lt;&gt;0),AE82/G82,"")</f>
        <v/>
      </c>
    </row>
    <row r="83">
      <c r="A83" s="8" t="inlineStr">
        <is>
          <t>META</t>
        </is>
      </c>
      <c r="B83" s="8" t="inlineStr">
        <is>
          <t>Meta Platforms, Inc.</t>
        </is>
      </c>
      <c r="C83" s="8" t="n">
        <v>2022</v>
      </c>
      <c r="D83" s="8" t="inlineStr">
        <is>
          <t>2022-12-31</t>
        </is>
      </c>
      <c r="E83" s="8" t="inlineStr">
        <is>
          <t>일반</t>
        </is>
      </c>
      <c r="F83" s="8" t="inlineStr">
        <is>
          <t>0001326801-25-000017</t>
        </is>
      </c>
      <c r="G83" s="15" t="n">
        <v>116.609</v>
      </c>
      <c r="H83" s="15" t="n">
        <v>28.819</v>
      </c>
      <c r="I83" s="15" t="n">
        <v>0.16</v>
      </c>
      <c r="J83" s="15" t="n">
        <v>5.619</v>
      </c>
      <c r="K83" s="15" t="n">
        <v>28.944</v>
      </c>
      <c r="L83" s="15" t="n">
        <v>23.2</v>
      </c>
      <c r="M83" s="15" t="n">
        <v>-0.463</v>
      </c>
      <c r="N83" s="15" t="n">
        <v>8.686</v>
      </c>
      <c r="O83" s="15" t="n">
        <v>31.186</v>
      </c>
      <c r="P83" s="15" t="n">
        <v>50.475</v>
      </c>
      <c r="Q83" s="15" t="n">
        <v>11.992</v>
      </c>
      <c r="R83" s="15" t="n">
        <v>125.713</v>
      </c>
      <c r="S83" s="15" t="n">
        <v>124.879</v>
      </c>
      <c r="T83" s="15" t="n">
        <v>40.738</v>
      </c>
      <c r="U83" s="15" t="n">
        <v>47.998</v>
      </c>
      <c r="V83" s="15" t="n"/>
      <c r="W83" s="15" t="n"/>
      <c r="X83" s="15" t="n">
        <v>9.923</v>
      </c>
      <c r="Y83" s="15" t="n">
        <v>59.549</v>
      </c>
      <c r="Z83" s="15" t="n">
        <v>66.666</v>
      </c>
      <c r="AA83" s="15" t="n">
        <v>27.026</v>
      </c>
      <c r="AB83" s="15" t="n">
        <v>21.135</v>
      </c>
      <c r="AC83" s="15" t="n">
        <v>76.881</v>
      </c>
      <c r="AD83" s="16" t="n">
        <v>2702</v>
      </c>
      <c r="AE83" s="17">
        <f>IF(ISNUMBER(K83),K83,IF(AND(ISNUMBER(H83),ISNUMBER(I83)),H83+I83,IF(ISNUMBER(H83),H83,"")))</f>
        <v/>
      </c>
      <c r="AF83" s="18">
        <f>IF(OR(NOT(ISNUMBER(J83)),NOT(ISNUMBER(H83)),H83&lt;=0),기준표!$B$8,MIN(MAX(J83/H83,기준표!$B$6),기준표!$B$7))</f>
        <v/>
      </c>
      <c r="AG83" s="17">
        <f>IF(ISNUMBER(AE83),AE83*(1-AF83),"")</f>
        <v/>
      </c>
      <c r="AH83" s="17">
        <f>IF(AND(NOT(ISNUMBER(V83)),NOT(ISNUMBER(X83))),"",IF(ISNUMBER(V83),V83,0)+IF(ISNUMBER(X83),X83,0))</f>
        <v/>
      </c>
      <c r="AI83" s="17">
        <f>IF(E83="금융","",IF(AND(ISNUMBER(R83),ISNUMBER(AH83),ISNUMBER(T83)),R83+AH83-T83,""))</f>
        <v/>
      </c>
      <c r="AJ83" s="17">
        <f>IF(E83="금융","",IF(NOT(ISNUMBER(AI83)),"",IF(ISNUMBER(AC83),(AI83+AC83)/2,AI83)))</f>
        <v/>
      </c>
      <c r="AK83" s="19">
        <f>IF(AND(ISNUMBER(AG83),ISNUMBER(AJ83),AJ83&gt;0),AG83/AJ83,"")</f>
        <v/>
      </c>
      <c r="AL83" s="17">
        <f>IF(E83="금융","",IF(AND(ISNUMBER(R83),ISNUMBER(AH83)),R83+AH83,""))</f>
        <v/>
      </c>
      <c r="AM83" s="19">
        <f>IF(OR(NOT(ISNUMBER(AG83)),NOT(ISNUMBER(AL83)),AL83&lt;=0),"",IF(AND(ISNUMBER(G83),AL83&lt;0.1*G83),"",AG83/AL83))</f>
        <v/>
      </c>
      <c r="AN83" s="17">
        <f>IF(NOT(ISNUMBER(R83)),"",IF(ISNUMBER(S83),(R83+S83)/2,R83))</f>
        <v/>
      </c>
      <c r="AO83" s="19">
        <f>IF(AND(ISNUMBER(L83),ISNUMBER(AN83),AN83&gt;0),L83/AN83,"")</f>
        <v/>
      </c>
      <c r="AP83" s="19">
        <f>IF(AND(ISNUMBER(AO83),ISNUMBER({ROIC})),AO83-{ROIC},"")</f>
        <v/>
      </c>
      <c r="AQ83" s="17">
        <f>IF(AND(ISNUMBER(AE83),ISNUMBER(N83)),AE83+N83,"")</f>
        <v/>
      </c>
      <c r="AR83" s="20">
        <f>IF(AND(ISNUMBER(AH83),ISNUMBER(T83),ISNUMBER(AQ83),AQ83&gt;0),(AH83-T83)/AQ83,"")</f>
        <v/>
      </c>
      <c r="AS83" s="20">
        <f>IF(AND(ISNUMBER(AE83),ISNUMBER(I83),I83&lt;&gt;0,AE83&gt;0),AE83/I83,"")</f>
        <v/>
      </c>
      <c r="AT83" s="17">
        <f>IF(AND(ISNUMBER(Y83),ISNUMBER(AA83)),Y83-IF(ISNUMBER(T83),T83,0)-(AA83-IF(ISNUMBER(V83),V83,0)),"")</f>
        <v/>
      </c>
      <c r="AU83" s="17">
        <f>IF(AND(ISNUMBER(Z83),ISNUMBER(AB83)),Z83-IF(ISNUMBER(U83),U83,0)-(AB83-IF(ISNUMBER(W83),W83,0)),"")</f>
        <v/>
      </c>
      <c r="AV83" s="17">
        <f>IF(AND(ISNUMBER(AT83),ISNUMBER(AU83)),AT83-AU83,"")</f>
        <v/>
      </c>
      <c r="AW83" s="17">
        <f>IF(AND(ISNUMBER(L83),ISNUMBER(M83),ISNUMBER(AF83)),L83-M83*(1-AF83),IF(ISNUMBER(L83),L83,""))</f>
        <v/>
      </c>
      <c r="AX83" s="17">
        <f>IF(E83="금융","",IF(AND(ISNUMBER(AW83),ISNUMBER(N83),ISNUMBER(O83),ISNUMBER(AV83)),AW83+N83-O83-AV83,IF(AND(ISNUMBER(P83),ISNUMBER(O83)),P83-O83-IF(ISNUMBER(Q83),Q83,0),"")))</f>
        <v/>
      </c>
      <c r="AY83" s="8">
        <f>IF(E83="금융","금융업 - 정의되지 않음",IF(AND(ISNUMBER(AW83),ISNUMBER(N83),ISNUMBER(O83),ISNUMBER(AV83)),"영업순이익+감가상각-설비투자-운전자본증감",IF(AND(ISNUMBER(P83),ISNUMBER(O83)),IF(ISNUMBER(Q83),"영업현금흐름-설비투자-주식보상비용","영업현금흐름-설비투자(주식보상비용 미태깅)"),"산출불가")))</f>
        <v/>
      </c>
      <c r="AZ83" s="19">
        <f>IF(AND(ISNUMBER(AX83),ISNUMBER(G83),G83&lt;&gt;0),AX83/G83,"")</f>
        <v/>
      </c>
      <c r="BA83" s="19">
        <f>IF(AND(ISNUMBER(AE83),ISNUMBER(G83),G83&lt;&gt;0),AE83/G83,"")</f>
        <v/>
      </c>
    </row>
    <row r="84">
      <c r="A84" s="8" t="inlineStr">
        <is>
          <t>META</t>
        </is>
      </c>
      <c r="B84" s="8" t="inlineStr">
        <is>
          <t>Meta Platforms, Inc.</t>
        </is>
      </c>
      <c r="C84" s="8" t="n">
        <v>2023</v>
      </c>
      <c r="D84" s="8" t="inlineStr">
        <is>
          <t>2023-12-31</t>
        </is>
      </c>
      <c r="E84" s="8" t="inlineStr">
        <is>
          <t>일반</t>
        </is>
      </c>
      <c r="F84" s="8" t="inlineStr">
        <is>
          <t>0001628280-26-003942</t>
        </is>
      </c>
      <c r="G84" s="15" t="n">
        <v>134.902</v>
      </c>
      <c r="H84" s="15" t="n">
        <v>47.428</v>
      </c>
      <c r="I84" s="15" t="n">
        <v>0.42</v>
      </c>
      <c r="J84" s="15" t="n">
        <v>8.33</v>
      </c>
      <c r="K84" s="15" t="n">
        <v>46.751</v>
      </c>
      <c r="L84" s="15" t="n">
        <v>39.098</v>
      </c>
      <c r="M84" s="15" t="n"/>
      <c r="N84" s="15" t="n">
        <v>11.178</v>
      </c>
      <c r="O84" s="15" t="n">
        <v>27.045</v>
      </c>
      <c r="P84" s="15" t="n">
        <v>71.113</v>
      </c>
      <c r="Q84" s="15" t="n">
        <v>14.027</v>
      </c>
      <c r="R84" s="15" t="n">
        <v>153.168</v>
      </c>
      <c r="S84" s="15" t="n">
        <v>125.713</v>
      </c>
      <c r="T84" s="15" t="n">
        <v>65.40300000000001</v>
      </c>
      <c r="U84" s="15" t="n">
        <v>40.738</v>
      </c>
      <c r="V84" s="15" t="n"/>
      <c r="W84" s="15" t="n"/>
      <c r="X84" s="15" t="n">
        <v>18.385</v>
      </c>
      <c r="Y84" s="15" t="n">
        <v>85.36499999999999</v>
      </c>
      <c r="Z84" s="15" t="n">
        <v>59.549</v>
      </c>
      <c r="AA84" s="15" t="n">
        <v>31.96</v>
      </c>
      <c r="AB84" s="15" t="n">
        <v>27.026</v>
      </c>
      <c r="AC84" s="15" t="n">
        <v>94.898</v>
      </c>
      <c r="AD84" s="16" t="n">
        <v>2629</v>
      </c>
      <c r="AE84" s="17">
        <f>IF(ISNUMBER(K84),K84,IF(AND(ISNUMBER(H84),ISNUMBER(I84)),H84+I84,IF(ISNUMBER(H84),H84,"")))</f>
        <v/>
      </c>
      <c r="AF84" s="18">
        <f>IF(OR(NOT(ISNUMBER(J84)),NOT(ISNUMBER(H84)),H84&lt;=0),기준표!$B$8,MIN(MAX(J84/H84,기준표!$B$6),기준표!$B$7))</f>
        <v/>
      </c>
      <c r="AG84" s="17">
        <f>IF(ISNUMBER(AE84),AE84*(1-AF84),"")</f>
        <v/>
      </c>
      <c r="AH84" s="17">
        <f>IF(AND(NOT(ISNUMBER(V84)),NOT(ISNUMBER(X84))),"",IF(ISNUMBER(V84),V84,0)+IF(ISNUMBER(X84),X84,0))</f>
        <v/>
      </c>
      <c r="AI84" s="17">
        <f>IF(E84="금융","",IF(AND(ISNUMBER(R84),ISNUMBER(AH84),ISNUMBER(T84)),R84+AH84-T84,""))</f>
        <v/>
      </c>
      <c r="AJ84" s="17">
        <f>IF(E84="금융","",IF(NOT(ISNUMBER(AI84)),"",IF(ISNUMBER(AC84),(AI84+AC84)/2,AI84)))</f>
        <v/>
      </c>
      <c r="AK84" s="19">
        <f>IF(AND(ISNUMBER(AG84),ISNUMBER(AJ84),AJ84&gt;0),AG84/AJ84,"")</f>
        <v/>
      </c>
      <c r="AL84" s="17">
        <f>IF(E84="금융","",IF(AND(ISNUMBER(R84),ISNUMBER(AH84)),R84+AH84,""))</f>
        <v/>
      </c>
      <c r="AM84" s="19">
        <f>IF(OR(NOT(ISNUMBER(AG84)),NOT(ISNUMBER(AL84)),AL84&lt;=0),"",IF(AND(ISNUMBER(G84),AL84&lt;0.1*G84),"",AG84/AL84))</f>
        <v/>
      </c>
      <c r="AN84" s="17">
        <f>IF(NOT(ISNUMBER(R84)),"",IF(ISNUMBER(S84),(R84+S84)/2,R84))</f>
        <v/>
      </c>
      <c r="AO84" s="19">
        <f>IF(AND(ISNUMBER(L84),ISNUMBER(AN84),AN84&gt;0),L84/AN84,"")</f>
        <v/>
      </c>
      <c r="AP84" s="19">
        <f>IF(AND(ISNUMBER(AO84),ISNUMBER({ROIC})),AO84-{ROIC},"")</f>
        <v/>
      </c>
      <c r="AQ84" s="17">
        <f>IF(AND(ISNUMBER(AE84),ISNUMBER(N84)),AE84+N84,"")</f>
        <v/>
      </c>
      <c r="AR84" s="20">
        <f>IF(AND(ISNUMBER(AH84),ISNUMBER(T84),ISNUMBER(AQ84),AQ84&gt;0),(AH84-T84)/AQ84,"")</f>
        <v/>
      </c>
      <c r="AS84" s="20">
        <f>IF(AND(ISNUMBER(AE84),ISNUMBER(I84),I84&lt;&gt;0,AE84&gt;0),AE84/I84,"")</f>
        <v/>
      </c>
      <c r="AT84" s="17">
        <f>IF(AND(ISNUMBER(Y84),ISNUMBER(AA84)),Y84-IF(ISNUMBER(T84),T84,0)-(AA84-IF(ISNUMBER(V84),V84,0)),"")</f>
        <v/>
      </c>
      <c r="AU84" s="17">
        <f>IF(AND(ISNUMBER(Z84),ISNUMBER(AB84)),Z84-IF(ISNUMBER(U84),U84,0)-(AB84-IF(ISNUMBER(W84),W84,0)),"")</f>
        <v/>
      </c>
      <c r="AV84" s="17">
        <f>IF(AND(ISNUMBER(AT84),ISNUMBER(AU84)),AT84-AU84,"")</f>
        <v/>
      </c>
      <c r="AW84" s="17">
        <f>IF(AND(ISNUMBER(L84),ISNUMBER(M84),ISNUMBER(AF84)),L84-M84*(1-AF84),IF(ISNUMBER(L84),L84,""))</f>
        <v/>
      </c>
      <c r="AX84" s="17">
        <f>IF(E84="금융","",IF(AND(ISNUMBER(AW84),ISNUMBER(N84),ISNUMBER(O84),ISNUMBER(AV84)),AW84+N84-O84-AV84,IF(AND(ISNUMBER(P84),ISNUMBER(O84)),P84-O84-IF(ISNUMBER(Q84),Q84,0),"")))</f>
        <v/>
      </c>
      <c r="AY84" s="8">
        <f>IF(E84="금융","금융업 - 정의되지 않음",IF(AND(ISNUMBER(AW84),ISNUMBER(N84),ISNUMBER(O84),ISNUMBER(AV84)),"영업순이익+감가상각-설비투자-운전자본증감",IF(AND(ISNUMBER(P84),ISNUMBER(O84)),IF(ISNUMBER(Q84),"영업현금흐름-설비투자-주식보상비용","영업현금흐름-설비투자(주식보상비용 미태깅)"),"산출불가")))</f>
        <v/>
      </c>
      <c r="AZ84" s="19">
        <f>IF(AND(ISNUMBER(AX84),ISNUMBER(G84),G84&lt;&gt;0),AX84/G84,"")</f>
        <v/>
      </c>
      <c r="BA84" s="19">
        <f>IF(AND(ISNUMBER(AE84),ISNUMBER(G84),G84&lt;&gt;0),AE84/G84,"")</f>
        <v/>
      </c>
    </row>
    <row r="85">
      <c r="A85" s="8" t="inlineStr">
        <is>
          <t>META</t>
        </is>
      </c>
      <c r="B85" s="8" t="inlineStr">
        <is>
          <t>Meta Platforms, Inc.</t>
        </is>
      </c>
      <c r="C85" s="8" t="n">
        <v>2024</v>
      </c>
      <c r="D85" s="8" t="inlineStr">
        <is>
          <t>2024-12-31</t>
        </is>
      </c>
      <c r="E85" s="8" t="inlineStr">
        <is>
          <t>일반</t>
        </is>
      </c>
      <c r="F85" s="8" t="inlineStr">
        <is>
          <t>0001628280-26-003942</t>
        </is>
      </c>
      <c r="G85" s="15" t="n">
        <v>164.501</v>
      </c>
      <c r="H85" s="15" t="n">
        <v>70.663</v>
      </c>
      <c r="I85" s="15" t="n">
        <v>0.6830000000000001</v>
      </c>
      <c r="J85" s="15" t="n">
        <v>8.303000000000001</v>
      </c>
      <c r="K85" s="15" t="n">
        <v>69.38</v>
      </c>
      <c r="L85" s="15" t="n">
        <v>62.36</v>
      </c>
      <c r="M85" s="15" t="n"/>
      <c r="N85" s="15" t="n">
        <v>15.498</v>
      </c>
      <c r="O85" s="15" t="n">
        <v>37.256</v>
      </c>
      <c r="P85" s="15" t="n">
        <v>91.328</v>
      </c>
      <c r="Q85" s="15" t="n">
        <v>16.69</v>
      </c>
      <c r="R85" s="15" t="n">
        <v>182.637</v>
      </c>
      <c r="S85" s="15" t="n">
        <v>153.168</v>
      </c>
      <c r="T85" s="15" t="n">
        <v>77.815</v>
      </c>
      <c r="U85" s="15" t="n">
        <v>65.40300000000001</v>
      </c>
      <c r="V85" s="15" t="n"/>
      <c r="W85" s="15" t="n"/>
      <c r="X85" s="15" t="n">
        <v>28.826</v>
      </c>
      <c r="Y85" s="15" t="n">
        <v>100.045</v>
      </c>
      <c r="Z85" s="15" t="n">
        <v>85.36499999999999</v>
      </c>
      <c r="AA85" s="15" t="n">
        <v>33.596</v>
      </c>
      <c r="AB85" s="15" t="n">
        <v>31.96</v>
      </c>
      <c r="AC85" s="15" t="n">
        <v>106.15</v>
      </c>
      <c r="AD85" s="16" t="n">
        <v>2614</v>
      </c>
      <c r="AE85" s="17">
        <f>IF(ISNUMBER(K85),K85,IF(AND(ISNUMBER(H85),ISNUMBER(I85)),H85+I85,IF(ISNUMBER(H85),H85,"")))</f>
        <v/>
      </c>
      <c r="AF85" s="18">
        <f>IF(OR(NOT(ISNUMBER(J85)),NOT(ISNUMBER(H85)),H85&lt;=0),기준표!$B$8,MIN(MAX(J85/H85,기준표!$B$6),기준표!$B$7))</f>
        <v/>
      </c>
      <c r="AG85" s="17">
        <f>IF(ISNUMBER(AE85),AE85*(1-AF85),"")</f>
        <v/>
      </c>
      <c r="AH85" s="17">
        <f>IF(AND(NOT(ISNUMBER(V85)),NOT(ISNUMBER(X85))),"",IF(ISNUMBER(V85),V85,0)+IF(ISNUMBER(X85),X85,0))</f>
        <v/>
      </c>
      <c r="AI85" s="17">
        <f>IF(E85="금융","",IF(AND(ISNUMBER(R85),ISNUMBER(AH85),ISNUMBER(T85)),R85+AH85-T85,""))</f>
        <v/>
      </c>
      <c r="AJ85" s="17">
        <f>IF(E85="금융","",IF(NOT(ISNUMBER(AI85)),"",IF(ISNUMBER(AC85),(AI85+AC85)/2,AI85)))</f>
        <v/>
      </c>
      <c r="AK85" s="19">
        <f>IF(AND(ISNUMBER(AG85),ISNUMBER(AJ85),AJ85&gt;0),AG85/AJ85,"")</f>
        <v/>
      </c>
      <c r="AL85" s="17">
        <f>IF(E85="금융","",IF(AND(ISNUMBER(R85),ISNUMBER(AH85)),R85+AH85,""))</f>
        <v/>
      </c>
      <c r="AM85" s="19">
        <f>IF(OR(NOT(ISNUMBER(AG85)),NOT(ISNUMBER(AL85)),AL85&lt;=0),"",IF(AND(ISNUMBER(G85),AL85&lt;0.1*G85),"",AG85/AL85))</f>
        <v/>
      </c>
      <c r="AN85" s="17">
        <f>IF(NOT(ISNUMBER(R85)),"",IF(ISNUMBER(S85),(R85+S85)/2,R85))</f>
        <v/>
      </c>
      <c r="AO85" s="19">
        <f>IF(AND(ISNUMBER(L85),ISNUMBER(AN85),AN85&gt;0),L85/AN85,"")</f>
        <v/>
      </c>
      <c r="AP85" s="19">
        <f>IF(AND(ISNUMBER(AO85),ISNUMBER({ROIC})),AO85-{ROIC},"")</f>
        <v/>
      </c>
      <c r="AQ85" s="17">
        <f>IF(AND(ISNUMBER(AE85),ISNUMBER(N85)),AE85+N85,"")</f>
        <v/>
      </c>
      <c r="AR85" s="20">
        <f>IF(AND(ISNUMBER(AH85),ISNUMBER(T85),ISNUMBER(AQ85),AQ85&gt;0),(AH85-T85)/AQ85,"")</f>
        <v/>
      </c>
      <c r="AS85" s="20">
        <f>IF(AND(ISNUMBER(AE85),ISNUMBER(I85),I85&lt;&gt;0,AE85&gt;0),AE85/I85,"")</f>
        <v/>
      </c>
      <c r="AT85" s="17">
        <f>IF(AND(ISNUMBER(Y85),ISNUMBER(AA85)),Y85-IF(ISNUMBER(T85),T85,0)-(AA85-IF(ISNUMBER(V85),V85,0)),"")</f>
        <v/>
      </c>
      <c r="AU85" s="17">
        <f>IF(AND(ISNUMBER(Z85),ISNUMBER(AB85)),Z85-IF(ISNUMBER(U85),U85,0)-(AB85-IF(ISNUMBER(W85),W85,0)),"")</f>
        <v/>
      </c>
      <c r="AV85" s="17">
        <f>IF(AND(ISNUMBER(AT85),ISNUMBER(AU85)),AT85-AU85,"")</f>
        <v/>
      </c>
      <c r="AW85" s="17">
        <f>IF(AND(ISNUMBER(L85),ISNUMBER(M85),ISNUMBER(AF85)),L85-M85*(1-AF85),IF(ISNUMBER(L85),L85,""))</f>
        <v/>
      </c>
      <c r="AX85" s="17">
        <f>IF(E85="금융","",IF(AND(ISNUMBER(AW85),ISNUMBER(N85),ISNUMBER(O85),ISNUMBER(AV85)),AW85+N85-O85-AV85,IF(AND(ISNUMBER(P85),ISNUMBER(O85)),P85-O85-IF(ISNUMBER(Q85),Q85,0),"")))</f>
        <v/>
      </c>
      <c r="AY85" s="8">
        <f>IF(E85="금융","금융업 - 정의되지 않음",IF(AND(ISNUMBER(AW85),ISNUMBER(N85),ISNUMBER(O85),ISNUMBER(AV85)),"영업순이익+감가상각-설비투자-운전자본증감",IF(AND(ISNUMBER(P85),ISNUMBER(O85)),IF(ISNUMBER(Q85),"영업현금흐름-설비투자-주식보상비용","영업현금흐름-설비투자(주식보상비용 미태깅)"),"산출불가")))</f>
        <v/>
      </c>
      <c r="AZ85" s="19">
        <f>IF(AND(ISNUMBER(AX85),ISNUMBER(G85),G85&lt;&gt;0),AX85/G85,"")</f>
        <v/>
      </c>
      <c r="BA85" s="19">
        <f>IF(AND(ISNUMBER(AE85),ISNUMBER(G85),G85&lt;&gt;0),AE85/G85,"")</f>
        <v/>
      </c>
    </row>
    <row r="86">
      <c r="A86" s="8" t="inlineStr">
        <is>
          <t>META</t>
        </is>
      </c>
      <c r="B86" s="8" t="inlineStr">
        <is>
          <t>Meta Platforms, Inc.</t>
        </is>
      </c>
      <c r="C86" s="8" t="n">
        <v>2025</v>
      </c>
      <c r="D86" s="8" t="inlineStr">
        <is>
          <t>2025-12-31</t>
        </is>
      </c>
      <c r="E86" s="8" t="inlineStr">
        <is>
          <t>일반</t>
        </is>
      </c>
      <c r="F86" s="8" t="inlineStr">
        <is>
          <t>0001628280-26-003942</t>
        </is>
      </c>
      <c r="G86" s="15" t="n">
        <v>200.966</v>
      </c>
      <c r="H86" s="15" t="n">
        <v>85.932</v>
      </c>
      <c r="I86" s="15" t="n">
        <v>1.09</v>
      </c>
      <c r="J86" s="15" t="n">
        <v>25.474</v>
      </c>
      <c r="K86" s="15" t="n">
        <v>83.276</v>
      </c>
      <c r="L86" s="15" t="n">
        <v>60.458</v>
      </c>
      <c r="M86" s="15" t="n"/>
      <c r="N86" s="15" t="n">
        <v>18.616</v>
      </c>
      <c r="O86" s="15" t="n">
        <v>69.691</v>
      </c>
      <c r="P86" s="15" t="n">
        <v>115.8</v>
      </c>
      <c r="Q86" s="15" t="n">
        <v>20.427</v>
      </c>
      <c r="R86" s="15" t="n">
        <v>217.243</v>
      </c>
      <c r="S86" s="15" t="n">
        <v>182.637</v>
      </c>
      <c r="T86" s="15" t="n">
        <v>81.592</v>
      </c>
      <c r="U86" s="15" t="n">
        <v>77.815</v>
      </c>
      <c r="V86" s="15" t="n"/>
      <c r="W86" s="15" t="n"/>
      <c r="X86" s="15" t="n">
        <v>58.744</v>
      </c>
      <c r="Y86" s="15" t="n">
        <v>108.722</v>
      </c>
      <c r="Z86" s="15" t="n">
        <v>100.045</v>
      </c>
      <c r="AA86" s="15" t="n">
        <v>41.836</v>
      </c>
      <c r="AB86" s="15" t="n">
        <v>33.596</v>
      </c>
      <c r="AC86" s="15" t="n">
        <v>133.648</v>
      </c>
      <c r="AD86" s="16" t="n">
        <v>2574</v>
      </c>
      <c r="AE86" s="17">
        <f>IF(ISNUMBER(K86),K86,IF(AND(ISNUMBER(H86),ISNUMBER(I86)),H86+I86,IF(ISNUMBER(H86),H86,"")))</f>
        <v/>
      </c>
      <c r="AF86" s="18">
        <f>IF(OR(NOT(ISNUMBER(J86)),NOT(ISNUMBER(H86)),H86&lt;=0),기준표!$B$8,MIN(MAX(J86/H86,기준표!$B$6),기준표!$B$7))</f>
        <v/>
      </c>
      <c r="AG86" s="17">
        <f>IF(ISNUMBER(AE86),AE86*(1-AF86),"")</f>
        <v/>
      </c>
      <c r="AH86" s="17">
        <f>IF(AND(NOT(ISNUMBER(V86)),NOT(ISNUMBER(X86))),"",IF(ISNUMBER(V86),V86,0)+IF(ISNUMBER(X86),X86,0))</f>
        <v/>
      </c>
      <c r="AI86" s="17">
        <f>IF(E86="금융","",IF(AND(ISNUMBER(R86),ISNUMBER(AH86),ISNUMBER(T86)),R86+AH86-T86,""))</f>
        <v/>
      </c>
      <c r="AJ86" s="17">
        <f>IF(E86="금융","",IF(NOT(ISNUMBER(AI86)),"",IF(ISNUMBER(AC86),(AI86+AC86)/2,AI86)))</f>
        <v/>
      </c>
      <c r="AK86" s="19">
        <f>IF(AND(ISNUMBER(AG86),ISNUMBER(AJ86),AJ86&gt;0),AG86/AJ86,"")</f>
        <v/>
      </c>
      <c r="AL86" s="17">
        <f>IF(E86="금융","",IF(AND(ISNUMBER(R86),ISNUMBER(AH86)),R86+AH86,""))</f>
        <v/>
      </c>
      <c r="AM86" s="19">
        <f>IF(OR(NOT(ISNUMBER(AG86)),NOT(ISNUMBER(AL86)),AL86&lt;=0),"",IF(AND(ISNUMBER(G86),AL86&lt;0.1*G86),"",AG86/AL86))</f>
        <v/>
      </c>
      <c r="AN86" s="17">
        <f>IF(NOT(ISNUMBER(R86)),"",IF(ISNUMBER(S86),(R86+S86)/2,R86))</f>
        <v/>
      </c>
      <c r="AO86" s="19">
        <f>IF(AND(ISNUMBER(L86),ISNUMBER(AN86),AN86&gt;0),L86/AN86,"")</f>
        <v/>
      </c>
      <c r="AP86" s="19">
        <f>IF(AND(ISNUMBER(AO86),ISNUMBER({ROIC})),AO86-{ROIC},"")</f>
        <v/>
      </c>
      <c r="AQ86" s="17">
        <f>IF(AND(ISNUMBER(AE86),ISNUMBER(N86)),AE86+N86,"")</f>
        <v/>
      </c>
      <c r="AR86" s="20">
        <f>IF(AND(ISNUMBER(AH86),ISNUMBER(T86),ISNUMBER(AQ86),AQ86&gt;0),(AH86-T86)/AQ86,"")</f>
        <v/>
      </c>
      <c r="AS86" s="20">
        <f>IF(AND(ISNUMBER(AE86),ISNUMBER(I86),I86&lt;&gt;0,AE86&gt;0),AE86/I86,"")</f>
        <v/>
      </c>
      <c r="AT86" s="17">
        <f>IF(AND(ISNUMBER(Y86),ISNUMBER(AA86)),Y86-IF(ISNUMBER(T86),T86,0)-(AA86-IF(ISNUMBER(V86),V86,0)),"")</f>
        <v/>
      </c>
      <c r="AU86" s="17">
        <f>IF(AND(ISNUMBER(Z86),ISNUMBER(AB86)),Z86-IF(ISNUMBER(U86),U86,0)-(AB86-IF(ISNUMBER(W86),W86,0)),"")</f>
        <v/>
      </c>
      <c r="AV86" s="17">
        <f>IF(AND(ISNUMBER(AT86),ISNUMBER(AU86)),AT86-AU86,"")</f>
        <v/>
      </c>
      <c r="AW86" s="17">
        <f>IF(AND(ISNUMBER(L86),ISNUMBER(M86),ISNUMBER(AF86)),L86-M86*(1-AF86),IF(ISNUMBER(L86),L86,""))</f>
        <v/>
      </c>
      <c r="AX86" s="17">
        <f>IF(E86="금융","",IF(AND(ISNUMBER(AW86),ISNUMBER(N86),ISNUMBER(O86),ISNUMBER(AV86)),AW86+N86-O86-AV86,IF(AND(ISNUMBER(P86),ISNUMBER(O86)),P86-O86-IF(ISNUMBER(Q86),Q86,0),"")))</f>
        <v/>
      </c>
      <c r="AY86" s="8">
        <f>IF(E86="금융","금융업 - 정의되지 않음",IF(AND(ISNUMBER(AW86),ISNUMBER(N86),ISNUMBER(O86),ISNUMBER(AV86)),"영업순이익+감가상각-설비투자-운전자본증감",IF(AND(ISNUMBER(P86),ISNUMBER(O86)),IF(ISNUMBER(Q86),"영업현금흐름-설비투자-주식보상비용","영업현금흐름-설비투자(주식보상비용 미태깅)"),"산출불가")))</f>
        <v/>
      </c>
      <c r="AZ86" s="19">
        <f>IF(AND(ISNUMBER(AX86),ISNUMBER(G86),G86&lt;&gt;0),AX86/G86,"")</f>
        <v/>
      </c>
      <c r="BA86" s="19">
        <f>IF(AND(ISNUMBER(AE86),ISNUMBER(G86),G86&lt;&gt;0),AE86/G86,"")</f>
        <v/>
      </c>
    </row>
    <row r="87">
      <c r="A87" s="8" t="inlineStr">
        <is>
          <t>TSLA</t>
        </is>
      </c>
      <c r="B87" s="8" t="inlineStr">
        <is>
          <t>Tesla, Inc.</t>
        </is>
      </c>
      <c r="C87" s="8" t="n">
        <v>2014</v>
      </c>
      <c r="D87" s="8" t="inlineStr">
        <is>
          <t>2014-12-31</t>
        </is>
      </c>
      <c r="E87" s="8" t="inlineStr">
        <is>
          <t>일반</t>
        </is>
      </c>
      <c r="F87" s="8" t="inlineStr">
        <is>
          <t>0001564590-17-003118</t>
        </is>
      </c>
      <c r="G87" s="15" t="n">
        <v>3.198356</v>
      </c>
      <c r="H87" s="15" t="n">
        <v>-0.284636</v>
      </c>
      <c r="I87" s="15" t="n"/>
      <c r="J87" s="15" t="n">
        <v>0.009403999999999999</v>
      </c>
      <c r="K87" s="15" t="n">
        <v>-0.186689</v>
      </c>
      <c r="L87" s="15" t="n">
        <v>-0.29404</v>
      </c>
      <c r="M87" s="15" t="n"/>
      <c r="N87" s="15" t="n"/>
      <c r="O87" s="15" t="n">
        <v>0.969885</v>
      </c>
      <c r="P87" s="15" t="n"/>
      <c r="Q87" s="15" t="n">
        <v>0.156496</v>
      </c>
      <c r="R87" s="15" t="n">
        <v>0.91171</v>
      </c>
      <c r="S87" s="15" t="n"/>
      <c r="T87" s="15" t="n">
        <v>1.905713</v>
      </c>
      <c r="U87" s="15" t="n"/>
      <c r="V87" s="15" t="n"/>
      <c r="W87" s="15" t="n"/>
      <c r="X87" s="15" t="n">
        <v>2.959795</v>
      </c>
      <c r="Y87" s="15" t="n">
        <v>3.180073</v>
      </c>
      <c r="Z87" s="15" t="n"/>
      <c r="AA87" s="15" t="n">
        <v>2.107166</v>
      </c>
      <c r="AB87" s="15" t="n"/>
      <c r="AC87" s="15" t="n"/>
      <c r="AD87" s="16" t="n">
        <v>1885.32</v>
      </c>
      <c r="AE87" s="17">
        <f>IF(ISNUMBER(K87),K87,IF(AND(ISNUMBER(H87),ISNUMBER(I87)),H87+I87,IF(ISNUMBER(H87),H87,"")))</f>
        <v/>
      </c>
      <c r="AF87" s="18">
        <f>IF(OR(NOT(ISNUMBER(J87)),NOT(ISNUMBER(H87)),H87&lt;=0),기준표!$B$8,MIN(MAX(J87/H87,기준표!$B$6),기준표!$B$7))</f>
        <v/>
      </c>
      <c r="AG87" s="17">
        <f>IF(ISNUMBER(AE87),AE87*(1-AF87),"")</f>
        <v/>
      </c>
      <c r="AH87" s="17">
        <f>IF(AND(NOT(ISNUMBER(V87)),NOT(ISNUMBER(X87))),"",IF(ISNUMBER(V87),V87,0)+IF(ISNUMBER(X87),X87,0))</f>
        <v/>
      </c>
      <c r="AI87" s="17">
        <f>IF(E87="금융","",IF(AND(ISNUMBER(R87),ISNUMBER(AH87),ISNUMBER(T87)),R87+AH87-T87,""))</f>
        <v/>
      </c>
      <c r="AJ87" s="17">
        <f>IF(E87="금융","",IF(NOT(ISNUMBER(AI87)),"",IF(ISNUMBER(AC87),(AI87+AC87)/2,AI87)))</f>
        <v/>
      </c>
      <c r="AK87" s="19">
        <f>IF(AND(ISNUMBER(AG87),ISNUMBER(AJ87),AJ87&gt;0),AG87/AJ87,"")</f>
        <v/>
      </c>
      <c r="AL87" s="17">
        <f>IF(E87="금융","",IF(AND(ISNUMBER(R87),ISNUMBER(AH87)),R87+AH87,""))</f>
        <v/>
      </c>
      <c r="AM87" s="19">
        <f>IF(OR(NOT(ISNUMBER(AG87)),NOT(ISNUMBER(AL87)),AL87&lt;=0),"",IF(AND(ISNUMBER(G87),AL87&lt;0.1*G87),"",AG87/AL87))</f>
        <v/>
      </c>
      <c r="AN87" s="17">
        <f>IF(NOT(ISNUMBER(R87)),"",IF(ISNUMBER(S87),(R87+S87)/2,R87))</f>
        <v/>
      </c>
      <c r="AO87" s="19">
        <f>IF(AND(ISNUMBER(L87),ISNUMBER(AN87),AN87&gt;0),L87/AN87,"")</f>
        <v/>
      </c>
      <c r="AP87" s="19">
        <f>IF(AND(ISNUMBER(AO87),ISNUMBER({ROIC})),AO87-{ROIC},"")</f>
        <v/>
      </c>
      <c r="AQ87" s="17">
        <f>IF(AND(ISNUMBER(AE87),ISNUMBER(N87)),AE87+N87,"")</f>
        <v/>
      </c>
      <c r="AR87" s="20">
        <f>IF(AND(ISNUMBER(AH87),ISNUMBER(T87),ISNUMBER(AQ87),AQ87&gt;0),(AH87-T87)/AQ87,"")</f>
        <v/>
      </c>
      <c r="AS87" s="20">
        <f>IF(AND(ISNUMBER(AE87),ISNUMBER(I87),I87&lt;&gt;0,AE87&gt;0),AE87/I87,"")</f>
        <v/>
      </c>
      <c r="AT87" s="17">
        <f>IF(AND(ISNUMBER(Y87),ISNUMBER(AA87)),Y87-IF(ISNUMBER(T87),T87,0)-(AA87-IF(ISNUMBER(V87),V87,0)),"")</f>
        <v/>
      </c>
      <c r="AU87" s="17">
        <f>IF(AND(ISNUMBER(Z87),ISNUMBER(AB87)),Z87-IF(ISNUMBER(U87),U87,0)-(AB87-IF(ISNUMBER(W87),W87,0)),"")</f>
        <v/>
      </c>
      <c r="AV87" s="17">
        <f>IF(AND(ISNUMBER(AT87),ISNUMBER(AU87)),AT87-AU87,"")</f>
        <v/>
      </c>
      <c r="AW87" s="17">
        <f>IF(AND(ISNUMBER(L87),ISNUMBER(M87),ISNUMBER(AF87)),L87-M87*(1-AF87),IF(ISNUMBER(L87),L87,""))</f>
        <v/>
      </c>
      <c r="AX87" s="17">
        <f>IF(E87="금융","",IF(AND(ISNUMBER(AW87),ISNUMBER(N87),ISNUMBER(O87),ISNUMBER(AV87)),AW87+N87-O87-AV87,IF(AND(ISNUMBER(P87),ISNUMBER(O87)),P87-O87-IF(ISNUMBER(Q87),Q87,0),"")))</f>
        <v/>
      </c>
      <c r="AY87" s="8">
        <f>IF(E87="금융","금융업 - 정의되지 않음",IF(AND(ISNUMBER(AW87),ISNUMBER(N87),ISNUMBER(O87),ISNUMBER(AV87)),"영업순이익+감가상각-설비투자-운전자본증감",IF(AND(ISNUMBER(P87),ISNUMBER(O87)),IF(ISNUMBER(Q87),"영업현금흐름-설비투자-주식보상비용","영업현금흐름-설비투자(주식보상비용 미태깅)"),"산출불가")))</f>
        <v/>
      </c>
      <c r="AZ87" s="19">
        <f>IF(AND(ISNUMBER(AX87),ISNUMBER(G87),G87&lt;&gt;0),AX87/G87,"")</f>
        <v/>
      </c>
      <c r="BA87" s="19">
        <f>IF(AND(ISNUMBER(AE87),ISNUMBER(G87),G87&lt;&gt;0),AE87/G87,"")</f>
        <v/>
      </c>
    </row>
    <row r="88">
      <c r="A88" s="8" t="inlineStr">
        <is>
          <t>TSLA</t>
        </is>
      </c>
      <c r="B88" s="8" t="inlineStr">
        <is>
          <t>Tesla, Inc.</t>
        </is>
      </c>
      <c r="C88" s="8" t="n">
        <v>2015</v>
      </c>
      <c r="D88" s="8" t="inlineStr">
        <is>
          <t>2015-12-31</t>
        </is>
      </c>
      <c r="E88" s="8" t="inlineStr">
        <is>
          <t>일반</t>
        </is>
      </c>
      <c r="F88" s="8" t="inlineStr">
        <is>
          <t>0001564590-18-002956</t>
        </is>
      </c>
      <c r="G88" s="15" t="n">
        <v>4.046025</v>
      </c>
      <c r="H88" s="15" t="n">
        <v>-0.875624</v>
      </c>
      <c r="I88" s="15" t="n"/>
      <c r="J88" s="15" t="n">
        <v>0.013039</v>
      </c>
      <c r="K88" s="15" t="n">
        <v>-0.716629</v>
      </c>
      <c r="L88" s="15" t="n">
        <v>-0.888663</v>
      </c>
      <c r="M88" s="15" t="n"/>
      <c r="N88" s="15" t="n"/>
      <c r="O88" s="15" t="n">
        <v>1.63485</v>
      </c>
      <c r="P88" s="15" t="n"/>
      <c r="Q88" s="15" t="n">
        <v>0.197999</v>
      </c>
      <c r="R88" s="15" t="n">
        <v>1.083704</v>
      </c>
      <c r="S88" s="15" t="n">
        <v>0.91171</v>
      </c>
      <c r="T88" s="15" t="n">
        <v>1.196908</v>
      </c>
      <c r="U88" s="15" t="n">
        <v>1.905713</v>
      </c>
      <c r="V88" s="15" t="n"/>
      <c r="W88" s="15" t="n"/>
      <c r="X88" s="15" t="n"/>
      <c r="Y88" s="15" t="n">
        <v>2.782006</v>
      </c>
      <c r="Z88" s="15" t="n">
        <v>3.180073</v>
      </c>
      <c r="AA88" s="15" t="n">
        <v>2.811035</v>
      </c>
      <c r="AB88" s="15" t="n">
        <v>2.107166</v>
      </c>
      <c r="AC88" s="15" t="n">
        <v>1.965792</v>
      </c>
      <c r="AD88" s="16" t="n">
        <v>1971.375</v>
      </c>
      <c r="AE88" s="17">
        <f>IF(ISNUMBER(K88),K88,IF(AND(ISNUMBER(H88),ISNUMBER(I88)),H88+I88,IF(ISNUMBER(H88),H88,"")))</f>
        <v/>
      </c>
      <c r="AF88" s="18">
        <f>IF(OR(NOT(ISNUMBER(J88)),NOT(ISNUMBER(H88)),H88&lt;=0),기준표!$B$8,MIN(MAX(J88/H88,기준표!$B$6),기준표!$B$7))</f>
        <v/>
      </c>
      <c r="AG88" s="17">
        <f>IF(ISNUMBER(AE88),AE88*(1-AF88),"")</f>
        <v/>
      </c>
      <c r="AH88" s="17">
        <f>IF(AND(NOT(ISNUMBER(V88)),NOT(ISNUMBER(X88))),"",IF(ISNUMBER(V88),V88,0)+IF(ISNUMBER(X88),X88,0))</f>
        <v/>
      </c>
      <c r="AI88" s="17">
        <f>IF(E88="금융","",IF(AND(ISNUMBER(R88),ISNUMBER(AH88),ISNUMBER(T88)),R88+AH88-T88,""))</f>
        <v/>
      </c>
      <c r="AJ88" s="17">
        <f>IF(E88="금융","",IF(NOT(ISNUMBER(AI88)),"",IF(ISNUMBER(AC88),(AI88+AC88)/2,AI88)))</f>
        <v/>
      </c>
      <c r="AK88" s="19">
        <f>IF(AND(ISNUMBER(AG88),ISNUMBER(AJ88),AJ88&gt;0),AG88/AJ88,"")</f>
        <v/>
      </c>
      <c r="AL88" s="17">
        <f>IF(E88="금융","",IF(AND(ISNUMBER(R88),ISNUMBER(AH88)),R88+AH88,""))</f>
        <v/>
      </c>
      <c r="AM88" s="19">
        <f>IF(OR(NOT(ISNUMBER(AG88)),NOT(ISNUMBER(AL88)),AL88&lt;=0),"",IF(AND(ISNUMBER(G88),AL88&lt;0.1*G88),"",AG88/AL88))</f>
        <v/>
      </c>
      <c r="AN88" s="17">
        <f>IF(NOT(ISNUMBER(R88)),"",IF(ISNUMBER(S88),(R88+S88)/2,R88))</f>
        <v/>
      </c>
      <c r="AO88" s="19">
        <f>IF(AND(ISNUMBER(L88),ISNUMBER(AN88),AN88&gt;0),L88/AN88,"")</f>
        <v/>
      </c>
      <c r="AP88" s="19">
        <f>IF(AND(ISNUMBER(AO88),ISNUMBER({ROIC})),AO88-{ROIC},"")</f>
        <v/>
      </c>
      <c r="AQ88" s="17">
        <f>IF(AND(ISNUMBER(AE88),ISNUMBER(N88)),AE88+N88,"")</f>
        <v/>
      </c>
      <c r="AR88" s="20">
        <f>IF(AND(ISNUMBER(AH88),ISNUMBER(T88),ISNUMBER(AQ88),AQ88&gt;0),(AH88-T88)/AQ88,"")</f>
        <v/>
      </c>
      <c r="AS88" s="20">
        <f>IF(AND(ISNUMBER(AE88),ISNUMBER(I88),I88&lt;&gt;0,AE88&gt;0),AE88/I88,"")</f>
        <v/>
      </c>
      <c r="AT88" s="17">
        <f>IF(AND(ISNUMBER(Y88),ISNUMBER(AA88)),Y88-IF(ISNUMBER(T88),T88,0)-(AA88-IF(ISNUMBER(V88),V88,0)),"")</f>
        <v/>
      </c>
      <c r="AU88" s="17">
        <f>IF(AND(ISNUMBER(Z88),ISNUMBER(AB88)),Z88-IF(ISNUMBER(U88),U88,0)-(AB88-IF(ISNUMBER(W88),W88,0)),"")</f>
        <v/>
      </c>
      <c r="AV88" s="17">
        <f>IF(AND(ISNUMBER(AT88),ISNUMBER(AU88)),AT88-AU88,"")</f>
        <v/>
      </c>
      <c r="AW88" s="17">
        <f>IF(AND(ISNUMBER(L88),ISNUMBER(M88),ISNUMBER(AF88)),L88-M88*(1-AF88),IF(ISNUMBER(L88),L88,""))</f>
        <v/>
      </c>
      <c r="AX88" s="17">
        <f>IF(E88="금융","",IF(AND(ISNUMBER(AW88),ISNUMBER(N88),ISNUMBER(O88),ISNUMBER(AV88)),AW88+N88-O88-AV88,IF(AND(ISNUMBER(P88),ISNUMBER(O88)),P88-O88-IF(ISNUMBER(Q88),Q88,0),"")))</f>
        <v/>
      </c>
      <c r="AY88" s="8">
        <f>IF(E88="금융","금융업 - 정의되지 않음",IF(AND(ISNUMBER(AW88),ISNUMBER(N88),ISNUMBER(O88),ISNUMBER(AV88)),"영업순이익+감가상각-설비투자-운전자본증감",IF(AND(ISNUMBER(P88),ISNUMBER(O88)),IF(ISNUMBER(Q88),"영업현금흐름-설비투자-주식보상비용","영업현금흐름-설비투자(주식보상비용 미태깅)"),"산출불가")))</f>
        <v/>
      </c>
      <c r="AZ88" s="19">
        <f>IF(AND(ISNUMBER(AX88),ISNUMBER(G88),G88&lt;&gt;0),AX88/G88,"")</f>
        <v/>
      </c>
      <c r="BA88" s="19">
        <f>IF(AND(ISNUMBER(AE88),ISNUMBER(G88),G88&lt;&gt;0),AE88/G88,"")</f>
        <v/>
      </c>
    </row>
    <row r="89">
      <c r="A89" s="8" t="inlineStr">
        <is>
          <t>TSLA</t>
        </is>
      </c>
      <c r="B89" s="8" t="inlineStr">
        <is>
          <t>Tesla, Inc.</t>
        </is>
      </c>
      <c r="C89" s="8" t="n">
        <v>2016</v>
      </c>
      <c r="D89" s="8" t="inlineStr">
        <is>
          <t>2016-12-31</t>
        </is>
      </c>
      <c r="E89" s="8" t="inlineStr">
        <is>
          <t>일반</t>
        </is>
      </c>
      <c r="F89" s="8" t="inlineStr">
        <is>
          <t>0001564590-19-003165</t>
        </is>
      </c>
      <c r="G89" s="15" t="n">
        <v>7.000132</v>
      </c>
      <c r="H89" s="15" t="n">
        <v>-0.746348</v>
      </c>
      <c r="I89" s="15" t="n"/>
      <c r="J89" s="15" t="n">
        <v>0.026698</v>
      </c>
      <c r="K89" s="15" t="n">
        <v>-0.66734</v>
      </c>
      <c r="L89" s="15" t="n">
        <v>-0.674914</v>
      </c>
      <c r="M89" s="15" t="n"/>
      <c r="N89" s="15" t="n">
        <v>0.4773</v>
      </c>
      <c r="O89" s="15" t="n">
        <v>1.280802</v>
      </c>
      <c r="P89" s="15" t="n">
        <v>-0.123829</v>
      </c>
      <c r="Q89" s="15" t="n">
        <v>0.334225</v>
      </c>
      <c r="R89" s="15" t="n">
        <v>4.752911</v>
      </c>
      <c r="S89" s="15" t="n">
        <v>1.083704</v>
      </c>
      <c r="T89" s="15" t="n">
        <v>3.393</v>
      </c>
      <c r="U89" s="15" t="n">
        <v>1.196908</v>
      </c>
      <c r="V89" s="15" t="n">
        <v>1.114652</v>
      </c>
      <c r="W89" s="15" t="n"/>
      <c r="X89" s="15" t="n">
        <v>5.892016</v>
      </c>
      <c r="Y89" s="15" t="n">
        <v>6.259796</v>
      </c>
      <c r="Z89" s="15" t="n">
        <v>2.782006</v>
      </c>
      <c r="AA89" s="15" t="n">
        <v>5.827005</v>
      </c>
      <c r="AB89" s="15" t="n">
        <v>2.811035</v>
      </c>
      <c r="AC89" s="15" t="n"/>
      <c r="AD89" s="16" t="n">
        <v>2423.415</v>
      </c>
      <c r="AE89" s="17">
        <f>IF(ISNUMBER(K89),K89,IF(AND(ISNUMBER(H89),ISNUMBER(I89)),H89+I89,IF(ISNUMBER(H89),H89,"")))</f>
        <v/>
      </c>
      <c r="AF89" s="18">
        <f>IF(OR(NOT(ISNUMBER(J89)),NOT(ISNUMBER(H89)),H89&lt;=0),기준표!$B$8,MIN(MAX(J89/H89,기준표!$B$6),기준표!$B$7))</f>
        <v/>
      </c>
      <c r="AG89" s="17">
        <f>IF(ISNUMBER(AE89),AE89*(1-AF89),"")</f>
        <v/>
      </c>
      <c r="AH89" s="17">
        <f>IF(AND(NOT(ISNUMBER(V89)),NOT(ISNUMBER(X89))),"",IF(ISNUMBER(V89),V89,0)+IF(ISNUMBER(X89),X89,0))</f>
        <v/>
      </c>
      <c r="AI89" s="17">
        <f>IF(E89="금융","",IF(AND(ISNUMBER(R89),ISNUMBER(AH89),ISNUMBER(T89)),R89+AH89-T89,""))</f>
        <v/>
      </c>
      <c r="AJ89" s="17">
        <f>IF(E89="금융","",IF(NOT(ISNUMBER(AI89)),"",IF(ISNUMBER(AC89),(AI89+AC89)/2,AI89)))</f>
        <v/>
      </c>
      <c r="AK89" s="19">
        <f>IF(AND(ISNUMBER(AG89),ISNUMBER(AJ89),AJ89&gt;0),AG89/AJ89,"")</f>
        <v/>
      </c>
      <c r="AL89" s="17">
        <f>IF(E89="금융","",IF(AND(ISNUMBER(R89),ISNUMBER(AH89)),R89+AH89,""))</f>
        <v/>
      </c>
      <c r="AM89" s="19">
        <f>IF(OR(NOT(ISNUMBER(AG89)),NOT(ISNUMBER(AL89)),AL89&lt;=0),"",IF(AND(ISNUMBER(G89),AL89&lt;0.1*G89),"",AG89/AL89))</f>
        <v/>
      </c>
      <c r="AN89" s="17">
        <f>IF(NOT(ISNUMBER(R89)),"",IF(ISNUMBER(S89),(R89+S89)/2,R89))</f>
        <v/>
      </c>
      <c r="AO89" s="19">
        <f>IF(AND(ISNUMBER(L89),ISNUMBER(AN89),AN89&gt;0),L89/AN89,"")</f>
        <v/>
      </c>
      <c r="AP89" s="19">
        <f>IF(AND(ISNUMBER(AO89),ISNUMBER({ROIC})),AO89-{ROIC},"")</f>
        <v/>
      </c>
      <c r="AQ89" s="17">
        <f>IF(AND(ISNUMBER(AE89),ISNUMBER(N89)),AE89+N89,"")</f>
        <v/>
      </c>
      <c r="AR89" s="20">
        <f>IF(AND(ISNUMBER(AH89),ISNUMBER(T89),ISNUMBER(AQ89),AQ89&gt;0),(AH89-T89)/AQ89,"")</f>
        <v/>
      </c>
      <c r="AS89" s="20">
        <f>IF(AND(ISNUMBER(AE89),ISNUMBER(I89),I89&lt;&gt;0,AE89&gt;0),AE89/I89,"")</f>
        <v/>
      </c>
      <c r="AT89" s="17">
        <f>IF(AND(ISNUMBER(Y89),ISNUMBER(AA89)),Y89-IF(ISNUMBER(T89),T89,0)-(AA89-IF(ISNUMBER(V89),V89,0)),"")</f>
        <v/>
      </c>
      <c r="AU89" s="17">
        <f>IF(AND(ISNUMBER(Z89),ISNUMBER(AB89)),Z89-IF(ISNUMBER(U89),U89,0)-(AB89-IF(ISNUMBER(W89),W89,0)),"")</f>
        <v/>
      </c>
      <c r="AV89" s="17">
        <f>IF(AND(ISNUMBER(AT89),ISNUMBER(AU89)),AT89-AU89,"")</f>
        <v/>
      </c>
      <c r="AW89" s="17">
        <f>IF(AND(ISNUMBER(L89),ISNUMBER(M89),ISNUMBER(AF89)),L89-M89*(1-AF89),IF(ISNUMBER(L89),L89,""))</f>
        <v/>
      </c>
      <c r="AX89" s="17">
        <f>IF(E89="금융","",IF(AND(ISNUMBER(AW89),ISNUMBER(N89),ISNUMBER(O89),ISNUMBER(AV89)),AW89+N89-O89-AV89,IF(AND(ISNUMBER(P89),ISNUMBER(O89)),P89-O89-IF(ISNUMBER(Q89),Q89,0),"")))</f>
        <v/>
      </c>
      <c r="AY89" s="8">
        <f>IF(E89="금융","금융업 - 정의되지 않음",IF(AND(ISNUMBER(AW89),ISNUMBER(N89),ISNUMBER(O89),ISNUMBER(AV89)),"영업순이익+감가상각-설비투자-운전자본증감",IF(AND(ISNUMBER(P89),ISNUMBER(O89)),IF(ISNUMBER(Q89),"영업현금흐름-설비투자-주식보상비용","영업현금흐름-설비투자(주식보상비용 미태깅)"),"산출불가")))</f>
        <v/>
      </c>
      <c r="AZ89" s="19">
        <f>IF(AND(ISNUMBER(AX89),ISNUMBER(G89),G89&lt;&gt;0),AX89/G89,"")</f>
        <v/>
      </c>
      <c r="BA89" s="19">
        <f>IF(AND(ISNUMBER(AE89),ISNUMBER(G89),G89&lt;&gt;0),AE89/G89,"")</f>
        <v/>
      </c>
    </row>
    <row r="90">
      <c r="A90" s="8" t="inlineStr">
        <is>
          <t>TSLA</t>
        </is>
      </c>
      <c r="B90" s="8" t="inlineStr">
        <is>
          <t>Tesla, Inc.</t>
        </is>
      </c>
      <c r="C90" s="8" t="n">
        <v>2017</v>
      </c>
      <c r="D90" s="8" t="inlineStr">
        <is>
          <t>2017-12-31</t>
        </is>
      </c>
      <c r="E90" s="8" t="inlineStr">
        <is>
          <t>일반</t>
        </is>
      </c>
      <c r="F90" s="8" t="inlineStr">
        <is>
          <t>0001564590-20-004475</t>
        </is>
      </c>
      <c r="G90" s="15" t="n">
        <v>11.759</v>
      </c>
      <c r="H90" s="15" t="n">
        <v>-2.209</v>
      </c>
      <c r="I90" s="15" t="n"/>
      <c r="J90" s="15" t="n">
        <v>0.032</v>
      </c>
      <c r="K90" s="15" t="n">
        <v>-1.632</v>
      </c>
      <c r="L90" s="15" t="n">
        <v>-1.962</v>
      </c>
      <c r="M90" s="15" t="n"/>
      <c r="N90" s="15" t="n">
        <v>0.769</v>
      </c>
      <c r="O90" s="15" t="n">
        <v>3.415</v>
      </c>
      <c r="P90" s="15" t="n">
        <v>-0.061</v>
      </c>
      <c r="Q90" s="15" t="n">
        <v>0.467</v>
      </c>
      <c r="R90" s="15" t="n">
        <v>4.237242</v>
      </c>
      <c r="S90" s="15" t="n">
        <v>4.752911</v>
      </c>
      <c r="T90" s="15" t="n">
        <v>3.368</v>
      </c>
      <c r="U90" s="15" t="n">
        <v>3.393</v>
      </c>
      <c r="V90" s="15" t="n">
        <v>0.799849</v>
      </c>
      <c r="W90" s="15" t="n">
        <v>1.114652</v>
      </c>
      <c r="X90" s="15" t="n">
        <v>8.828984999999999</v>
      </c>
      <c r="Y90" s="15" t="n">
        <v>6.57052</v>
      </c>
      <c r="Z90" s="15" t="n">
        <v>6.259796</v>
      </c>
      <c r="AA90" s="15" t="n">
        <v>7.67467</v>
      </c>
      <c r="AB90" s="15" t="n">
        <v>5.827005</v>
      </c>
      <c r="AC90" s="15" t="n">
        <v>8.366579</v>
      </c>
      <c r="AD90" s="16" t="n">
        <v>2531.955</v>
      </c>
      <c r="AE90" s="17">
        <f>IF(ISNUMBER(K90),K90,IF(AND(ISNUMBER(H90),ISNUMBER(I90)),H90+I90,IF(ISNUMBER(H90),H90,"")))</f>
        <v/>
      </c>
      <c r="AF90" s="18">
        <f>IF(OR(NOT(ISNUMBER(J90)),NOT(ISNUMBER(H90)),H90&lt;=0),기준표!$B$8,MIN(MAX(J90/H90,기준표!$B$6),기준표!$B$7))</f>
        <v/>
      </c>
      <c r="AG90" s="17">
        <f>IF(ISNUMBER(AE90),AE90*(1-AF90),"")</f>
        <v/>
      </c>
      <c r="AH90" s="17">
        <f>IF(AND(NOT(ISNUMBER(V90)),NOT(ISNUMBER(X90))),"",IF(ISNUMBER(V90),V90,0)+IF(ISNUMBER(X90),X90,0))</f>
        <v/>
      </c>
      <c r="AI90" s="17">
        <f>IF(E90="금융","",IF(AND(ISNUMBER(R90),ISNUMBER(AH90),ISNUMBER(T90)),R90+AH90-T90,""))</f>
        <v/>
      </c>
      <c r="AJ90" s="17">
        <f>IF(E90="금융","",IF(NOT(ISNUMBER(AI90)),"",IF(ISNUMBER(AC90),(AI90+AC90)/2,AI90)))</f>
        <v/>
      </c>
      <c r="AK90" s="19">
        <f>IF(AND(ISNUMBER(AG90),ISNUMBER(AJ90),AJ90&gt;0),AG90/AJ90,"")</f>
        <v/>
      </c>
      <c r="AL90" s="17">
        <f>IF(E90="금융","",IF(AND(ISNUMBER(R90),ISNUMBER(AH90)),R90+AH90,""))</f>
        <v/>
      </c>
      <c r="AM90" s="19">
        <f>IF(OR(NOT(ISNUMBER(AG90)),NOT(ISNUMBER(AL90)),AL90&lt;=0),"",IF(AND(ISNUMBER(G90),AL90&lt;0.1*G90),"",AG90/AL90))</f>
        <v/>
      </c>
      <c r="AN90" s="17">
        <f>IF(NOT(ISNUMBER(R90)),"",IF(ISNUMBER(S90),(R90+S90)/2,R90))</f>
        <v/>
      </c>
      <c r="AO90" s="19">
        <f>IF(AND(ISNUMBER(L90),ISNUMBER(AN90),AN90&gt;0),L90/AN90,"")</f>
        <v/>
      </c>
      <c r="AP90" s="19">
        <f>IF(AND(ISNUMBER(AO90),ISNUMBER({ROIC})),AO90-{ROIC},"")</f>
        <v/>
      </c>
      <c r="AQ90" s="17">
        <f>IF(AND(ISNUMBER(AE90),ISNUMBER(N90)),AE90+N90,"")</f>
        <v/>
      </c>
      <c r="AR90" s="20">
        <f>IF(AND(ISNUMBER(AH90),ISNUMBER(T90),ISNUMBER(AQ90),AQ90&gt;0),(AH90-T90)/AQ90,"")</f>
        <v/>
      </c>
      <c r="AS90" s="20">
        <f>IF(AND(ISNUMBER(AE90),ISNUMBER(I90),I90&lt;&gt;0,AE90&gt;0),AE90/I90,"")</f>
        <v/>
      </c>
      <c r="AT90" s="17">
        <f>IF(AND(ISNUMBER(Y90),ISNUMBER(AA90)),Y90-IF(ISNUMBER(T90),T90,0)-(AA90-IF(ISNUMBER(V90),V90,0)),"")</f>
        <v/>
      </c>
      <c r="AU90" s="17">
        <f>IF(AND(ISNUMBER(Z90),ISNUMBER(AB90)),Z90-IF(ISNUMBER(U90),U90,0)-(AB90-IF(ISNUMBER(W90),W90,0)),"")</f>
        <v/>
      </c>
      <c r="AV90" s="17">
        <f>IF(AND(ISNUMBER(AT90),ISNUMBER(AU90)),AT90-AU90,"")</f>
        <v/>
      </c>
      <c r="AW90" s="17">
        <f>IF(AND(ISNUMBER(L90),ISNUMBER(M90),ISNUMBER(AF90)),L90-M90*(1-AF90),IF(ISNUMBER(L90),L90,""))</f>
        <v/>
      </c>
      <c r="AX90" s="17">
        <f>IF(E90="금융","",IF(AND(ISNUMBER(AW90),ISNUMBER(N90),ISNUMBER(O90),ISNUMBER(AV90)),AW90+N90-O90-AV90,IF(AND(ISNUMBER(P90),ISNUMBER(O90)),P90-O90-IF(ISNUMBER(Q90),Q90,0),"")))</f>
        <v/>
      </c>
      <c r="AY90" s="8">
        <f>IF(E90="금융","금융업 - 정의되지 않음",IF(AND(ISNUMBER(AW90),ISNUMBER(N90),ISNUMBER(O90),ISNUMBER(AV90)),"영업순이익+감가상각-설비투자-운전자본증감",IF(AND(ISNUMBER(P90),ISNUMBER(O90)),IF(ISNUMBER(Q90),"영업현금흐름-설비투자-주식보상비용","영업현금흐름-설비투자(주식보상비용 미태깅)"),"산출불가")))</f>
        <v/>
      </c>
      <c r="AZ90" s="19">
        <f>IF(AND(ISNUMBER(AX90),ISNUMBER(G90),G90&lt;&gt;0),AX90/G90,"")</f>
        <v/>
      </c>
      <c r="BA90" s="19">
        <f>IF(AND(ISNUMBER(AE90),ISNUMBER(G90),G90&lt;&gt;0),AE90/G90,"")</f>
        <v/>
      </c>
    </row>
    <row r="91">
      <c r="A91" s="8" t="inlineStr">
        <is>
          <t>TSLA</t>
        </is>
      </c>
      <c r="B91" s="8" t="inlineStr">
        <is>
          <t>Tesla, Inc.</t>
        </is>
      </c>
      <c r="C91" s="8" t="n">
        <v>2018</v>
      </c>
      <c r="D91" s="8" t="inlineStr">
        <is>
          <t>2018-12-31</t>
        </is>
      </c>
      <c r="E91" s="8" t="inlineStr">
        <is>
          <t>일반</t>
        </is>
      </c>
      <c r="F91" s="8" t="inlineStr">
        <is>
          <t>0001564590-21-004599</t>
        </is>
      </c>
      <c r="G91" s="15" t="n">
        <v>21.461</v>
      </c>
      <c r="H91" s="15" t="n">
        <v>-1.005</v>
      </c>
      <c r="I91" s="15" t="n"/>
      <c r="J91" s="15" t="n">
        <v>0.058</v>
      </c>
      <c r="K91" s="15" t="n">
        <v>-0.388</v>
      </c>
      <c r="L91" s="15" t="n">
        <v>-0.976</v>
      </c>
      <c r="M91" s="15" t="n"/>
      <c r="N91" s="15" t="n">
        <v>1.11</v>
      </c>
      <c r="O91" s="15" t="n">
        <v>2.101</v>
      </c>
      <c r="P91" s="15" t="n">
        <v>2.098</v>
      </c>
      <c r="Q91" s="15" t="n">
        <v>0.749</v>
      </c>
      <c r="R91" s="15" t="n">
        <v>4.923</v>
      </c>
      <c r="S91" s="15" t="n">
        <v>4.237242</v>
      </c>
      <c r="T91" s="15" t="n">
        <v>3.686</v>
      </c>
      <c r="U91" s="15" t="n">
        <v>3.368</v>
      </c>
      <c r="V91" s="15" t="n">
        <v>2.222</v>
      </c>
      <c r="W91" s="15" t="n">
        <v>0.799849</v>
      </c>
      <c r="X91" s="15" t="n">
        <v>8.411</v>
      </c>
      <c r="Y91" s="15" t="n">
        <v>8.307</v>
      </c>
      <c r="Z91" s="15" t="n">
        <v>6.57052</v>
      </c>
      <c r="AA91" s="15" t="n">
        <v>9.993</v>
      </c>
      <c r="AB91" s="15" t="n">
        <v>7.67467</v>
      </c>
      <c r="AC91" s="15" t="n">
        <v>10.498076</v>
      </c>
      <c r="AD91" s="16" t="n">
        <v>2595</v>
      </c>
      <c r="AE91" s="17">
        <f>IF(ISNUMBER(K91),K91,IF(AND(ISNUMBER(H91),ISNUMBER(I91)),H91+I91,IF(ISNUMBER(H91),H91,"")))</f>
        <v/>
      </c>
      <c r="AF91" s="18">
        <f>IF(OR(NOT(ISNUMBER(J91)),NOT(ISNUMBER(H91)),H91&lt;=0),기준표!$B$8,MIN(MAX(J91/H91,기준표!$B$6),기준표!$B$7))</f>
        <v/>
      </c>
      <c r="AG91" s="17">
        <f>IF(ISNUMBER(AE91),AE91*(1-AF91),"")</f>
        <v/>
      </c>
      <c r="AH91" s="17">
        <f>IF(AND(NOT(ISNUMBER(V91)),NOT(ISNUMBER(X91))),"",IF(ISNUMBER(V91),V91,0)+IF(ISNUMBER(X91),X91,0))</f>
        <v/>
      </c>
      <c r="AI91" s="17">
        <f>IF(E91="금융","",IF(AND(ISNUMBER(R91),ISNUMBER(AH91),ISNUMBER(T91)),R91+AH91-T91,""))</f>
        <v/>
      </c>
      <c r="AJ91" s="17">
        <f>IF(E91="금융","",IF(NOT(ISNUMBER(AI91)),"",IF(ISNUMBER(AC91),(AI91+AC91)/2,AI91)))</f>
        <v/>
      </c>
      <c r="AK91" s="19">
        <f>IF(AND(ISNUMBER(AG91),ISNUMBER(AJ91),AJ91&gt;0),AG91/AJ91,"")</f>
        <v/>
      </c>
      <c r="AL91" s="17">
        <f>IF(E91="금융","",IF(AND(ISNUMBER(R91),ISNUMBER(AH91)),R91+AH91,""))</f>
        <v/>
      </c>
      <c r="AM91" s="19">
        <f>IF(OR(NOT(ISNUMBER(AG91)),NOT(ISNUMBER(AL91)),AL91&lt;=0),"",IF(AND(ISNUMBER(G91),AL91&lt;0.1*G91),"",AG91/AL91))</f>
        <v/>
      </c>
      <c r="AN91" s="17">
        <f>IF(NOT(ISNUMBER(R91)),"",IF(ISNUMBER(S91),(R91+S91)/2,R91))</f>
        <v/>
      </c>
      <c r="AO91" s="19">
        <f>IF(AND(ISNUMBER(L91),ISNUMBER(AN91),AN91&gt;0),L91/AN91,"")</f>
        <v/>
      </c>
      <c r="AP91" s="19">
        <f>IF(AND(ISNUMBER(AO91),ISNUMBER({ROIC})),AO91-{ROIC},"")</f>
        <v/>
      </c>
      <c r="AQ91" s="17">
        <f>IF(AND(ISNUMBER(AE91),ISNUMBER(N91)),AE91+N91,"")</f>
        <v/>
      </c>
      <c r="AR91" s="20">
        <f>IF(AND(ISNUMBER(AH91),ISNUMBER(T91),ISNUMBER(AQ91),AQ91&gt;0),(AH91-T91)/AQ91,"")</f>
        <v/>
      </c>
      <c r="AS91" s="20">
        <f>IF(AND(ISNUMBER(AE91),ISNUMBER(I91),I91&lt;&gt;0,AE91&gt;0),AE91/I91,"")</f>
        <v/>
      </c>
      <c r="AT91" s="17">
        <f>IF(AND(ISNUMBER(Y91),ISNUMBER(AA91)),Y91-IF(ISNUMBER(T91),T91,0)-(AA91-IF(ISNUMBER(V91),V91,0)),"")</f>
        <v/>
      </c>
      <c r="AU91" s="17">
        <f>IF(AND(ISNUMBER(Z91),ISNUMBER(AB91)),Z91-IF(ISNUMBER(U91),U91,0)-(AB91-IF(ISNUMBER(W91),W91,0)),"")</f>
        <v/>
      </c>
      <c r="AV91" s="17">
        <f>IF(AND(ISNUMBER(AT91),ISNUMBER(AU91)),AT91-AU91,"")</f>
        <v/>
      </c>
      <c r="AW91" s="17">
        <f>IF(AND(ISNUMBER(L91),ISNUMBER(M91),ISNUMBER(AF91)),L91-M91*(1-AF91),IF(ISNUMBER(L91),L91,""))</f>
        <v/>
      </c>
      <c r="AX91" s="17">
        <f>IF(E91="금융","",IF(AND(ISNUMBER(AW91),ISNUMBER(N91),ISNUMBER(O91),ISNUMBER(AV91)),AW91+N91-O91-AV91,IF(AND(ISNUMBER(P91),ISNUMBER(O91)),P91-O91-IF(ISNUMBER(Q91),Q91,0),"")))</f>
        <v/>
      </c>
      <c r="AY91" s="8">
        <f>IF(E91="금융","금융업 - 정의되지 않음",IF(AND(ISNUMBER(AW91),ISNUMBER(N91),ISNUMBER(O91),ISNUMBER(AV91)),"영업순이익+감가상각-설비투자-운전자본증감",IF(AND(ISNUMBER(P91),ISNUMBER(O91)),IF(ISNUMBER(Q91),"영업현금흐름-설비투자-주식보상비용","영업현금흐름-설비투자(주식보상비용 미태깅)"),"산출불가")))</f>
        <v/>
      </c>
      <c r="AZ91" s="19">
        <f>IF(AND(ISNUMBER(AX91),ISNUMBER(G91),G91&lt;&gt;0),AX91/G91,"")</f>
        <v/>
      </c>
      <c r="BA91" s="19">
        <f>IF(AND(ISNUMBER(AE91),ISNUMBER(G91),G91&lt;&gt;0),AE91/G91,"")</f>
        <v/>
      </c>
    </row>
    <row r="92">
      <c r="A92" s="8" t="inlineStr">
        <is>
          <t>TSLA</t>
        </is>
      </c>
      <c r="B92" s="8" t="inlineStr">
        <is>
          <t>Tesla, Inc.</t>
        </is>
      </c>
      <c r="C92" s="8" t="n">
        <v>2019</v>
      </c>
      <c r="D92" s="8" t="inlineStr">
        <is>
          <t>2019-12-31</t>
        </is>
      </c>
      <c r="E92" s="8" t="inlineStr">
        <is>
          <t>일반</t>
        </is>
      </c>
      <c r="F92" s="8" t="inlineStr">
        <is>
          <t>0000950170-22-000796</t>
        </is>
      </c>
      <c r="G92" s="15" t="n">
        <v>24.578</v>
      </c>
      <c r="H92" s="15" t="n">
        <v>-0.665</v>
      </c>
      <c r="I92" s="15" t="n"/>
      <c r="J92" s="15" t="n">
        <v>0.11</v>
      </c>
      <c r="K92" s="15" t="n">
        <v>-0.06900000000000001</v>
      </c>
      <c r="L92" s="15" t="n">
        <v>-0.862</v>
      </c>
      <c r="M92" s="15" t="n"/>
      <c r="N92" s="15" t="n">
        <v>1.37</v>
      </c>
      <c r="O92" s="15" t="n">
        <v>1.327</v>
      </c>
      <c r="P92" s="15" t="n">
        <v>2.405</v>
      </c>
      <c r="Q92" s="15" t="n">
        <v>0.898</v>
      </c>
      <c r="R92" s="15" t="n">
        <v>6.618</v>
      </c>
      <c r="S92" s="15" t="n">
        <v>4.923</v>
      </c>
      <c r="T92" s="15" t="n">
        <v>6.268</v>
      </c>
      <c r="U92" s="15" t="n">
        <v>3.686</v>
      </c>
      <c r="V92" s="15" t="n">
        <v>1.399</v>
      </c>
      <c r="W92" s="15" t="n">
        <v>2.222</v>
      </c>
      <c r="X92" s="15" t="n">
        <v>10.402</v>
      </c>
      <c r="Y92" s="15" t="n">
        <v>12.103</v>
      </c>
      <c r="Z92" s="15" t="n">
        <v>8.307</v>
      </c>
      <c r="AA92" s="15" t="n">
        <v>10.667</v>
      </c>
      <c r="AB92" s="15" t="n">
        <v>9.993</v>
      </c>
      <c r="AC92" s="15" t="n">
        <v>11.87</v>
      </c>
      <c r="AD92" s="16" t="n">
        <v>2715</v>
      </c>
      <c r="AE92" s="17">
        <f>IF(ISNUMBER(K92),K92,IF(AND(ISNUMBER(H92),ISNUMBER(I92)),H92+I92,IF(ISNUMBER(H92),H92,"")))</f>
        <v/>
      </c>
      <c r="AF92" s="18">
        <f>IF(OR(NOT(ISNUMBER(J92)),NOT(ISNUMBER(H92)),H92&lt;=0),기준표!$B$8,MIN(MAX(J92/H92,기준표!$B$6),기준표!$B$7))</f>
        <v/>
      </c>
      <c r="AG92" s="17">
        <f>IF(ISNUMBER(AE92),AE92*(1-AF92),"")</f>
        <v/>
      </c>
      <c r="AH92" s="17">
        <f>IF(AND(NOT(ISNUMBER(V92)),NOT(ISNUMBER(X92))),"",IF(ISNUMBER(V92),V92,0)+IF(ISNUMBER(X92),X92,0))</f>
        <v/>
      </c>
      <c r="AI92" s="17">
        <f>IF(E92="금융","",IF(AND(ISNUMBER(R92),ISNUMBER(AH92),ISNUMBER(T92)),R92+AH92-T92,""))</f>
        <v/>
      </c>
      <c r="AJ92" s="17">
        <f>IF(E92="금융","",IF(NOT(ISNUMBER(AI92)),"",IF(ISNUMBER(AC92),(AI92+AC92)/2,AI92)))</f>
        <v/>
      </c>
      <c r="AK92" s="19">
        <f>IF(AND(ISNUMBER(AG92),ISNUMBER(AJ92),AJ92&gt;0),AG92/AJ92,"")</f>
        <v/>
      </c>
      <c r="AL92" s="17">
        <f>IF(E92="금융","",IF(AND(ISNUMBER(R92),ISNUMBER(AH92)),R92+AH92,""))</f>
        <v/>
      </c>
      <c r="AM92" s="19">
        <f>IF(OR(NOT(ISNUMBER(AG92)),NOT(ISNUMBER(AL92)),AL92&lt;=0),"",IF(AND(ISNUMBER(G92),AL92&lt;0.1*G92),"",AG92/AL92))</f>
        <v/>
      </c>
      <c r="AN92" s="17">
        <f>IF(NOT(ISNUMBER(R92)),"",IF(ISNUMBER(S92),(R92+S92)/2,R92))</f>
        <v/>
      </c>
      <c r="AO92" s="19">
        <f>IF(AND(ISNUMBER(L92),ISNUMBER(AN92),AN92&gt;0),L92/AN92,"")</f>
        <v/>
      </c>
      <c r="AP92" s="19">
        <f>IF(AND(ISNUMBER(AO92),ISNUMBER({ROIC})),AO92-{ROIC},"")</f>
        <v/>
      </c>
      <c r="AQ92" s="17">
        <f>IF(AND(ISNUMBER(AE92),ISNUMBER(N92)),AE92+N92,"")</f>
        <v/>
      </c>
      <c r="AR92" s="20">
        <f>IF(AND(ISNUMBER(AH92),ISNUMBER(T92),ISNUMBER(AQ92),AQ92&gt;0),(AH92-T92)/AQ92,"")</f>
        <v/>
      </c>
      <c r="AS92" s="20">
        <f>IF(AND(ISNUMBER(AE92),ISNUMBER(I92),I92&lt;&gt;0,AE92&gt;0),AE92/I92,"")</f>
        <v/>
      </c>
      <c r="AT92" s="17">
        <f>IF(AND(ISNUMBER(Y92),ISNUMBER(AA92)),Y92-IF(ISNUMBER(T92),T92,0)-(AA92-IF(ISNUMBER(V92),V92,0)),"")</f>
        <v/>
      </c>
      <c r="AU92" s="17">
        <f>IF(AND(ISNUMBER(Z92),ISNUMBER(AB92)),Z92-IF(ISNUMBER(U92),U92,0)-(AB92-IF(ISNUMBER(W92),W92,0)),"")</f>
        <v/>
      </c>
      <c r="AV92" s="17">
        <f>IF(AND(ISNUMBER(AT92),ISNUMBER(AU92)),AT92-AU92,"")</f>
        <v/>
      </c>
      <c r="AW92" s="17">
        <f>IF(AND(ISNUMBER(L92),ISNUMBER(M92),ISNUMBER(AF92)),L92-M92*(1-AF92),IF(ISNUMBER(L92),L92,""))</f>
        <v/>
      </c>
      <c r="AX92" s="17">
        <f>IF(E92="금융","",IF(AND(ISNUMBER(AW92),ISNUMBER(N92),ISNUMBER(O92),ISNUMBER(AV92)),AW92+N92-O92-AV92,IF(AND(ISNUMBER(P92),ISNUMBER(O92)),P92-O92-IF(ISNUMBER(Q92),Q92,0),"")))</f>
        <v/>
      </c>
      <c r="AY92" s="8">
        <f>IF(E92="금융","금융업 - 정의되지 않음",IF(AND(ISNUMBER(AW92),ISNUMBER(N92),ISNUMBER(O92),ISNUMBER(AV92)),"영업순이익+감가상각-설비투자-운전자본증감",IF(AND(ISNUMBER(P92),ISNUMBER(O92)),IF(ISNUMBER(Q92),"영업현금흐름-설비투자-주식보상비용","영업현금흐름-설비투자(주식보상비용 미태깅)"),"산출불가")))</f>
        <v/>
      </c>
      <c r="AZ92" s="19">
        <f>IF(AND(ISNUMBER(AX92),ISNUMBER(G92),G92&lt;&gt;0),AX92/G92,"")</f>
        <v/>
      </c>
      <c r="BA92" s="19">
        <f>IF(AND(ISNUMBER(AE92),ISNUMBER(G92),G92&lt;&gt;0),AE92/G92,"")</f>
        <v/>
      </c>
    </row>
    <row r="93">
      <c r="A93" s="8" t="inlineStr">
        <is>
          <t>TSLA</t>
        </is>
      </c>
      <c r="B93" s="8" t="inlineStr">
        <is>
          <t>Tesla, Inc.</t>
        </is>
      </c>
      <c r="C93" s="8" t="n">
        <v>2020</v>
      </c>
      <c r="D93" s="8" t="inlineStr">
        <is>
          <t>2020-12-31</t>
        </is>
      </c>
      <c r="E93" s="8" t="inlineStr">
        <is>
          <t>일반</t>
        </is>
      </c>
      <c r="F93" s="8" t="inlineStr">
        <is>
          <t>0000950170-23-001409</t>
        </is>
      </c>
      <c r="G93" s="15" t="n">
        <v>31.536</v>
      </c>
      <c r="H93" s="15" t="n">
        <v>1.154</v>
      </c>
      <c r="I93" s="15" t="n"/>
      <c r="J93" s="15" t="n">
        <v>0.292</v>
      </c>
      <c r="K93" s="15" t="n">
        <v>1.994</v>
      </c>
      <c r="L93" s="15" t="n">
        <v>0.721</v>
      </c>
      <c r="M93" s="15" t="n"/>
      <c r="N93" s="15" t="n">
        <v>1.57</v>
      </c>
      <c r="O93" s="15" t="n">
        <v>3.157</v>
      </c>
      <c r="P93" s="15" t="n">
        <v>5.943</v>
      </c>
      <c r="Q93" s="15" t="n">
        <v>1.734</v>
      </c>
      <c r="R93" s="15" t="n">
        <v>22.225</v>
      </c>
      <c r="S93" s="15" t="n">
        <v>6.618</v>
      </c>
      <c r="T93" s="15" t="n">
        <v>19.384</v>
      </c>
      <c r="U93" s="15" t="n">
        <v>6.268</v>
      </c>
      <c r="V93" s="15" t="n">
        <v>1.758</v>
      </c>
      <c r="W93" s="15" t="n">
        <v>1.399</v>
      </c>
      <c r="X93" s="15" t="n">
        <v>8.462</v>
      </c>
      <c r="Y93" s="15" t="n">
        <v>26.717</v>
      </c>
      <c r="Z93" s="15" t="n">
        <v>12.103</v>
      </c>
      <c r="AA93" s="15" t="n">
        <v>14.248</v>
      </c>
      <c r="AB93" s="15" t="n">
        <v>10.667</v>
      </c>
      <c r="AC93" s="15" t="n">
        <v>12.151</v>
      </c>
      <c r="AD93" s="16" t="n">
        <v>2880</v>
      </c>
      <c r="AE93" s="17">
        <f>IF(ISNUMBER(K93),K93,IF(AND(ISNUMBER(H93),ISNUMBER(I93)),H93+I93,IF(ISNUMBER(H93),H93,"")))</f>
        <v/>
      </c>
      <c r="AF93" s="18">
        <f>IF(OR(NOT(ISNUMBER(J93)),NOT(ISNUMBER(H93)),H93&lt;=0),기준표!$B$8,MIN(MAX(J93/H93,기준표!$B$6),기준표!$B$7))</f>
        <v/>
      </c>
      <c r="AG93" s="17">
        <f>IF(ISNUMBER(AE93),AE93*(1-AF93),"")</f>
        <v/>
      </c>
      <c r="AH93" s="17">
        <f>IF(AND(NOT(ISNUMBER(V93)),NOT(ISNUMBER(X93))),"",IF(ISNUMBER(V93),V93,0)+IF(ISNUMBER(X93),X93,0))</f>
        <v/>
      </c>
      <c r="AI93" s="17">
        <f>IF(E93="금융","",IF(AND(ISNUMBER(R93),ISNUMBER(AH93),ISNUMBER(T93)),R93+AH93-T93,""))</f>
        <v/>
      </c>
      <c r="AJ93" s="17">
        <f>IF(E93="금융","",IF(NOT(ISNUMBER(AI93)),"",IF(ISNUMBER(AC93),(AI93+AC93)/2,AI93)))</f>
        <v/>
      </c>
      <c r="AK93" s="19">
        <f>IF(AND(ISNUMBER(AG93),ISNUMBER(AJ93),AJ93&gt;0),AG93/AJ93,"")</f>
        <v/>
      </c>
      <c r="AL93" s="17">
        <f>IF(E93="금융","",IF(AND(ISNUMBER(R93),ISNUMBER(AH93)),R93+AH93,""))</f>
        <v/>
      </c>
      <c r="AM93" s="19">
        <f>IF(OR(NOT(ISNUMBER(AG93)),NOT(ISNUMBER(AL93)),AL93&lt;=0),"",IF(AND(ISNUMBER(G93),AL93&lt;0.1*G93),"",AG93/AL93))</f>
        <v/>
      </c>
      <c r="AN93" s="17">
        <f>IF(NOT(ISNUMBER(R93)),"",IF(ISNUMBER(S93),(R93+S93)/2,R93))</f>
        <v/>
      </c>
      <c r="AO93" s="19">
        <f>IF(AND(ISNUMBER(L93),ISNUMBER(AN93),AN93&gt;0),L93/AN93,"")</f>
        <v/>
      </c>
      <c r="AP93" s="19">
        <f>IF(AND(ISNUMBER(AO93),ISNUMBER({ROIC})),AO93-{ROIC},"")</f>
        <v/>
      </c>
      <c r="AQ93" s="17">
        <f>IF(AND(ISNUMBER(AE93),ISNUMBER(N93)),AE93+N93,"")</f>
        <v/>
      </c>
      <c r="AR93" s="20">
        <f>IF(AND(ISNUMBER(AH93),ISNUMBER(T93),ISNUMBER(AQ93),AQ93&gt;0),(AH93-T93)/AQ93,"")</f>
        <v/>
      </c>
      <c r="AS93" s="20">
        <f>IF(AND(ISNUMBER(AE93),ISNUMBER(I93),I93&lt;&gt;0,AE93&gt;0),AE93/I93,"")</f>
        <v/>
      </c>
      <c r="AT93" s="17">
        <f>IF(AND(ISNUMBER(Y93),ISNUMBER(AA93)),Y93-IF(ISNUMBER(T93),T93,0)-(AA93-IF(ISNUMBER(V93),V93,0)),"")</f>
        <v/>
      </c>
      <c r="AU93" s="17">
        <f>IF(AND(ISNUMBER(Z93),ISNUMBER(AB93)),Z93-IF(ISNUMBER(U93),U93,0)-(AB93-IF(ISNUMBER(W93),W93,0)),"")</f>
        <v/>
      </c>
      <c r="AV93" s="17">
        <f>IF(AND(ISNUMBER(AT93),ISNUMBER(AU93)),AT93-AU93,"")</f>
        <v/>
      </c>
      <c r="AW93" s="17">
        <f>IF(AND(ISNUMBER(L93),ISNUMBER(M93),ISNUMBER(AF93)),L93-M93*(1-AF93),IF(ISNUMBER(L93),L93,""))</f>
        <v/>
      </c>
      <c r="AX93" s="17">
        <f>IF(E93="금융","",IF(AND(ISNUMBER(AW93),ISNUMBER(N93),ISNUMBER(O93),ISNUMBER(AV93)),AW93+N93-O93-AV93,IF(AND(ISNUMBER(P93),ISNUMBER(O93)),P93-O93-IF(ISNUMBER(Q93),Q93,0),"")))</f>
        <v/>
      </c>
      <c r="AY93" s="8">
        <f>IF(E93="금융","금융업 - 정의되지 않음",IF(AND(ISNUMBER(AW93),ISNUMBER(N93),ISNUMBER(O93),ISNUMBER(AV93)),"영업순이익+감가상각-설비투자-운전자본증감",IF(AND(ISNUMBER(P93),ISNUMBER(O93)),IF(ISNUMBER(Q93),"영업현금흐름-설비투자-주식보상비용","영업현금흐름-설비투자(주식보상비용 미태깅)"),"산출불가")))</f>
        <v/>
      </c>
      <c r="AZ93" s="19">
        <f>IF(AND(ISNUMBER(AX93),ISNUMBER(G93),G93&lt;&gt;0),AX93/G93,"")</f>
        <v/>
      </c>
      <c r="BA93" s="19">
        <f>IF(AND(ISNUMBER(AE93),ISNUMBER(G93),G93&lt;&gt;0),AE93/G93,"")</f>
        <v/>
      </c>
    </row>
    <row r="94">
      <c r="A94" s="8" t="inlineStr">
        <is>
          <t>TSLA</t>
        </is>
      </c>
      <c r="B94" s="8" t="inlineStr">
        <is>
          <t>Tesla, Inc.</t>
        </is>
      </c>
      <c r="C94" s="8" t="n">
        <v>2021</v>
      </c>
      <c r="D94" s="8" t="inlineStr">
        <is>
          <t>2021-12-31</t>
        </is>
      </c>
      <c r="E94" s="8" t="inlineStr">
        <is>
          <t>일반</t>
        </is>
      </c>
      <c r="F94" s="8" t="inlineStr">
        <is>
          <t>0001628280-24-002390</t>
        </is>
      </c>
      <c r="G94" s="15" t="n">
        <v>53.823</v>
      </c>
      <c r="H94" s="15" t="n">
        <v>6.343</v>
      </c>
      <c r="I94" s="15" t="n"/>
      <c r="J94" s="15" t="n">
        <v>0.699</v>
      </c>
      <c r="K94" s="15" t="n">
        <v>6.523</v>
      </c>
      <c r="L94" s="15" t="n">
        <v>5.519</v>
      </c>
      <c r="M94" s="15" t="n">
        <v>0.128</v>
      </c>
      <c r="N94" s="15" t="n">
        <v>1.91</v>
      </c>
      <c r="O94" s="15" t="n">
        <v>6.482</v>
      </c>
      <c r="P94" s="15" t="n">
        <v>11.497</v>
      </c>
      <c r="Q94" s="15" t="n">
        <v>2.121</v>
      </c>
      <c r="R94" s="15" t="n">
        <v>30.189</v>
      </c>
      <c r="S94" s="15" t="n">
        <v>22.225</v>
      </c>
      <c r="T94" s="15" t="n">
        <v>17.707</v>
      </c>
      <c r="U94" s="15" t="n">
        <v>19.384</v>
      </c>
      <c r="V94" s="15" t="n">
        <v>1.088</v>
      </c>
      <c r="W94" s="15" t="n">
        <v>1.758</v>
      </c>
      <c r="X94" s="15" t="n">
        <v>4.254</v>
      </c>
      <c r="Y94" s="15" t="n">
        <v>27.1</v>
      </c>
      <c r="Z94" s="15" t="n">
        <v>26.717</v>
      </c>
      <c r="AA94" s="15" t="n">
        <v>19.705</v>
      </c>
      <c r="AB94" s="15" t="n">
        <v>14.248</v>
      </c>
      <c r="AC94" s="15" t="n">
        <v>13.061</v>
      </c>
      <c r="AD94" s="16" t="n">
        <v>3100</v>
      </c>
      <c r="AE94" s="17">
        <f>IF(ISNUMBER(K94),K94,IF(AND(ISNUMBER(H94),ISNUMBER(I94)),H94+I94,IF(ISNUMBER(H94),H94,"")))</f>
        <v/>
      </c>
      <c r="AF94" s="18">
        <f>IF(OR(NOT(ISNUMBER(J94)),NOT(ISNUMBER(H94)),H94&lt;=0),기준표!$B$8,MIN(MAX(J94/H94,기준표!$B$6),기준표!$B$7))</f>
        <v/>
      </c>
      <c r="AG94" s="17">
        <f>IF(ISNUMBER(AE94),AE94*(1-AF94),"")</f>
        <v/>
      </c>
      <c r="AH94" s="17">
        <f>IF(AND(NOT(ISNUMBER(V94)),NOT(ISNUMBER(X94))),"",IF(ISNUMBER(V94),V94,0)+IF(ISNUMBER(X94),X94,0))</f>
        <v/>
      </c>
      <c r="AI94" s="17">
        <f>IF(E94="금융","",IF(AND(ISNUMBER(R94),ISNUMBER(AH94),ISNUMBER(T94)),R94+AH94-T94,""))</f>
        <v/>
      </c>
      <c r="AJ94" s="17">
        <f>IF(E94="금융","",IF(NOT(ISNUMBER(AI94)),"",IF(ISNUMBER(AC94),(AI94+AC94)/2,AI94)))</f>
        <v/>
      </c>
      <c r="AK94" s="19">
        <f>IF(AND(ISNUMBER(AG94),ISNUMBER(AJ94),AJ94&gt;0),AG94/AJ94,"")</f>
        <v/>
      </c>
      <c r="AL94" s="17">
        <f>IF(E94="금융","",IF(AND(ISNUMBER(R94),ISNUMBER(AH94)),R94+AH94,""))</f>
        <v/>
      </c>
      <c r="AM94" s="19">
        <f>IF(OR(NOT(ISNUMBER(AG94)),NOT(ISNUMBER(AL94)),AL94&lt;=0),"",IF(AND(ISNUMBER(G94),AL94&lt;0.1*G94),"",AG94/AL94))</f>
        <v/>
      </c>
      <c r="AN94" s="17">
        <f>IF(NOT(ISNUMBER(R94)),"",IF(ISNUMBER(S94),(R94+S94)/2,R94))</f>
        <v/>
      </c>
      <c r="AO94" s="19">
        <f>IF(AND(ISNUMBER(L94),ISNUMBER(AN94),AN94&gt;0),L94/AN94,"")</f>
        <v/>
      </c>
      <c r="AP94" s="19">
        <f>IF(AND(ISNUMBER(AO94),ISNUMBER({ROIC})),AO94-{ROIC},"")</f>
        <v/>
      </c>
      <c r="AQ94" s="17">
        <f>IF(AND(ISNUMBER(AE94),ISNUMBER(N94)),AE94+N94,"")</f>
        <v/>
      </c>
      <c r="AR94" s="20">
        <f>IF(AND(ISNUMBER(AH94),ISNUMBER(T94),ISNUMBER(AQ94),AQ94&gt;0),(AH94-T94)/AQ94,"")</f>
        <v/>
      </c>
      <c r="AS94" s="20">
        <f>IF(AND(ISNUMBER(AE94),ISNUMBER(I94),I94&lt;&gt;0,AE94&gt;0),AE94/I94,"")</f>
        <v/>
      </c>
      <c r="AT94" s="17">
        <f>IF(AND(ISNUMBER(Y94),ISNUMBER(AA94)),Y94-IF(ISNUMBER(T94),T94,0)-(AA94-IF(ISNUMBER(V94),V94,0)),"")</f>
        <v/>
      </c>
      <c r="AU94" s="17">
        <f>IF(AND(ISNUMBER(Z94),ISNUMBER(AB94)),Z94-IF(ISNUMBER(U94),U94,0)-(AB94-IF(ISNUMBER(W94),W94,0)),"")</f>
        <v/>
      </c>
      <c r="AV94" s="17">
        <f>IF(AND(ISNUMBER(AT94),ISNUMBER(AU94)),AT94-AU94,"")</f>
        <v/>
      </c>
      <c r="AW94" s="17">
        <f>IF(AND(ISNUMBER(L94),ISNUMBER(M94),ISNUMBER(AF94)),L94-M94*(1-AF94),IF(ISNUMBER(L94),L94,""))</f>
        <v/>
      </c>
      <c r="AX94" s="17">
        <f>IF(E94="금융","",IF(AND(ISNUMBER(AW94),ISNUMBER(N94),ISNUMBER(O94),ISNUMBER(AV94)),AW94+N94-O94-AV94,IF(AND(ISNUMBER(P94),ISNUMBER(O94)),P94-O94-IF(ISNUMBER(Q94),Q94,0),"")))</f>
        <v/>
      </c>
      <c r="AY94" s="8">
        <f>IF(E94="금융","금융업 - 정의되지 않음",IF(AND(ISNUMBER(AW94),ISNUMBER(N94),ISNUMBER(O94),ISNUMBER(AV94)),"영업순이익+감가상각-설비투자-운전자본증감",IF(AND(ISNUMBER(P94),ISNUMBER(O94)),IF(ISNUMBER(Q94),"영업현금흐름-설비투자-주식보상비용","영업현금흐름-설비투자(주식보상비용 미태깅)"),"산출불가")))</f>
        <v/>
      </c>
      <c r="AZ94" s="19">
        <f>IF(AND(ISNUMBER(AX94),ISNUMBER(G94),G94&lt;&gt;0),AX94/G94,"")</f>
        <v/>
      </c>
      <c r="BA94" s="19">
        <f>IF(AND(ISNUMBER(AE94),ISNUMBER(G94),G94&lt;&gt;0),AE94/G94,"")</f>
        <v/>
      </c>
    </row>
    <row r="95">
      <c r="A95" s="8" t="inlineStr">
        <is>
          <t>TSLA</t>
        </is>
      </c>
      <c r="B95" s="8" t="inlineStr">
        <is>
          <t>Tesla, Inc.</t>
        </is>
      </c>
      <c r="C95" s="8" t="n">
        <v>2022</v>
      </c>
      <c r="D95" s="8" t="inlineStr">
        <is>
          <t>2022-12-31</t>
        </is>
      </c>
      <c r="E95" s="8" t="inlineStr">
        <is>
          <t>일반</t>
        </is>
      </c>
      <c r="F95" s="8" t="inlineStr">
        <is>
          <t>0001628280-25-003063</t>
        </is>
      </c>
      <c r="G95" s="15" t="n">
        <v>81.462</v>
      </c>
      <c r="H95" s="15" t="n">
        <v>13.719</v>
      </c>
      <c r="I95" s="15" t="n">
        <v>0.191</v>
      </c>
      <c r="J95" s="15" t="n">
        <v>1.132</v>
      </c>
      <c r="K95" s="15" t="n">
        <v>13.656</v>
      </c>
      <c r="L95" s="15" t="n">
        <v>12.556</v>
      </c>
      <c r="M95" s="15" t="n">
        <v>0.064</v>
      </c>
      <c r="N95" s="15" t="n">
        <v>2.42</v>
      </c>
      <c r="O95" s="15" t="n">
        <v>7.158</v>
      </c>
      <c r="P95" s="15" t="n">
        <v>14.724</v>
      </c>
      <c r="Q95" s="15" t="n">
        <v>1.56</v>
      </c>
      <c r="R95" s="15" t="n">
        <v>44.704</v>
      </c>
      <c r="S95" s="15" t="n">
        <v>30.189</v>
      </c>
      <c r="T95" s="15" t="n">
        <v>22.185</v>
      </c>
      <c r="U95" s="15" t="n">
        <v>17.707</v>
      </c>
      <c r="V95" s="15" t="n">
        <v>1.016</v>
      </c>
      <c r="W95" s="15" t="n">
        <v>1.088</v>
      </c>
      <c r="X95" s="15" t="n">
        <v>1.029</v>
      </c>
      <c r="Y95" s="15" t="n">
        <v>40.917</v>
      </c>
      <c r="Z95" s="15" t="n">
        <v>27.1</v>
      </c>
      <c r="AA95" s="15" t="n">
        <v>26.709</v>
      </c>
      <c r="AB95" s="15" t="n">
        <v>19.705</v>
      </c>
      <c r="AC95" s="15" t="n">
        <v>17.824</v>
      </c>
      <c r="AD95" s="16" t="n">
        <v>3164</v>
      </c>
      <c r="AE95" s="17">
        <f>IF(ISNUMBER(K95),K95,IF(AND(ISNUMBER(H95),ISNUMBER(I95)),H95+I95,IF(ISNUMBER(H95),H95,"")))</f>
        <v/>
      </c>
      <c r="AF95" s="18">
        <f>IF(OR(NOT(ISNUMBER(J95)),NOT(ISNUMBER(H95)),H95&lt;=0),기준표!$B$8,MIN(MAX(J95/H95,기준표!$B$6),기준표!$B$7))</f>
        <v/>
      </c>
      <c r="AG95" s="17">
        <f>IF(ISNUMBER(AE95),AE95*(1-AF95),"")</f>
        <v/>
      </c>
      <c r="AH95" s="17">
        <f>IF(AND(NOT(ISNUMBER(V95)),NOT(ISNUMBER(X95))),"",IF(ISNUMBER(V95),V95,0)+IF(ISNUMBER(X95),X95,0))</f>
        <v/>
      </c>
      <c r="AI95" s="17">
        <f>IF(E95="금융","",IF(AND(ISNUMBER(R95),ISNUMBER(AH95),ISNUMBER(T95)),R95+AH95-T95,""))</f>
        <v/>
      </c>
      <c r="AJ95" s="17">
        <f>IF(E95="금융","",IF(NOT(ISNUMBER(AI95)),"",IF(ISNUMBER(AC95),(AI95+AC95)/2,AI95)))</f>
        <v/>
      </c>
      <c r="AK95" s="19">
        <f>IF(AND(ISNUMBER(AG95),ISNUMBER(AJ95),AJ95&gt;0),AG95/AJ95,"")</f>
        <v/>
      </c>
      <c r="AL95" s="17">
        <f>IF(E95="금융","",IF(AND(ISNUMBER(R95),ISNUMBER(AH95)),R95+AH95,""))</f>
        <v/>
      </c>
      <c r="AM95" s="19">
        <f>IF(OR(NOT(ISNUMBER(AG95)),NOT(ISNUMBER(AL95)),AL95&lt;=0),"",IF(AND(ISNUMBER(G95),AL95&lt;0.1*G95),"",AG95/AL95))</f>
        <v/>
      </c>
      <c r="AN95" s="17">
        <f>IF(NOT(ISNUMBER(R95)),"",IF(ISNUMBER(S95),(R95+S95)/2,R95))</f>
        <v/>
      </c>
      <c r="AO95" s="19">
        <f>IF(AND(ISNUMBER(L95),ISNUMBER(AN95),AN95&gt;0),L95/AN95,"")</f>
        <v/>
      </c>
      <c r="AP95" s="19">
        <f>IF(AND(ISNUMBER(AO95),ISNUMBER({ROIC})),AO95-{ROIC},"")</f>
        <v/>
      </c>
      <c r="AQ95" s="17">
        <f>IF(AND(ISNUMBER(AE95),ISNUMBER(N95)),AE95+N95,"")</f>
        <v/>
      </c>
      <c r="AR95" s="20">
        <f>IF(AND(ISNUMBER(AH95),ISNUMBER(T95),ISNUMBER(AQ95),AQ95&gt;0),(AH95-T95)/AQ95,"")</f>
        <v/>
      </c>
      <c r="AS95" s="20">
        <f>IF(AND(ISNUMBER(AE95),ISNUMBER(I95),I95&lt;&gt;0,AE95&gt;0),AE95/I95,"")</f>
        <v/>
      </c>
      <c r="AT95" s="17">
        <f>IF(AND(ISNUMBER(Y95),ISNUMBER(AA95)),Y95-IF(ISNUMBER(T95),T95,0)-(AA95-IF(ISNUMBER(V95),V95,0)),"")</f>
        <v/>
      </c>
      <c r="AU95" s="17">
        <f>IF(AND(ISNUMBER(Z95),ISNUMBER(AB95)),Z95-IF(ISNUMBER(U95),U95,0)-(AB95-IF(ISNUMBER(W95),W95,0)),"")</f>
        <v/>
      </c>
      <c r="AV95" s="17">
        <f>IF(AND(ISNUMBER(AT95),ISNUMBER(AU95)),AT95-AU95,"")</f>
        <v/>
      </c>
      <c r="AW95" s="17">
        <f>IF(AND(ISNUMBER(L95),ISNUMBER(M95),ISNUMBER(AF95)),L95-M95*(1-AF95),IF(ISNUMBER(L95),L95,""))</f>
        <v/>
      </c>
      <c r="AX95" s="17">
        <f>IF(E95="금융","",IF(AND(ISNUMBER(AW95),ISNUMBER(N95),ISNUMBER(O95),ISNUMBER(AV95)),AW95+N95-O95-AV95,IF(AND(ISNUMBER(P95),ISNUMBER(O95)),P95-O95-IF(ISNUMBER(Q95),Q95,0),"")))</f>
        <v/>
      </c>
      <c r="AY95" s="8">
        <f>IF(E95="금융","금융업 - 정의되지 않음",IF(AND(ISNUMBER(AW95),ISNUMBER(N95),ISNUMBER(O95),ISNUMBER(AV95)),"영업순이익+감가상각-설비투자-운전자본증감",IF(AND(ISNUMBER(P95),ISNUMBER(O95)),IF(ISNUMBER(Q95),"영업현금흐름-설비투자-주식보상비용","영업현금흐름-설비투자(주식보상비용 미태깅)"),"산출불가")))</f>
        <v/>
      </c>
      <c r="AZ95" s="19">
        <f>IF(AND(ISNUMBER(AX95),ISNUMBER(G95),G95&lt;&gt;0),AX95/G95,"")</f>
        <v/>
      </c>
      <c r="BA95" s="19">
        <f>IF(AND(ISNUMBER(AE95),ISNUMBER(G95),G95&lt;&gt;0),AE95/G95,"")</f>
        <v/>
      </c>
    </row>
    <row r="96">
      <c r="A96" s="8" t="inlineStr">
        <is>
          <t>TSLA</t>
        </is>
      </c>
      <c r="B96" s="8" t="inlineStr">
        <is>
          <t>Tesla, Inc.</t>
        </is>
      </c>
      <c r="C96" s="8" t="n">
        <v>2023</v>
      </c>
      <c r="D96" s="8" t="inlineStr">
        <is>
          <t>2023-12-31</t>
        </is>
      </c>
      <c r="E96" s="8" t="inlineStr">
        <is>
          <t>일반</t>
        </is>
      </c>
      <c r="F96" s="8" t="inlineStr">
        <is>
          <t>0001628280-26-003952</t>
        </is>
      </c>
      <c r="G96" s="15" t="n">
        <v>96.773</v>
      </c>
      <c r="H96" s="15" t="n">
        <v>9.973000000000001</v>
      </c>
      <c r="I96" s="15" t="n">
        <v>0.156</v>
      </c>
      <c r="J96" s="15" t="n">
        <v>-5.001</v>
      </c>
      <c r="K96" s="15" t="n">
        <v>8.891</v>
      </c>
      <c r="L96" s="15" t="n">
        <v>14.997</v>
      </c>
      <c r="M96" s="15" t="n"/>
      <c r="N96" s="15" t="n">
        <v>3.33</v>
      </c>
      <c r="O96" s="15" t="n">
        <v>8.898999999999999</v>
      </c>
      <c r="P96" s="15" t="n">
        <v>13.256</v>
      </c>
      <c r="Q96" s="15" t="n">
        <v>1.812</v>
      </c>
      <c r="R96" s="15" t="n">
        <v>62.634</v>
      </c>
      <c r="S96" s="15" t="n">
        <v>44.704</v>
      </c>
      <c r="T96" s="15" t="n">
        <v>29.094</v>
      </c>
      <c r="U96" s="15" t="n">
        <v>22.185</v>
      </c>
      <c r="V96" s="15" t="n">
        <v>1.975</v>
      </c>
      <c r="W96" s="15" t="n">
        <v>1.016</v>
      </c>
      <c r="X96" s="15" t="n">
        <v>2.682</v>
      </c>
      <c r="Y96" s="15" t="n">
        <v>49.616</v>
      </c>
      <c r="Z96" s="15" t="n">
        <v>40.917</v>
      </c>
      <c r="AA96" s="15" t="n">
        <v>28.748</v>
      </c>
      <c r="AB96" s="15" t="n">
        <v>26.709</v>
      </c>
      <c r="AC96" s="15" t="n">
        <v>24.564</v>
      </c>
      <c r="AD96" s="16" t="n">
        <v>3185</v>
      </c>
      <c r="AE96" s="17">
        <f>IF(ISNUMBER(K96),K96,IF(AND(ISNUMBER(H96),ISNUMBER(I96)),H96+I96,IF(ISNUMBER(H96),H96,"")))</f>
        <v/>
      </c>
      <c r="AF96" s="18">
        <f>IF(OR(NOT(ISNUMBER(J96)),NOT(ISNUMBER(H96)),H96&lt;=0),기준표!$B$8,MIN(MAX(J96/H96,기준표!$B$6),기준표!$B$7))</f>
        <v/>
      </c>
      <c r="AG96" s="17">
        <f>IF(ISNUMBER(AE96),AE96*(1-AF96),"")</f>
        <v/>
      </c>
      <c r="AH96" s="17">
        <f>IF(AND(NOT(ISNUMBER(V96)),NOT(ISNUMBER(X96))),"",IF(ISNUMBER(V96),V96,0)+IF(ISNUMBER(X96),X96,0))</f>
        <v/>
      </c>
      <c r="AI96" s="17">
        <f>IF(E96="금융","",IF(AND(ISNUMBER(R96),ISNUMBER(AH96),ISNUMBER(T96)),R96+AH96-T96,""))</f>
        <v/>
      </c>
      <c r="AJ96" s="17">
        <f>IF(E96="금융","",IF(NOT(ISNUMBER(AI96)),"",IF(ISNUMBER(AC96),(AI96+AC96)/2,AI96)))</f>
        <v/>
      </c>
      <c r="AK96" s="19">
        <f>IF(AND(ISNUMBER(AG96),ISNUMBER(AJ96),AJ96&gt;0),AG96/AJ96,"")</f>
        <v/>
      </c>
      <c r="AL96" s="17">
        <f>IF(E96="금융","",IF(AND(ISNUMBER(R96),ISNUMBER(AH96)),R96+AH96,""))</f>
        <v/>
      </c>
      <c r="AM96" s="19">
        <f>IF(OR(NOT(ISNUMBER(AG96)),NOT(ISNUMBER(AL96)),AL96&lt;=0),"",IF(AND(ISNUMBER(G96),AL96&lt;0.1*G96),"",AG96/AL96))</f>
        <v/>
      </c>
      <c r="AN96" s="17">
        <f>IF(NOT(ISNUMBER(R96)),"",IF(ISNUMBER(S96),(R96+S96)/2,R96))</f>
        <v/>
      </c>
      <c r="AO96" s="19">
        <f>IF(AND(ISNUMBER(L96),ISNUMBER(AN96),AN96&gt;0),L96/AN96,"")</f>
        <v/>
      </c>
      <c r="AP96" s="19">
        <f>IF(AND(ISNUMBER(AO96),ISNUMBER({ROIC})),AO96-{ROIC},"")</f>
        <v/>
      </c>
      <c r="AQ96" s="17">
        <f>IF(AND(ISNUMBER(AE96),ISNUMBER(N96)),AE96+N96,"")</f>
        <v/>
      </c>
      <c r="AR96" s="20">
        <f>IF(AND(ISNUMBER(AH96),ISNUMBER(T96),ISNUMBER(AQ96),AQ96&gt;0),(AH96-T96)/AQ96,"")</f>
        <v/>
      </c>
      <c r="AS96" s="20">
        <f>IF(AND(ISNUMBER(AE96),ISNUMBER(I96),I96&lt;&gt;0,AE96&gt;0),AE96/I96,"")</f>
        <v/>
      </c>
      <c r="AT96" s="17">
        <f>IF(AND(ISNUMBER(Y96),ISNUMBER(AA96)),Y96-IF(ISNUMBER(T96),T96,0)-(AA96-IF(ISNUMBER(V96),V96,0)),"")</f>
        <v/>
      </c>
      <c r="AU96" s="17">
        <f>IF(AND(ISNUMBER(Z96),ISNUMBER(AB96)),Z96-IF(ISNUMBER(U96),U96,0)-(AB96-IF(ISNUMBER(W96),W96,0)),"")</f>
        <v/>
      </c>
      <c r="AV96" s="17">
        <f>IF(AND(ISNUMBER(AT96),ISNUMBER(AU96)),AT96-AU96,"")</f>
        <v/>
      </c>
      <c r="AW96" s="17">
        <f>IF(AND(ISNUMBER(L96),ISNUMBER(M96),ISNUMBER(AF96)),L96-M96*(1-AF96),IF(ISNUMBER(L96),L96,""))</f>
        <v/>
      </c>
      <c r="AX96" s="17">
        <f>IF(E96="금융","",IF(AND(ISNUMBER(AW96),ISNUMBER(N96),ISNUMBER(O96),ISNUMBER(AV96)),AW96+N96-O96-AV96,IF(AND(ISNUMBER(P96),ISNUMBER(O96)),P96-O96-IF(ISNUMBER(Q96),Q96,0),"")))</f>
        <v/>
      </c>
      <c r="AY96" s="8">
        <f>IF(E96="금융","금융업 - 정의되지 않음",IF(AND(ISNUMBER(AW96),ISNUMBER(N96),ISNUMBER(O96),ISNUMBER(AV96)),"영업순이익+감가상각-설비투자-운전자본증감",IF(AND(ISNUMBER(P96),ISNUMBER(O96)),IF(ISNUMBER(Q96),"영업현금흐름-설비투자-주식보상비용","영업현금흐름-설비투자(주식보상비용 미태깅)"),"산출불가")))</f>
        <v/>
      </c>
      <c r="AZ96" s="19">
        <f>IF(AND(ISNUMBER(AX96),ISNUMBER(G96),G96&lt;&gt;0),AX96/G96,"")</f>
        <v/>
      </c>
      <c r="BA96" s="19">
        <f>IF(AND(ISNUMBER(AE96),ISNUMBER(G96),G96&lt;&gt;0),AE96/G96,"")</f>
        <v/>
      </c>
    </row>
    <row r="97">
      <c r="A97" s="8" t="inlineStr">
        <is>
          <t>TSLA</t>
        </is>
      </c>
      <c r="B97" s="8" t="inlineStr">
        <is>
          <t>Tesla, Inc.</t>
        </is>
      </c>
      <c r="C97" s="8" t="n">
        <v>2024</v>
      </c>
      <c r="D97" s="8" t="inlineStr">
        <is>
          <t>2024-12-31</t>
        </is>
      </c>
      <c r="E97" s="8" t="inlineStr">
        <is>
          <t>일반</t>
        </is>
      </c>
      <c r="F97" s="8" t="inlineStr">
        <is>
          <t>0001628280-26-003952</t>
        </is>
      </c>
      <c r="G97" s="15" t="n">
        <v>97.69</v>
      </c>
      <c r="H97" s="15" t="n">
        <v>8.99</v>
      </c>
      <c r="I97" s="15" t="n">
        <v>0.35</v>
      </c>
      <c r="J97" s="15" t="n">
        <v>1.837</v>
      </c>
      <c r="K97" s="15" t="n">
        <v>7.076</v>
      </c>
      <c r="L97" s="15" t="n">
        <v>7.091</v>
      </c>
      <c r="M97" s="15" t="n"/>
      <c r="N97" s="15" t="n">
        <v>4.12</v>
      </c>
      <c r="O97" s="15" t="n">
        <v>11.342</v>
      </c>
      <c r="P97" s="15" t="n">
        <v>14.923</v>
      </c>
      <c r="Q97" s="15" t="n">
        <v>1.999</v>
      </c>
      <c r="R97" s="15" t="n">
        <v>72.913</v>
      </c>
      <c r="S97" s="15" t="n">
        <v>62.634</v>
      </c>
      <c r="T97" s="15" t="n">
        <v>36.563</v>
      </c>
      <c r="U97" s="15" t="n">
        <v>29.094</v>
      </c>
      <c r="V97" s="15" t="n">
        <v>2.343</v>
      </c>
      <c r="W97" s="15" t="n">
        <v>1.975</v>
      </c>
      <c r="X97" s="15" t="n">
        <v>5.535</v>
      </c>
      <c r="Y97" s="15" t="n">
        <v>58.36</v>
      </c>
      <c r="Z97" s="15" t="n">
        <v>49.616</v>
      </c>
      <c r="AA97" s="15" t="n">
        <v>28.821</v>
      </c>
      <c r="AB97" s="15" t="n">
        <v>28.748</v>
      </c>
      <c r="AC97" s="15" t="n">
        <v>38.197</v>
      </c>
      <c r="AD97" s="16" t="n">
        <v>3216</v>
      </c>
      <c r="AE97" s="17">
        <f>IF(ISNUMBER(K97),K97,IF(AND(ISNUMBER(H97),ISNUMBER(I97)),H97+I97,IF(ISNUMBER(H97),H97,"")))</f>
        <v/>
      </c>
      <c r="AF97" s="18">
        <f>IF(OR(NOT(ISNUMBER(J97)),NOT(ISNUMBER(H97)),H97&lt;=0),기준표!$B$8,MIN(MAX(J97/H97,기준표!$B$6),기준표!$B$7))</f>
        <v/>
      </c>
      <c r="AG97" s="17">
        <f>IF(ISNUMBER(AE97),AE97*(1-AF97),"")</f>
        <v/>
      </c>
      <c r="AH97" s="17">
        <f>IF(AND(NOT(ISNUMBER(V97)),NOT(ISNUMBER(X97))),"",IF(ISNUMBER(V97),V97,0)+IF(ISNUMBER(X97),X97,0))</f>
        <v/>
      </c>
      <c r="AI97" s="17">
        <f>IF(E97="금융","",IF(AND(ISNUMBER(R97),ISNUMBER(AH97),ISNUMBER(T97)),R97+AH97-T97,""))</f>
        <v/>
      </c>
      <c r="AJ97" s="17">
        <f>IF(E97="금융","",IF(NOT(ISNUMBER(AI97)),"",IF(ISNUMBER(AC97),(AI97+AC97)/2,AI97)))</f>
        <v/>
      </c>
      <c r="AK97" s="19">
        <f>IF(AND(ISNUMBER(AG97),ISNUMBER(AJ97),AJ97&gt;0),AG97/AJ97,"")</f>
        <v/>
      </c>
      <c r="AL97" s="17">
        <f>IF(E97="금융","",IF(AND(ISNUMBER(R97),ISNUMBER(AH97)),R97+AH97,""))</f>
        <v/>
      </c>
      <c r="AM97" s="19">
        <f>IF(OR(NOT(ISNUMBER(AG97)),NOT(ISNUMBER(AL97)),AL97&lt;=0),"",IF(AND(ISNUMBER(G97),AL97&lt;0.1*G97),"",AG97/AL97))</f>
        <v/>
      </c>
      <c r="AN97" s="17">
        <f>IF(NOT(ISNUMBER(R97)),"",IF(ISNUMBER(S97),(R97+S97)/2,R97))</f>
        <v/>
      </c>
      <c r="AO97" s="19">
        <f>IF(AND(ISNUMBER(L97),ISNUMBER(AN97),AN97&gt;0),L97/AN97,"")</f>
        <v/>
      </c>
      <c r="AP97" s="19">
        <f>IF(AND(ISNUMBER(AO97),ISNUMBER({ROIC})),AO97-{ROIC},"")</f>
        <v/>
      </c>
      <c r="AQ97" s="17">
        <f>IF(AND(ISNUMBER(AE97),ISNUMBER(N97)),AE97+N97,"")</f>
        <v/>
      </c>
      <c r="AR97" s="20">
        <f>IF(AND(ISNUMBER(AH97),ISNUMBER(T97),ISNUMBER(AQ97),AQ97&gt;0),(AH97-T97)/AQ97,"")</f>
        <v/>
      </c>
      <c r="AS97" s="20">
        <f>IF(AND(ISNUMBER(AE97),ISNUMBER(I97),I97&lt;&gt;0,AE97&gt;0),AE97/I97,"")</f>
        <v/>
      </c>
      <c r="AT97" s="17">
        <f>IF(AND(ISNUMBER(Y97),ISNUMBER(AA97)),Y97-IF(ISNUMBER(T97),T97,0)-(AA97-IF(ISNUMBER(V97),V97,0)),"")</f>
        <v/>
      </c>
      <c r="AU97" s="17">
        <f>IF(AND(ISNUMBER(Z97),ISNUMBER(AB97)),Z97-IF(ISNUMBER(U97),U97,0)-(AB97-IF(ISNUMBER(W97),W97,0)),"")</f>
        <v/>
      </c>
      <c r="AV97" s="17">
        <f>IF(AND(ISNUMBER(AT97),ISNUMBER(AU97)),AT97-AU97,"")</f>
        <v/>
      </c>
      <c r="AW97" s="17">
        <f>IF(AND(ISNUMBER(L97),ISNUMBER(M97),ISNUMBER(AF97)),L97-M97*(1-AF97),IF(ISNUMBER(L97),L97,""))</f>
        <v/>
      </c>
      <c r="AX97" s="17">
        <f>IF(E97="금융","",IF(AND(ISNUMBER(AW97),ISNUMBER(N97),ISNUMBER(O97),ISNUMBER(AV97)),AW97+N97-O97-AV97,IF(AND(ISNUMBER(P97),ISNUMBER(O97)),P97-O97-IF(ISNUMBER(Q97),Q97,0),"")))</f>
        <v/>
      </c>
      <c r="AY97" s="8">
        <f>IF(E97="금융","금융업 - 정의되지 않음",IF(AND(ISNUMBER(AW97),ISNUMBER(N97),ISNUMBER(O97),ISNUMBER(AV97)),"영업순이익+감가상각-설비투자-운전자본증감",IF(AND(ISNUMBER(P97),ISNUMBER(O97)),IF(ISNUMBER(Q97),"영업현금흐름-설비투자-주식보상비용","영업현금흐름-설비투자(주식보상비용 미태깅)"),"산출불가")))</f>
        <v/>
      </c>
      <c r="AZ97" s="19">
        <f>IF(AND(ISNUMBER(AX97),ISNUMBER(G97),G97&lt;&gt;0),AX97/G97,"")</f>
        <v/>
      </c>
      <c r="BA97" s="19">
        <f>IF(AND(ISNUMBER(AE97),ISNUMBER(G97),G97&lt;&gt;0),AE97/G97,"")</f>
        <v/>
      </c>
    </row>
    <row r="98">
      <c r="A98" s="8" t="inlineStr">
        <is>
          <t>TSLA</t>
        </is>
      </c>
      <c r="B98" s="8" t="inlineStr">
        <is>
          <t>Tesla, Inc.</t>
        </is>
      </c>
      <c r="C98" s="8" t="n">
        <v>2025</v>
      </c>
      <c r="D98" s="8" t="inlineStr">
        <is>
          <t>2025-12-31</t>
        </is>
      </c>
      <c r="E98" s="8" t="inlineStr">
        <is>
          <t>일반</t>
        </is>
      </c>
      <c r="F98" s="8" t="inlineStr">
        <is>
          <t>0001628280-26-003952</t>
        </is>
      </c>
      <c r="G98" s="15" t="n">
        <v>94.827</v>
      </c>
      <c r="H98" s="15" t="n">
        <v>5.278</v>
      </c>
      <c r="I98" s="15" t="n">
        <v>0.338</v>
      </c>
      <c r="J98" s="15" t="n">
        <v>1.423</v>
      </c>
      <c r="K98" s="15" t="n">
        <v>4.355</v>
      </c>
      <c r="L98" s="15" t="n">
        <v>3.794</v>
      </c>
      <c r="M98" s="15" t="n"/>
      <c r="N98" s="15" t="n">
        <v>5.03</v>
      </c>
      <c r="O98" s="15" t="n">
        <v>8.526999999999999</v>
      </c>
      <c r="P98" s="15" t="n">
        <v>14.747</v>
      </c>
      <c r="Q98" s="15" t="n">
        <v>2.825</v>
      </c>
      <c r="R98" s="15" t="n">
        <v>82.137</v>
      </c>
      <c r="S98" s="15" t="n">
        <v>72.913</v>
      </c>
      <c r="T98" s="15" t="n">
        <v>44.059</v>
      </c>
      <c r="U98" s="15" t="n">
        <v>36.563</v>
      </c>
      <c r="V98" s="15" t="n">
        <v>1.569</v>
      </c>
      <c r="W98" s="15" t="n">
        <v>2.343</v>
      </c>
      <c r="X98" s="15" t="n">
        <v>6.584</v>
      </c>
      <c r="Y98" s="15" t="n">
        <v>68.642</v>
      </c>
      <c r="Z98" s="15" t="n">
        <v>58.36</v>
      </c>
      <c r="AA98" s="15" t="n">
        <v>31.714</v>
      </c>
      <c r="AB98" s="15" t="n">
        <v>28.821</v>
      </c>
      <c r="AC98" s="15" t="n">
        <v>44.228</v>
      </c>
      <c r="AD98" s="16" t="n">
        <v>3751</v>
      </c>
      <c r="AE98" s="17">
        <f>IF(ISNUMBER(K98),K98,IF(AND(ISNUMBER(H98),ISNUMBER(I98)),H98+I98,IF(ISNUMBER(H98),H98,"")))</f>
        <v/>
      </c>
      <c r="AF98" s="18">
        <f>IF(OR(NOT(ISNUMBER(J98)),NOT(ISNUMBER(H98)),H98&lt;=0),기준표!$B$8,MIN(MAX(J98/H98,기준표!$B$6),기준표!$B$7))</f>
        <v/>
      </c>
      <c r="AG98" s="17">
        <f>IF(ISNUMBER(AE98),AE98*(1-AF98),"")</f>
        <v/>
      </c>
      <c r="AH98" s="17">
        <f>IF(AND(NOT(ISNUMBER(V98)),NOT(ISNUMBER(X98))),"",IF(ISNUMBER(V98),V98,0)+IF(ISNUMBER(X98),X98,0))</f>
        <v/>
      </c>
      <c r="AI98" s="17">
        <f>IF(E98="금융","",IF(AND(ISNUMBER(R98),ISNUMBER(AH98),ISNUMBER(T98)),R98+AH98-T98,""))</f>
        <v/>
      </c>
      <c r="AJ98" s="17">
        <f>IF(E98="금융","",IF(NOT(ISNUMBER(AI98)),"",IF(ISNUMBER(AC98),(AI98+AC98)/2,AI98)))</f>
        <v/>
      </c>
      <c r="AK98" s="19">
        <f>IF(AND(ISNUMBER(AG98),ISNUMBER(AJ98),AJ98&gt;0),AG98/AJ98,"")</f>
        <v/>
      </c>
      <c r="AL98" s="17">
        <f>IF(E98="금융","",IF(AND(ISNUMBER(R98),ISNUMBER(AH98)),R98+AH98,""))</f>
        <v/>
      </c>
      <c r="AM98" s="19">
        <f>IF(OR(NOT(ISNUMBER(AG98)),NOT(ISNUMBER(AL98)),AL98&lt;=0),"",IF(AND(ISNUMBER(G98),AL98&lt;0.1*G98),"",AG98/AL98))</f>
        <v/>
      </c>
      <c r="AN98" s="17">
        <f>IF(NOT(ISNUMBER(R98)),"",IF(ISNUMBER(S98),(R98+S98)/2,R98))</f>
        <v/>
      </c>
      <c r="AO98" s="19">
        <f>IF(AND(ISNUMBER(L98),ISNUMBER(AN98),AN98&gt;0),L98/AN98,"")</f>
        <v/>
      </c>
      <c r="AP98" s="19">
        <f>IF(AND(ISNUMBER(AO98),ISNUMBER({ROIC})),AO98-{ROIC},"")</f>
        <v/>
      </c>
      <c r="AQ98" s="17">
        <f>IF(AND(ISNUMBER(AE98),ISNUMBER(N98)),AE98+N98,"")</f>
        <v/>
      </c>
      <c r="AR98" s="20">
        <f>IF(AND(ISNUMBER(AH98),ISNUMBER(T98),ISNUMBER(AQ98),AQ98&gt;0),(AH98-T98)/AQ98,"")</f>
        <v/>
      </c>
      <c r="AS98" s="20">
        <f>IF(AND(ISNUMBER(AE98),ISNUMBER(I98),I98&lt;&gt;0,AE98&gt;0),AE98/I98,"")</f>
        <v/>
      </c>
      <c r="AT98" s="17">
        <f>IF(AND(ISNUMBER(Y98),ISNUMBER(AA98)),Y98-IF(ISNUMBER(T98),T98,0)-(AA98-IF(ISNUMBER(V98),V98,0)),"")</f>
        <v/>
      </c>
      <c r="AU98" s="17">
        <f>IF(AND(ISNUMBER(Z98),ISNUMBER(AB98)),Z98-IF(ISNUMBER(U98),U98,0)-(AB98-IF(ISNUMBER(W98),W98,0)),"")</f>
        <v/>
      </c>
      <c r="AV98" s="17">
        <f>IF(AND(ISNUMBER(AT98),ISNUMBER(AU98)),AT98-AU98,"")</f>
        <v/>
      </c>
      <c r="AW98" s="17">
        <f>IF(AND(ISNUMBER(L98),ISNUMBER(M98),ISNUMBER(AF98)),L98-M98*(1-AF98),IF(ISNUMBER(L98),L98,""))</f>
        <v/>
      </c>
      <c r="AX98" s="17">
        <f>IF(E98="금융","",IF(AND(ISNUMBER(AW98),ISNUMBER(N98),ISNUMBER(O98),ISNUMBER(AV98)),AW98+N98-O98-AV98,IF(AND(ISNUMBER(P98),ISNUMBER(O98)),P98-O98-IF(ISNUMBER(Q98),Q98,0),"")))</f>
        <v/>
      </c>
      <c r="AY98" s="8">
        <f>IF(E98="금융","금융업 - 정의되지 않음",IF(AND(ISNUMBER(AW98),ISNUMBER(N98),ISNUMBER(O98),ISNUMBER(AV98)),"영업순이익+감가상각-설비투자-운전자본증감",IF(AND(ISNUMBER(P98),ISNUMBER(O98)),IF(ISNUMBER(Q98),"영업현금흐름-설비투자-주식보상비용","영업현금흐름-설비투자(주식보상비용 미태깅)"),"산출불가")))</f>
        <v/>
      </c>
      <c r="AZ98" s="19">
        <f>IF(AND(ISNUMBER(AX98),ISNUMBER(G98),G98&lt;&gt;0),AX98/G98,"")</f>
        <v/>
      </c>
      <c r="BA98" s="19">
        <f>IF(AND(ISNUMBER(AE98),ISNUMBER(G98),G98&lt;&gt;0),AE98/G98,"")</f>
        <v/>
      </c>
    </row>
    <row r="99">
      <c r="A99" s="8" t="inlineStr">
        <is>
          <t>BRK-B</t>
        </is>
      </c>
      <c r="B99" s="8" t="inlineStr">
        <is>
          <t>BERKSHIRE HATHAWAY INC</t>
        </is>
      </c>
      <c r="C99" s="8" t="n">
        <v>2014</v>
      </c>
      <c r="D99" s="8" t="inlineStr">
        <is>
          <t>2014-12-31</t>
        </is>
      </c>
      <c r="E99" s="8" t="inlineStr">
        <is>
          <t>금융</t>
        </is>
      </c>
      <c r="F99" s="8" t="inlineStr">
        <is>
          <t>0001193125-17-056969</t>
        </is>
      </c>
      <c r="G99" s="15" t="n">
        <v>194.699</v>
      </c>
      <c r="H99" s="15" t="n">
        <v>28.105</v>
      </c>
      <c r="I99" s="15" t="n">
        <v>3.253</v>
      </c>
      <c r="J99" s="15" t="n">
        <v>7.935</v>
      </c>
      <c r="K99" s="15" t="n"/>
      <c r="L99" s="15" t="n">
        <v>19.872</v>
      </c>
      <c r="M99" s="15" t="n">
        <v>3.575</v>
      </c>
      <c r="N99" s="15" t="n">
        <v>7.37</v>
      </c>
      <c r="O99" s="15" t="n">
        <v>15.185</v>
      </c>
      <c r="P99" s="15" t="n"/>
      <c r="Q99" s="15" t="n"/>
      <c r="R99" s="15" t="n">
        <v>240.17</v>
      </c>
      <c r="S99" s="15" t="n"/>
      <c r="T99" s="15" t="n"/>
      <c r="U99" s="15" t="n"/>
      <c r="V99" s="15" t="n">
        <v>0</v>
      </c>
      <c r="W99" s="15" t="n"/>
      <c r="X99" s="15" t="n"/>
      <c r="Y99" s="15" t="n"/>
      <c r="Z99" s="15" t="n"/>
      <c r="AA99" s="15" t="n"/>
      <c r="AB99" s="15" t="n"/>
      <c r="AC99" s="15" t="n"/>
      <c r="AD99" s="16" t="n">
        <v>1.643456</v>
      </c>
      <c r="AE99" s="17">
        <f>IF(ISNUMBER(K99),K99,IF(AND(ISNUMBER(H99),ISNUMBER(I99)),H99+I99,IF(ISNUMBER(H99),H99,"")))</f>
        <v/>
      </c>
      <c r="AF99" s="18">
        <f>IF(OR(NOT(ISNUMBER(J99)),NOT(ISNUMBER(H99)),H99&lt;=0),기준표!$B$8,MIN(MAX(J99/H99,기준표!$B$6),기준표!$B$7))</f>
        <v/>
      </c>
      <c r="AG99" s="17">
        <f>IF(ISNUMBER(AE99),AE99*(1-AF99),"")</f>
        <v/>
      </c>
      <c r="AH99" s="17">
        <f>IF(AND(NOT(ISNUMBER(V99)),NOT(ISNUMBER(X99))),"",IF(ISNUMBER(V99),V99,0)+IF(ISNUMBER(X99),X99,0))</f>
        <v/>
      </c>
      <c r="AI99" s="17">
        <f>IF(E99="금융","",IF(AND(ISNUMBER(R99),ISNUMBER(AH99),ISNUMBER(T99)),R99+AH99-T99,""))</f>
        <v/>
      </c>
      <c r="AJ99" s="17">
        <f>IF(E99="금융","",IF(NOT(ISNUMBER(AI99)),"",IF(ISNUMBER(AC99),(AI99+AC99)/2,AI99)))</f>
        <v/>
      </c>
      <c r="AK99" s="19">
        <f>IF(AND(ISNUMBER(AG99),ISNUMBER(AJ99),AJ99&gt;0),AG99/AJ99,"")</f>
        <v/>
      </c>
      <c r="AL99" s="17">
        <f>IF(E99="금융","",IF(AND(ISNUMBER(R99),ISNUMBER(AH99)),R99+AH99,""))</f>
        <v/>
      </c>
      <c r="AM99" s="19">
        <f>IF(OR(NOT(ISNUMBER(AG99)),NOT(ISNUMBER(AL99)),AL99&lt;=0),"",IF(AND(ISNUMBER(G99),AL99&lt;0.1*G99),"",AG99/AL99))</f>
        <v/>
      </c>
      <c r="AN99" s="17">
        <f>IF(NOT(ISNUMBER(R99)),"",IF(ISNUMBER(S99),(R99+S99)/2,R99))</f>
        <v/>
      </c>
      <c r="AO99" s="19">
        <f>IF(AND(ISNUMBER(L99),ISNUMBER(AN99),AN99&gt;0),L99/AN99,"")</f>
        <v/>
      </c>
      <c r="AP99" s="19">
        <f>IF(AND(ISNUMBER(AO99),ISNUMBER({ROIC})),AO99-{ROIC},"")</f>
        <v/>
      </c>
      <c r="AQ99" s="17">
        <f>IF(AND(ISNUMBER(AE99),ISNUMBER(N99)),AE99+N99,"")</f>
        <v/>
      </c>
      <c r="AR99" s="20">
        <f>IF(AND(ISNUMBER(AH99),ISNUMBER(T99),ISNUMBER(AQ99),AQ99&gt;0),(AH99-T99)/AQ99,"")</f>
        <v/>
      </c>
      <c r="AS99" s="20">
        <f>IF(AND(ISNUMBER(AE99),ISNUMBER(I99),I99&lt;&gt;0,AE99&gt;0),AE99/I99,"")</f>
        <v/>
      </c>
      <c r="AT99" s="17">
        <f>IF(AND(ISNUMBER(Y99),ISNUMBER(AA99)),Y99-IF(ISNUMBER(T99),T99,0)-(AA99-IF(ISNUMBER(V99),V99,0)),"")</f>
        <v/>
      </c>
      <c r="AU99" s="17">
        <f>IF(AND(ISNUMBER(Z99),ISNUMBER(AB99)),Z99-IF(ISNUMBER(U99),U99,0)-(AB99-IF(ISNUMBER(W99),W99,0)),"")</f>
        <v/>
      </c>
      <c r="AV99" s="17">
        <f>IF(AND(ISNUMBER(AT99),ISNUMBER(AU99)),AT99-AU99,"")</f>
        <v/>
      </c>
      <c r="AW99" s="17">
        <f>IF(AND(ISNUMBER(L99),ISNUMBER(M99),ISNUMBER(AF99)),L99-M99*(1-AF99),IF(ISNUMBER(L99),L99,""))</f>
        <v/>
      </c>
      <c r="AX99" s="17">
        <f>IF(E99="금융","",IF(AND(ISNUMBER(AW99),ISNUMBER(N99),ISNUMBER(O99),ISNUMBER(AV99)),AW99+N99-O99-AV99,IF(AND(ISNUMBER(P99),ISNUMBER(O99)),P99-O99-IF(ISNUMBER(Q99),Q99,0),"")))</f>
        <v/>
      </c>
      <c r="AY99" s="8">
        <f>IF(E99="금융","금융업 - 정의되지 않음",IF(AND(ISNUMBER(AW99),ISNUMBER(N99),ISNUMBER(O99),ISNUMBER(AV99)),"영업순이익+감가상각-설비투자-운전자본증감",IF(AND(ISNUMBER(P99),ISNUMBER(O99)),IF(ISNUMBER(Q99),"영업현금흐름-설비투자-주식보상비용","영업현금흐름-설비투자(주식보상비용 미태깅)"),"산출불가")))</f>
        <v/>
      </c>
      <c r="AZ99" s="19">
        <f>IF(AND(ISNUMBER(AX99),ISNUMBER(G99),G99&lt;&gt;0),AX99/G99,"")</f>
        <v/>
      </c>
      <c r="BA99" s="19">
        <f>IF(AND(ISNUMBER(AE99),ISNUMBER(G99),G99&lt;&gt;0),AE99/G99,"")</f>
        <v/>
      </c>
    </row>
    <row r="100">
      <c r="A100" s="8" t="inlineStr">
        <is>
          <t>BRK-B</t>
        </is>
      </c>
      <c r="B100" s="8" t="inlineStr">
        <is>
          <t>BERKSHIRE HATHAWAY INC</t>
        </is>
      </c>
      <c r="C100" s="8" t="n">
        <v>2015</v>
      </c>
      <c r="D100" s="8" t="inlineStr">
        <is>
          <t>2015-12-31</t>
        </is>
      </c>
      <c r="E100" s="8" t="inlineStr">
        <is>
          <t>금융</t>
        </is>
      </c>
      <c r="F100" s="8" t="inlineStr">
        <is>
          <t>0001193125-18-057033</t>
        </is>
      </c>
      <c r="G100" s="15" t="n">
        <v>210.943</v>
      </c>
      <c r="H100" s="15" t="n">
        <v>34.946</v>
      </c>
      <c r="I100" s="15" t="n">
        <v>3.515</v>
      </c>
      <c r="J100" s="15" t="n">
        <v>10.532</v>
      </c>
      <c r="K100" s="15" t="n"/>
      <c r="L100" s="15" t="n">
        <v>24.083</v>
      </c>
      <c r="M100" s="15" t="n">
        <v>9.372999999999999</v>
      </c>
      <c r="N100" s="15" t="n">
        <v>7.779</v>
      </c>
      <c r="O100" s="15" t="n">
        <v>16.082</v>
      </c>
      <c r="P100" s="15" t="n">
        <v>31.491</v>
      </c>
      <c r="Q100" s="15" t="n"/>
      <c r="R100" s="15" t="n">
        <v>255.55</v>
      </c>
      <c r="S100" s="15" t="n">
        <v>240.17</v>
      </c>
      <c r="T100" s="15" t="n">
        <v>67.602</v>
      </c>
      <c r="U100" s="15" t="n"/>
      <c r="V100" s="15" t="n">
        <v>0</v>
      </c>
      <c r="W100" s="15" t="n">
        <v>0</v>
      </c>
      <c r="X100" s="15" t="n"/>
      <c r="Y100" s="15" t="n"/>
      <c r="Z100" s="15" t="n"/>
      <c r="AA100" s="15" t="n"/>
      <c r="AB100" s="15" t="n"/>
      <c r="AC100" s="15" t="n"/>
      <c r="AD100" s="16" t="n"/>
      <c r="AE100" s="17">
        <f>IF(ISNUMBER(K100),K100,IF(AND(ISNUMBER(H100),ISNUMBER(I100)),H100+I100,IF(ISNUMBER(H100),H100,"")))</f>
        <v/>
      </c>
      <c r="AF100" s="18">
        <f>IF(OR(NOT(ISNUMBER(J100)),NOT(ISNUMBER(H100)),H100&lt;=0),기준표!$B$8,MIN(MAX(J100/H100,기준표!$B$6),기준표!$B$7))</f>
        <v/>
      </c>
      <c r="AG100" s="17">
        <f>IF(ISNUMBER(AE100),AE100*(1-AF100),"")</f>
        <v/>
      </c>
      <c r="AH100" s="17">
        <f>IF(AND(NOT(ISNUMBER(V100)),NOT(ISNUMBER(X100))),"",IF(ISNUMBER(V100),V100,0)+IF(ISNUMBER(X100),X100,0))</f>
        <v/>
      </c>
      <c r="AI100" s="17">
        <f>IF(E100="금융","",IF(AND(ISNUMBER(R100),ISNUMBER(AH100),ISNUMBER(T100)),R100+AH100-T100,""))</f>
        <v/>
      </c>
      <c r="AJ100" s="17">
        <f>IF(E100="금융","",IF(NOT(ISNUMBER(AI100)),"",IF(ISNUMBER(AC100),(AI100+AC100)/2,AI100)))</f>
        <v/>
      </c>
      <c r="AK100" s="19">
        <f>IF(AND(ISNUMBER(AG100),ISNUMBER(AJ100),AJ100&gt;0),AG100/AJ100,"")</f>
        <v/>
      </c>
      <c r="AL100" s="17">
        <f>IF(E100="금융","",IF(AND(ISNUMBER(R100),ISNUMBER(AH100)),R100+AH100,""))</f>
        <v/>
      </c>
      <c r="AM100" s="19">
        <f>IF(OR(NOT(ISNUMBER(AG100)),NOT(ISNUMBER(AL100)),AL100&lt;=0),"",IF(AND(ISNUMBER(G100),AL100&lt;0.1*G100),"",AG100/AL100))</f>
        <v/>
      </c>
      <c r="AN100" s="17">
        <f>IF(NOT(ISNUMBER(R100)),"",IF(ISNUMBER(S100),(R100+S100)/2,R100))</f>
        <v/>
      </c>
      <c r="AO100" s="19">
        <f>IF(AND(ISNUMBER(L100),ISNUMBER(AN100),AN100&gt;0),L100/AN100,"")</f>
        <v/>
      </c>
      <c r="AP100" s="19">
        <f>IF(AND(ISNUMBER(AO100),ISNUMBER({ROIC})),AO100-{ROIC},"")</f>
        <v/>
      </c>
      <c r="AQ100" s="17">
        <f>IF(AND(ISNUMBER(AE100),ISNUMBER(N100)),AE100+N100,"")</f>
        <v/>
      </c>
      <c r="AR100" s="20">
        <f>IF(AND(ISNUMBER(AH100),ISNUMBER(T100),ISNUMBER(AQ100),AQ100&gt;0),(AH100-T100)/AQ100,"")</f>
        <v/>
      </c>
      <c r="AS100" s="20">
        <f>IF(AND(ISNUMBER(AE100),ISNUMBER(I100),I100&lt;&gt;0,AE100&gt;0),AE100/I100,"")</f>
        <v/>
      </c>
      <c r="AT100" s="17">
        <f>IF(AND(ISNUMBER(Y100),ISNUMBER(AA100)),Y100-IF(ISNUMBER(T100),T100,0)-(AA100-IF(ISNUMBER(V100),V100,0)),"")</f>
        <v/>
      </c>
      <c r="AU100" s="17">
        <f>IF(AND(ISNUMBER(Z100),ISNUMBER(AB100)),Z100-IF(ISNUMBER(U100),U100,0)-(AB100-IF(ISNUMBER(W100),W100,0)),"")</f>
        <v/>
      </c>
      <c r="AV100" s="17">
        <f>IF(AND(ISNUMBER(AT100),ISNUMBER(AU100)),AT100-AU100,"")</f>
        <v/>
      </c>
      <c r="AW100" s="17">
        <f>IF(AND(ISNUMBER(L100),ISNUMBER(M100),ISNUMBER(AF100)),L100-M100*(1-AF100),IF(ISNUMBER(L100),L100,""))</f>
        <v/>
      </c>
      <c r="AX100" s="17">
        <f>IF(E100="금융","",IF(AND(ISNUMBER(AW100),ISNUMBER(N100),ISNUMBER(O100),ISNUMBER(AV100)),AW100+N100-O100-AV100,IF(AND(ISNUMBER(P100),ISNUMBER(O100)),P100-O100-IF(ISNUMBER(Q100),Q100,0),"")))</f>
        <v/>
      </c>
      <c r="AY100" s="8">
        <f>IF(E100="금융","금융업 - 정의되지 않음",IF(AND(ISNUMBER(AW100),ISNUMBER(N100),ISNUMBER(O100),ISNUMBER(AV100)),"영업순이익+감가상각-설비투자-운전자본증감",IF(AND(ISNUMBER(P100),ISNUMBER(O100)),IF(ISNUMBER(Q100),"영업현금흐름-설비투자-주식보상비용","영업현금흐름-설비투자(주식보상비용 미태깅)"),"산출불가")))</f>
        <v/>
      </c>
      <c r="AZ100" s="19">
        <f>IF(AND(ISNUMBER(AX100),ISNUMBER(G100),G100&lt;&gt;0),AX100/G100,"")</f>
        <v/>
      </c>
      <c r="BA100" s="19">
        <f>IF(AND(ISNUMBER(AE100),ISNUMBER(G100),G100&lt;&gt;0),AE100/G100,"")</f>
        <v/>
      </c>
    </row>
    <row r="101">
      <c r="A101" s="8" t="inlineStr">
        <is>
          <t>BRK-B</t>
        </is>
      </c>
      <c r="B101" s="8" t="inlineStr">
        <is>
          <t>BERKSHIRE HATHAWAY INC</t>
        </is>
      </c>
      <c r="C101" s="8" t="n">
        <v>2016</v>
      </c>
      <c r="D101" s="8" t="inlineStr">
        <is>
          <t>2016-12-31</t>
        </is>
      </c>
      <c r="E101" s="8" t="inlineStr">
        <is>
          <t>금융</t>
        </is>
      </c>
      <c r="F101" s="8" t="inlineStr">
        <is>
          <t>0001193125-19-048926</t>
        </is>
      </c>
      <c r="G101" s="15" t="n">
        <v>215.114</v>
      </c>
      <c r="H101" s="15" t="n">
        <v>33.667</v>
      </c>
      <c r="I101" s="15" t="n">
        <v>3.741</v>
      </c>
      <c r="J101" s="15" t="n">
        <v>9.24</v>
      </c>
      <c r="K101" s="15" t="n"/>
      <c r="L101" s="15" t="n">
        <v>24.074</v>
      </c>
      <c r="M101" s="15" t="n">
        <v>7.553</v>
      </c>
      <c r="N101" s="15" t="n">
        <v>8.901</v>
      </c>
      <c r="O101" s="15" t="n">
        <v>12.954</v>
      </c>
      <c r="P101" s="15" t="n">
        <v>32.647</v>
      </c>
      <c r="Q101" s="15" t="n"/>
      <c r="R101" s="15" t="n">
        <v>282.07</v>
      </c>
      <c r="S101" s="15" t="n">
        <v>255.55</v>
      </c>
      <c r="T101" s="15" t="n">
        <v>28.643</v>
      </c>
      <c r="U101" s="15" t="n">
        <v>67.602</v>
      </c>
      <c r="V101" s="15" t="n">
        <v>0</v>
      </c>
      <c r="W101" s="15" t="n">
        <v>0</v>
      </c>
      <c r="X101" s="15" t="n"/>
      <c r="Y101" s="15" t="n"/>
      <c r="Z101" s="15" t="n"/>
      <c r="AA101" s="15" t="n"/>
      <c r="AB101" s="15" t="n"/>
      <c r="AC101" s="15" t="n"/>
      <c r="AD101" s="16" t="n"/>
      <c r="AE101" s="17">
        <f>IF(ISNUMBER(K101),K101,IF(AND(ISNUMBER(H101),ISNUMBER(I101)),H101+I101,IF(ISNUMBER(H101),H101,"")))</f>
        <v/>
      </c>
      <c r="AF101" s="18">
        <f>IF(OR(NOT(ISNUMBER(J101)),NOT(ISNUMBER(H101)),H101&lt;=0),기준표!$B$8,MIN(MAX(J101/H101,기준표!$B$6),기준표!$B$7))</f>
        <v/>
      </c>
      <c r="AG101" s="17">
        <f>IF(ISNUMBER(AE101),AE101*(1-AF101),"")</f>
        <v/>
      </c>
      <c r="AH101" s="17">
        <f>IF(AND(NOT(ISNUMBER(V101)),NOT(ISNUMBER(X101))),"",IF(ISNUMBER(V101),V101,0)+IF(ISNUMBER(X101),X101,0))</f>
        <v/>
      </c>
      <c r="AI101" s="17">
        <f>IF(E101="금융","",IF(AND(ISNUMBER(R101),ISNUMBER(AH101),ISNUMBER(T101)),R101+AH101-T101,""))</f>
        <v/>
      </c>
      <c r="AJ101" s="17">
        <f>IF(E101="금융","",IF(NOT(ISNUMBER(AI101)),"",IF(ISNUMBER(AC101),(AI101+AC101)/2,AI101)))</f>
        <v/>
      </c>
      <c r="AK101" s="19">
        <f>IF(AND(ISNUMBER(AG101),ISNUMBER(AJ101),AJ101&gt;0),AG101/AJ101,"")</f>
        <v/>
      </c>
      <c r="AL101" s="17">
        <f>IF(E101="금융","",IF(AND(ISNUMBER(R101),ISNUMBER(AH101)),R101+AH101,""))</f>
        <v/>
      </c>
      <c r="AM101" s="19">
        <f>IF(OR(NOT(ISNUMBER(AG101)),NOT(ISNUMBER(AL101)),AL101&lt;=0),"",IF(AND(ISNUMBER(G101),AL101&lt;0.1*G101),"",AG101/AL101))</f>
        <v/>
      </c>
      <c r="AN101" s="17">
        <f>IF(NOT(ISNUMBER(R101)),"",IF(ISNUMBER(S101),(R101+S101)/2,R101))</f>
        <v/>
      </c>
      <c r="AO101" s="19">
        <f>IF(AND(ISNUMBER(L101),ISNUMBER(AN101),AN101&gt;0),L101/AN101,"")</f>
        <v/>
      </c>
      <c r="AP101" s="19">
        <f>IF(AND(ISNUMBER(AO101),ISNUMBER({ROIC})),AO101-{ROIC},"")</f>
        <v/>
      </c>
      <c r="AQ101" s="17">
        <f>IF(AND(ISNUMBER(AE101),ISNUMBER(N101)),AE101+N101,"")</f>
        <v/>
      </c>
      <c r="AR101" s="20">
        <f>IF(AND(ISNUMBER(AH101),ISNUMBER(T101),ISNUMBER(AQ101),AQ101&gt;0),(AH101-T101)/AQ101,"")</f>
        <v/>
      </c>
      <c r="AS101" s="20">
        <f>IF(AND(ISNUMBER(AE101),ISNUMBER(I101),I101&lt;&gt;0,AE101&gt;0),AE101/I101,"")</f>
        <v/>
      </c>
      <c r="AT101" s="17">
        <f>IF(AND(ISNUMBER(Y101),ISNUMBER(AA101)),Y101-IF(ISNUMBER(T101),T101,0)-(AA101-IF(ISNUMBER(V101),V101,0)),"")</f>
        <v/>
      </c>
      <c r="AU101" s="17">
        <f>IF(AND(ISNUMBER(Z101),ISNUMBER(AB101)),Z101-IF(ISNUMBER(U101),U101,0)-(AB101-IF(ISNUMBER(W101),W101,0)),"")</f>
        <v/>
      </c>
      <c r="AV101" s="17">
        <f>IF(AND(ISNUMBER(AT101),ISNUMBER(AU101)),AT101-AU101,"")</f>
        <v/>
      </c>
      <c r="AW101" s="17">
        <f>IF(AND(ISNUMBER(L101),ISNUMBER(M101),ISNUMBER(AF101)),L101-M101*(1-AF101),IF(ISNUMBER(L101),L101,""))</f>
        <v/>
      </c>
      <c r="AX101" s="17">
        <f>IF(E101="금융","",IF(AND(ISNUMBER(AW101),ISNUMBER(N101),ISNUMBER(O101),ISNUMBER(AV101)),AW101+N101-O101-AV101,IF(AND(ISNUMBER(P101),ISNUMBER(O101)),P101-O101-IF(ISNUMBER(Q101),Q101,0),"")))</f>
        <v/>
      </c>
      <c r="AY101" s="8">
        <f>IF(E101="금융","금융업 - 정의되지 않음",IF(AND(ISNUMBER(AW101),ISNUMBER(N101),ISNUMBER(O101),ISNUMBER(AV101)),"영업순이익+감가상각-설비투자-운전자본증감",IF(AND(ISNUMBER(P101),ISNUMBER(O101)),IF(ISNUMBER(Q101),"영업현금흐름-설비투자-주식보상비용","영업현금흐름-설비투자(주식보상비용 미태깅)"),"산출불가")))</f>
        <v/>
      </c>
      <c r="AZ101" s="19">
        <f>IF(AND(ISNUMBER(AX101),ISNUMBER(G101),G101&lt;&gt;0),AX101/G101,"")</f>
        <v/>
      </c>
      <c r="BA101" s="19">
        <f>IF(AND(ISNUMBER(AE101),ISNUMBER(G101),G101&lt;&gt;0),AE101/G101,"")</f>
        <v/>
      </c>
    </row>
    <row r="102">
      <c r="A102" s="8" t="inlineStr">
        <is>
          <t>BRK-B</t>
        </is>
      </c>
      <c r="B102" s="8" t="inlineStr">
        <is>
          <t>BERKSHIRE HATHAWAY INC</t>
        </is>
      </c>
      <c r="C102" s="8" t="n">
        <v>2017</v>
      </c>
      <c r="D102" s="8" t="inlineStr">
        <is>
          <t>2017-12-31</t>
        </is>
      </c>
      <c r="E102" s="8" t="inlineStr">
        <is>
          <t>금융</t>
        </is>
      </c>
      <c r="F102" s="8" t="inlineStr">
        <is>
          <t>0001564590-20-005874</t>
        </is>
      </c>
      <c r="G102" s="15" t="n">
        <v>239.933</v>
      </c>
      <c r="H102" s="15" t="n">
        <v>23.838</v>
      </c>
      <c r="I102" s="15" t="n">
        <v>4.386</v>
      </c>
      <c r="J102" s="15" t="n">
        <v>-21.515</v>
      </c>
      <c r="K102" s="15" t="n"/>
      <c r="L102" s="15" t="n">
        <v>44.94</v>
      </c>
      <c r="M102" s="15" t="n">
        <v>1.41</v>
      </c>
      <c r="N102" s="15" t="n">
        <v>9.188000000000001</v>
      </c>
      <c r="O102" s="15" t="n">
        <v>11.708</v>
      </c>
      <c r="P102" s="15" t="n">
        <v>45.728</v>
      </c>
      <c r="Q102" s="15" t="n"/>
      <c r="R102" s="15" t="n">
        <v>348.296</v>
      </c>
      <c r="S102" s="15" t="n">
        <v>282.07</v>
      </c>
      <c r="T102" s="15" t="n">
        <v>32.212</v>
      </c>
      <c r="U102" s="15" t="n">
        <v>28.643</v>
      </c>
      <c r="V102" s="15" t="n">
        <v>0</v>
      </c>
      <c r="W102" s="15" t="n">
        <v>0</v>
      </c>
      <c r="X102" s="15" t="n"/>
      <c r="Y102" s="15" t="n"/>
      <c r="Z102" s="15" t="n"/>
      <c r="AA102" s="15" t="n"/>
      <c r="AB102" s="15" t="n"/>
      <c r="AC102" s="15" t="n"/>
      <c r="AD102" s="16" t="n"/>
      <c r="AE102" s="17">
        <f>IF(ISNUMBER(K102),K102,IF(AND(ISNUMBER(H102),ISNUMBER(I102)),H102+I102,IF(ISNUMBER(H102),H102,"")))</f>
        <v/>
      </c>
      <c r="AF102" s="18">
        <f>IF(OR(NOT(ISNUMBER(J102)),NOT(ISNUMBER(H102)),H102&lt;=0),기준표!$B$8,MIN(MAX(J102/H102,기준표!$B$6),기준표!$B$7))</f>
        <v/>
      </c>
      <c r="AG102" s="17">
        <f>IF(ISNUMBER(AE102),AE102*(1-AF102),"")</f>
        <v/>
      </c>
      <c r="AH102" s="17">
        <f>IF(AND(NOT(ISNUMBER(V102)),NOT(ISNUMBER(X102))),"",IF(ISNUMBER(V102),V102,0)+IF(ISNUMBER(X102),X102,0))</f>
        <v/>
      </c>
      <c r="AI102" s="17">
        <f>IF(E102="금융","",IF(AND(ISNUMBER(R102),ISNUMBER(AH102),ISNUMBER(T102)),R102+AH102-T102,""))</f>
        <v/>
      </c>
      <c r="AJ102" s="17">
        <f>IF(E102="금융","",IF(NOT(ISNUMBER(AI102)),"",IF(ISNUMBER(AC102),(AI102+AC102)/2,AI102)))</f>
        <v/>
      </c>
      <c r="AK102" s="19">
        <f>IF(AND(ISNUMBER(AG102),ISNUMBER(AJ102),AJ102&gt;0),AG102/AJ102,"")</f>
        <v/>
      </c>
      <c r="AL102" s="17">
        <f>IF(E102="금융","",IF(AND(ISNUMBER(R102),ISNUMBER(AH102)),R102+AH102,""))</f>
        <v/>
      </c>
      <c r="AM102" s="19">
        <f>IF(OR(NOT(ISNUMBER(AG102)),NOT(ISNUMBER(AL102)),AL102&lt;=0),"",IF(AND(ISNUMBER(G102),AL102&lt;0.1*G102),"",AG102/AL102))</f>
        <v/>
      </c>
      <c r="AN102" s="17">
        <f>IF(NOT(ISNUMBER(R102)),"",IF(ISNUMBER(S102),(R102+S102)/2,R102))</f>
        <v/>
      </c>
      <c r="AO102" s="19">
        <f>IF(AND(ISNUMBER(L102),ISNUMBER(AN102),AN102&gt;0),L102/AN102,"")</f>
        <v/>
      </c>
      <c r="AP102" s="19">
        <f>IF(AND(ISNUMBER(AO102),ISNUMBER({ROIC})),AO102-{ROIC},"")</f>
        <v/>
      </c>
      <c r="AQ102" s="17">
        <f>IF(AND(ISNUMBER(AE102),ISNUMBER(N102)),AE102+N102,"")</f>
        <v/>
      </c>
      <c r="AR102" s="20">
        <f>IF(AND(ISNUMBER(AH102),ISNUMBER(T102),ISNUMBER(AQ102),AQ102&gt;0),(AH102-T102)/AQ102,"")</f>
        <v/>
      </c>
      <c r="AS102" s="20">
        <f>IF(AND(ISNUMBER(AE102),ISNUMBER(I102),I102&lt;&gt;0,AE102&gt;0),AE102/I102,"")</f>
        <v/>
      </c>
      <c r="AT102" s="17">
        <f>IF(AND(ISNUMBER(Y102),ISNUMBER(AA102)),Y102-IF(ISNUMBER(T102),T102,0)-(AA102-IF(ISNUMBER(V102),V102,0)),"")</f>
        <v/>
      </c>
      <c r="AU102" s="17">
        <f>IF(AND(ISNUMBER(Z102),ISNUMBER(AB102)),Z102-IF(ISNUMBER(U102),U102,0)-(AB102-IF(ISNUMBER(W102),W102,0)),"")</f>
        <v/>
      </c>
      <c r="AV102" s="17">
        <f>IF(AND(ISNUMBER(AT102),ISNUMBER(AU102)),AT102-AU102,"")</f>
        <v/>
      </c>
      <c r="AW102" s="17">
        <f>IF(AND(ISNUMBER(L102),ISNUMBER(M102),ISNUMBER(AF102)),L102-M102*(1-AF102),IF(ISNUMBER(L102),L102,""))</f>
        <v/>
      </c>
      <c r="AX102" s="17">
        <f>IF(E102="금융","",IF(AND(ISNUMBER(AW102),ISNUMBER(N102),ISNUMBER(O102),ISNUMBER(AV102)),AW102+N102-O102-AV102,IF(AND(ISNUMBER(P102),ISNUMBER(O102)),P102-O102-IF(ISNUMBER(Q102),Q102,0),"")))</f>
        <v/>
      </c>
      <c r="AY102" s="8">
        <f>IF(E102="금융","금융업 - 정의되지 않음",IF(AND(ISNUMBER(AW102),ISNUMBER(N102),ISNUMBER(O102),ISNUMBER(AV102)),"영업순이익+감가상각-설비투자-운전자본증감",IF(AND(ISNUMBER(P102),ISNUMBER(O102)),IF(ISNUMBER(Q102),"영업현금흐름-설비투자-주식보상비용","영업현금흐름-설비투자(주식보상비용 미태깅)"),"산출불가")))</f>
        <v/>
      </c>
      <c r="AZ102" s="19">
        <f>IF(AND(ISNUMBER(AX102),ISNUMBER(G102),G102&lt;&gt;0),AX102/G102,"")</f>
        <v/>
      </c>
      <c r="BA102" s="19">
        <f>IF(AND(ISNUMBER(AE102),ISNUMBER(G102),G102&lt;&gt;0),AE102/G102,"")</f>
        <v/>
      </c>
    </row>
    <row r="103">
      <c r="A103" s="8" t="inlineStr">
        <is>
          <t>BRK-B</t>
        </is>
      </c>
      <c r="B103" s="8" t="inlineStr">
        <is>
          <t>BERKSHIRE HATHAWAY INC</t>
        </is>
      </c>
      <c r="C103" s="8" t="n">
        <v>2018</v>
      </c>
      <c r="D103" s="8" t="inlineStr">
        <is>
          <t>2018-12-31</t>
        </is>
      </c>
      <c r="E103" s="8" t="inlineStr">
        <is>
          <t>금융</t>
        </is>
      </c>
      <c r="F103" s="8" t="inlineStr">
        <is>
          <t>0001564590-21-009611</t>
        </is>
      </c>
      <c r="G103" s="15" t="n">
        <v>247.837</v>
      </c>
      <c r="H103" s="15" t="n">
        <v>4.001</v>
      </c>
      <c r="I103" s="15" t="n">
        <v>3.853</v>
      </c>
      <c r="J103" s="15" t="n">
        <v>-0.321</v>
      </c>
      <c r="K103" s="15" t="n"/>
      <c r="L103" s="15" t="n">
        <v>4.021</v>
      </c>
      <c r="M103" s="15" t="n">
        <v>-22.155</v>
      </c>
      <c r="N103" s="15" t="n">
        <v>9.779</v>
      </c>
      <c r="O103" s="15" t="n">
        <v>14.537</v>
      </c>
      <c r="P103" s="15" t="n">
        <v>37.4</v>
      </c>
      <c r="Q103" s="15" t="n"/>
      <c r="R103" s="15" t="n">
        <v>348.703</v>
      </c>
      <c r="S103" s="15" t="n">
        <v>348.296</v>
      </c>
      <c r="T103" s="15" t="n">
        <v>30.811</v>
      </c>
      <c r="U103" s="15" t="n">
        <v>32.212</v>
      </c>
      <c r="V103" s="15" t="n">
        <v>0</v>
      </c>
      <c r="W103" s="15" t="n">
        <v>0</v>
      </c>
      <c r="X103" s="15" t="n"/>
      <c r="Y103" s="15" t="n"/>
      <c r="Z103" s="15" t="n"/>
      <c r="AA103" s="15" t="n"/>
      <c r="AB103" s="15" t="n"/>
      <c r="AC103" s="15" t="n"/>
      <c r="AD103" s="16" t="n"/>
      <c r="AE103" s="17">
        <f>IF(ISNUMBER(K103),K103,IF(AND(ISNUMBER(H103),ISNUMBER(I103)),H103+I103,IF(ISNUMBER(H103),H103,"")))</f>
        <v/>
      </c>
      <c r="AF103" s="18">
        <f>IF(OR(NOT(ISNUMBER(J103)),NOT(ISNUMBER(H103)),H103&lt;=0),기준표!$B$8,MIN(MAX(J103/H103,기준표!$B$6),기준표!$B$7))</f>
        <v/>
      </c>
      <c r="AG103" s="17">
        <f>IF(ISNUMBER(AE103),AE103*(1-AF103),"")</f>
        <v/>
      </c>
      <c r="AH103" s="17">
        <f>IF(AND(NOT(ISNUMBER(V103)),NOT(ISNUMBER(X103))),"",IF(ISNUMBER(V103),V103,0)+IF(ISNUMBER(X103),X103,0))</f>
        <v/>
      </c>
      <c r="AI103" s="17">
        <f>IF(E103="금융","",IF(AND(ISNUMBER(R103),ISNUMBER(AH103),ISNUMBER(T103)),R103+AH103-T103,""))</f>
        <v/>
      </c>
      <c r="AJ103" s="17">
        <f>IF(E103="금융","",IF(NOT(ISNUMBER(AI103)),"",IF(ISNUMBER(AC103),(AI103+AC103)/2,AI103)))</f>
        <v/>
      </c>
      <c r="AK103" s="19">
        <f>IF(AND(ISNUMBER(AG103),ISNUMBER(AJ103),AJ103&gt;0),AG103/AJ103,"")</f>
        <v/>
      </c>
      <c r="AL103" s="17">
        <f>IF(E103="금융","",IF(AND(ISNUMBER(R103),ISNUMBER(AH103)),R103+AH103,""))</f>
        <v/>
      </c>
      <c r="AM103" s="19">
        <f>IF(OR(NOT(ISNUMBER(AG103)),NOT(ISNUMBER(AL103)),AL103&lt;=0),"",IF(AND(ISNUMBER(G103),AL103&lt;0.1*G103),"",AG103/AL103))</f>
        <v/>
      </c>
      <c r="AN103" s="17">
        <f>IF(NOT(ISNUMBER(R103)),"",IF(ISNUMBER(S103),(R103+S103)/2,R103))</f>
        <v/>
      </c>
      <c r="AO103" s="19">
        <f>IF(AND(ISNUMBER(L103),ISNUMBER(AN103),AN103&gt;0),L103/AN103,"")</f>
        <v/>
      </c>
      <c r="AP103" s="19">
        <f>IF(AND(ISNUMBER(AO103),ISNUMBER({ROIC})),AO103-{ROIC},"")</f>
        <v/>
      </c>
      <c r="AQ103" s="17">
        <f>IF(AND(ISNUMBER(AE103),ISNUMBER(N103)),AE103+N103,"")</f>
        <v/>
      </c>
      <c r="AR103" s="20">
        <f>IF(AND(ISNUMBER(AH103),ISNUMBER(T103),ISNUMBER(AQ103),AQ103&gt;0),(AH103-T103)/AQ103,"")</f>
        <v/>
      </c>
      <c r="AS103" s="20">
        <f>IF(AND(ISNUMBER(AE103),ISNUMBER(I103),I103&lt;&gt;0,AE103&gt;0),AE103/I103,"")</f>
        <v/>
      </c>
      <c r="AT103" s="17">
        <f>IF(AND(ISNUMBER(Y103),ISNUMBER(AA103)),Y103-IF(ISNUMBER(T103),T103,0)-(AA103-IF(ISNUMBER(V103),V103,0)),"")</f>
        <v/>
      </c>
      <c r="AU103" s="17">
        <f>IF(AND(ISNUMBER(Z103),ISNUMBER(AB103)),Z103-IF(ISNUMBER(U103),U103,0)-(AB103-IF(ISNUMBER(W103),W103,0)),"")</f>
        <v/>
      </c>
      <c r="AV103" s="17">
        <f>IF(AND(ISNUMBER(AT103),ISNUMBER(AU103)),AT103-AU103,"")</f>
        <v/>
      </c>
      <c r="AW103" s="17">
        <f>IF(AND(ISNUMBER(L103),ISNUMBER(M103),ISNUMBER(AF103)),L103-M103*(1-AF103),IF(ISNUMBER(L103),L103,""))</f>
        <v/>
      </c>
      <c r="AX103" s="17">
        <f>IF(E103="금융","",IF(AND(ISNUMBER(AW103),ISNUMBER(N103),ISNUMBER(O103),ISNUMBER(AV103)),AW103+N103-O103-AV103,IF(AND(ISNUMBER(P103),ISNUMBER(O103)),P103-O103-IF(ISNUMBER(Q103),Q103,0),"")))</f>
        <v/>
      </c>
      <c r="AY103" s="8">
        <f>IF(E103="금융","금융업 - 정의되지 않음",IF(AND(ISNUMBER(AW103),ISNUMBER(N103),ISNUMBER(O103),ISNUMBER(AV103)),"영업순이익+감가상각-설비투자-운전자본증감",IF(AND(ISNUMBER(P103),ISNUMBER(O103)),IF(ISNUMBER(Q103),"영업현금흐름-설비투자-주식보상비용","영업현금흐름-설비투자(주식보상비용 미태깅)"),"산출불가")))</f>
        <v/>
      </c>
      <c r="AZ103" s="19">
        <f>IF(AND(ISNUMBER(AX103),ISNUMBER(G103),G103&lt;&gt;0),AX103/G103,"")</f>
        <v/>
      </c>
      <c r="BA103" s="19">
        <f>IF(AND(ISNUMBER(AE103),ISNUMBER(G103),G103&lt;&gt;0),AE103/G103,"")</f>
        <v/>
      </c>
    </row>
    <row r="104">
      <c r="A104" s="8" t="inlineStr">
        <is>
          <t>BRK-B</t>
        </is>
      </c>
      <c r="B104" s="8" t="inlineStr">
        <is>
          <t>BERKSHIRE HATHAWAY INC</t>
        </is>
      </c>
      <c r="C104" s="8" t="n">
        <v>2019</v>
      </c>
      <c r="D104" s="8" t="inlineStr">
        <is>
          <t>2019-12-31</t>
        </is>
      </c>
      <c r="E104" s="8" t="inlineStr">
        <is>
          <t>금융</t>
        </is>
      </c>
      <c r="F104" s="8" t="inlineStr">
        <is>
          <t>0001564590-22-007322</t>
        </is>
      </c>
      <c r="G104" s="15" t="n">
        <v>254.616</v>
      </c>
      <c r="H104" s="15" t="n">
        <v>102.696</v>
      </c>
      <c r="I104" s="15" t="n">
        <v>3.961</v>
      </c>
      <c r="J104" s="15" t="n">
        <v>20.904</v>
      </c>
      <c r="K104" s="15" t="n"/>
      <c r="L104" s="15" t="n">
        <v>81.417</v>
      </c>
      <c r="M104" s="15" t="n">
        <v>71.123</v>
      </c>
      <c r="N104" s="15" t="n">
        <v>10.064</v>
      </c>
      <c r="O104" s="15" t="n">
        <v>15.979</v>
      </c>
      <c r="P104" s="15" t="n">
        <v>38.687</v>
      </c>
      <c r="Q104" s="15" t="n"/>
      <c r="R104" s="15" t="n">
        <v>424.791</v>
      </c>
      <c r="S104" s="15" t="n">
        <v>348.703</v>
      </c>
      <c r="T104" s="15" t="n">
        <v>64.63200000000001</v>
      </c>
      <c r="U104" s="15" t="n">
        <v>30.811</v>
      </c>
      <c r="V104" s="15" t="n">
        <v>0</v>
      </c>
      <c r="W104" s="15" t="n">
        <v>0</v>
      </c>
      <c r="X104" s="15" t="n"/>
      <c r="Y104" s="15" t="n"/>
      <c r="Z104" s="15" t="n"/>
      <c r="AA104" s="15" t="n"/>
      <c r="AB104" s="15" t="n"/>
      <c r="AC104" s="15" t="n"/>
      <c r="AD104" s="16" t="n"/>
      <c r="AE104" s="17">
        <f>IF(ISNUMBER(K104),K104,IF(AND(ISNUMBER(H104),ISNUMBER(I104)),H104+I104,IF(ISNUMBER(H104),H104,"")))</f>
        <v/>
      </c>
      <c r="AF104" s="18">
        <f>IF(OR(NOT(ISNUMBER(J104)),NOT(ISNUMBER(H104)),H104&lt;=0),기준표!$B$8,MIN(MAX(J104/H104,기준표!$B$6),기준표!$B$7))</f>
        <v/>
      </c>
      <c r="AG104" s="17">
        <f>IF(ISNUMBER(AE104),AE104*(1-AF104),"")</f>
        <v/>
      </c>
      <c r="AH104" s="17">
        <f>IF(AND(NOT(ISNUMBER(V104)),NOT(ISNUMBER(X104))),"",IF(ISNUMBER(V104),V104,0)+IF(ISNUMBER(X104),X104,0))</f>
        <v/>
      </c>
      <c r="AI104" s="17">
        <f>IF(E104="금융","",IF(AND(ISNUMBER(R104),ISNUMBER(AH104),ISNUMBER(T104)),R104+AH104-T104,""))</f>
        <v/>
      </c>
      <c r="AJ104" s="17">
        <f>IF(E104="금융","",IF(NOT(ISNUMBER(AI104)),"",IF(ISNUMBER(AC104),(AI104+AC104)/2,AI104)))</f>
        <v/>
      </c>
      <c r="AK104" s="19">
        <f>IF(AND(ISNUMBER(AG104),ISNUMBER(AJ104),AJ104&gt;0),AG104/AJ104,"")</f>
        <v/>
      </c>
      <c r="AL104" s="17">
        <f>IF(E104="금융","",IF(AND(ISNUMBER(R104),ISNUMBER(AH104)),R104+AH104,""))</f>
        <v/>
      </c>
      <c r="AM104" s="19">
        <f>IF(OR(NOT(ISNUMBER(AG104)),NOT(ISNUMBER(AL104)),AL104&lt;=0),"",IF(AND(ISNUMBER(G104),AL104&lt;0.1*G104),"",AG104/AL104))</f>
        <v/>
      </c>
      <c r="AN104" s="17">
        <f>IF(NOT(ISNUMBER(R104)),"",IF(ISNUMBER(S104),(R104+S104)/2,R104))</f>
        <v/>
      </c>
      <c r="AO104" s="19">
        <f>IF(AND(ISNUMBER(L104),ISNUMBER(AN104),AN104&gt;0),L104/AN104,"")</f>
        <v/>
      </c>
      <c r="AP104" s="19">
        <f>IF(AND(ISNUMBER(AO104),ISNUMBER({ROIC})),AO104-{ROIC},"")</f>
        <v/>
      </c>
      <c r="AQ104" s="17">
        <f>IF(AND(ISNUMBER(AE104),ISNUMBER(N104)),AE104+N104,"")</f>
        <v/>
      </c>
      <c r="AR104" s="20">
        <f>IF(AND(ISNUMBER(AH104),ISNUMBER(T104),ISNUMBER(AQ104),AQ104&gt;0),(AH104-T104)/AQ104,"")</f>
        <v/>
      </c>
      <c r="AS104" s="20">
        <f>IF(AND(ISNUMBER(AE104),ISNUMBER(I104),I104&lt;&gt;0,AE104&gt;0),AE104/I104,"")</f>
        <v/>
      </c>
      <c r="AT104" s="17">
        <f>IF(AND(ISNUMBER(Y104),ISNUMBER(AA104)),Y104-IF(ISNUMBER(T104),T104,0)-(AA104-IF(ISNUMBER(V104),V104,0)),"")</f>
        <v/>
      </c>
      <c r="AU104" s="17">
        <f>IF(AND(ISNUMBER(Z104),ISNUMBER(AB104)),Z104-IF(ISNUMBER(U104),U104,0)-(AB104-IF(ISNUMBER(W104),W104,0)),"")</f>
        <v/>
      </c>
      <c r="AV104" s="17">
        <f>IF(AND(ISNUMBER(AT104),ISNUMBER(AU104)),AT104-AU104,"")</f>
        <v/>
      </c>
      <c r="AW104" s="17">
        <f>IF(AND(ISNUMBER(L104),ISNUMBER(M104),ISNUMBER(AF104)),L104-M104*(1-AF104),IF(ISNUMBER(L104),L104,""))</f>
        <v/>
      </c>
      <c r="AX104" s="17">
        <f>IF(E104="금융","",IF(AND(ISNUMBER(AW104),ISNUMBER(N104),ISNUMBER(O104),ISNUMBER(AV104)),AW104+N104-O104-AV104,IF(AND(ISNUMBER(P104),ISNUMBER(O104)),P104-O104-IF(ISNUMBER(Q104),Q104,0),"")))</f>
        <v/>
      </c>
      <c r="AY104" s="8">
        <f>IF(E104="금융","금융업 - 정의되지 않음",IF(AND(ISNUMBER(AW104),ISNUMBER(N104),ISNUMBER(O104),ISNUMBER(AV104)),"영업순이익+감가상각-설비투자-운전자본증감",IF(AND(ISNUMBER(P104),ISNUMBER(O104)),IF(ISNUMBER(Q104),"영업현금흐름-설비투자-주식보상비용","영업현금흐름-설비투자(주식보상비용 미태깅)"),"산출불가")))</f>
        <v/>
      </c>
      <c r="AZ104" s="19">
        <f>IF(AND(ISNUMBER(AX104),ISNUMBER(G104),G104&lt;&gt;0),AX104/G104,"")</f>
        <v/>
      </c>
      <c r="BA104" s="19">
        <f>IF(AND(ISNUMBER(AE104),ISNUMBER(G104),G104&lt;&gt;0),AE104/G104,"")</f>
        <v/>
      </c>
    </row>
    <row r="105">
      <c r="A105" s="8" t="inlineStr">
        <is>
          <t>BRK-B</t>
        </is>
      </c>
      <c r="B105" s="8" t="inlineStr">
        <is>
          <t>BERKSHIRE HATHAWAY INC</t>
        </is>
      </c>
      <c r="C105" s="8" t="n">
        <v>2020</v>
      </c>
      <c r="D105" s="8" t="inlineStr">
        <is>
          <t>2020-12-31</t>
        </is>
      </c>
      <c r="E105" s="8" t="inlineStr">
        <is>
          <t>금융</t>
        </is>
      </c>
      <c r="F105" s="8" t="inlineStr">
        <is>
          <t>0000950170-23-004451</t>
        </is>
      </c>
      <c r="G105" s="15" t="n">
        <v>245.579</v>
      </c>
      <c r="H105" s="15" t="n">
        <v>55.693</v>
      </c>
      <c r="I105" s="15" t="n">
        <v>4.083</v>
      </c>
      <c r="J105" s="15" t="n">
        <v>12.44</v>
      </c>
      <c r="K105" s="15" t="n"/>
      <c r="L105" s="15" t="n">
        <v>42.521</v>
      </c>
      <c r="M105" s="15" t="n">
        <v>40.905</v>
      </c>
      <c r="N105" s="15" t="n">
        <v>10.596</v>
      </c>
      <c r="O105" s="15" t="n">
        <v>13.012</v>
      </c>
      <c r="P105" s="15" t="n">
        <v>39.773</v>
      </c>
      <c r="Q105" s="15" t="n"/>
      <c r="R105" s="15" t="n">
        <v>436.736</v>
      </c>
      <c r="S105" s="15" t="n">
        <v>424.791</v>
      </c>
      <c r="T105" s="15" t="n">
        <v>48.396</v>
      </c>
      <c r="U105" s="15" t="n">
        <v>64.63200000000001</v>
      </c>
      <c r="V105" s="15" t="n">
        <v>0</v>
      </c>
      <c r="W105" s="15" t="n">
        <v>0</v>
      </c>
      <c r="X105" s="15" t="n"/>
      <c r="Y105" s="15" t="n"/>
      <c r="Z105" s="15" t="n"/>
      <c r="AA105" s="15" t="n"/>
      <c r="AB105" s="15" t="n"/>
      <c r="AC105" s="15" t="n"/>
      <c r="AD105" s="16" t="n"/>
      <c r="AE105" s="17">
        <f>IF(ISNUMBER(K105),K105,IF(AND(ISNUMBER(H105),ISNUMBER(I105)),H105+I105,IF(ISNUMBER(H105),H105,"")))</f>
        <v/>
      </c>
      <c r="AF105" s="18">
        <f>IF(OR(NOT(ISNUMBER(J105)),NOT(ISNUMBER(H105)),H105&lt;=0),기준표!$B$8,MIN(MAX(J105/H105,기준표!$B$6),기준표!$B$7))</f>
        <v/>
      </c>
      <c r="AG105" s="17">
        <f>IF(ISNUMBER(AE105),AE105*(1-AF105),"")</f>
        <v/>
      </c>
      <c r="AH105" s="17">
        <f>IF(AND(NOT(ISNUMBER(V105)),NOT(ISNUMBER(X105))),"",IF(ISNUMBER(V105),V105,0)+IF(ISNUMBER(X105),X105,0))</f>
        <v/>
      </c>
      <c r="AI105" s="17">
        <f>IF(E105="금융","",IF(AND(ISNUMBER(R105),ISNUMBER(AH105),ISNUMBER(T105)),R105+AH105-T105,""))</f>
        <v/>
      </c>
      <c r="AJ105" s="17">
        <f>IF(E105="금융","",IF(NOT(ISNUMBER(AI105)),"",IF(ISNUMBER(AC105),(AI105+AC105)/2,AI105)))</f>
        <v/>
      </c>
      <c r="AK105" s="19">
        <f>IF(AND(ISNUMBER(AG105),ISNUMBER(AJ105),AJ105&gt;0),AG105/AJ105,"")</f>
        <v/>
      </c>
      <c r="AL105" s="17">
        <f>IF(E105="금융","",IF(AND(ISNUMBER(R105),ISNUMBER(AH105)),R105+AH105,""))</f>
        <v/>
      </c>
      <c r="AM105" s="19">
        <f>IF(OR(NOT(ISNUMBER(AG105)),NOT(ISNUMBER(AL105)),AL105&lt;=0),"",IF(AND(ISNUMBER(G105),AL105&lt;0.1*G105),"",AG105/AL105))</f>
        <v/>
      </c>
      <c r="AN105" s="17">
        <f>IF(NOT(ISNUMBER(R105)),"",IF(ISNUMBER(S105),(R105+S105)/2,R105))</f>
        <v/>
      </c>
      <c r="AO105" s="19">
        <f>IF(AND(ISNUMBER(L105),ISNUMBER(AN105),AN105&gt;0),L105/AN105,"")</f>
        <v/>
      </c>
      <c r="AP105" s="19">
        <f>IF(AND(ISNUMBER(AO105),ISNUMBER({ROIC})),AO105-{ROIC},"")</f>
        <v/>
      </c>
      <c r="AQ105" s="17">
        <f>IF(AND(ISNUMBER(AE105),ISNUMBER(N105)),AE105+N105,"")</f>
        <v/>
      </c>
      <c r="AR105" s="20">
        <f>IF(AND(ISNUMBER(AH105),ISNUMBER(T105),ISNUMBER(AQ105),AQ105&gt;0),(AH105-T105)/AQ105,"")</f>
        <v/>
      </c>
      <c r="AS105" s="20">
        <f>IF(AND(ISNUMBER(AE105),ISNUMBER(I105),I105&lt;&gt;0,AE105&gt;0),AE105/I105,"")</f>
        <v/>
      </c>
      <c r="AT105" s="17">
        <f>IF(AND(ISNUMBER(Y105),ISNUMBER(AA105)),Y105-IF(ISNUMBER(T105),T105,0)-(AA105-IF(ISNUMBER(V105),V105,0)),"")</f>
        <v/>
      </c>
      <c r="AU105" s="17">
        <f>IF(AND(ISNUMBER(Z105),ISNUMBER(AB105)),Z105-IF(ISNUMBER(U105),U105,0)-(AB105-IF(ISNUMBER(W105),W105,0)),"")</f>
        <v/>
      </c>
      <c r="AV105" s="17">
        <f>IF(AND(ISNUMBER(AT105),ISNUMBER(AU105)),AT105-AU105,"")</f>
        <v/>
      </c>
      <c r="AW105" s="17">
        <f>IF(AND(ISNUMBER(L105),ISNUMBER(M105),ISNUMBER(AF105)),L105-M105*(1-AF105),IF(ISNUMBER(L105),L105,""))</f>
        <v/>
      </c>
      <c r="AX105" s="17">
        <f>IF(E105="금융","",IF(AND(ISNUMBER(AW105),ISNUMBER(N105),ISNUMBER(O105),ISNUMBER(AV105)),AW105+N105-O105-AV105,IF(AND(ISNUMBER(P105),ISNUMBER(O105)),P105-O105-IF(ISNUMBER(Q105),Q105,0),"")))</f>
        <v/>
      </c>
      <c r="AY105" s="8">
        <f>IF(E105="금융","금융업 - 정의되지 않음",IF(AND(ISNUMBER(AW105),ISNUMBER(N105),ISNUMBER(O105),ISNUMBER(AV105)),"영업순이익+감가상각-설비투자-운전자본증감",IF(AND(ISNUMBER(P105),ISNUMBER(O105)),IF(ISNUMBER(Q105),"영업현금흐름-설비투자-주식보상비용","영업현금흐름-설비투자(주식보상비용 미태깅)"),"산출불가")))</f>
        <v/>
      </c>
      <c r="AZ105" s="19">
        <f>IF(AND(ISNUMBER(AX105),ISNUMBER(G105),G105&lt;&gt;0),AX105/G105,"")</f>
        <v/>
      </c>
      <c r="BA105" s="19">
        <f>IF(AND(ISNUMBER(AE105),ISNUMBER(G105),G105&lt;&gt;0),AE105/G105,"")</f>
        <v/>
      </c>
    </row>
    <row r="106">
      <c r="A106" s="8" t="inlineStr">
        <is>
          <t>BRK-B</t>
        </is>
      </c>
      <c r="B106" s="8" t="inlineStr">
        <is>
          <t>BERKSHIRE HATHAWAY INC</t>
        </is>
      </c>
      <c r="C106" s="8" t="n">
        <v>2021</v>
      </c>
      <c r="D106" s="8" t="inlineStr">
        <is>
          <t>2021-12-31</t>
        </is>
      </c>
      <c r="E106" s="8" t="inlineStr">
        <is>
          <t>금융</t>
        </is>
      </c>
      <c r="F106" s="8" t="inlineStr">
        <is>
          <t>0000950170-24-019719</t>
        </is>
      </c>
      <c r="G106" s="15" t="n">
        <v>276.185</v>
      </c>
      <c r="H106" s="15" t="n">
        <v>111.861</v>
      </c>
      <c r="I106" s="15" t="n">
        <v>4.172</v>
      </c>
      <c r="J106" s="15" t="n">
        <v>20.912</v>
      </c>
      <c r="K106" s="15" t="n"/>
      <c r="L106" s="15" t="n">
        <v>89.937</v>
      </c>
      <c r="M106" s="15" t="n">
        <v>77.57599999999999</v>
      </c>
      <c r="N106" s="15" t="n">
        <v>10.718</v>
      </c>
      <c r="O106" s="15" t="n">
        <v>13.276</v>
      </c>
      <c r="P106" s="15" t="n">
        <v>39.427</v>
      </c>
      <c r="Q106" s="15" t="n"/>
      <c r="R106" s="15" t="n">
        <v>506.199</v>
      </c>
      <c r="S106" s="15" t="n">
        <v>436.736</v>
      </c>
      <c r="T106" s="15" t="n">
        <v>88.706</v>
      </c>
      <c r="U106" s="15" t="n">
        <v>48.396</v>
      </c>
      <c r="V106" s="15" t="n">
        <v>0</v>
      </c>
      <c r="W106" s="15" t="n">
        <v>0</v>
      </c>
      <c r="X106" s="15" t="n"/>
      <c r="Y106" s="15" t="n"/>
      <c r="Z106" s="15" t="n"/>
      <c r="AA106" s="15" t="n"/>
      <c r="AB106" s="15" t="n"/>
      <c r="AC106" s="15" t="n"/>
      <c r="AD106" s="16" t="n"/>
      <c r="AE106" s="17">
        <f>IF(ISNUMBER(K106),K106,IF(AND(ISNUMBER(H106),ISNUMBER(I106)),H106+I106,IF(ISNUMBER(H106),H106,"")))</f>
        <v/>
      </c>
      <c r="AF106" s="18">
        <f>IF(OR(NOT(ISNUMBER(J106)),NOT(ISNUMBER(H106)),H106&lt;=0),기준표!$B$8,MIN(MAX(J106/H106,기준표!$B$6),기준표!$B$7))</f>
        <v/>
      </c>
      <c r="AG106" s="17">
        <f>IF(ISNUMBER(AE106),AE106*(1-AF106),"")</f>
        <v/>
      </c>
      <c r="AH106" s="17">
        <f>IF(AND(NOT(ISNUMBER(V106)),NOT(ISNUMBER(X106))),"",IF(ISNUMBER(V106),V106,0)+IF(ISNUMBER(X106),X106,0))</f>
        <v/>
      </c>
      <c r="AI106" s="17">
        <f>IF(E106="금융","",IF(AND(ISNUMBER(R106),ISNUMBER(AH106),ISNUMBER(T106)),R106+AH106-T106,""))</f>
        <v/>
      </c>
      <c r="AJ106" s="17">
        <f>IF(E106="금융","",IF(NOT(ISNUMBER(AI106)),"",IF(ISNUMBER(AC106),(AI106+AC106)/2,AI106)))</f>
        <v/>
      </c>
      <c r="AK106" s="19">
        <f>IF(AND(ISNUMBER(AG106),ISNUMBER(AJ106),AJ106&gt;0),AG106/AJ106,"")</f>
        <v/>
      </c>
      <c r="AL106" s="17">
        <f>IF(E106="금융","",IF(AND(ISNUMBER(R106),ISNUMBER(AH106)),R106+AH106,""))</f>
        <v/>
      </c>
      <c r="AM106" s="19">
        <f>IF(OR(NOT(ISNUMBER(AG106)),NOT(ISNUMBER(AL106)),AL106&lt;=0),"",IF(AND(ISNUMBER(G106),AL106&lt;0.1*G106),"",AG106/AL106))</f>
        <v/>
      </c>
      <c r="AN106" s="17">
        <f>IF(NOT(ISNUMBER(R106)),"",IF(ISNUMBER(S106),(R106+S106)/2,R106))</f>
        <v/>
      </c>
      <c r="AO106" s="19">
        <f>IF(AND(ISNUMBER(L106),ISNUMBER(AN106),AN106&gt;0),L106/AN106,"")</f>
        <v/>
      </c>
      <c r="AP106" s="19">
        <f>IF(AND(ISNUMBER(AO106),ISNUMBER({ROIC})),AO106-{ROIC},"")</f>
        <v/>
      </c>
      <c r="AQ106" s="17">
        <f>IF(AND(ISNUMBER(AE106),ISNUMBER(N106)),AE106+N106,"")</f>
        <v/>
      </c>
      <c r="AR106" s="20">
        <f>IF(AND(ISNUMBER(AH106),ISNUMBER(T106),ISNUMBER(AQ106),AQ106&gt;0),(AH106-T106)/AQ106,"")</f>
        <v/>
      </c>
      <c r="AS106" s="20">
        <f>IF(AND(ISNUMBER(AE106),ISNUMBER(I106),I106&lt;&gt;0,AE106&gt;0),AE106/I106,"")</f>
        <v/>
      </c>
      <c r="AT106" s="17">
        <f>IF(AND(ISNUMBER(Y106),ISNUMBER(AA106)),Y106-IF(ISNUMBER(T106),T106,0)-(AA106-IF(ISNUMBER(V106),V106,0)),"")</f>
        <v/>
      </c>
      <c r="AU106" s="17">
        <f>IF(AND(ISNUMBER(Z106),ISNUMBER(AB106)),Z106-IF(ISNUMBER(U106),U106,0)-(AB106-IF(ISNUMBER(W106),W106,0)),"")</f>
        <v/>
      </c>
      <c r="AV106" s="17">
        <f>IF(AND(ISNUMBER(AT106),ISNUMBER(AU106)),AT106-AU106,"")</f>
        <v/>
      </c>
      <c r="AW106" s="17">
        <f>IF(AND(ISNUMBER(L106),ISNUMBER(M106),ISNUMBER(AF106)),L106-M106*(1-AF106),IF(ISNUMBER(L106),L106,""))</f>
        <v/>
      </c>
      <c r="AX106" s="17">
        <f>IF(E106="금융","",IF(AND(ISNUMBER(AW106),ISNUMBER(N106),ISNUMBER(O106),ISNUMBER(AV106)),AW106+N106-O106-AV106,IF(AND(ISNUMBER(P106),ISNUMBER(O106)),P106-O106-IF(ISNUMBER(Q106),Q106,0),"")))</f>
        <v/>
      </c>
      <c r="AY106" s="8">
        <f>IF(E106="금융","금융업 - 정의되지 않음",IF(AND(ISNUMBER(AW106),ISNUMBER(N106),ISNUMBER(O106),ISNUMBER(AV106)),"영업순이익+감가상각-설비투자-운전자본증감",IF(AND(ISNUMBER(P106),ISNUMBER(O106)),IF(ISNUMBER(Q106),"영업현금흐름-설비투자-주식보상비용","영업현금흐름-설비투자(주식보상비용 미태깅)"),"산출불가")))</f>
        <v/>
      </c>
      <c r="AZ106" s="19">
        <f>IF(AND(ISNUMBER(AX106),ISNUMBER(G106),G106&lt;&gt;0),AX106/G106,"")</f>
        <v/>
      </c>
      <c r="BA106" s="19">
        <f>IF(AND(ISNUMBER(AE106),ISNUMBER(G106),G106&lt;&gt;0),AE106/G106,"")</f>
        <v/>
      </c>
    </row>
    <row r="107">
      <c r="A107" s="8" t="inlineStr">
        <is>
          <t>BRK-B</t>
        </is>
      </c>
      <c r="B107" s="8" t="inlineStr">
        <is>
          <t>BERKSHIRE HATHAWAY INC</t>
        </is>
      </c>
      <c r="C107" s="8" t="n">
        <v>2022</v>
      </c>
      <c r="D107" s="8" t="inlineStr">
        <is>
          <t>2022-12-31</t>
        </is>
      </c>
      <c r="E107" s="8" t="inlineStr">
        <is>
          <t>금융</t>
        </is>
      </c>
      <c r="F107" s="8" t="inlineStr">
        <is>
          <t>0000950170-25-025210</t>
        </is>
      </c>
      <c r="G107" s="15" t="n">
        <v>302.02</v>
      </c>
      <c r="H107" s="15" t="n">
        <v>-30.5</v>
      </c>
      <c r="I107" s="15" t="n">
        <v>4.352</v>
      </c>
      <c r="J107" s="15" t="n">
        <v>-8.502000000000001</v>
      </c>
      <c r="K107" s="15" t="n"/>
      <c r="L107" s="15" t="n">
        <v>-22.759</v>
      </c>
      <c r="M107" s="15" t="n">
        <v>-67.899</v>
      </c>
      <c r="N107" s="15" t="n">
        <v>10.899</v>
      </c>
      <c r="O107" s="15" t="n">
        <v>15.464</v>
      </c>
      <c r="P107" s="15" t="n">
        <v>37.35</v>
      </c>
      <c r="Q107" s="15" t="n"/>
      <c r="R107" s="15" t="n">
        <v>473.424</v>
      </c>
      <c r="S107" s="15" t="n">
        <v>506.199</v>
      </c>
      <c r="T107" s="15" t="n">
        <v>36.399</v>
      </c>
      <c r="U107" s="15" t="n">
        <v>88.706</v>
      </c>
      <c r="V107" s="15" t="n">
        <v>0</v>
      </c>
      <c r="W107" s="15" t="n">
        <v>0</v>
      </c>
      <c r="X107" s="15" t="n"/>
      <c r="Y107" s="15" t="n"/>
      <c r="Z107" s="15" t="n"/>
      <c r="AA107" s="15" t="n"/>
      <c r="AB107" s="15" t="n"/>
      <c r="AC107" s="15" t="n"/>
      <c r="AD107" s="16" t="n"/>
      <c r="AE107" s="17">
        <f>IF(ISNUMBER(K107),K107,IF(AND(ISNUMBER(H107),ISNUMBER(I107)),H107+I107,IF(ISNUMBER(H107),H107,"")))</f>
        <v/>
      </c>
      <c r="AF107" s="18">
        <f>IF(OR(NOT(ISNUMBER(J107)),NOT(ISNUMBER(H107)),H107&lt;=0),기준표!$B$8,MIN(MAX(J107/H107,기준표!$B$6),기준표!$B$7))</f>
        <v/>
      </c>
      <c r="AG107" s="17">
        <f>IF(ISNUMBER(AE107),AE107*(1-AF107),"")</f>
        <v/>
      </c>
      <c r="AH107" s="17">
        <f>IF(AND(NOT(ISNUMBER(V107)),NOT(ISNUMBER(X107))),"",IF(ISNUMBER(V107),V107,0)+IF(ISNUMBER(X107),X107,0))</f>
        <v/>
      </c>
      <c r="AI107" s="17">
        <f>IF(E107="금융","",IF(AND(ISNUMBER(R107),ISNUMBER(AH107),ISNUMBER(T107)),R107+AH107-T107,""))</f>
        <v/>
      </c>
      <c r="AJ107" s="17">
        <f>IF(E107="금융","",IF(NOT(ISNUMBER(AI107)),"",IF(ISNUMBER(AC107),(AI107+AC107)/2,AI107)))</f>
        <v/>
      </c>
      <c r="AK107" s="19">
        <f>IF(AND(ISNUMBER(AG107),ISNUMBER(AJ107),AJ107&gt;0),AG107/AJ107,"")</f>
        <v/>
      </c>
      <c r="AL107" s="17">
        <f>IF(E107="금융","",IF(AND(ISNUMBER(R107),ISNUMBER(AH107)),R107+AH107,""))</f>
        <v/>
      </c>
      <c r="AM107" s="19">
        <f>IF(OR(NOT(ISNUMBER(AG107)),NOT(ISNUMBER(AL107)),AL107&lt;=0),"",IF(AND(ISNUMBER(G107),AL107&lt;0.1*G107),"",AG107/AL107))</f>
        <v/>
      </c>
      <c r="AN107" s="17">
        <f>IF(NOT(ISNUMBER(R107)),"",IF(ISNUMBER(S107),(R107+S107)/2,R107))</f>
        <v/>
      </c>
      <c r="AO107" s="19">
        <f>IF(AND(ISNUMBER(L107),ISNUMBER(AN107),AN107&gt;0),L107/AN107,"")</f>
        <v/>
      </c>
      <c r="AP107" s="19">
        <f>IF(AND(ISNUMBER(AO107),ISNUMBER({ROIC})),AO107-{ROIC},"")</f>
        <v/>
      </c>
      <c r="AQ107" s="17">
        <f>IF(AND(ISNUMBER(AE107),ISNUMBER(N107)),AE107+N107,"")</f>
        <v/>
      </c>
      <c r="AR107" s="20">
        <f>IF(AND(ISNUMBER(AH107),ISNUMBER(T107),ISNUMBER(AQ107),AQ107&gt;0),(AH107-T107)/AQ107,"")</f>
        <v/>
      </c>
      <c r="AS107" s="20">
        <f>IF(AND(ISNUMBER(AE107),ISNUMBER(I107),I107&lt;&gt;0,AE107&gt;0),AE107/I107,"")</f>
        <v/>
      </c>
      <c r="AT107" s="17">
        <f>IF(AND(ISNUMBER(Y107),ISNUMBER(AA107)),Y107-IF(ISNUMBER(T107),T107,0)-(AA107-IF(ISNUMBER(V107),V107,0)),"")</f>
        <v/>
      </c>
      <c r="AU107" s="17">
        <f>IF(AND(ISNUMBER(Z107),ISNUMBER(AB107)),Z107-IF(ISNUMBER(U107),U107,0)-(AB107-IF(ISNUMBER(W107),W107,0)),"")</f>
        <v/>
      </c>
      <c r="AV107" s="17">
        <f>IF(AND(ISNUMBER(AT107),ISNUMBER(AU107)),AT107-AU107,"")</f>
        <v/>
      </c>
      <c r="AW107" s="17">
        <f>IF(AND(ISNUMBER(L107),ISNUMBER(M107),ISNUMBER(AF107)),L107-M107*(1-AF107),IF(ISNUMBER(L107),L107,""))</f>
        <v/>
      </c>
      <c r="AX107" s="17">
        <f>IF(E107="금융","",IF(AND(ISNUMBER(AW107),ISNUMBER(N107),ISNUMBER(O107),ISNUMBER(AV107)),AW107+N107-O107-AV107,IF(AND(ISNUMBER(P107),ISNUMBER(O107)),P107-O107-IF(ISNUMBER(Q107),Q107,0),"")))</f>
        <v/>
      </c>
      <c r="AY107" s="8">
        <f>IF(E107="금융","금융업 - 정의되지 않음",IF(AND(ISNUMBER(AW107),ISNUMBER(N107),ISNUMBER(O107),ISNUMBER(AV107)),"영업순이익+감가상각-설비투자-운전자본증감",IF(AND(ISNUMBER(P107),ISNUMBER(O107)),IF(ISNUMBER(Q107),"영업현금흐름-설비투자-주식보상비용","영업현금흐름-설비투자(주식보상비용 미태깅)"),"산출불가")))</f>
        <v/>
      </c>
      <c r="AZ107" s="19">
        <f>IF(AND(ISNUMBER(AX107),ISNUMBER(G107),G107&lt;&gt;0),AX107/G107,"")</f>
        <v/>
      </c>
      <c r="BA107" s="19">
        <f>IF(AND(ISNUMBER(AE107),ISNUMBER(G107),G107&lt;&gt;0),AE107/G107,"")</f>
        <v/>
      </c>
    </row>
    <row r="108">
      <c r="A108" s="8" t="inlineStr">
        <is>
          <t>BRK-B</t>
        </is>
      </c>
      <c r="B108" s="8" t="inlineStr">
        <is>
          <t>BERKSHIRE HATHAWAY INC</t>
        </is>
      </c>
      <c r="C108" s="8" t="n">
        <v>2023</v>
      </c>
      <c r="D108" s="8" t="inlineStr">
        <is>
          <t>2023-12-31</t>
        </is>
      </c>
      <c r="E108" s="8" t="inlineStr">
        <is>
          <t>금융</t>
        </is>
      </c>
      <c r="F108" s="8" t="inlineStr">
        <is>
          <t>0001193125-26-083899</t>
        </is>
      </c>
      <c r="G108" s="15" t="n">
        <v>364.482</v>
      </c>
      <c r="H108" s="15" t="n">
        <v>120.166</v>
      </c>
      <c r="I108" s="15" t="n">
        <v>5.003</v>
      </c>
      <c r="J108" s="15" t="n">
        <v>23.019</v>
      </c>
      <c r="K108" s="15" t="n"/>
      <c r="L108" s="15" t="n">
        <v>96.223</v>
      </c>
      <c r="M108" s="15" t="n">
        <v>74.855</v>
      </c>
      <c r="N108" s="15" t="n">
        <v>12.486</v>
      </c>
      <c r="O108" s="15" t="n">
        <v>19.409</v>
      </c>
      <c r="P108" s="15" t="n">
        <v>49.196</v>
      </c>
      <c r="Q108" s="15" t="n"/>
      <c r="R108" s="15" t="n">
        <v>561.273</v>
      </c>
      <c r="S108" s="15" t="n">
        <v>473.424</v>
      </c>
      <c r="T108" s="15" t="n">
        <v>38.643</v>
      </c>
      <c r="U108" s="15" t="n">
        <v>36.399</v>
      </c>
      <c r="V108" s="15" t="n">
        <v>0</v>
      </c>
      <c r="W108" s="15" t="n">
        <v>0</v>
      </c>
      <c r="X108" s="15" t="n"/>
      <c r="Y108" s="15" t="n"/>
      <c r="Z108" s="15" t="n"/>
      <c r="AA108" s="15" t="n"/>
      <c r="AB108" s="15" t="n"/>
      <c r="AC108" s="15" t="n"/>
      <c r="AD108" s="16" t="n"/>
      <c r="AE108" s="17">
        <f>IF(ISNUMBER(K108),K108,IF(AND(ISNUMBER(H108),ISNUMBER(I108)),H108+I108,IF(ISNUMBER(H108),H108,"")))</f>
        <v/>
      </c>
      <c r="AF108" s="18">
        <f>IF(OR(NOT(ISNUMBER(J108)),NOT(ISNUMBER(H108)),H108&lt;=0),기준표!$B$8,MIN(MAX(J108/H108,기준표!$B$6),기준표!$B$7))</f>
        <v/>
      </c>
      <c r="AG108" s="17">
        <f>IF(ISNUMBER(AE108),AE108*(1-AF108),"")</f>
        <v/>
      </c>
      <c r="AH108" s="17">
        <f>IF(AND(NOT(ISNUMBER(V108)),NOT(ISNUMBER(X108))),"",IF(ISNUMBER(V108),V108,0)+IF(ISNUMBER(X108),X108,0))</f>
        <v/>
      </c>
      <c r="AI108" s="17">
        <f>IF(E108="금융","",IF(AND(ISNUMBER(R108),ISNUMBER(AH108),ISNUMBER(T108)),R108+AH108-T108,""))</f>
        <v/>
      </c>
      <c r="AJ108" s="17">
        <f>IF(E108="금융","",IF(NOT(ISNUMBER(AI108)),"",IF(ISNUMBER(AC108),(AI108+AC108)/2,AI108)))</f>
        <v/>
      </c>
      <c r="AK108" s="19">
        <f>IF(AND(ISNUMBER(AG108),ISNUMBER(AJ108),AJ108&gt;0),AG108/AJ108,"")</f>
        <v/>
      </c>
      <c r="AL108" s="17">
        <f>IF(E108="금융","",IF(AND(ISNUMBER(R108),ISNUMBER(AH108)),R108+AH108,""))</f>
        <v/>
      </c>
      <c r="AM108" s="19">
        <f>IF(OR(NOT(ISNUMBER(AG108)),NOT(ISNUMBER(AL108)),AL108&lt;=0),"",IF(AND(ISNUMBER(G108),AL108&lt;0.1*G108),"",AG108/AL108))</f>
        <v/>
      </c>
      <c r="AN108" s="17">
        <f>IF(NOT(ISNUMBER(R108)),"",IF(ISNUMBER(S108),(R108+S108)/2,R108))</f>
        <v/>
      </c>
      <c r="AO108" s="19">
        <f>IF(AND(ISNUMBER(L108),ISNUMBER(AN108),AN108&gt;0),L108/AN108,"")</f>
        <v/>
      </c>
      <c r="AP108" s="19">
        <f>IF(AND(ISNUMBER(AO108),ISNUMBER({ROIC})),AO108-{ROIC},"")</f>
        <v/>
      </c>
      <c r="AQ108" s="17">
        <f>IF(AND(ISNUMBER(AE108),ISNUMBER(N108)),AE108+N108,"")</f>
        <v/>
      </c>
      <c r="AR108" s="20">
        <f>IF(AND(ISNUMBER(AH108),ISNUMBER(T108),ISNUMBER(AQ108),AQ108&gt;0),(AH108-T108)/AQ108,"")</f>
        <v/>
      </c>
      <c r="AS108" s="20">
        <f>IF(AND(ISNUMBER(AE108),ISNUMBER(I108),I108&lt;&gt;0,AE108&gt;0),AE108/I108,"")</f>
        <v/>
      </c>
      <c r="AT108" s="17">
        <f>IF(AND(ISNUMBER(Y108),ISNUMBER(AA108)),Y108-IF(ISNUMBER(T108),T108,0)-(AA108-IF(ISNUMBER(V108),V108,0)),"")</f>
        <v/>
      </c>
      <c r="AU108" s="17">
        <f>IF(AND(ISNUMBER(Z108),ISNUMBER(AB108)),Z108-IF(ISNUMBER(U108),U108,0)-(AB108-IF(ISNUMBER(W108),W108,0)),"")</f>
        <v/>
      </c>
      <c r="AV108" s="17">
        <f>IF(AND(ISNUMBER(AT108),ISNUMBER(AU108)),AT108-AU108,"")</f>
        <v/>
      </c>
      <c r="AW108" s="17">
        <f>IF(AND(ISNUMBER(L108),ISNUMBER(M108),ISNUMBER(AF108)),L108-M108*(1-AF108),IF(ISNUMBER(L108),L108,""))</f>
        <v/>
      </c>
      <c r="AX108" s="17">
        <f>IF(E108="금융","",IF(AND(ISNUMBER(AW108),ISNUMBER(N108),ISNUMBER(O108),ISNUMBER(AV108)),AW108+N108-O108-AV108,IF(AND(ISNUMBER(P108),ISNUMBER(O108)),P108-O108-IF(ISNUMBER(Q108),Q108,0),"")))</f>
        <v/>
      </c>
      <c r="AY108" s="8">
        <f>IF(E108="금융","금융업 - 정의되지 않음",IF(AND(ISNUMBER(AW108),ISNUMBER(N108),ISNUMBER(O108),ISNUMBER(AV108)),"영업순이익+감가상각-설비투자-운전자본증감",IF(AND(ISNUMBER(P108),ISNUMBER(O108)),IF(ISNUMBER(Q108),"영업현금흐름-설비투자-주식보상비용","영업현금흐름-설비투자(주식보상비용 미태깅)"),"산출불가")))</f>
        <v/>
      </c>
      <c r="AZ108" s="19">
        <f>IF(AND(ISNUMBER(AX108),ISNUMBER(G108),G108&lt;&gt;0),AX108/G108,"")</f>
        <v/>
      </c>
      <c r="BA108" s="19">
        <f>IF(AND(ISNUMBER(AE108),ISNUMBER(G108),G108&lt;&gt;0),AE108/G108,"")</f>
        <v/>
      </c>
    </row>
    <row r="109">
      <c r="A109" s="8" t="inlineStr">
        <is>
          <t>BRK-B</t>
        </is>
      </c>
      <c r="B109" s="8" t="inlineStr">
        <is>
          <t>BERKSHIRE HATHAWAY INC</t>
        </is>
      </c>
      <c r="C109" s="8" t="n">
        <v>2024</v>
      </c>
      <c r="D109" s="8" t="inlineStr">
        <is>
          <t>2024-12-31</t>
        </is>
      </c>
      <c r="E109" s="8" t="inlineStr">
        <is>
          <t>금융</t>
        </is>
      </c>
      <c r="F109" s="8" t="inlineStr">
        <is>
          <t>0001193125-26-083899</t>
        </is>
      </c>
      <c r="G109" s="15" t="n">
        <v>371.433</v>
      </c>
      <c r="H109" s="15" t="n">
        <v>110.376</v>
      </c>
      <c r="I109" s="15" t="n">
        <v>5.2</v>
      </c>
      <c r="J109" s="15" t="n">
        <v>20.815</v>
      </c>
      <c r="K109" s="15" t="n"/>
      <c r="L109" s="15" t="n">
        <v>88.995</v>
      </c>
      <c r="M109" s="15" t="n">
        <v>52.799</v>
      </c>
      <c r="N109" s="15" t="n">
        <v>12.855</v>
      </c>
      <c r="O109" s="15" t="n">
        <v>18.976</v>
      </c>
      <c r="P109" s="15" t="n">
        <v>30.592</v>
      </c>
      <c r="Q109" s="15" t="n"/>
      <c r="R109" s="15" t="n">
        <v>649.3680000000001</v>
      </c>
      <c r="S109" s="15" t="n">
        <v>561.273</v>
      </c>
      <c r="T109" s="15" t="n">
        <v>48.376</v>
      </c>
      <c r="U109" s="15" t="n">
        <v>38.643</v>
      </c>
      <c r="V109" s="15" t="n">
        <v>0</v>
      </c>
      <c r="W109" s="15" t="n">
        <v>0</v>
      </c>
      <c r="X109" s="15" t="n"/>
      <c r="Y109" s="15" t="n"/>
      <c r="Z109" s="15" t="n"/>
      <c r="AA109" s="15" t="n"/>
      <c r="AB109" s="15" t="n"/>
      <c r="AC109" s="15" t="n"/>
      <c r="AD109" s="16" t="n"/>
      <c r="AE109" s="17">
        <f>IF(ISNUMBER(K109),K109,IF(AND(ISNUMBER(H109),ISNUMBER(I109)),H109+I109,IF(ISNUMBER(H109),H109,"")))</f>
        <v/>
      </c>
      <c r="AF109" s="18">
        <f>IF(OR(NOT(ISNUMBER(J109)),NOT(ISNUMBER(H109)),H109&lt;=0),기준표!$B$8,MIN(MAX(J109/H109,기준표!$B$6),기준표!$B$7))</f>
        <v/>
      </c>
      <c r="AG109" s="17">
        <f>IF(ISNUMBER(AE109),AE109*(1-AF109),"")</f>
        <v/>
      </c>
      <c r="AH109" s="17">
        <f>IF(AND(NOT(ISNUMBER(V109)),NOT(ISNUMBER(X109))),"",IF(ISNUMBER(V109),V109,0)+IF(ISNUMBER(X109),X109,0))</f>
        <v/>
      </c>
      <c r="AI109" s="17">
        <f>IF(E109="금융","",IF(AND(ISNUMBER(R109),ISNUMBER(AH109),ISNUMBER(T109)),R109+AH109-T109,""))</f>
        <v/>
      </c>
      <c r="AJ109" s="17">
        <f>IF(E109="금융","",IF(NOT(ISNUMBER(AI109)),"",IF(ISNUMBER(AC109),(AI109+AC109)/2,AI109)))</f>
        <v/>
      </c>
      <c r="AK109" s="19">
        <f>IF(AND(ISNUMBER(AG109),ISNUMBER(AJ109),AJ109&gt;0),AG109/AJ109,"")</f>
        <v/>
      </c>
      <c r="AL109" s="17">
        <f>IF(E109="금융","",IF(AND(ISNUMBER(R109),ISNUMBER(AH109)),R109+AH109,""))</f>
        <v/>
      </c>
      <c r="AM109" s="19">
        <f>IF(OR(NOT(ISNUMBER(AG109)),NOT(ISNUMBER(AL109)),AL109&lt;=0),"",IF(AND(ISNUMBER(G109),AL109&lt;0.1*G109),"",AG109/AL109))</f>
        <v/>
      </c>
      <c r="AN109" s="17">
        <f>IF(NOT(ISNUMBER(R109)),"",IF(ISNUMBER(S109),(R109+S109)/2,R109))</f>
        <v/>
      </c>
      <c r="AO109" s="19">
        <f>IF(AND(ISNUMBER(L109),ISNUMBER(AN109),AN109&gt;0),L109/AN109,"")</f>
        <v/>
      </c>
      <c r="AP109" s="19">
        <f>IF(AND(ISNUMBER(AO109),ISNUMBER({ROIC})),AO109-{ROIC},"")</f>
        <v/>
      </c>
      <c r="AQ109" s="17">
        <f>IF(AND(ISNUMBER(AE109),ISNUMBER(N109)),AE109+N109,"")</f>
        <v/>
      </c>
      <c r="AR109" s="20">
        <f>IF(AND(ISNUMBER(AH109),ISNUMBER(T109),ISNUMBER(AQ109),AQ109&gt;0),(AH109-T109)/AQ109,"")</f>
        <v/>
      </c>
      <c r="AS109" s="20">
        <f>IF(AND(ISNUMBER(AE109),ISNUMBER(I109),I109&lt;&gt;0,AE109&gt;0),AE109/I109,"")</f>
        <v/>
      </c>
      <c r="AT109" s="17">
        <f>IF(AND(ISNUMBER(Y109),ISNUMBER(AA109)),Y109-IF(ISNUMBER(T109),T109,0)-(AA109-IF(ISNUMBER(V109),V109,0)),"")</f>
        <v/>
      </c>
      <c r="AU109" s="17">
        <f>IF(AND(ISNUMBER(Z109),ISNUMBER(AB109)),Z109-IF(ISNUMBER(U109),U109,0)-(AB109-IF(ISNUMBER(W109),W109,0)),"")</f>
        <v/>
      </c>
      <c r="AV109" s="17">
        <f>IF(AND(ISNUMBER(AT109),ISNUMBER(AU109)),AT109-AU109,"")</f>
        <v/>
      </c>
      <c r="AW109" s="17">
        <f>IF(AND(ISNUMBER(L109),ISNUMBER(M109),ISNUMBER(AF109)),L109-M109*(1-AF109),IF(ISNUMBER(L109),L109,""))</f>
        <v/>
      </c>
      <c r="AX109" s="17">
        <f>IF(E109="금융","",IF(AND(ISNUMBER(AW109),ISNUMBER(N109),ISNUMBER(O109),ISNUMBER(AV109)),AW109+N109-O109-AV109,IF(AND(ISNUMBER(P109),ISNUMBER(O109)),P109-O109-IF(ISNUMBER(Q109),Q109,0),"")))</f>
        <v/>
      </c>
      <c r="AY109" s="8">
        <f>IF(E109="금융","금융업 - 정의되지 않음",IF(AND(ISNUMBER(AW109),ISNUMBER(N109),ISNUMBER(O109),ISNUMBER(AV109)),"영업순이익+감가상각-설비투자-운전자본증감",IF(AND(ISNUMBER(P109),ISNUMBER(O109)),IF(ISNUMBER(Q109),"영업현금흐름-설비투자-주식보상비용","영업현금흐름-설비투자(주식보상비용 미태깅)"),"산출불가")))</f>
        <v/>
      </c>
      <c r="AZ109" s="19">
        <f>IF(AND(ISNUMBER(AX109),ISNUMBER(G109),G109&lt;&gt;0),AX109/G109,"")</f>
        <v/>
      </c>
      <c r="BA109" s="19">
        <f>IF(AND(ISNUMBER(AE109),ISNUMBER(G109),G109&lt;&gt;0),AE109/G109,"")</f>
        <v/>
      </c>
    </row>
    <row r="110">
      <c r="A110" s="8" t="inlineStr">
        <is>
          <t>BRK-B</t>
        </is>
      </c>
      <c r="B110" s="8" t="inlineStr">
        <is>
          <t>BERKSHIRE HATHAWAY INC</t>
        </is>
      </c>
      <c r="C110" s="8" t="n">
        <v>2025</v>
      </c>
      <c r="D110" s="8" t="inlineStr">
        <is>
          <t>2025-12-31</t>
        </is>
      </c>
      <c r="E110" s="8" t="inlineStr">
        <is>
          <t>금융</t>
        </is>
      </c>
      <c r="F110" s="8" t="inlineStr">
        <is>
          <t>0001193125-26-083899</t>
        </is>
      </c>
      <c r="G110" s="15" t="n">
        <v>371.444</v>
      </c>
      <c r="H110" s="15" t="n">
        <v>82.459</v>
      </c>
      <c r="I110" s="15" t="n">
        <v>5.069</v>
      </c>
      <c r="J110" s="15" t="n">
        <v>15.199</v>
      </c>
      <c r="K110" s="15" t="n"/>
      <c r="L110" s="15" t="n">
        <v>66.968</v>
      </c>
      <c r="M110" s="15" t="n">
        <v>39.078</v>
      </c>
      <c r="N110" s="15" t="n">
        <v>13.476</v>
      </c>
      <c r="O110" s="15" t="n">
        <v>20.927</v>
      </c>
      <c r="P110" s="15" t="n">
        <v>45.969</v>
      </c>
      <c r="Q110" s="15" t="n"/>
      <c r="R110" s="15" t="n">
        <v>717.419</v>
      </c>
      <c r="S110" s="15" t="n">
        <v>649.3680000000001</v>
      </c>
      <c r="T110" s="15" t="n">
        <v>52.569</v>
      </c>
      <c r="U110" s="15" t="n">
        <v>48.376</v>
      </c>
      <c r="V110" s="15" t="n">
        <v>0</v>
      </c>
      <c r="W110" s="15" t="n">
        <v>0</v>
      </c>
      <c r="X110" s="15" t="n"/>
      <c r="Y110" s="15" t="n"/>
      <c r="Z110" s="15" t="n"/>
      <c r="AA110" s="15" t="n"/>
      <c r="AB110" s="15" t="n"/>
      <c r="AC110" s="15" t="n"/>
      <c r="AD110" s="16" t="n"/>
      <c r="AE110" s="17">
        <f>IF(ISNUMBER(K110),K110,IF(AND(ISNUMBER(H110),ISNUMBER(I110)),H110+I110,IF(ISNUMBER(H110),H110,"")))</f>
        <v/>
      </c>
      <c r="AF110" s="18">
        <f>IF(OR(NOT(ISNUMBER(J110)),NOT(ISNUMBER(H110)),H110&lt;=0),기준표!$B$8,MIN(MAX(J110/H110,기준표!$B$6),기준표!$B$7))</f>
        <v/>
      </c>
      <c r="AG110" s="17">
        <f>IF(ISNUMBER(AE110),AE110*(1-AF110),"")</f>
        <v/>
      </c>
      <c r="AH110" s="17">
        <f>IF(AND(NOT(ISNUMBER(V110)),NOT(ISNUMBER(X110))),"",IF(ISNUMBER(V110),V110,0)+IF(ISNUMBER(X110),X110,0))</f>
        <v/>
      </c>
      <c r="AI110" s="17">
        <f>IF(E110="금융","",IF(AND(ISNUMBER(R110),ISNUMBER(AH110),ISNUMBER(T110)),R110+AH110-T110,""))</f>
        <v/>
      </c>
      <c r="AJ110" s="17">
        <f>IF(E110="금융","",IF(NOT(ISNUMBER(AI110)),"",IF(ISNUMBER(AC110),(AI110+AC110)/2,AI110)))</f>
        <v/>
      </c>
      <c r="AK110" s="19">
        <f>IF(AND(ISNUMBER(AG110),ISNUMBER(AJ110),AJ110&gt;0),AG110/AJ110,"")</f>
        <v/>
      </c>
      <c r="AL110" s="17">
        <f>IF(E110="금융","",IF(AND(ISNUMBER(R110),ISNUMBER(AH110)),R110+AH110,""))</f>
        <v/>
      </c>
      <c r="AM110" s="19">
        <f>IF(OR(NOT(ISNUMBER(AG110)),NOT(ISNUMBER(AL110)),AL110&lt;=0),"",IF(AND(ISNUMBER(G110),AL110&lt;0.1*G110),"",AG110/AL110))</f>
        <v/>
      </c>
      <c r="AN110" s="17">
        <f>IF(NOT(ISNUMBER(R110)),"",IF(ISNUMBER(S110),(R110+S110)/2,R110))</f>
        <v/>
      </c>
      <c r="AO110" s="19">
        <f>IF(AND(ISNUMBER(L110),ISNUMBER(AN110),AN110&gt;0),L110/AN110,"")</f>
        <v/>
      </c>
      <c r="AP110" s="19">
        <f>IF(AND(ISNUMBER(AO110),ISNUMBER({ROIC})),AO110-{ROIC},"")</f>
        <v/>
      </c>
      <c r="AQ110" s="17">
        <f>IF(AND(ISNUMBER(AE110),ISNUMBER(N110)),AE110+N110,"")</f>
        <v/>
      </c>
      <c r="AR110" s="20">
        <f>IF(AND(ISNUMBER(AH110),ISNUMBER(T110),ISNUMBER(AQ110),AQ110&gt;0),(AH110-T110)/AQ110,"")</f>
        <v/>
      </c>
      <c r="AS110" s="20">
        <f>IF(AND(ISNUMBER(AE110),ISNUMBER(I110),I110&lt;&gt;0,AE110&gt;0),AE110/I110,"")</f>
        <v/>
      </c>
      <c r="AT110" s="17">
        <f>IF(AND(ISNUMBER(Y110),ISNUMBER(AA110)),Y110-IF(ISNUMBER(T110),T110,0)-(AA110-IF(ISNUMBER(V110),V110,0)),"")</f>
        <v/>
      </c>
      <c r="AU110" s="17">
        <f>IF(AND(ISNUMBER(Z110),ISNUMBER(AB110)),Z110-IF(ISNUMBER(U110),U110,0)-(AB110-IF(ISNUMBER(W110),W110,0)),"")</f>
        <v/>
      </c>
      <c r="AV110" s="17">
        <f>IF(AND(ISNUMBER(AT110),ISNUMBER(AU110)),AT110-AU110,"")</f>
        <v/>
      </c>
      <c r="AW110" s="17">
        <f>IF(AND(ISNUMBER(L110),ISNUMBER(M110),ISNUMBER(AF110)),L110-M110*(1-AF110),IF(ISNUMBER(L110),L110,""))</f>
        <v/>
      </c>
      <c r="AX110" s="17">
        <f>IF(E110="금융","",IF(AND(ISNUMBER(AW110),ISNUMBER(N110),ISNUMBER(O110),ISNUMBER(AV110)),AW110+N110-O110-AV110,IF(AND(ISNUMBER(P110),ISNUMBER(O110)),P110-O110-IF(ISNUMBER(Q110),Q110,0),"")))</f>
        <v/>
      </c>
      <c r="AY110" s="8">
        <f>IF(E110="금융","금융업 - 정의되지 않음",IF(AND(ISNUMBER(AW110),ISNUMBER(N110),ISNUMBER(O110),ISNUMBER(AV110)),"영업순이익+감가상각-설비투자-운전자본증감",IF(AND(ISNUMBER(P110),ISNUMBER(O110)),IF(ISNUMBER(Q110),"영업현금흐름-설비투자-주식보상비용","영업현금흐름-설비투자(주식보상비용 미태깅)"),"산출불가")))</f>
        <v/>
      </c>
      <c r="AZ110" s="19">
        <f>IF(AND(ISNUMBER(AX110),ISNUMBER(G110),G110&lt;&gt;0),AX110/G110,"")</f>
        <v/>
      </c>
      <c r="BA110" s="19">
        <f>IF(AND(ISNUMBER(AE110),ISNUMBER(G110),G110&lt;&gt;0),AE110/G110,"")</f>
        <v/>
      </c>
    </row>
    <row r="111">
      <c r="A111" s="8" t="inlineStr">
        <is>
          <t>LLY</t>
        </is>
      </c>
      <c r="B111" s="8" t="inlineStr">
        <is>
          <t>ELI LILLY &amp; Co</t>
        </is>
      </c>
      <c r="C111" s="8" t="n">
        <v>2014</v>
      </c>
      <c r="D111" s="8" t="inlineStr">
        <is>
          <t>2014-12-31</t>
        </is>
      </c>
      <c r="E111" s="8" t="inlineStr">
        <is>
          <t>일반</t>
        </is>
      </c>
      <c r="F111" s="8" t="inlineStr">
        <is>
          <t>0000059478-17-000098</t>
        </is>
      </c>
      <c r="G111" s="15" t="n">
        <v>19.6156</v>
      </c>
      <c r="H111" s="15" t="n">
        <v>3.0003</v>
      </c>
      <c r="I111" s="15" t="n"/>
      <c r="J111" s="15" t="n">
        <v>0.6098</v>
      </c>
      <c r="K111" s="15" t="n"/>
      <c r="L111" s="15" t="n">
        <v>2.3905</v>
      </c>
      <c r="M111" s="15" t="n"/>
      <c r="N111" s="15" t="n">
        <v>1.379</v>
      </c>
      <c r="O111" s="15" t="n">
        <v>1.1626</v>
      </c>
      <c r="P111" s="15" t="n">
        <v>4.4584</v>
      </c>
      <c r="Q111" s="15" t="n">
        <v>0.156</v>
      </c>
      <c r="R111" s="15" t="n">
        <v>15.3732</v>
      </c>
      <c r="S111" s="15" t="n"/>
      <c r="T111" s="15" t="n">
        <v>4.827</v>
      </c>
      <c r="U111" s="15" t="n"/>
      <c r="V111" s="15" t="n">
        <v>2.6887</v>
      </c>
      <c r="W111" s="15" t="n"/>
      <c r="X111" s="15" t="n">
        <v>5.3328</v>
      </c>
      <c r="Y111" s="15" t="n">
        <v>11.9283</v>
      </c>
      <c r="Z111" s="15" t="n"/>
      <c r="AA111" s="15" t="n">
        <v>9.741</v>
      </c>
      <c r="AB111" s="15" t="n"/>
      <c r="AC111" s="15" t="n"/>
      <c r="AD111" s="16" t="n">
        <v>1074.286</v>
      </c>
      <c r="AE111" s="17">
        <f>IF(ISNUMBER(K111),K111,IF(AND(ISNUMBER(H111),ISNUMBER(I111)),H111+I111,IF(ISNUMBER(H111),H111,"")))</f>
        <v/>
      </c>
      <c r="AF111" s="18">
        <f>IF(OR(NOT(ISNUMBER(J111)),NOT(ISNUMBER(H111)),H111&lt;=0),기준표!$B$8,MIN(MAX(J111/H111,기준표!$B$6),기준표!$B$7))</f>
        <v/>
      </c>
      <c r="AG111" s="17">
        <f>IF(ISNUMBER(AE111),AE111*(1-AF111),"")</f>
        <v/>
      </c>
      <c r="AH111" s="17">
        <f>IF(AND(NOT(ISNUMBER(V111)),NOT(ISNUMBER(X111))),"",IF(ISNUMBER(V111),V111,0)+IF(ISNUMBER(X111),X111,0))</f>
        <v/>
      </c>
      <c r="AI111" s="17">
        <f>IF(E111="금융","",IF(AND(ISNUMBER(R111),ISNUMBER(AH111),ISNUMBER(T111)),R111+AH111-T111,""))</f>
        <v/>
      </c>
      <c r="AJ111" s="17">
        <f>IF(E111="금융","",IF(NOT(ISNUMBER(AI111)),"",IF(ISNUMBER(AC111),(AI111+AC111)/2,AI111)))</f>
        <v/>
      </c>
      <c r="AK111" s="19">
        <f>IF(AND(ISNUMBER(AG111),ISNUMBER(AJ111),AJ111&gt;0),AG111/AJ111,"")</f>
        <v/>
      </c>
      <c r="AL111" s="17">
        <f>IF(E111="금융","",IF(AND(ISNUMBER(R111),ISNUMBER(AH111)),R111+AH111,""))</f>
        <v/>
      </c>
      <c r="AM111" s="19">
        <f>IF(OR(NOT(ISNUMBER(AG111)),NOT(ISNUMBER(AL111)),AL111&lt;=0),"",IF(AND(ISNUMBER(G111),AL111&lt;0.1*G111),"",AG111/AL111))</f>
        <v/>
      </c>
      <c r="AN111" s="17">
        <f>IF(NOT(ISNUMBER(R111)),"",IF(ISNUMBER(S111),(R111+S111)/2,R111))</f>
        <v/>
      </c>
      <c r="AO111" s="19">
        <f>IF(AND(ISNUMBER(L111),ISNUMBER(AN111),AN111&gt;0),L111/AN111,"")</f>
        <v/>
      </c>
      <c r="AP111" s="19">
        <f>IF(AND(ISNUMBER(AO111),ISNUMBER({ROIC})),AO111-{ROIC},"")</f>
        <v/>
      </c>
      <c r="AQ111" s="17">
        <f>IF(AND(ISNUMBER(AE111),ISNUMBER(N111)),AE111+N111,"")</f>
        <v/>
      </c>
      <c r="AR111" s="20">
        <f>IF(AND(ISNUMBER(AH111),ISNUMBER(T111),ISNUMBER(AQ111),AQ111&gt;0),(AH111-T111)/AQ111,"")</f>
        <v/>
      </c>
      <c r="AS111" s="20">
        <f>IF(AND(ISNUMBER(AE111),ISNUMBER(I111),I111&lt;&gt;0,AE111&gt;0),AE111/I111,"")</f>
        <v/>
      </c>
      <c r="AT111" s="17">
        <f>IF(AND(ISNUMBER(Y111),ISNUMBER(AA111)),Y111-IF(ISNUMBER(T111),T111,0)-(AA111-IF(ISNUMBER(V111),V111,0)),"")</f>
        <v/>
      </c>
      <c r="AU111" s="17">
        <f>IF(AND(ISNUMBER(Z111),ISNUMBER(AB111)),Z111-IF(ISNUMBER(U111),U111,0)-(AB111-IF(ISNUMBER(W111),W111,0)),"")</f>
        <v/>
      </c>
      <c r="AV111" s="17">
        <f>IF(AND(ISNUMBER(AT111),ISNUMBER(AU111)),AT111-AU111,"")</f>
        <v/>
      </c>
      <c r="AW111" s="17">
        <f>IF(AND(ISNUMBER(L111),ISNUMBER(M111),ISNUMBER(AF111)),L111-M111*(1-AF111),IF(ISNUMBER(L111),L111,""))</f>
        <v/>
      </c>
      <c r="AX111" s="17">
        <f>IF(E111="금융","",IF(AND(ISNUMBER(AW111),ISNUMBER(N111),ISNUMBER(O111),ISNUMBER(AV111)),AW111+N111-O111-AV111,IF(AND(ISNUMBER(P111),ISNUMBER(O111)),P111-O111-IF(ISNUMBER(Q111),Q111,0),"")))</f>
        <v/>
      </c>
      <c r="AY111" s="8">
        <f>IF(E111="금융","금융업 - 정의되지 않음",IF(AND(ISNUMBER(AW111),ISNUMBER(N111),ISNUMBER(O111),ISNUMBER(AV111)),"영업순이익+감가상각-설비투자-운전자본증감",IF(AND(ISNUMBER(P111),ISNUMBER(O111)),IF(ISNUMBER(Q111),"영업현금흐름-설비투자-주식보상비용","영업현금흐름-설비투자(주식보상비용 미태깅)"),"산출불가")))</f>
        <v/>
      </c>
      <c r="AZ111" s="19">
        <f>IF(AND(ISNUMBER(AX111),ISNUMBER(G111),G111&lt;&gt;0),AX111/G111,"")</f>
        <v/>
      </c>
      <c r="BA111" s="19">
        <f>IF(AND(ISNUMBER(AE111),ISNUMBER(G111),G111&lt;&gt;0),AE111/G111,"")</f>
        <v/>
      </c>
    </row>
    <row r="112">
      <c r="A112" s="8" t="inlineStr">
        <is>
          <t>LLY</t>
        </is>
      </c>
      <c r="B112" s="8" t="inlineStr">
        <is>
          <t>ELI LILLY &amp; Co</t>
        </is>
      </c>
      <c r="C112" s="8" t="n">
        <v>2015</v>
      </c>
      <c r="D112" s="8" t="inlineStr">
        <is>
          <t>2015-12-31</t>
        </is>
      </c>
      <c r="E112" s="8" t="inlineStr">
        <is>
          <t>일반</t>
        </is>
      </c>
      <c r="F112" s="8" t="inlineStr">
        <is>
          <t>0000059478-18-000089</t>
        </is>
      </c>
      <c r="G112" s="15" t="n">
        <v>19.9587</v>
      </c>
      <c r="H112" s="15" t="n">
        <v>2.79</v>
      </c>
      <c r="I112" s="15" t="n"/>
      <c r="J112" s="15" t="n">
        <v>0.3816</v>
      </c>
      <c r="K112" s="15" t="n"/>
      <c r="L112" s="15" t="n">
        <v>2.4084</v>
      </c>
      <c r="M112" s="15" t="n"/>
      <c r="N112" s="15" t="n">
        <v>1.4277</v>
      </c>
      <c r="O112" s="15" t="n">
        <v>1.0662</v>
      </c>
      <c r="P112" s="15" t="n">
        <v>2.9646</v>
      </c>
      <c r="Q112" s="15" t="n">
        <v>0.2178</v>
      </c>
      <c r="R112" s="15" t="n">
        <v>14.5713</v>
      </c>
      <c r="S112" s="15" t="n">
        <v>15.3732</v>
      </c>
      <c r="T112" s="15" t="n">
        <v>4.4518</v>
      </c>
      <c r="U112" s="15" t="n">
        <v>4.827</v>
      </c>
      <c r="V112" s="15" t="n">
        <v>0.0061</v>
      </c>
      <c r="W112" s="15" t="n">
        <v>2.6887</v>
      </c>
      <c r="X112" s="15" t="n">
        <v>7.9724</v>
      </c>
      <c r="Y112" s="15" t="n">
        <v>12.5736</v>
      </c>
      <c r="Z112" s="15" t="n">
        <v>11.9283</v>
      </c>
      <c r="AA112" s="15" t="n">
        <v>8.2296</v>
      </c>
      <c r="AB112" s="15" t="n">
        <v>9.741</v>
      </c>
      <c r="AC112" s="15" t="n">
        <v>18.5677</v>
      </c>
      <c r="AD112" s="16" t="n">
        <v>1065.72</v>
      </c>
      <c r="AE112" s="17">
        <f>IF(ISNUMBER(K112),K112,IF(AND(ISNUMBER(H112),ISNUMBER(I112)),H112+I112,IF(ISNUMBER(H112),H112,"")))</f>
        <v/>
      </c>
      <c r="AF112" s="18">
        <f>IF(OR(NOT(ISNUMBER(J112)),NOT(ISNUMBER(H112)),H112&lt;=0),기준표!$B$8,MIN(MAX(J112/H112,기준표!$B$6),기준표!$B$7))</f>
        <v/>
      </c>
      <c r="AG112" s="17">
        <f>IF(ISNUMBER(AE112),AE112*(1-AF112),"")</f>
        <v/>
      </c>
      <c r="AH112" s="17">
        <f>IF(AND(NOT(ISNUMBER(V112)),NOT(ISNUMBER(X112))),"",IF(ISNUMBER(V112),V112,0)+IF(ISNUMBER(X112),X112,0))</f>
        <v/>
      </c>
      <c r="AI112" s="17">
        <f>IF(E112="금융","",IF(AND(ISNUMBER(R112),ISNUMBER(AH112),ISNUMBER(T112)),R112+AH112-T112,""))</f>
        <v/>
      </c>
      <c r="AJ112" s="17">
        <f>IF(E112="금융","",IF(NOT(ISNUMBER(AI112)),"",IF(ISNUMBER(AC112),(AI112+AC112)/2,AI112)))</f>
        <v/>
      </c>
      <c r="AK112" s="19">
        <f>IF(AND(ISNUMBER(AG112),ISNUMBER(AJ112),AJ112&gt;0),AG112/AJ112,"")</f>
        <v/>
      </c>
      <c r="AL112" s="17">
        <f>IF(E112="금융","",IF(AND(ISNUMBER(R112),ISNUMBER(AH112)),R112+AH112,""))</f>
        <v/>
      </c>
      <c r="AM112" s="19">
        <f>IF(OR(NOT(ISNUMBER(AG112)),NOT(ISNUMBER(AL112)),AL112&lt;=0),"",IF(AND(ISNUMBER(G112),AL112&lt;0.1*G112),"",AG112/AL112))</f>
        <v/>
      </c>
      <c r="AN112" s="17">
        <f>IF(NOT(ISNUMBER(R112)),"",IF(ISNUMBER(S112),(R112+S112)/2,R112))</f>
        <v/>
      </c>
      <c r="AO112" s="19">
        <f>IF(AND(ISNUMBER(L112),ISNUMBER(AN112),AN112&gt;0),L112/AN112,"")</f>
        <v/>
      </c>
      <c r="AP112" s="19">
        <f>IF(AND(ISNUMBER(AO112),ISNUMBER({ROIC})),AO112-{ROIC},"")</f>
        <v/>
      </c>
      <c r="AQ112" s="17">
        <f>IF(AND(ISNUMBER(AE112),ISNUMBER(N112)),AE112+N112,"")</f>
        <v/>
      </c>
      <c r="AR112" s="20">
        <f>IF(AND(ISNUMBER(AH112),ISNUMBER(T112),ISNUMBER(AQ112),AQ112&gt;0),(AH112-T112)/AQ112,"")</f>
        <v/>
      </c>
      <c r="AS112" s="20">
        <f>IF(AND(ISNUMBER(AE112),ISNUMBER(I112),I112&lt;&gt;0,AE112&gt;0),AE112/I112,"")</f>
        <v/>
      </c>
      <c r="AT112" s="17">
        <f>IF(AND(ISNUMBER(Y112),ISNUMBER(AA112)),Y112-IF(ISNUMBER(T112),T112,0)-(AA112-IF(ISNUMBER(V112),V112,0)),"")</f>
        <v/>
      </c>
      <c r="AU112" s="17">
        <f>IF(AND(ISNUMBER(Z112),ISNUMBER(AB112)),Z112-IF(ISNUMBER(U112),U112,0)-(AB112-IF(ISNUMBER(W112),W112,0)),"")</f>
        <v/>
      </c>
      <c r="AV112" s="17">
        <f>IF(AND(ISNUMBER(AT112),ISNUMBER(AU112)),AT112-AU112,"")</f>
        <v/>
      </c>
      <c r="AW112" s="17">
        <f>IF(AND(ISNUMBER(L112),ISNUMBER(M112),ISNUMBER(AF112)),L112-M112*(1-AF112),IF(ISNUMBER(L112),L112,""))</f>
        <v/>
      </c>
      <c r="AX112" s="17">
        <f>IF(E112="금융","",IF(AND(ISNUMBER(AW112),ISNUMBER(N112),ISNUMBER(O112),ISNUMBER(AV112)),AW112+N112-O112-AV112,IF(AND(ISNUMBER(P112),ISNUMBER(O112)),P112-O112-IF(ISNUMBER(Q112),Q112,0),"")))</f>
        <v/>
      </c>
      <c r="AY112" s="8">
        <f>IF(E112="금융","금융업 - 정의되지 않음",IF(AND(ISNUMBER(AW112),ISNUMBER(N112),ISNUMBER(O112),ISNUMBER(AV112)),"영업순이익+감가상각-설비투자-운전자본증감",IF(AND(ISNUMBER(P112),ISNUMBER(O112)),IF(ISNUMBER(Q112),"영업현금흐름-설비투자-주식보상비용","영업현금흐름-설비투자(주식보상비용 미태깅)"),"산출불가")))</f>
        <v/>
      </c>
      <c r="AZ112" s="19">
        <f>IF(AND(ISNUMBER(AX112),ISNUMBER(G112),G112&lt;&gt;0),AX112/G112,"")</f>
        <v/>
      </c>
      <c r="BA112" s="19">
        <f>IF(AND(ISNUMBER(AE112),ISNUMBER(G112),G112&lt;&gt;0),AE112/G112,"")</f>
        <v/>
      </c>
    </row>
    <row r="113">
      <c r="A113" s="8" t="inlineStr">
        <is>
          <t>LLY</t>
        </is>
      </c>
      <c r="B113" s="8" t="inlineStr">
        <is>
          <t>ELI LILLY &amp; Co</t>
        </is>
      </c>
      <c r="C113" s="8" t="n">
        <v>2016</v>
      </c>
      <c r="D113" s="8" t="inlineStr">
        <is>
          <t>2016-12-31</t>
        </is>
      </c>
      <c r="E113" s="8" t="inlineStr">
        <is>
          <t>일반</t>
        </is>
      </c>
      <c r="F113" s="8" t="inlineStr">
        <is>
          <t>0000059478-19-000082</t>
        </is>
      </c>
      <c r="G113" s="15" t="n">
        <v>21.2221</v>
      </c>
      <c r="H113" s="15" t="n">
        <v>3.374</v>
      </c>
      <c r="I113" s="15" t="n"/>
      <c r="J113" s="15" t="n">
        <v>0.6364</v>
      </c>
      <c r="K113" s="15" t="n"/>
      <c r="L113" s="15" t="n">
        <v>2.7376</v>
      </c>
      <c r="M113" s="15" t="n"/>
      <c r="N113" s="15" t="n">
        <v>1.4966</v>
      </c>
      <c r="O113" s="15" t="n">
        <v>1.037</v>
      </c>
      <c r="P113" s="15" t="n">
        <v>4.851</v>
      </c>
      <c r="Q113" s="15" t="n">
        <v>0.2553</v>
      </c>
      <c r="R113" s="15" t="n">
        <v>14.0077</v>
      </c>
      <c r="S113" s="15" t="n">
        <v>14.5713</v>
      </c>
      <c r="T113" s="15" t="n">
        <v>6.0386</v>
      </c>
      <c r="U113" s="15" t="n">
        <v>4.4518</v>
      </c>
      <c r="V113" s="15" t="n">
        <v>1.9374</v>
      </c>
      <c r="W113" s="15" t="n">
        <v>0.0061</v>
      </c>
      <c r="X113" s="15" t="n">
        <v>8.367800000000001</v>
      </c>
      <c r="Y113" s="15" t="n">
        <v>15.1014</v>
      </c>
      <c r="Z113" s="15" t="n">
        <v>12.5736</v>
      </c>
      <c r="AA113" s="15" t="n">
        <v>10.9866</v>
      </c>
      <c r="AB113" s="15" t="n">
        <v>8.2296</v>
      </c>
      <c r="AC113" s="15" t="n">
        <v>18.098</v>
      </c>
      <c r="AD113" s="16" t="n">
        <v>1061.825</v>
      </c>
      <c r="AE113" s="17">
        <f>IF(ISNUMBER(K113),K113,IF(AND(ISNUMBER(H113),ISNUMBER(I113)),H113+I113,IF(ISNUMBER(H113),H113,"")))</f>
        <v/>
      </c>
      <c r="AF113" s="18">
        <f>IF(OR(NOT(ISNUMBER(J113)),NOT(ISNUMBER(H113)),H113&lt;=0),기준표!$B$8,MIN(MAX(J113/H113,기준표!$B$6),기준표!$B$7))</f>
        <v/>
      </c>
      <c r="AG113" s="17">
        <f>IF(ISNUMBER(AE113),AE113*(1-AF113),"")</f>
        <v/>
      </c>
      <c r="AH113" s="17">
        <f>IF(AND(NOT(ISNUMBER(V113)),NOT(ISNUMBER(X113))),"",IF(ISNUMBER(V113),V113,0)+IF(ISNUMBER(X113),X113,0))</f>
        <v/>
      </c>
      <c r="AI113" s="17">
        <f>IF(E113="금융","",IF(AND(ISNUMBER(R113),ISNUMBER(AH113),ISNUMBER(T113)),R113+AH113-T113,""))</f>
        <v/>
      </c>
      <c r="AJ113" s="17">
        <f>IF(E113="금융","",IF(NOT(ISNUMBER(AI113)),"",IF(ISNUMBER(AC113),(AI113+AC113)/2,AI113)))</f>
        <v/>
      </c>
      <c r="AK113" s="19">
        <f>IF(AND(ISNUMBER(AG113),ISNUMBER(AJ113),AJ113&gt;0),AG113/AJ113,"")</f>
        <v/>
      </c>
      <c r="AL113" s="17">
        <f>IF(E113="금융","",IF(AND(ISNUMBER(R113),ISNUMBER(AH113)),R113+AH113,""))</f>
        <v/>
      </c>
      <c r="AM113" s="19">
        <f>IF(OR(NOT(ISNUMBER(AG113)),NOT(ISNUMBER(AL113)),AL113&lt;=0),"",IF(AND(ISNUMBER(G113),AL113&lt;0.1*G113),"",AG113/AL113))</f>
        <v/>
      </c>
      <c r="AN113" s="17">
        <f>IF(NOT(ISNUMBER(R113)),"",IF(ISNUMBER(S113),(R113+S113)/2,R113))</f>
        <v/>
      </c>
      <c r="AO113" s="19">
        <f>IF(AND(ISNUMBER(L113),ISNUMBER(AN113),AN113&gt;0),L113/AN113,"")</f>
        <v/>
      </c>
      <c r="AP113" s="19">
        <f>IF(AND(ISNUMBER(AO113),ISNUMBER({ROIC})),AO113-{ROIC},"")</f>
        <v/>
      </c>
      <c r="AQ113" s="17">
        <f>IF(AND(ISNUMBER(AE113),ISNUMBER(N113)),AE113+N113,"")</f>
        <v/>
      </c>
      <c r="AR113" s="20">
        <f>IF(AND(ISNUMBER(AH113),ISNUMBER(T113),ISNUMBER(AQ113),AQ113&gt;0),(AH113-T113)/AQ113,"")</f>
        <v/>
      </c>
      <c r="AS113" s="20">
        <f>IF(AND(ISNUMBER(AE113),ISNUMBER(I113),I113&lt;&gt;0,AE113&gt;0),AE113/I113,"")</f>
        <v/>
      </c>
      <c r="AT113" s="17">
        <f>IF(AND(ISNUMBER(Y113),ISNUMBER(AA113)),Y113-IF(ISNUMBER(T113),T113,0)-(AA113-IF(ISNUMBER(V113),V113,0)),"")</f>
        <v/>
      </c>
      <c r="AU113" s="17">
        <f>IF(AND(ISNUMBER(Z113),ISNUMBER(AB113)),Z113-IF(ISNUMBER(U113),U113,0)-(AB113-IF(ISNUMBER(W113),W113,0)),"")</f>
        <v/>
      </c>
      <c r="AV113" s="17">
        <f>IF(AND(ISNUMBER(AT113),ISNUMBER(AU113)),AT113-AU113,"")</f>
        <v/>
      </c>
      <c r="AW113" s="17">
        <f>IF(AND(ISNUMBER(L113),ISNUMBER(M113),ISNUMBER(AF113)),L113-M113*(1-AF113),IF(ISNUMBER(L113),L113,""))</f>
        <v/>
      </c>
      <c r="AX113" s="17">
        <f>IF(E113="금융","",IF(AND(ISNUMBER(AW113),ISNUMBER(N113),ISNUMBER(O113),ISNUMBER(AV113)),AW113+N113-O113-AV113,IF(AND(ISNUMBER(P113),ISNUMBER(O113)),P113-O113-IF(ISNUMBER(Q113),Q113,0),"")))</f>
        <v/>
      </c>
      <c r="AY113" s="8">
        <f>IF(E113="금융","금융업 - 정의되지 않음",IF(AND(ISNUMBER(AW113),ISNUMBER(N113),ISNUMBER(O113),ISNUMBER(AV113)),"영업순이익+감가상각-설비투자-운전자본증감",IF(AND(ISNUMBER(P113),ISNUMBER(O113)),IF(ISNUMBER(Q113),"영업현금흐름-설비투자-주식보상비용","영업현금흐름-설비투자(주식보상비용 미태깅)"),"산출불가")))</f>
        <v/>
      </c>
      <c r="AZ113" s="19">
        <f>IF(AND(ISNUMBER(AX113),ISNUMBER(G113),G113&lt;&gt;0),AX113/G113,"")</f>
        <v/>
      </c>
      <c r="BA113" s="19">
        <f>IF(AND(ISNUMBER(AE113),ISNUMBER(G113),G113&lt;&gt;0),AE113/G113,"")</f>
        <v/>
      </c>
    </row>
    <row r="114">
      <c r="A114" s="8" t="inlineStr">
        <is>
          <t>LLY</t>
        </is>
      </c>
      <c r="B114" s="8" t="inlineStr">
        <is>
          <t>ELI LILLY &amp; Co</t>
        </is>
      </c>
      <c r="C114" s="8" t="n">
        <v>2017</v>
      </c>
      <c r="D114" s="8" t="inlineStr">
        <is>
          <t>2017-12-31</t>
        </is>
      </c>
      <c r="E114" s="8" t="inlineStr">
        <is>
          <t>일반</t>
        </is>
      </c>
      <c r="F114" s="8" t="inlineStr">
        <is>
          <t>0000059478-20-000057</t>
        </is>
      </c>
      <c r="G114" s="15" t="n">
        <v>19.9738</v>
      </c>
      <c r="H114" s="15" t="n">
        <v>2.3048</v>
      </c>
      <c r="I114" s="15" t="n"/>
      <c r="J114" s="15" t="n">
        <v>2.3912</v>
      </c>
      <c r="K114" s="15" t="n"/>
      <c r="L114" s="15" t="n">
        <v>-0.2041</v>
      </c>
      <c r="M114" s="15" t="n"/>
      <c r="N114" s="15" t="n">
        <v>1.5673</v>
      </c>
      <c r="O114" s="15" t="n">
        <v>1.0768</v>
      </c>
      <c r="P114" s="15" t="n">
        <v>5.6156</v>
      </c>
      <c r="Q114" s="15" t="n">
        <v>0.2813</v>
      </c>
      <c r="R114" s="15" t="n">
        <v>11.5922</v>
      </c>
      <c r="S114" s="15" t="n">
        <v>14.0077</v>
      </c>
      <c r="T114" s="15" t="n">
        <v>8.0341</v>
      </c>
      <c r="U114" s="15" t="n">
        <v>6.0386</v>
      </c>
      <c r="V114" s="15" t="n">
        <v>3.7066</v>
      </c>
      <c r="W114" s="15" t="n">
        <v>1.9374</v>
      </c>
      <c r="X114" s="15" t="n">
        <v>9.9405</v>
      </c>
      <c r="Y114" s="15" t="n">
        <v>19.2021</v>
      </c>
      <c r="Z114" s="15" t="n">
        <v>15.1014</v>
      </c>
      <c r="AA114" s="15" t="n">
        <v>14.5359</v>
      </c>
      <c r="AB114" s="15" t="n">
        <v>10.9866</v>
      </c>
      <c r="AC114" s="15" t="n">
        <v>18.2743</v>
      </c>
      <c r="AD114" s="16" t="n">
        <v>1052.023</v>
      </c>
      <c r="AE114" s="17">
        <f>IF(ISNUMBER(K114),K114,IF(AND(ISNUMBER(H114),ISNUMBER(I114)),H114+I114,IF(ISNUMBER(H114),H114,"")))</f>
        <v/>
      </c>
      <c r="AF114" s="18">
        <f>IF(OR(NOT(ISNUMBER(J114)),NOT(ISNUMBER(H114)),H114&lt;=0),기준표!$B$8,MIN(MAX(J114/H114,기준표!$B$6),기준표!$B$7))</f>
        <v/>
      </c>
      <c r="AG114" s="17">
        <f>IF(ISNUMBER(AE114),AE114*(1-AF114),"")</f>
        <v/>
      </c>
      <c r="AH114" s="17">
        <f>IF(AND(NOT(ISNUMBER(V114)),NOT(ISNUMBER(X114))),"",IF(ISNUMBER(V114),V114,0)+IF(ISNUMBER(X114),X114,0))</f>
        <v/>
      </c>
      <c r="AI114" s="17">
        <f>IF(E114="금융","",IF(AND(ISNUMBER(R114),ISNUMBER(AH114),ISNUMBER(T114)),R114+AH114-T114,""))</f>
        <v/>
      </c>
      <c r="AJ114" s="17">
        <f>IF(E114="금융","",IF(NOT(ISNUMBER(AI114)),"",IF(ISNUMBER(AC114),(AI114+AC114)/2,AI114)))</f>
        <v/>
      </c>
      <c r="AK114" s="19">
        <f>IF(AND(ISNUMBER(AG114),ISNUMBER(AJ114),AJ114&gt;0),AG114/AJ114,"")</f>
        <v/>
      </c>
      <c r="AL114" s="17">
        <f>IF(E114="금융","",IF(AND(ISNUMBER(R114),ISNUMBER(AH114)),R114+AH114,""))</f>
        <v/>
      </c>
      <c r="AM114" s="19">
        <f>IF(OR(NOT(ISNUMBER(AG114)),NOT(ISNUMBER(AL114)),AL114&lt;=0),"",IF(AND(ISNUMBER(G114),AL114&lt;0.1*G114),"",AG114/AL114))</f>
        <v/>
      </c>
      <c r="AN114" s="17">
        <f>IF(NOT(ISNUMBER(R114)),"",IF(ISNUMBER(S114),(R114+S114)/2,R114))</f>
        <v/>
      </c>
      <c r="AO114" s="19">
        <f>IF(AND(ISNUMBER(L114),ISNUMBER(AN114),AN114&gt;0),L114/AN114,"")</f>
        <v/>
      </c>
      <c r="AP114" s="19">
        <f>IF(AND(ISNUMBER(AO114),ISNUMBER({ROIC})),AO114-{ROIC},"")</f>
        <v/>
      </c>
      <c r="AQ114" s="17">
        <f>IF(AND(ISNUMBER(AE114),ISNUMBER(N114)),AE114+N114,"")</f>
        <v/>
      </c>
      <c r="AR114" s="20">
        <f>IF(AND(ISNUMBER(AH114),ISNUMBER(T114),ISNUMBER(AQ114),AQ114&gt;0),(AH114-T114)/AQ114,"")</f>
        <v/>
      </c>
      <c r="AS114" s="20">
        <f>IF(AND(ISNUMBER(AE114),ISNUMBER(I114),I114&lt;&gt;0,AE114&gt;0),AE114/I114,"")</f>
        <v/>
      </c>
      <c r="AT114" s="17">
        <f>IF(AND(ISNUMBER(Y114),ISNUMBER(AA114)),Y114-IF(ISNUMBER(T114),T114,0)-(AA114-IF(ISNUMBER(V114),V114,0)),"")</f>
        <v/>
      </c>
      <c r="AU114" s="17">
        <f>IF(AND(ISNUMBER(Z114),ISNUMBER(AB114)),Z114-IF(ISNUMBER(U114),U114,0)-(AB114-IF(ISNUMBER(W114),W114,0)),"")</f>
        <v/>
      </c>
      <c r="AV114" s="17">
        <f>IF(AND(ISNUMBER(AT114),ISNUMBER(AU114)),AT114-AU114,"")</f>
        <v/>
      </c>
      <c r="AW114" s="17">
        <f>IF(AND(ISNUMBER(L114),ISNUMBER(M114),ISNUMBER(AF114)),L114-M114*(1-AF114),IF(ISNUMBER(L114),L114,""))</f>
        <v/>
      </c>
      <c r="AX114" s="17">
        <f>IF(E114="금융","",IF(AND(ISNUMBER(AW114),ISNUMBER(N114),ISNUMBER(O114),ISNUMBER(AV114)),AW114+N114-O114-AV114,IF(AND(ISNUMBER(P114),ISNUMBER(O114)),P114-O114-IF(ISNUMBER(Q114),Q114,0),"")))</f>
        <v/>
      </c>
      <c r="AY114" s="8">
        <f>IF(E114="금융","금융업 - 정의되지 않음",IF(AND(ISNUMBER(AW114),ISNUMBER(N114),ISNUMBER(O114),ISNUMBER(AV114)),"영업순이익+감가상각-설비투자-운전자본증감",IF(AND(ISNUMBER(P114),ISNUMBER(O114)),IF(ISNUMBER(Q114),"영업현금흐름-설비투자-주식보상비용","영업현금흐름-설비투자(주식보상비용 미태깅)"),"산출불가")))</f>
        <v/>
      </c>
      <c r="AZ114" s="19">
        <f>IF(AND(ISNUMBER(AX114),ISNUMBER(G114),G114&lt;&gt;0),AX114/G114,"")</f>
        <v/>
      </c>
      <c r="BA114" s="19">
        <f>IF(AND(ISNUMBER(AE114),ISNUMBER(G114),G114&lt;&gt;0),AE114/G114,"")</f>
        <v/>
      </c>
    </row>
    <row r="115">
      <c r="A115" s="8" t="inlineStr">
        <is>
          <t>LLY</t>
        </is>
      </c>
      <c r="B115" s="8" t="inlineStr">
        <is>
          <t>ELI LILLY &amp; Co</t>
        </is>
      </c>
      <c r="C115" s="8" t="n">
        <v>2018</v>
      </c>
      <c r="D115" s="8" t="inlineStr">
        <is>
          <t>2018-12-31</t>
        </is>
      </c>
      <c r="E115" s="8" t="inlineStr">
        <is>
          <t>일반</t>
        </is>
      </c>
      <c r="F115" s="8" t="inlineStr">
        <is>
          <t>0000059478-21-000083</t>
        </is>
      </c>
      <c r="G115" s="15" t="n">
        <v>21.4933</v>
      </c>
      <c r="H115" s="15" t="n">
        <v>3.6801</v>
      </c>
      <c r="I115" s="15" t="n"/>
      <c r="J115" s="15" t="n">
        <v>0.5295</v>
      </c>
      <c r="K115" s="15" t="n"/>
      <c r="L115" s="15" t="n">
        <v>3.232</v>
      </c>
      <c r="M115" s="15" t="n">
        <v>-0.0726</v>
      </c>
      <c r="N115" s="15" t="n">
        <v>1.609</v>
      </c>
      <c r="O115" s="15" t="n">
        <v>1.2106</v>
      </c>
      <c r="P115" s="15" t="n">
        <v>5.5245</v>
      </c>
      <c r="Q115" s="15" t="n">
        <v>0.2795</v>
      </c>
      <c r="R115" s="15" t="n">
        <v>9.8287</v>
      </c>
      <c r="S115" s="15" t="n">
        <v>11.5922</v>
      </c>
      <c r="T115" s="15" t="n">
        <v>7.4089</v>
      </c>
      <c r="U115" s="15" t="n">
        <v>8.0341</v>
      </c>
      <c r="V115" s="15" t="n">
        <v>1.1022</v>
      </c>
      <c r="W115" s="15" t="n">
        <v>3.7066</v>
      </c>
      <c r="X115" s="15" t="n">
        <v>9.196400000000001</v>
      </c>
      <c r="Y115" s="15" t="n">
        <v>20.5496</v>
      </c>
      <c r="Z115" s="15" t="n">
        <v>19.2021</v>
      </c>
      <c r="AA115" s="15" t="n">
        <v>11.8881</v>
      </c>
      <c r="AB115" s="15" t="n">
        <v>14.5359</v>
      </c>
      <c r="AC115" s="15" t="n">
        <v>17.2052</v>
      </c>
      <c r="AD115" s="16" t="n">
        <v>1033.667</v>
      </c>
      <c r="AE115" s="17">
        <f>IF(ISNUMBER(K115),K115,IF(AND(ISNUMBER(H115),ISNUMBER(I115)),H115+I115,IF(ISNUMBER(H115),H115,"")))</f>
        <v/>
      </c>
      <c r="AF115" s="18">
        <f>IF(OR(NOT(ISNUMBER(J115)),NOT(ISNUMBER(H115)),H115&lt;=0),기준표!$B$8,MIN(MAX(J115/H115,기준표!$B$6),기준표!$B$7))</f>
        <v/>
      </c>
      <c r="AG115" s="17">
        <f>IF(ISNUMBER(AE115),AE115*(1-AF115),"")</f>
        <v/>
      </c>
      <c r="AH115" s="17">
        <f>IF(AND(NOT(ISNUMBER(V115)),NOT(ISNUMBER(X115))),"",IF(ISNUMBER(V115),V115,0)+IF(ISNUMBER(X115),X115,0))</f>
        <v/>
      </c>
      <c r="AI115" s="17">
        <f>IF(E115="금융","",IF(AND(ISNUMBER(R115),ISNUMBER(AH115),ISNUMBER(T115)),R115+AH115-T115,""))</f>
        <v/>
      </c>
      <c r="AJ115" s="17">
        <f>IF(E115="금융","",IF(NOT(ISNUMBER(AI115)),"",IF(ISNUMBER(AC115),(AI115+AC115)/2,AI115)))</f>
        <v/>
      </c>
      <c r="AK115" s="19">
        <f>IF(AND(ISNUMBER(AG115),ISNUMBER(AJ115),AJ115&gt;0),AG115/AJ115,"")</f>
        <v/>
      </c>
      <c r="AL115" s="17">
        <f>IF(E115="금융","",IF(AND(ISNUMBER(R115),ISNUMBER(AH115)),R115+AH115,""))</f>
        <v/>
      </c>
      <c r="AM115" s="19">
        <f>IF(OR(NOT(ISNUMBER(AG115)),NOT(ISNUMBER(AL115)),AL115&lt;=0),"",IF(AND(ISNUMBER(G115),AL115&lt;0.1*G115),"",AG115/AL115))</f>
        <v/>
      </c>
      <c r="AN115" s="17">
        <f>IF(NOT(ISNUMBER(R115)),"",IF(ISNUMBER(S115),(R115+S115)/2,R115))</f>
        <v/>
      </c>
      <c r="AO115" s="19">
        <f>IF(AND(ISNUMBER(L115),ISNUMBER(AN115),AN115&gt;0),L115/AN115,"")</f>
        <v/>
      </c>
      <c r="AP115" s="19">
        <f>IF(AND(ISNUMBER(AO115),ISNUMBER({ROIC})),AO115-{ROIC},"")</f>
        <v/>
      </c>
      <c r="AQ115" s="17">
        <f>IF(AND(ISNUMBER(AE115),ISNUMBER(N115)),AE115+N115,"")</f>
        <v/>
      </c>
      <c r="AR115" s="20">
        <f>IF(AND(ISNUMBER(AH115),ISNUMBER(T115),ISNUMBER(AQ115),AQ115&gt;0),(AH115-T115)/AQ115,"")</f>
        <v/>
      </c>
      <c r="AS115" s="20">
        <f>IF(AND(ISNUMBER(AE115),ISNUMBER(I115),I115&lt;&gt;0,AE115&gt;0),AE115/I115,"")</f>
        <v/>
      </c>
      <c r="AT115" s="17">
        <f>IF(AND(ISNUMBER(Y115),ISNUMBER(AA115)),Y115-IF(ISNUMBER(T115),T115,0)-(AA115-IF(ISNUMBER(V115),V115,0)),"")</f>
        <v/>
      </c>
      <c r="AU115" s="17">
        <f>IF(AND(ISNUMBER(Z115),ISNUMBER(AB115)),Z115-IF(ISNUMBER(U115),U115,0)-(AB115-IF(ISNUMBER(W115),W115,0)),"")</f>
        <v/>
      </c>
      <c r="AV115" s="17">
        <f>IF(AND(ISNUMBER(AT115),ISNUMBER(AU115)),AT115-AU115,"")</f>
        <v/>
      </c>
      <c r="AW115" s="17">
        <f>IF(AND(ISNUMBER(L115),ISNUMBER(M115),ISNUMBER(AF115)),L115-M115*(1-AF115),IF(ISNUMBER(L115),L115,""))</f>
        <v/>
      </c>
      <c r="AX115" s="17">
        <f>IF(E115="금융","",IF(AND(ISNUMBER(AW115),ISNUMBER(N115),ISNUMBER(O115),ISNUMBER(AV115)),AW115+N115-O115-AV115,IF(AND(ISNUMBER(P115),ISNUMBER(O115)),P115-O115-IF(ISNUMBER(Q115),Q115,0),"")))</f>
        <v/>
      </c>
      <c r="AY115" s="8">
        <f>IF(E115="금융","금융업 - 정의되지 않음",IF(AND(ISNUMBER(AW115),ISNUMBER(N115),ISNUMBER(O115),ISNUMBER(AV115)),"영업순이익+감가상각-설비투자-운전자본증감",IF(AND(ISNUMBER(P115),ISNUMBER(O115)),IF(ISNUMBER(Q115),"영업현금흐름-설비투자-주식보상비용","영업현금흐름-설비투자(주식보상비용 미태깅)"),"산출불가")))</f>
        <v/>
      </c>
      <c r="AZ115" s="19">
        <f>IF(AND(ISNUMBER(AX115),ISNUMBER(G115),G115&lt;&gt;0),AX115/G115,"")</f>
        <v/>
      </c>
      <c r="BA115" s="19">
        <f>IF(AND(ISNUMBER(AE115),ISNUMBER(G115),G115&lt;&gt;0),AE115/G115,"")</f>
        <v/>
      </c>
    </row>
    <row r="116">
      <c r="A116" s="8" t="inlineStr">
        <is>
          <t>LLY</t>
        </is>
      </c>
      <c r="B116" s="8" t="inlineStr">
        <is>
          <t>ELI LILLY &amp; Co</t>
        </is>
      </c>
      <c r="C116" s="8" t="n">
        <v>2019</v>
      </c>
      <c r="D116" s="8" t="inlineStr">
        <is>
          <t>2019-12-31</t>
        </is>
      </c>
      <c r="E116" s="8" t="inlineStr">
        <is>
          <t>일반</t>
        </is>
      </c>
      <c r="F116" s="8" t="inlineStr">
        <is>
          <t>0000059478-22-000068</t>
        </is>
      </c>
      <c r="G116" s="15" t="n">
        <v>22.3195</v>
      </c>
      <c r="H116" s="15" t="n">
        <v>5.2659</v>
      </c>
      <c r="I116" s="15" t="n"/>
      <c r="J116" s="15" t="n">
        <v>0.628</v>
      </c>
      <c r="K116" s="15" t="n"/>
      <c r="L116" s="15" t="n">
        <v>8.3184</v>
      </c>
      <c r="M116" s="15" t="n">
        <v>0.4012</v>
      </c>
      <c r="N116" s="15" t="n">
        <v>1.2326</v>
      </c>
      <c r="O116" s="15" t="n">
        <v>1.0339</v>
      </c>
      <c r="P116" s="15" t="n">
        <v>4.8366</v>
      </c>
      <c r="Q116" s="15" t="n">
        <v>0.3124</v>
      </c>
      <c r="R116" s="15" t="n">
        <v>2.6069</v>
      </c>
      <c r="S116" s="15" t="n">
        <v>9.8287</v>
      </c>
      <c r="T116" s="15" t="n">
        <v>2.4385</v>
      </c>
      <c r="U116" s="15" t="n">
        <v>7.4089</v>
      </c>
      <c r="V116" s="15" t="n">
        <v>1.4993</v>
      </c>
      <c r="W116" s="15" t="n">
        <v>1.1022</v>
      </c>
      <c r="X116" s="15" t="n">
        <v>13.8179</v>
      </c>
      <c r="Y116" s="15" t="n">
        <v>13.7096</v>
      </c>
      <c r="Z116" s="15" t="n">
        <v>20.5496</v>
      </c>
      <c r="AA116" s="15" t="n">
        <v>11.7752</v>
      </c>
      <c r="AB116" s="15" t="n">
        <v>11.8881</v>
      </c>
      <c r="AC116" s="15" t="n">
        <v>12.7184</v>
      </c>
      <c r="AD116" s="16" t="n">
        <v>935.684</v>
      </c>
      <c r="AE116" s="17">
        <f>IF(ISNUMBER(K116),K116,IF(AND(ISNUMBER(H116),ISNUMBER(I116)),H116+I116,IF(ISNUMBER(H116),H116,"")))</f>
        <v/>
      </c>
      <c r="AF116" s="18">
        <f>IF(OR(NOT(ISNUMBER(J116)),NOT(ISNUMBER(H116)),H116&lt;=0),기준표!$B$8,MIN(MAX(J116/H116,기준표!$B$6),기준표!$B$7))</f>
        <v/>
      </c>
      <c r="AG116" s="17">
        <f>IF(ISNUMBER(AE116),AE116*(1-AF116),"")</f>
        <v/>
      </c>
      <c r="AH116" s="17">
        <f>IF(AND(NOT(ISNUMBER(V116)),NOT(ISNUMBER(X116))),"",IF(ISNUMBER(V116),V116,0)+IF(ISNUMBER(X116),X116,0))</f>
        <v/>
      </c>
      <c r="AI116" s="17">
        <f>IF(E116="금융","",IF(AND(ISNUMBER(R116),ISNUMBER(AH116),ISNUMBER(T116)),R116+AH116-T116,""))</f>
        <v/>
      </c>
      <c r="AJ116" s="17">
        <f>IF(E116="금융","",IF(NOT(ISNUMBER(AI116)),"",IF(ISNUMBER(AC116),(AI116+AC116)/2,AI116)))</f>
        <v/>
      </c>
      <c r="AK116" s="19">
        <f>IF(AND(ISNUMBER(AG116),ISNUMBER(AJ116),AJ116&gt;0),AG116/AJ116,"")</f>
        <v/>
      </c>
      <c r="AL116" s="17">
        <f>IF(E116="금융","",IF(AND(ISNUMBER(R116),ISNUMBER(AH116)),R116+AH116,""))</f>
        <v/>
      </c>
      <c r="AM116" s="19">
        <f>IF(OR(NOT(ISNUMBER(AG116)),NOT(ISNUMBER(AL116)),AL116&lt;=0),"",IF(AND(ISNUMBER(G116),AL116&lt;0.1*G116),"",AG116/AL116))</f>
        <v/>
      </c>
      <c r="AN116" s="17">
        <f>IF(NOT(ISNUMBER(R116)),"",IF(ISNUMBER(S116),(R116+S116)/2,R116))</f>
        <v/>
      </c>
      <c r="AO116" s="19">
        <f>IF(AND(ISNUMBER(L116),ISNUMBER(AN116),AN116&gt;0),L116/AN116,"")</f>
        <v/>
      </c>
      <c r="AP116" s="19">
        <f>IF(AND(ISNUMBER(AO116),ISNUMBER({ROIC})),AO116-{ROIC},"")</f>
        <v/>
      </c>
      <c r="AQ116" s="17">
        <f>IF(AND(ISNUMBER(AE116),ISNUMBER(N116)),AE116+N116,"")</f>
        <v/>
      </c>
      <c r="AR116" s="20">
        <f>IF(AND(ISNUMBER(AH116),ISNUMBER(T116),ISNUMBER(AQ116),AQ116&gt;0),(AH116-T116)/AQ116,"")</f>
        <v/>
      </c>
      <c r="AS116" s="20">
        <f>IF(AND(ISNUMBER(AE116),ISNUMBER(I116),I116&lt;&gt;0,AE116&gt;0),AE116/I116,"")</f>
        <v/>
      </c>
      <c r="AT116" s="17">
        <f>IF(AND(ISNUMBER(Y116),ISNUMBER(AA116)),Y116-IF(ISNUMBER(T116),T116,0)-(AA116-IF(ISNUMBER(V116),V116,0)),"")</f>
        <v/>
      </c>
      <c r="AU116" s="17">
        <f>IF(AND(ISNUMBER(Z116),ISNUMBER(AB116)),Z116-IF(ISNUMBER(U116),U116,0)-(AB116-IF(ISNUMBER(W116),W116,0)),"")</f>
        <v/>
      </c>
      <c r="AV116" s="17">
        <f>IF(AND(ISNUMBER(AT116),ISNUMBER(AU116)),AT116-AU116,"")</f>
        <v/>
      </c>
      <c r="AW116" s="17">
        <f>IF(AND(ISNUMBER(L116),ISNUMBER(M116),ISNUMBER(AF116)),L116-M116*(1-AF116),IF(ISNUMBER(L116),L116,""))</f>
        <v/>
      </c>
      <c r="AX116" s="17">
        <f>IF(E116="금융","",IF(AND(ISNUMBER(AW116),ISNUMBER(N116),ISNUMBER(O116),ISNUMBER(AV116)),AW116+N116-O116-AV116,IF(AND(ISNUMBER(P116),ISNUMBER(O116)),P116-O116-IF(ISNUMBER(Q116),Q116,0),"")))</f>
        <v/>
      </c>
      <c r="AY116" s="8">
        <f>IF(E116="금융","금융업 - 정의되지 않음",IF(AND(ISNUMBER(AW116),ISNUMBER(N116),ISNUMBER(O116),ISNUMBER(AV116)),"영업순이익+감가상각-설비투자-운전자본증감",IF(AND(ISNUMBER(P116),ISNUMBER(O116)),IF(ISNUMBER(Q116),"영업현금흐름-설비투자-주식보상비용","영업현금흐름-설비투자(주식보상비용 미태깅)"),"산출불가")))</f>
        <v/>
      </c>
      <c r="AZ116" s="19">
        <f>IF(AND(ISNUMBER(AX116),ISNUMBER(G116),G116&lt;&gt;0),AX116/G116,"")</f>
        <v/>
      </c>
      <c r="BA116" s="19">
        <f>IF(AND(ISNUMBER(AE116),ISNUMBER(G116),G116&lt;&gt;0),AE116/G116,"")</f>
        <v/>
      </c>
    </row>
    <row r="117">
      <c r="A117" s="8" t="inlineStr">
        <is>
          <t>LLY</t>
        </is>
      </c>
      <c r="B117" s="8" t="inlineStr">
        <is>
          <t>ELI LILLY &amp; Co</t>
        </is>
      </c>
      <c r="C117" s="8" t="n">
        <v>2020</v>
      </c>
      <c r="D117" s="8" t="inlineStr">
        <is>
          <t>2020-12-31</t>
        </is>
      </c>
      <c r="E117" s="8" t="inlineStr">
        <is>
          <t>일반</t>
        </is>
      </c>
      <c r="F117" s="8" t="inlineStr">
        <is>
          <t>0000059478-23-000082</t>
        </is>
      </c>
      <c r="G117" s="15" t="n">
        <v>24.5398</v>
      </c>
      <c r="H117" s="15" t="n">
        <v>7.2299</v>
      </c>
      <c r="I117" s="15" t="n"/>
      <c r="J117" s="15" t="n">
        <v>1.0362</v>
      </c>
      <c r="K117" s="15" t="n"/>
      <c r="L117" s="15" t="n">
        <v>6.1937</v>
      </c>
      <c r="M117" s="15" t="n">
        <v>1.4422</v>
      </c>
      <c r="N117" s="15" t="n">
        <v>1.3239</v>
      </c>
      <c r="O117" s="15" t="n">
        <v>1.3879</v>
      </c>
      <c r="P117" s="15" t="n">
        <v>6.4996</v>
      </c>
      <c r="Q117" s="15" t="n">
        <v>0.3081</v>
      </c>
      <c r="R117" s="15" t="n">
        <v>5.6416</v>
      </c>
      <c r="S117" s="15" t="n">
        <v>2.6069</v>
      </c>
      <c r="T117" s="15" t="n">
        <v>3.6813</v>
      </c>
      <c r="U117" s="15" t="n">
        <v>2.4385</v>
      </c>
      <c r="V117" s="15" t="n">
        <v>0.008699999999999999</v>
      </c>
      <c r="W117" s="15" t="n">
        <v>1.4993</v>
      </c>
      <c r="X117" s="15" t="n">
        <v>16.5866</v>
      </c>
      <c r="Y117" s="15" t="n">
        <v>17.4621</v>
      </c>
      <c r="Z117" s="15" t="n">
        <v>13.7096</v>
      </c>
      <c r="AA117" s="15" t="n">
        <v>12.4816</v>
      </c>
      <c r="AB117" s="15" t="n">
        <v>11.7752</v>
      </c>
      <c r="AC117" s="15" t="n">
        <v>15.4856</v>
      </c>
      <c r="AD117" s="16" t="n">
        <v>912.505</v>
      </c>
      <c r="AE117" s="17">
        <f>IF(ISNUMBER(K117),K117,IF(AND(ISNUMBER(H117),ISNUMBER(I117)),H117+I117,IF(ISNUMBER(H117),H117,"")))</f>
        <v/>
      </c>
      <c r="AF117" s="18">
        <f>IF(OR(NOT(ISNUMBER(J117)),NOT(ISNUMBER(H117)),H117&lt;=0),기준표!$B$8,MIN(MAX(J117/H117,기준표!$B$6),기준표!$B$7))</f>
        <v/>
      </c>
      <c r="AG117" s="17">
        <f>IF(ISNUMBER(AE117),AE117*(1-AF117),"")</f>
        <v/>
      </c>
      <c r="AH117" s="17">
        <f>IF(AND(NOT(ISNUMBER(V117)),NOT(ISNUMBER(X117))),"",IF(ISNUMBER(V117),V117,0)+IF(ISNUMBER(X117),X117,0))</f>
        <v/>
      </c>
      <c r="AI117" s="17">
        <f>IF(E117="금융","",IF(AND(ISNUMBER(R117),ISNUMBER(AH117),ISNUMBER(T117)),R117+AH117-T117,""))</f>
        <v/>
      </c>
      <c r="AJ117" s="17">
        <f>IF(E117="금융","",IF(NOT(ISNUMBER(AI117)),"",IF(ISNUMBER(AC117),(AI117+AC117)/2,AI117)))</f>
        <v/>
      </c>
      <c r="AK117" s="19">
        <f>IF(AND(ISNUMBER(AG117),ISNUMBER(AJ117),AJ117&gt;0),AG117/AJ117,"")</f>
        <v/>
      </c>
      <c r="AL117" s="17">
        <f>IF(E117="금융","",IF(AND(ISNUMBER(R117),ISNUMBER(AH117)),R117+AH117,""))</f>
        <v/>
      </c>
      <c r="AM117" s="19">
        <f>IF(OR(NOT(ISNUMBER(AG117)),NOT(ISNUMBER(AL117)),AL117&lt;=0),"",IF(AND(ISNUMBER(G117),AL117&lt;0.1*G117),"",AG117/AL117))</f>
        <v/>
      </c>
      <c r="AN117" s="17">
        <f>IF(NOT(ISNUMBER(R117)),"",IF(ISNUMBER(S117),(R117+S117)/2,R117))</f>
        <v/>
      </c>
      <c r="AO117" s="19">
        <f>IF(AND(ISNUMBER(L117),ISNUMBER(AN117),AN117&gt;0),L117/AN117,"")</f>
        <v/>
      </c>
      <c r="AP117" s="19">
        <f>IF(AND(ISNUMBER(AO117),ISNUMBER({ROIC})),AO117-{ROIC},"")</f>
        <v/>
      </c>
      <c r="AQ117" s="17">
        <f>IF(AND(ISNUMBER(AE117),ISNUMBER(N117)),AE117+N117,"")</f>
        <v/>
      </c>
      <c r="AR117" s="20">
        <f>IF(AND(ISNUMBER(AH117),ISNUMBER(T117),ISNUMBER(AQ117),AQ117&gt;0),(AH117-T117)/AQ117,"")</f>
        <v/>
      </c>
      <c r="AS117" s="20">
        <f>IF(AND(ISNUMBER(AE117),ISNUMBER(I117),I117&lt;&gt;0,AE117&gt;0),AE117/I117,"")</f>
        <v/>
      </c>
      <c r="AT117" s="17">
        <f>IF(AND(ISNUMBER(Y117),ISNUMBER(AA117)),Y117-IF(ISNUMBER(T117),T117,0)-(AA117-IF(ISNUMBER(V117),V117,0)),"")</f>
        <v/>
      </c>
      <c r="AU117" s="17">
        <f>IF(AND(ISNUMBER(Z117),ISNUMBER(AB117)),Z117-IF(ISNUMBER(U117),U117,0)-(AB117-IF(ISNUMBER(W117),W117,0)),"")</f>
        <v/>
      </c>
      <c r="AV117" s="17">
        <f>IF(AND(ISNUMBER(AT117),ISNUMBER(AU117)),AT117-AU117,"")</f>
        <v/>
      </c>
      <c r="AW117" s="17">
        <f>IF(AND(ISNUMBER(L117),ISNUMBER(M117),ISNUMBER(AF117)),L117-M117*(1-AF117),IF(ISNUMBER(L117),L117,""))</f>
        <v/>
      </c>
      <c r="AX117" s="17">
        <f>IF(E117="금융","",IF(AND(ISNUMBER(AW117),ISNUMBER(N117),ISNUMBER(O117),ISNUMBER(AV117)),AW117+N117-O117-AV117,IF(AND(ISNUMBER(P117),ISNUMBER(O117)),P117-O117-IF(ISNUMBER(Q117),Q117,0),"")))</f>
        <v/>
      </c>
      <c r="AY117" s="8">
        <f>IF(E117="금융","금융업 - 정의되지 않음",IF(AND(ISNUMBER(AW117),ISNUMBER(N117),ISNUMBER(O117),ISNUMBER(AV117)),"영업순이익+감가상각-설비투자-운전자본증감",IF(AND(ISNUMBER(P117),ISNUMBER(O117)),IF(ISNUMBER(Q117),"영업현금흐름-설비투자-주식보상비용","영업현금흐름-설비투자(주식보상비용 미태깅)"),"산출불가")))</f>
        <v/>
      </c>
      <c r="AZ117" s="19">
        <f>IF(AND(ISNUMBER(AX117),ISNUMBER(G117),G117&lt;&gt;0),AX117/G117,"")</f>
        <v/>
      </c>
      <c r="BA117" s="19">
        <f>IF(AND(ISNUMBER(AE117),ISNUMBER(G117),G117&lt;&gt;0),AE117/G117,"")</f>
        <v/>
      </c>
    </row>
    <row r="118">
      <c r="A118" s="8" t="inlineStr">
        <is>
          <t>LLY</t>
        </is>
      </c>
      <c r="B118" s="8" t="inlineStr">
        <is>
          <t>ELI LILLY &amp; Co</t>
        </is>
      </c>
      <c r="C118" s="8" t="n">
        <v>2021</v>
      </c>
      <c r="D118" s="8" t="inlineStr">
        <is>
          <t>2021-12-31</t>
        </is>
      </c>
      <c r="E118" s="8" t="inlineStr">
        <is>
          <t>일반</t>
        </is>
      </c>
      <c r="F118" s="8" t="inlineStr">
        <is>
          <t>0000059478-24-000065</t>
        </is>
      </c>
      <c r="G118" s="15" t="n">
        <v>28.3184</v>
      </c>
      <c r="H118" s="15" t="n">
        <v>6.1555</v>
      </c>
      <c r="I118" s="15" t="n"/>
      <c r="J118" s="15" t="n">
        <v>0.5738</v>
      </c>
      <c r="K118" s="15" t="n"/>
      <c r="L118" s="15" t="n">
        <v>5.5817</v>
      </c>
      <c r="M118" s="15" t="n">
        <v>0.1769</v>
      </c>
      <c r="N118" s="15" t="n">
        <v>1.5476</v>
      </c>
      <c r="O118" s="15" t="n">
        <v>1.3098</v>
      </c>
      <c r="P118" s="15" t="n">
        <v>7.3659</v>
      </c>
      <c r="Q118" s="15" t="n">
        <v>0.3428</v>
      </c>
      <c r="R118" s="15" t="n">
        <v>8.979200000000001</v>
      </c>
      <c r="S118" s="15" t="n">
        <v>5.6416</v>
      </c>
      <c r="T118" s="15" t="n">
        <v>3.9086</v>
      </c>
      <c r="U118" s="15" t="n">
        <v>3.6813</v>
      </c>
      <c r="V118" s="15" t="n">
        <v>1.5383</v>
      </c>
      <c r="W118" s="15" t="n">
        <v>0.008699999999999999</v>
      </c>
      <c r="X118" s="15" t="n">
        <v>15.3464</v>
      </c>
      <c r="Y118" s="15" t="n">
        <v>18.4524</v>
      </c>
      <c r="Z118" s="15" t="n">
        <v>17.4621</v>
      </c>
      <c r="AA118" s="15" t="n">
        <v>15.0527</v>
      </c>
      <c r="AB118" s="15" t="n">
        <v>12.4816</v>
      </c>
      <c r="AC118" s="15" t="n">
        <v>18.5556</v>
      </c>
      <c r="AD118" s="16" t="n">
        <v>911.681</v>
      </c>
      <c r="AE118" s="17">
        <f>IF(ISNUMBER(K118),K118,IF(AND(ISNUMBER(H118),ISNUMBER(I118)),H118+I118,IF(ISNUMBER(H118),H118,"")))</f>
        <v/>
      </c>
      <c r="AF118" s="18">
        <f>IF(OR(NOT(ISNUMBER(J118)),NOT(ISNUMBER(H118)),H118&lt;=0),기준표!$B$8,MIN(MAX(J118/H118,기준표!$B$6),기준표!$B$7))</f>
        <v/>
      </c>
      <c r="AG118" s="17">
        <f>IF(ISNUMBER(AE118),AE118*(1-AF118),"")</f>
        <v/>
      </c>
      <c r="AH118" s="17">
        <f>IF(AND(NOT(ISNUMBER(V118)),NOT(ISNUMBER(X118))),"",IF(ISNUMBER(V118),V118,0)+IF(ISNUMBER(X118),X118,0))</f>
        <v/>
      </c>
      <c r="AI118" s="17">
        <f>IF(E118="금융","",IF(AND(ISNUMBER(R118),ISNUMBER(AH118),ISNUMBER(T118)),R118+AH118-T118,""))</f>
        <v/>
      </c>
      <c r="AJ118" s="17">
        <f>IF(E118="금융","",IF(NOT(ISNUMBER(AI118)),"",IF(ISNUMBER(AC118),(AI118+AC118)/2,AI118)))</f>
        <v/>
      </c>
      <c r="AK118" s="19">
        <f>IF(AND(ISNUMBER(AG118),ISNUMBER(AJ118),AJ118&gt;0),AG118/AJ118,"")</f>
        <v/>
      </c>
      <c r="AL118" s="17">
        <f>IF(E118="금융","",IF(AND(ISNUMBER(R118),ISNUMBER(AH118)),R118+AH118,""))</f>
        <v/>
      </c>
      <c r="AM118" s="19">
        <f>IF(OR(NOT(ISNUMBER(AG118)),NOT(ISNUMBER(AL118)),AL118&lt;=0),"",IF(AND(ISNUMBER(G118),AL118&lt;0.1*G118),"",AG118/AL118))</f>
        <v/>
      </c>
      <c r="AN118" s="17">
        <f>IF(NOT(ISNUMBER(R118)),"",IF(ISNUMBER(S118),(R118+S118)/2,R118))</f>
        <v/>
      </c>
      <c r="AO118" s="19">
        <f>IF(AND(ISNUMBER(L118),ISNUMBER(AN118),AN118&gt;0),L118/AN118,"")</f>
        <v/>
      </c>
      <c r="AP118" s="19">
        <f>IF(AND(ISNUMBER(AO118),ISNUMBER({ROIC})),AO118-{ROIC},"")</f>
        <v/>
      </c>
      <c r="AQ118" s="17">
        <f>IF(AND(ISNUMBER(AE118),ISNUMBER(N118)),AE118+N118,"")</f>
        <v/>
      </c>
      <c r="AR118" s="20">
        <f>IF(AND(ISNUMBER(AH118),ISNUMBER(T118),ISNUMBER(AQ118),AQ118&gt;0),(AH118-T118)/AQ118,"")</f>
        <v/>
      </c>
      <c r="AS118" s="20">
        <f>IF(AND(ISNUMBER(AE118),ISNUMBER(I118),I118&lt;&gt;0,AE118&gt;0),AE118/I118,"")</f>
        <v/>
      </c>
      <c r="AT118" s="17">
        <f>IF(AND(ISNUMBER(Y118),ISNUMBER(AA118)),Y118-IF(ISNUMBER(T118),T118,0)-(AA118-IF(ISNUMBER(V118),V118,0)),"")</f>
        <v/>
      </c>
      <c r="AU118" s="17">
        <f>IF(AND(ISNUMBER(Z118),ISNUMBER(AB118)),Z118-IF(ISNUMBER(U118),U118,0)-(AB118-IF(ISNUMBER(W118),W118,0)),"")</f>
        <v/>
      </c>
      <c r="AV118" s="17">
        <f>IF(AND(ISNUMBER(AT118),ISNUMBER(AU118)),AT118-AU118,"")</f>
        <v/>
      </c>
      <c r="AW118" s="17">
        <f>IF(AND(ISNUMBER(L118),ISNUMBER(M118),ISNUMBER(AF118)),L118-M118*(1-AF118),IF(ISNUMBER(L118),L118,""))</f>
        <v/>
      </c>
      <c r="AX118" s="17">
        <f>IF(E118="금융","",IF(AND(ISNUMBER(AW118),ISNUMBER(N118),ISNUMBER(O118),ISNUMBER(AV118)),AW118+N118-O118-AV118,IF(AND(ISNUMBER(P118),ISNUMBER(O118)),P118-O118-IF(ISNUMBER(Q118),Q118,0),"")))</f>
        <v/>
      </c>
      <c r="AY118" s="8">
        <f>IF(E118="금융","금융업 - 정의되지 않음",IF(AND(ISNUMBER(AW118),ISNUMBER(N118),ISNUMBER(O118),ISNUMBER(AV118)),"영업순이익+감가상각-설비투자-운전자본증감",IF(AND(ISNUMBER(P118),ISNUMBER(O118)),IF(ISNUMBER(Q118),"영업현금흐름-설비투자-주식보상비용","영업현금흐름-설비투자(주식보상비용 미태깅)"),"산출불가")))</f>
        <v/>
      </c>
      <c r="AZ118" s="19">
        <f>IF(AND(ISNUMBER(AX118),ISNUMBER(G118),G118&lt;&gt;0),AX118/G118,"")</f>
        <v/>
      </c>
      <c r="BA118" s="19">
        <f>IF(AND(ISNUMBER(AE118),ISNUMBER(G118),G118&lt;&gt;0),AE118/G118,"")</f>
        <v/>
      </c>
    </row>
    <row r="119">
      <c r="A119" s="8" t="inlineStr">
        <is>
          <t>LLY</t>
        </is>
      </c>
      <c r="B119" s="8" t="inlineStr">
        <is>
          <t>ELI LILLY &amp; Co</t>
        </is>
      </c>
      <c r="C119" s="8" t="n">
        <v>2022</v>
      </c>
      <c r="D119" s="8" t="inlineStr">
        <is>
          <t>2022-12-31</t>
        </is>
      </c>
      <c r="E119" s="8" t="inlineStr">
        <is>
          <t>일반</t>
        </is>
      </c>
      <c r="F119" s="8" t="inlineStr">
        <is>
          <t>0000059478-25-000067</t>
        </is>
      </c>
      <c r="G119" s="15" t="n">
        <v>28.5414</v>
      </c>
      <c r="H119" s="15" t="n">
        <v>6.8064</v>
      </c>
      <c r="I119" s="15" t="n">
        <v>0.3316</v>
      </c>
      <c r="J119" s="15" t="n">
        <v>0.5616</v>
      </c>
      <c r="K119" s="15" t="n"/>
      <c r="L119" s="15" t="n">
        <v>6.2448</v>
      </c>
      <c r="M119" s="15" t="n">
        <v>-0.4107</v>
      </c>
      <c r="N119" s="15" t="n">
        <v>1.5225</v>
      </c>
      <c r="O119" s="15" t="n">
        <v>1.8543</v>
      </c>
      <c r="P119" s="15" t="n">
        <v>7.5857</v>
      </c>
      <c r="Q119" s="15" t="n">
        <v>0.3711</v>
      </c>
      <c r="R119" s="15" t="n">
        <v>10.6498</v>
      </c>
      <c r="S119" s="15" t="n">
        <v>8.979200000000001</v>
      </c>
      <c r="T119" s="15" t="n">
        <v>2.2118</v>
      </c>
      <c r="U119" s="15" t="n">
        <v>3.9086</v>
      </c>
      <c r="V119" s="15" t="n">
        <v>1.5011</v>
      </c>
      <c r="W119" s="15" t="n">
        <v>1.5383</v>
      </c>
      <c r="X119" s="15" t="n">
        <v>14.7375</v>
      </c>
      <c r="Y119" s="15" t="n">
        <v>18.0345</v>
      </c>
      <c r="Z119" s="15" t="n">
        <v>18.4524</v>
      </c>
      <c r="AA119" s="15" t="n">
        <v>17.1382</v>
      </c>
      <c r="AB119" s="15" t="n">
        <v>15.0527</v>
      </c>
      <c r="AC119" s="15" t="n">
        <v>21.9553</v>
      </c>
      <c r="AD119" s="16" t="n">
        <v>904.619</v>
      </c>
      <c r="AE119" s="17">
        <f>IF(ISNUMBER(K119),K119,IF(AND(ISNUMBER(H119),ISNUMBER(I119)),H119+I119,IF(ISNUMBER(H119),H119,"")))</f>
        <v/>
      </c>
      <c r="AF119" s="18">
        <f>IF(OR(NOT(ISNUMBER(J119)),NOT(ISNUMBER(H119)),H119&lt;=0),기준표!$B$8,MIN(MAX(J119/H119,기준표!$B$6),기준표!$B$7))</f>
        <v/>
      </c>
      <c r="AG119" s="17">
        <f>IF(ISNUMBER(AE119),AE119*(1-AF119),"")</f>
        <v/>
      </c>
      <c r="AH119" s="17">
        <f>IF(AND(NOT(ISNUMBER(V119)),NOT(ISNUMBER(X119))),"",IF(ISNUMBER(V119),V119,0)+IF(ISNUMBER(X119),X119,0))</f>
        <v/>
      </c>
      <c r="AI119" s="17">
        <f>IF(E119="금융","",IF(AND(ISNUMBER(R119),ISNUMBER(AH119),ISNUMBER(T119)),R119+AH119-T119,""))</f>
        <v/>
      </c>
      <c r="AJ119" s="17">
        <f>IF(E119="금융","",IF(NOT(ISNUMBER(AI119)),"",IF(ISNUMBER(AC119),(AI119+AC119)/2,AI119)))</f>
        <v/>
      </c>
      <c r="AK119" s="19">
        <f>IF(AND(ISNUMBER(AG119),ISNUMBER(AJ119),AJ119&gt;0),AG119/AJ119,"")</f>
        <v/>
      </c>
      <c r="AL119" s="17">
        <f>IF(E119="금융","",IF(AND(ISNUMBER(R119),ISNUMBER(AH119)),R119+AH119,""))</f>
        <v/>
      </c>
      <c r="AM119" s="19">
        <f>IF(OR(NOT(ISNUMBER(AG119)),NOT(ISNUMBER(AL119)),AL119&lt;=0),"",IF(AND(ISNUMBER(G119),AL119&lt;0.1*G119),"",AG119/AL119))</f>
        <v/>
      </c>
      <c r="AN119" s="17">
        <f>IF(NOT(ISNUMBER(R119)),"",IF(ISNUMBER(S119),(R119+S119)/2,R119))</f>
        <v/>
      </c>
      <c r="AO119" s="19">
        <f>IF(AND(ISNUMBER(L119),ISNUMBER(AN119),AN119&gt;0),L119/AN119,"")</f>
        <v/>
      </c>
      <c r="AP119" s="19">
        <f>IF(AND(ISNUMBER(AO119),ISNUMBER({ROIC})),AO119-{ROIC},"")</f>
        <v/>
      </c>
      <c r="AQ119" s="17">
        <f>IF(AND(ISNUMBER(AE119),ISNUMBER(N119)),AE119+N119,"")</f>
        <v/>
      </c>
      <c r="AR119" s="20">
        <f>IF(AND(ISNUMBER(AH119),ISNUMBER(T119),ISNUMBER(AQ119),AQ119&gt;0),(AH119-T119)/AQ119,"")</f>
        <v/>
      </c>
      <c r="AS119" s="20">
        <f>IF(AND(ISNUMBER(AE119),ISNUMBER(I119),I119&lt;&gt;0,AE119&gt;0),AE119/I119,"")</f>
        <v/>
      </c>
      <c r="AT119" s="17">
        <f>IF(AND(ISNUMBER(Y119),ISNUMBER(AA119)),Y119-IF(ISNUMBER(T119),T119,0)-(AA119-IF(ISNUMBER(V119),V119,0)),"")</f>
        <v/>
      </c>
      <c r="AU119" s="17">
        <f>IF(AND(ISNUMBER(Z119),ISNUMBER(AB119)),Z119-IF(ISNUMBER(U119),U119,0)-(AB119-IF(ISNUMBER(W119),W119,0)),"")</f>
        <v/>
      </c>
      <c r="AV119" s="17">
        <f>IF(AND(ISNUMBER(AT119),ISNUMBER(AU119)),AT119-AU119,"")</f>
        <v/>
      </c>
      <c r="AW119" s="17">
        <f>IF(AND(ISNUMBER(L119),ISNUMBER(M119),ISNUMBER(AF119)),L119-M119*(1-AF119),IF(ISNUMBER(L119),L119,""))</f>
        <v/>
      </c>
      <c r="AX119" s="17">
        <f>IF(E119="금융","",IF(AND(ISNUMBER(AW119),ISNUMBER(N119),ISNUMBER(O119),ISNUMBER(AV119)),AW119+N119-O119-AV119,IF(AND(ISNUMBER(P119),ISNUMBER(O119)),P119-O119-IF(ISNUMBER(Q119),Q119,0),"")))</f>
        <v/>
      </c>
      <c r="AY119" s="8">
        <f>IF(E119="금융","금융업 - 정의되지 않음",IF(AND(ISNUMBER(AW119),ISNUMBER(N119),ISNUMBER(O119),ISNUMBER(AV119)),"영업순이익+감가상각-설비투자-운전자본증감",IF(AND(ISNUMBER(P119),ISNUMBER(O119)),IF(ISNUMBER(Q119),"영업현금흐름-설비투자-주식보상비용","영업현금흐름-설비투자(주식보상비용 미태깅)"),"산출불가")))</f>
        <v/>
      </c>
      <c r="AZ119" s="19">
        <f>IF(AND(ISNUMBER(AX119),ISNUMBER(G119),G119&lt;&gt;0),AX119/G119,"")</f>
        <v/>
      </c>
      <c r="BA119" s="19">
        <f>IF(AND(ISNUMBER(AE119),ISNUMBER(G119),G119&lt;&gt;0),AE119/G119,"")</f>
        <v/>
      </c>
    </row>
    <row r="120">
      <c r="A120" s="8" t="inlineStr">
        <is>
          <t>LLY</t>
        </is>
      </c>
      <c r="B120" s="8" t="inlineStr">
        <is>
          <t>ELI LILLY &amp; Co</t>
        </is>
      </c>
      <c r="C120" s="8" t="n">
        <v>2023</v>
      </c>
      <c r="D120" s="8" t="inlineStr">
        <is>
          <t>2023-12-31</t>
        </is>
      </c>
      <c r="E120" s="8" t="inlineStr">
        <is>
          <t>일반</t>
        </is>
      </c>
      <c r="F120" s="8" t="inlineStr">
        <is>
          <t>0000059478-26-000013</t>
        </is>
      </c>
      <c r="G120" s="15" t="n">
        <v>34.124</v>
      </c>
      <c r="H120" s="15" t="n">
        <v>6.554</v>
      </c>
      <c r="I120" s="15" t="n">
        <v>0.486</v>
      </c>
      <c r="J120" s="15" t="n">
        <v>1.314</v>
      </c>
      <c r="K120" s="15" t="n"/>
      <c r="L120" s="15" t="n">
        <v>5.24</v>
      </c>
      <c r="M120" s="15" t="n">
        <v>-0.0202</v>
      </c>
      <c r="N120" s="15" t="n">
        <v>1.527</v>
      </c>
      <c r="O120" s="15" t="n">
        <v>3.448</v>
      </c>
      <c r="P120" s="15" t="n">
        <v>4.24</v>
      </c>
      <c r="Q120" s="15" t="n">
        <v>0.629</v>
      </c>
      <c r="R120" s="15" t="n">
        <v>10.7719</v>
      </c>
      <c r="S120" s="15" t="n">
        <v>10.6498</v>
      </c>
      <c r="T120" s="15" t="n">
        <v>2.9277</v>
      </c>
      <c r="U120" s="15" t="n">
        <v>2.2118</v>
      </c>
      <c r="V120" s="15" t="n">
        <v>6.9045</v>
      </c>
      <c r="W120" s="15" t="n">
        <v>1.5011</v>
      </c>
      <c r="X120" s="15" t="n">
        <v>18.3208</v>
      </c>
      <c r="Y120" s="15" t="n">
        <v>25.727</v>
      </c>
      <c r="Z120" s="15" t="n">
        <v>18.0345</v>
      </c>
      <c r="AA120" s="15" t="n">
        <v>27.2932</v>
      </c>
      <c r="AB120" s="15" t="n">
        <v>17.1382</v>
      </c>
      <c r="AC120" s="15" t="n">
        <v>24.6766</v>
      </c>
      <c r="AD120" s="16" t="n">
        <v>903.3</v>
      </c>
      <c r="AE120" s="17">
        <f>IF(ISNUMBER(K120),K120,IF(AND(ISNUMBER(H120),ISNUMBER(I120)),H120+I120,IF(ISNUMBER(H120),H120,"")))</f>
        <v/>
      </c>
      <c r="AF120" s="18">
        <f>IF(OR(NOT(ISNUMBER(J120)),NOT(ISNUMBER(H120)),H120&lt;=0),기준표!$B$8,MIN(MAX(J120/H120,기준표!$B$6),기준표!$B$7))</f>
        <v/>
      </c>
      <c r="AG120" s="17">
        <f>IF(ISNUMBER(AE120),AE120*(1-AF120),"")</f>
        <v/>
      </c>
      <c r="AH120" s="17">
        <f>IF(AND(NOT(ISNUMBER(V120)),NOT(ISNUMBER(X120))),"",IF(ISNUMBER(V120),V120,0)+IF(ISNUMBER(X120),X120,0))</f>
        <v/>
      </c>
      <c r="AI120" s="17">
        <f>IF(E120="금융","",IF(AND(ISNUMBER(R120),ISNUMBER(AH120),ISNUMBER(T120)),R120+AH120-T120,""))</f>
        <v/>
      </c>
      <c r="AJ120" s="17">
        <f>IF(E120="금융","",IF(NOT(ISNUMBER(AI120)),"",IF(ISNUMBER(AC120),(AI120+AC120)/2,AI120)))</f>
        <v/>
      </c>
      <c r="AK120" s="19">
        <f>IF(AND(ISNUMBER(AG120),ISNUMBER(AJ120),AJ120&gt;0),AG120/AJ120,"")</f>
        <v/>
      </c>
      <c r="AL120" s="17">
        <f>IF(E120="금융","",IF(AND(ISNUMBER(R120),ISNUMBER(AH120)),R120+AH120,""))</f>
        <v/>
      </c>
      <c r="AM120" s="19">
        <f>IF(OR(NOT(ISNUMBER(AG120)),NOT(ISNUMBER(AL120)),AL120&lt;=0),"",IF(AND(ISNUMBER(G120),AL120&lt;0.1*G120),"",AG120/AL120))</f>
        <v/>
      </c>
      <c r="AN120" s="17">
        <f>IF(NOT(ISNUMBER(R120)),"",IF(ISNUMBER(S120),(R120+S120)/2,R120))</f>
        <v/>
      </c>
      <c r="AO120" s="19">
        <f>IF(AND(ISNUMBER(L120),ISNUMBER(AN120),AN120&gt;0),L120/AN120,"")</f>
        <v/>
      </c>
      <c r="AP120" s="19">
        <f>IF(AND(ISNUMBER(AO120),ISNUMBER({ROIC})),AO120-{ROIC},"")</f>
        <v/>
      </c>
      <c r="AQ120" s="17">
        <f>IF(AND(ISNUMBER(AE120),ISNUMBER(N120)),AE120+N120,"")</f>
        <v/>
      </c>
      <c r="AR120" s="20">
        <f>IF(AND(ISNUMBER(AH120),ISNUMBER(T120),ISNUMBER(AQ120),AQ120&gt;0),(AH120-T120)/AQ120,"")</f>
        <v/>
      </c>
      <c r="AS120" s="20">
        <f>IF(AND(ISNUMBER(AE120),ISNUMBER(I120),I120&lt;&gt;0,AE120&gt;0),AE120/I120,"")</f>
        <v/>
      </c>
      <c r="AT120" s="17">
        <f>IF(AND(ISNUMBER(Y120),ISNUMBER(AA120)),Y120-IF(ISNUMBER(T120),T120,0)-(AA120-IF(ISNUMBER(V120),V120,0)),"")</f>
        <v/>
      </c>
      <c r="AU120" s="17">
        <f>IF(AND(ISNUMBER(Z120),ISNUMBER(AB120)),Z120-IF(ISNUMBER(U120),U120,0)-(AB120-IF(ISNUMBER(W120),W120,0)),"")</f>
        <v/>
      </c>
      <c r="AV120" s="17">
        <f>IF(AND(ISNUMBER(AT120),ISNUMBER(AU120)),AT120-AU120,"")</f>
        <v/>
      </c>
      <c r="AW120" s="17">
        <f>IF(AND(ISNUMBER(L120),ISNUMBER(M120),ISNUMBER(AF120)),L120-M120*(1-AF120),IF(ISNUMBER(L120),L120,""))</f>
        <v/>
      </c>
      <c r="AX120" s="17">
        <f>IF(E120="금융","",IF(AND(ISNUMBER(AW120),ISNUMBER(N120),ISNUMBER(O120),ISNUMBER(AV120)),AW120+N120-O120-AV120,IF(AND(ISNUMBER(P120),ISNUMBER(O120)),P120-O120-IF(ISNUMBER(Q120),Q120,0),"")))</f>
        <v/>
      </c>
      <c r="AY120" s="8">
        <f>IF(E120="금융","금융업 - 정의되지 않음",IF(AND(ISNUMBER(AW120),ISNUMBER(N120),ISNUMBER(O120),ISNUMBER(AV120)),"영업순이익+감가상각-설비투자-운전자본증감",IF(AND(ISNUMBER(P120),ISNUMBER(O120)),IF(ISNUMBER(Q120),"영업현금흐름-설비투자-주식보상비용","영업현금흐름-설비투자(주식보상비용 미태깅)"),"산출불가")))</f>
        <v/>
      </c>
      <c r="AZ120" s="19">
        <f>IF(AND(ISNUMBER(AX120),ISNUMBER(G120),G120&lt;&gt;0),AX120/G120,"")</f>
        <v/>
      </c>
      <c r="BA120" s="19">
        <f>IF(AND(ISNUMBER(AE120),ISNUMBER(G120),G120&lt;&gt;0),AE120/G120,"")</f>
        <v/>
      </c>
    </row>
    <row r="121">
      <c r="A121" s="8" t="inlineStr">
        <is>
          <t>LLY</t>
        </is>
      </c>
      <c r="B121" s="8" t="inlineStr">
        <is>
          <t>ELI LILLY &amp; Co</t>
        </is>
      </c>
      <c r="C121" s="8" t="n">
        <v>2024</v>
      </c>
      <c r="D121" s="8" t="inlineStr">
        <is>
          <t>2024-12-31</t>
        </is>
      </c>
      <c r="E121" s="8" t="inlineStr">
        <is>
          <t>일반</t>
        </is>
      </c>
      <c r="F121" s="8" t="inlineStr">
        <is>
          <t>0000059478-26-000013</t>
        </is>
      </c>
      <c r="G121" s="15" t="n">
        <v>45.043</v>
      </c>
      <c r="H121" s="15" t="n">
        <v>12.68</v>
      </c>
      <c r="I121" s="15" t="n">
        <v>0.781</v>
      </c>
      <c r="J121" s="15" t="n">
        <v>2.09</v>
      </c>
      <c r="K121" s="15" t="n"/>
      <c r="L121" s="15" t="n">
        <v>10.59</v>
      </c>
      <c r="M121" s="15" t="n">
        <v>-0.0495</v>
      </c>
      <c r="N121" s="15" t="n">
        <v>1.767</v>
      </c>
      <c r="O121" s="15" t="n">
        <v>5.058</v>
      </c>
      <c r="P121" s="15" t="n">
        <v>8.818</v>
      </c>
      <c r="Q121" s="15" t="n">
        <v>0.646</v>
      </c>
      <c r="R121" s="15" t="n">
        <v>14.272</v>
      </c>
      <c r="S121" s="15" t="n">
        <v>10.7719</v>
      </c>
      <c r="T121" s="15" t="n">
        <v>3.4228</v>
      </c>
      <c r="U121" s="15" t="n">
        <v>2.9277</v>
      </c>
      <c r="V121" s="15" t="n">
        <v>5.117</v>
      </c>
      <c r="W121" s="15" t="n">
        <v>6.9045</v>
      </c>
      <c r="X121" s="15" t="n">
        <v>28.527</v>
      </c>
      <c r="Y121" s="15" t="n">
        <v>32.74</v>
      </c>
      <c r="Z121" s="15" t="n">
        <v>25.727</v>
      </c>
      <c r="AA121" s="15" t="n">
        <v>28.376</v>
      </c>
      <c r="AB121" s="15" t="n">
        <v>27.2932</v>
      </c>
      <c r="AC121" s="15" t="n">
        <v>33.0695</v>
      </c>
      <c r="AD121" s="16" t="n">
        <v>904.1</v>
      </c>
      <c r="AE121" s="17">
        <f>IF(ISNUMBER(K121),K121,IF(AND(ISNUMBER(H121),ISNUMBER(I121)),H121+I121,IF(ISNUMBER(H121),H121,"")))</f>
        <v/>
      </c>
      <c r="AF121" s="18">
        <f>IF(OR(NOT(ISNUMBER(J121)),NOT(ISNUMBER(H121)),H121&lt;=0),기준표!$B$8,MIN(MAX(J121/H121,기준표!$B$6),기준표!$B$7))</f>
        <v/>
      </c>
      <c r="AG121" s="17">
        <f>IF(ISNUMBER(AE121),AE121*(1-AF121),"")</f>
        <v/>
      </c>
      <c r="AH121" s="17">
        <f>IF(AND(NOT(ISNUMBER(V121)),NOT(ISNUMBER(X121))),"",IF(ISNUMBER(V121),V121,0)+IF(ISNUMBER(X121),X121,0))</f>
        <v/>
      </c>
      <c r="AI121" s="17">
        <f>IF(E121="금융","",IF(AND(ISNUMBER(R121),ISNUMBER(AH121),ISNUMBER(T121)),R121+AH121-T121,""))</f>
        <v/>
      </c>
      <c r="AJ121" s="17">
        <f>IF(E121="금융","",IF(NOT(ISNUMBER(AI121)),"",IF(ISNUMBER(AC121),(AI121+AC121)/2,AI121)))</f>
        <v/>
      </c>
      <c r="AK121" s="19">
        <f>IF(AND(ISNUMBER(AG121),ISNUMBER(AJ121),AJ121&gt;0),AG121/AJ121,"")</f>
        <v/>
      </c>
      <c r="AL121" s="17">
        <f>IF(E121="금융","",IF(AND(ISNUMBER(R121),ISNUMBER(AH121)),R121+AH121,""))</f>
        <v/>
      </c>
      <c r="AM121" s="19">
        <f>IF(OR(NOT(ISNUMBER(AG121)),NOT(ISNUMBER(AL121)),AL121&lt;=0),"",IF(AND(ISNUMBER(G121),AL121&lt;0.1*G121),"",AG121/AL121))</f>
        <v/>
      </c>
      <c r="AN121" s="17">
        <f>IF(NOT(ISNUMBER(R121)),"",IF(ISNUMBER(S121),(R121+S121)/2,R121))</f>
        <v/>
      </c>
      <c r="AO121" s="19">
        <f>IF(AND(ISNUMBER(L121),ISNUMBER(AN121),AN121&gt;0),L121/AN121,"")</f>
        <v/>
      </c>
      <c r="AP121" s="19">
        <f>IF(AND(ISNUMBER(AO121),ISNUMBER({ROIC})),AO121-{ROIC},"")</f>
        <v/>
      </c>
      <c r="AQ121" s="17">
        <f>IF(AND(ISNUMBER(AE121),ISNUMBER(N121)),AE121+N121,"")</f>
        <v/>
      </c>
      <c r="AR121" s="20">
        <f>IF(AND(ISNUMBER(AH121),ISNUMBER(T121),ISNUMBER(AQ121),AQ121&gt;0),(AH121-T121)/AQ121,"")</f>
        <v/>
      </c>
      <c r="AS121" s="20">
        <f>IF(AND(ISNUMBER(AE121),ISNUMBER(I121),I121&lt;&gt;0,AE121&gt;0),AE121/I121,"")</f>
        <v/>
      </c>
      <c r="AT121" s="17">
        <f>IF(AND(ISNUMBER(Y121),ISNUMBER(AA121)),Y121-IF(ISNUMBER(T121),T121,0)-(AA121-IF(ISNUMBER(V121),V121,0)),"")</f>
        <v/>
      </c>
      <c r="AU121" s="17">
        <f>IF(AND(ISNUMBER(Z121),ISNUMBER(AB121)),Z121-IF(ISNUMBER(U121),U121,0)-(AB121-IF(ISNUMBER(W121),W121,0)),"")</f>
        <v/>
      </c>
      <c r="AV121" s="17">
        <f>IF(AND(ISNUMBER(AT121),ISNUMBER(AU121)),AT121-AU121,"")</f>
        <v/>
      </c>
      <c r="AW121" s="17">
        <f>IF(AND(ISNUMBER(L121),ISNUMBER(M121),ISNUMBER(AF121)),L121-M121*(1-AF121),IF(ISNUMBER(L121),L121,""))</f>
        <v/>
      </c>
      <c r="AX121" s="17">
        <f>IF(E121="금융","",IF(AND(ISNUMBER(AW121),ISNUMBER(N121),ISNUMBER(O121),ISNUMBER(AV121)),AW121+N121-O121-AV121,IF(AND(ISNUMBER(P121),ISNUMBER(O121)),P121-O121-IF(ISNUMBER(Q121),Q121,0),"")))</f>
        <v/>
      </c>
      <c r="AY121" s="8">
        <f>IF(E121="금융","금융업 - 정의되지 않음",IF(AND(ISNUMBER(AW121),ISNUMBER(N121),ISNUMBER(O121),ISNUMBER(AV121)),"영업순이익+감가상각-설비투자-운전자본증감",IF(AND(ISNUMBER(P121),ISNUMBER(O121)),IF(ISNUMBER(Q121),"영업현금흐름-설비투자-주식보상비용","영업현금흐름-설비투자(주식보상비용 미태깅)"),"산출불가")))</f>
        <v/>
      </c>
      <c r="AZ121" s="19">
        <f>IF(AND(ISNUMBER(AX121),ISNUMBER(G121),G121&lt;&gt;0),AX121/G121,"")</f>
        <v/>
      </c>
      <c r="BA121" s="19">
        <f>IF(AND(ISNUMBER(AE121),ISNUMBER(G121),G121&lt;&gt;0),AE121/G121,"")</f>
        <v/>
      </c>
    </row>
    <row r="122">
      <c r="A122" s="8" t="inlineStr">
        <is>
          <t>LLY</t>
        </is>
      </c>
      <c r="B122" s="8" t="inlineStr">
        <is>
          <t>ELI LILLY &amp; Co</t>
        </is>
      </c>
      <c r="C122" s="8" t="n">
        <v>2025</v>
      </c>
      <c r="D122" s="8" t="inlineStr">
        <is>
          <t>2025-12-31</t>
        </is>
      </c>
      <c r="E122" s="8" t="inlineStr">
        <is>
          <t>일반</t>
        </is>
      </c>
      <c r="F122" s="8" t="inlineStr">
        <is>
          <t>0000059478-26-000013</t>
        </is>
      </c>
      <c r="G122" s="15" t="n">
        <v>65.179</v>
      </c>
      <c r="H122" s="15" t="n">
        <v>25.731</v>
      </c>
      <c r="I122" s="15" t="n">
        <v>0.895</v>
      </c>
      <c r="J122" s="15" t="n">
        <v>5.091</v>
      </c>
      <c r="K122" s="15" t="n"/>
      <c r="L122" s="15" t="n">
        <v>20.64</v>
      </c>
      <c r="M122" s="15" t="n"/>
      <c r="N122" s="15" t="n">
        <v>1.997</v>
      </c>
      <c r="O122" s="15" t="n">
        <v>7.841</v>
      </c>
      <c r="P122" s="15" t="n">
        <v>16.813</v>
      </c>
      <c r="Q122" s="15" t="n">
        <v>0.626</v>
      </c>
      <c r="R122" s="15" t="n">
        <v>26.535</v>
      </c>
      <c r="S122" s="15" t="n">
        <v>14.272</v>
      </c>
      <c r="T122" s="15" t="n">
        <v>7.268</v>
      </c>
      <c r="U122" s="15" t="n">
        <v>3.4228</v>
      </c>
      <c r="V122" s="15" t="n">
        <v>1.635</v>
      </c>
      <c r="W122" s="15" t="n">
        <v>5.117</v>
      </c>
      <c r="X122" s="15" t="n">
        <v>40.868</v>
      </c>
      <c r="Y122" s="15" t="n">
        <v>55.629</v>
      </c>
      <c r="Z122" s="15" t="n">
        <v>32.74</v>
      </c>
      <c r="AA122" s="15" t="n">
        <v>35.228</v>
      </c>
      <c r="AB122" s="15" t="n">
        <v>28.376</v>
      </c>
      <c r="AC122" s="15" t="n">
        <v>44.4932</v>
      </c>
      <c r="AD122" s="16" t="n">
        <v>899.3</v>
      </c>
      <c r="AE122" s="17">
        <f>IF(ISNUMBER(K122),K122,IF(AND(ISNUMBER(H122),ISNUMBER(I122)),H122+I122,IF(ISNUMBER(H122),H122,"")))</f>
        <v/>
      </c>
      <c r="AF122" s="18">
        <f>IF(OR(NOT(ISNUMBER(J122)),NOT(ISNUMBER(H122)),H122&lt;=0),기준표!$B$8,MIN(MAX(J122/H122,기준표!$B$6),기준표!$B$7))</f>
        <v/>
      </c>
      <c r="AG122" s="17">
        <f>IF(ISNUMBER(AE122),AE122*(1-AF122),"")</f>
        <v/>
      </c>
      <c r="AH122" s="17">
        <f>IF(AND(NOT(ISNUMBER(V122)),NOT(ISNUMBER(X122))),"",IF(ISNUMBER(V122),V122,0)+IF(ISNUMBER(X122),X122,0))</f>
        <v/>
      </c>
      <c r="AI122" s="17">
        <f>IF(E122="금융","",IF(AND(ISNUMBER(R122),ISNUMBER(AH122),ISNUMBER(T122)),R122+AH122-T122,""))</f>
        <v/>
      </c>
      <c r="AJ122" s="17">
        <f>IF(E122="금융","",IF(NOT(ISNUMBER(AI122)),"",IF(ISNUMBER(AC122),(AI122+AC122)/2,AI122)))</f>
        <v/>
      </c>
      <c r="AK122" s="19">
        <f>IF(AND(ISNUMBER(AG122),ISNUMBER(AJ122),AJ122&gt;0),AG122/AJ122,"")</f>
        <v/>
      </c>
      <c r="AL122" s="17">
        <f>IF(E122="금융","",IF(AND(ISNUMBER(R122),ISNUMBER(AH122)),R122+AH122,""))</f>
        <v/>
      </c>
      <c r="AM122" s="19">
        <f>IF(OR(NOT(ISNUMBER(AG122)),NOT(ISNUMBER(AL122)),AL122&lt;=0),"",IF(AND(ISNUMBER(G122),AL122&lt;0.1*G122),"",AG122/AL122))</f>
        <v/>
      </c>
      <c r="AN122" s="17">
        <f>IF(NOT(ISNUMBER(R122)),"",IF(ISNUMBER(S122),(R122+S122)/2,R122))</f>
        <v/>
      </c>
      <c r="AO122" s="19">
        <f>IF(AND(ISNUMBER(L122),ISNUMBER(AN122),AN122&gt;0),L122/AN122,"")</f>
        <v/>
      </c>
      <c r="AP122" s="19">
        <f>IF(AND(ISNUMBER(AO122),ISNUMBER({ROIC})),AO122-{ROIC},"")</f>
        <v/>
      </c>
      <c r="AQ122" s="17">
        <f>IF(AND(ISNUMBER(AE122),ISNUMBER(N122)),AE122+N122,"")</f>
        <v/>
      </c>
      <c r="AR122" s="20">
        <f>IF(AND(ISNUMBER(AH122),ISNUMBER(T122),ISNUMBER(AQ122),AQ122&gt;0),(AH122-T122)/AQ122,"")</f>
        <v/>
      </c>
      <c r="AS122" s="20">
        <f>IF(AND(ISNUMBER(AE122),ISNUMBER(I122),I122&lt;&gt;0,AE122&gt;0),AE122/I122,"")</f>
        <v/>
      </c>
      <c r="AT122" s="17">
        <f>IF(AND(ISNUMBER(Y122),ISNUMBER(AA122)),Y122-IF(ISNUMBER(T122),T122,0)-(AA122-IF(ISNUMBER(V122),V122,0)),"")</f>
        <v/>
      </c>
      <c r="AU122" s="17">
        <f>IF(AND(ISNUMBER(Z122),ISNUMBER(AB122)),Z122-IF(ISNUMBER(U122),U122,0)-(AB122-IF(ISNUMBER(W122),W122,0)),"")</f>
        <v/>
      </c>
      <c r="AV122" s="17">
        <f>IF(AND(ISNUMBER(AT122),ISNUMBER(AU122)),AT122-AU122,"")</f>
        <v/>
      </c>
      <c r="AW122" s="17">
        <f>IF(AND(ISNUMBER(L122),ISNUMBER(M122),ISNUMBER(AF122)),L122-M122*(1-AF122),IF(ISNUMBER(L122),L122,""))</f>
        <v/>
      </c>
      <c r="AX122" s="17">
        <f>IF(E122="금융","",IF(AND(ISNUMBER(AW122),ISNUMBER(N122),ISNUMBER(O122),ISNUMBER(AV122)),AW122+N122-O122-AV122,IF(AND(ISNUMBER(P122),ISNUMBER(O122)),P122-O122-IF(ISNUMBER(Q122),Q122,0),"")))</f>
        <v/>
      </c>
      <c r="AY122" s="8">
        <f>IF(E122="금융","금융업 - 정의되지 않음",IF(AND(ISNUMBER(AW122),ISNUMBER(N122),ISNUMBER(O122),ISNUMBER(AV122)),"영업순이익+감가상각-설비투자-운전자본증감",IF(AND(ISNUMBER(P122),ISNUMBER(O122)),IF(ISNUMBER(Q122),"영업현금흐름-설비투자-주식보상비용","영업현금흐름-설비투자(주식보상비용 미태깅)"),"산출불가")))</f>
        <v/>
      </c>
      <c r="AZ122" s="19">
        <f>IF(AND(ISNUMBER(AX122),ISNUMBER(G122),G122&lt;&gt;0),AX122/G122,"")</f>
        <v/>
      </c>
      <c r="BA122" s="19">
        <f>IF(AND(ISNUMBER(AE122),ISNUMBER(G122),G122&lt;&gt;0),AE122/G122,"")</f>
        <v/>
      </c>
    </row>
    <row r="123">
      <c r="A123" s="8" t="inlineStr">
        <is>
          <t>MU</t>
        </is>
      </c>
      <c r="B123" s="8" t="inlineStr">
        <is>
          <t>MICRON TECHNOLOGY INC</t>
        </is>
      </c>
      <c r="C123" s="8" t="n">
        <v>2014</v>
      </c>
      <c r="D123" s="8" t="inlineStr">
        <is>
          <t>2014-08-28</t>
        </is>
      </c>
      <c r="E123" s="8" t="inlineStr">
        <is>
          <t>일반</t>
        </is>
      </c>
      <c r="F123" s="8" t="inlineStr">
        <is>
          <t>0000723125-16-000269</t>
        </is>
      </c>
      <c r="G123" s="15" t="n"/>
      <c r="H123" s="15" t="n">
        <v>2.733</v>
      </c>
      <c r="I123" s="15" t="n"/>
      <c r="J123" s="15" t="n">
        <v>0.128</v>
      </c>
      <c r="K123" s="15" t="n">
        <v>3.087</v>
      </c>
      <c r="L123" s="15" t="n">
        <v>3.045</v>
      </c>
      <c r="M123" s="15" t="n"/>
      <c r="N123" s="15" t="n">
        <v>2.27</v>
      </c>
      <c r="O123" s="15" t="n">
        <v>3.107</v>
      </c>
      <c r="P123" s="15" t="n">
        <v>5.699</v>
      </c>
      <c r="Q123" s="15" t="n">
        <v>0.115</v>
      </c>
      <c r="R123" s="15" t="n">
        <v>10.76</v>
      </c>
      <c r="S123" s="15" t="n"/>
      <c r="T123" s="15" t="n">
        <v>4.15</v>
      </c>
      <c r="U123" s="15" t="n"/>
      <c r="V123" s="15" t="n">
        <v>1.618</v>
      </c>
      <c r="W123" s="15" t="n"/>
      <c r="X123" s="15" t="n">
        <v>4.893</v>
      </c>
      <c r="Y123" s="15" t="n">
        <v>10.245</v>
      </c>
      <c r="Z123" s="15" t="n"/>
      <c r="AA123" s="15" t="n">
        <v>4.791</v>
      </c>
      <c r="AB123" s="15" t="n"/>
      <c r="AC123" s="15" t="n"/>
      <c r="AD123" s="16" t="n">
        <v>1073</v>
      </c>
      <c r="AE123" s="17">
        <f>IF(ISNUMBER(K123),K123,IF(AND(ISNUMBER(H123),ISNUMBER(I123)),H123+I123,IF(ISNUMBER(H123),H123,"")))</f>
        <v/>
      </c>
      <c r="AF123" s="18">
        <f>IF(OR(NOT(ISNUMBER(J123)),NOT(ISNUMBER(H123)),H123&lt;=0),기준표!$B$8,MIN(MAX(J123/H123,기준표!$B$6),기준표!$B$7))</f>
        <v/>
      </c>
      <c r="AG123" s="17">
        <f>IF(ISNUMBER(AE123),AE123*(1-AF123),"")</f>
        <v/>
      </c>
      <c r="AH123" s="17">
        <f>IF(AND(NOT(ISNUMBER(V123)),NOT(ISNUMBER(X123))),"",IF(ISNUMBER(V123),V123,0)+IF(ISNUMBER(X123),X123,0))</f>
        <v/>
      </c>
      <c r="AI123" s="17">
        <f>IF(E123="금융","",IF(AND(ISNUMBER(R123),ISNUMBER(AH123),ISNUMBER(T123)),R123+AH123-T123,""))</f>
        <v/>
      </c>
      <c r="AJ123" s="17">
        <f>IF(E123="금융","",IF(NOT(ISNUMBER(AI123)),"",IF(ISNUMBER(AC123),(AI123+AC123)/2,AI123)))</f>
        <v/>
      </c>
      <c r="AK123" s="19">
        <f>IF(AND(ISNUMBER(AG123),ISNUMBER(AJ123),AJ123&gt;0),AG123/AJ123,"")</f>
        <v/>
      </c>
      <c r="AL123" s="17">
        <f>IF(E123="금융","",IF(AND(ISNUMBER(R123),ISNUMBER(AH123)),R123+AH123,""))</f>
        <v/>
      </c>
      <c r="AM123" s="19">
        <f>IF(OR(NOT(ISNUMBER(AG123)),NOT(ISNUMBER(AL123)),AL123&lt;=0),"",IF(AND(ISNUMBER(G123),AL123&lt;0.1*G123),"",AG123/AL123))</f>
        <v/>
      </c>
      <c r="AN123" s="17">
        <f>IF(NOT(ISNUMBER(R123)),"",IF(ISNUMBER(S123),(R123+S123)/2,R123))</f>
        <v/>
      </c>
      <c r="AO123" s="19">
        <f>IF(AND(ISNUMBER(L123),ISNUMBER(AN123),AN123&gt;0),L123/AN123,"")</f>
        <v/>
      </c>
      <c r="AP123" s="19">
        <f>IF(AND(ISNUMBER(AO123),ISNUMBER({ROIC})),AO123-{ROIC},"")</f>
        <v/>
      </c>
      <c r="AQ123" s="17">
        <f>IF(AND(ISNUMBER(AE123),ISNUMBER(N123)),AE123+N123,"")</f>
        <v/>
      </c>
      <c r="AR123" s="20">
        <f>IF(AND(ISNUMBER(AH123),ISNUMBER(T123),ISNUMBER(AQ123),AQ123&gt;0),(AH123-T123)/AQ123,"")</f>
        <v/>
      </c>
      <c r="AS123" s="20">
        <f>IF(AND(ISNUMBER(AE123),ISNUMBER(I123),I123&lt;&gt;0,AE123&gt;0),AE123/I123,"")</f>
        <v/>
      </c>
      <c r="AT123" s="17">
        <f>IF(AND(ISNUMBER(Y123),ISNUMBER(AA123)),Y123-IF(ISNUMBER(T123),T123,0)-(AA123-IF(ISNUMBER(V123),V123,0)),"")</f>
        <v/>
      </c>
      <c r="AU123" s="17">
        <f>IF(AND(ISNUMBER(Z123),ISNUMBER(AB123)),Z123-IF(ISNUMBER(U123),U123,0)-(AB123-IF(ISNUMBER(W123),W123,0)),"")</f>
        <v/>
      </c>
      <c r="AV123" s="17">
        <f>IF(AND(ISNUMBER(AT123),ISNUMBER(AU123)),AT123-AU123,"")</f>
        <v/>
      </c>
      <c r="AW123" s="17">
        <f>IF(AND(ISNUMBER(L123),ISNUMBER(M123),ISNUMBER(AF123)),L123-M123*(1-AF123),IF(ISNUMBER(L123),L123,""))</f>
        <v/>
      </c>
      <c r="AX123" s="17">
        <f>IF(E123="금융","",IF(AND(ISNUMBER(AW123),ISNUMBER(N123),ISNUMBER(O123),ISNUMBER(AV123)),AW123+N123-O123-AV123,IF(AND(ISNUMBER(P123),ISNUMBER(O123)),P123-O123-IF(ISNUMBER(Q123),Q123,0),"")))</f>
        <v/>
      </c>
      <c r="AY123" s="8">
        <f>IF(E123="금융","금융업 - 정의되지 않음",IF(AND(ISNUMBER(AW123),ISNUMBER(N123),ISNUMBER(O123),ISNUMBER(AV123)),"영업순이익+감가상각-설비투자-운전자본증감",IF(AND(ISNUMBER(P123),ISNUMBER(O123)),IF(ISNUMBER(Q123),"영업현금흐름-설비투자-주식보상비용","영업현금흐름-설비투자(주식보상비용 미태깅)"),"산출불가")))</f>
        <v/>
      </c>
      <c r="AZ123" s="19">
        <f>IF(AND(ISNUMBER(AX123),ISNUMBER(G123),G123&lt;&gt;0),AX123/G123,"")</f>
        <v/>
      </c>
      <c r="BA123" s="19">
        <f>IF(AND(ISNUMBER(AE123),ISNUMBER(G123),G123&lt;&gt;0),AE123/G123,"")</f>
        <v/>
      </c>
    </row>
    <row r="124">
      <c r="A124" s="8" t="inlineStr">
        <is>
          <t>MU</t>
        </is>
      </c>
      <c r="B124" s="8" t="inlineStr">
        <is>
          <t>MICRON TECHNOLOGY INC</t>
        </is>
      </c>
      <c r="C124" s="8" t="n">
        <v>2015</v>
      </c>
      <c r="D124" s="8" t="inlineStr">
        <is>
          <t>2015-09-03</t>
        </is>
      </c>
      <c r="E124" s="8" t="inlineStr">
        <is>
          <t>일반</t>
        </is>
      </c>
      <c r="F124" s="8" t="inlineStr">
        <is>
          <t>0000723125-17-000131</t>
        </is>
      </c>
      <c r="G124" s="15" t="n"/>
      <c r="H124" s="15" t="n">
        <v>2.609</v>
      </c>
      <c r="I124" s="15" t="n"/>
      <c r="J124" s="15" t="n">
        <v>0.157</v>
      </c>
      <c r="K124" s="15" t="n">
        <v>2.998</v>
      </c>
      <c r="L124" s="15" t="n">
        <v>2.899</v>
      </c>
      <c r="M124" s="15" t="n"/>
      <c r="N124" s="15" t="n">
        <v>2.805</v>
      </c>
      <c r="O124" s="15" t="n">
        <v>4.021</v>
      </c>
      <c r="P124" s="15" t="n">
        <v>5.208</v>
      </c>
      <c r="Q124" s="15" t="n">
        <v>0.168</v>
      </c>
      <c r="R124" s="15" t="n">
        <v>12.302</v>
      </c>
      <c r="S124" s="15" t="n">
        <v>10.76</v>
      </c>
      <c r="T124" s="15" t="n">
        <v>2.287</v>
      </c>
      <c r="U124" s="15" t="n">
        <v>4.15</v>
      </c>
      <c r="V124" s="15" t="n">
        <v>1.089</v>
      </c>
      <c r="W124" s="15" t="n">
        <v>1.618</v>
      </c>
      <c r="X124" s="15" t="n">
        <v>6.252</v>
      </c>
      <c r="Y124" s="15" t="n">
        <v>8.596</v>
      </c>
      <c r="Z124" s="15" t="n">
        <v>10.245</v>
      </c>
      <c r="AA124" s="15" t="n">
        <v>3.905</v>
      </c>
      <c r="AB124" s="15" t="n">
        <v>4.791</v>
      </c>
      <c r="AC124" s="15" t="n">
        <v>13.121</v>
      </c>
      <c r="AD124" s="16" t="n">
        <v>1084</v>
      </c>
      <c r="AE124" s="17">
        <f>IF(ISNUMBER(K124),K124,IF(AND(ISNUMBER(H124),ISNUMBER(I124)),H124+I124,IF(ISNUMBER(H124),H124,"")))</f>
        <v/>
      </c>
      <c r="AF124" s="18">
        <f>IF(OR(NOT(ISNUMBER(J124)),NOT(ISNUMBER(H124)),H124&lt;=0),기준표!$B$8,MIN(MAX(J124/H124,기준표!$B$6),기준표!$B$7))</f>
        <v/>
      </c>
      <c r="AG124" s="17">
        <f>IF(ISNUMBER(AE124),AE124*(1-AF124),"")</f>
        <v/>
      </c>
      <c r="AH124" s="17">
        <f>IF(AND(NOT(ISNUMBER(V124)),NOT(ISNUMBER(X124))),"",IF(ISNUMBER(V124),V124,0)+IF(ISNUMBER(X124),X124,0))</f>
        <v/>
      </c>
      <c r="AI124" s="17">
        <f>IF(E124="금융","",IF(AND(ISNUMBER(R124),ISNUMBER(AH124),ISNUMBER(T124)),R124+AH124-T124,""))</f>
        <v/>
      </c>
      <c r="AJ124" s="17">
        <f>IF(E124="금융","",IF(NOT(ISNUMBER(AI124)),"",IF(ISNUMBER(AC124),(AI124+AC124)/2,AI124)))</f>
        <v/>
      </c>
      <c r="AK124" s="19">
        <f>IF(AND(ISNUMBER(AG124),ISNUMBER(AJ124),AJ124&gt;0),AG124/AJ124,"")</f>
        <v/>
      </c>
      <c r="AL124" s="17">
        <f>IF(E124="금융","",IF(AND(ISNUMBER(R124),ISNUMBER(AH124)),R124+AH124,""))</f>
        <v/>
      </c>
      <c r="AM124" s="19">
        <f>IF(OR(NOT(ISNUMBER(AG124)),NOT(ISNUMBER(AL124)),AL124&lt;=0),"",IF(AND(ISNUMBER(G124),AL124&lt;0.1*G124),"",AG124/AL124))</f>
        <v/>
      </c>
      <c r="AN124" s="17">
        <f>IF(NOT(ISNUMBER(R124)),"",IF(ISNUMBER(S124),(R124+S124)/2,R124))</f>
        <v/>
      </c>
      <c r="AO124" s="19">
        <f>IF(AND(ISNUMBER(L124),ISNUMBER(AN124),AN124&gt;0),L124/AN124,"")</f>
        <v/>
      </c>
      <c r="AP124" s="19">
        <f>IF(AND(ISNUMBER(AO124),ISNUMBER({ROIC})),AO124-{ROIC},"")</f>
        <v/>
      </c>
      <c r="AQ124" s="17">
        <f>IF(AND(ISNUMBER(AE124),ISNUMBER(N124)),AE124+N124,"")</f>
        <v/>
      </c>
      <c r="AR124" s="20">
        <f>IF(AND(ISNUMBER(AH124),ISNUMBER(T124),ISNUMBER(AQ124),AQ124&gt;0),(AH124-T124)/AQ124,"")</f>
        <v/>
      </c>
      <c r="AS124" s="20">
        <f>IF(AND(ISNUMBER(AE124),ISNUMBER(I124),I124&lt;&gt;0,AE124&gt;0),AE124/I124,"")</f>
        <v/>
      </c>
      <c r="AT124" s="17">
        <f>IF(AND(ISNUMBER(Y124),ISNUMBER(AA124)),Y124-IF(ISNUMBER(T124),T124,0)-(AA124-IF(ISNUMBER(V124),V124,0)),"")</f>
        <v/>
      </c>
      <c r="AU124" s="17">
        <f>IF(AND(ISNUMBER(Z124),ISNUMBER(AB124)),Z124-IF(ISNUMBER(U124),U124,0)-(AB124-IF(ISNUMBER(W124),W124,0)),"")</f>
        <v/>
      </c>
      <c r="AV124" s="17">
        <f>IF(AND(ISNUMBER(AT124),ISNUMBER(AU124)),AT124-AU124,"")</f>
        <v/>
      </c>
      <c r="AW124" s="17">
        <f>IF(AND(ISNUMBER(L124),ISNUMBER(M124),ISNUMBER(AF124)),L124-M124*(1-AF124),IF(ISNUMBER(L124),L124,""))</f>
        <v/>
      </c>
      <c r="AX124" s="17">
        <f>IF(E124="금융","",IF(AND(ISNUMBER(AW124),ISNUMBER(N124),ISNUMBER(O124),ISNUMBER(AV124)),AW124+N124-O124-AV124,IF(AND(ISNUMBER(P124),ISNUMBER(O124)),P124-O124-IF(ISNUMBER(Q124),Q124,0),"")))</f>
        <v/>
      </c>
      <c r="AY124" s="8">
        <f>IF(E124="금융","금융업 - 정의되지 않음",IF(AND(ISNUMBER(AW124),ISNUMBER(N124),ISNUMBER(O124),ISNUMBER(AV124)),"영업순이익+감가상각-설비투자-운전자본증감",IF(AND(ISNUMBER(P124),ISNUMBER(O124)),IF(ISNUMBER(Q124),"영업현금흐름-설비투자-주식보상비용","영업현금흐름-설비투자(주식보상비용 미태깅)"),"산출불가")))</f>
        <v/>
      </c>
      <c r="AZ124" s="19">
        <f>IF(AND(ISNUMBER(AX124),ISNUMBER(G124),G124&lt;&gt;0),AX124/G124,"")</f>
        <v/>
      </c>
      <c r="BA124" s="19">
        <f>IF(AND(ISNUMBER(AE124),ISNUMBER(G124),G124&lt;&gt;0),AE124/G124,"")</f>
        <v/>
      </c>
    </row>
    <row r="125">
      <c r="A125" s="8" t="inlineStr">
        <is>
          <t>MU</t>
        </is>
      </c>
      <c r="B125" s="8" t="inlineStr">
        <is>
          <t>MICRON TECHNOLOGY INC</t>
        </is>
      </c>
      <c r="C125" s="8" t="n">
        <v>2016</v>
      </c>
      <c r="D125" s="8" t="inlineStr">
        <is>
          <t>2016-09-01</t>
        </is>
      </c>
      <c r="E125" s="8" t="inlineStr">
        <is>
          <t>일반</t>
        </is>
      </c>
      <c r="F125" s="8" t="inlineStr">
        <is>
          <t>0000723125-18-000092</t>
        </is>
      </c>
      <c r="G125" s="15" t="n"/>
      <c r="H125" s="15" t="n">
        <v>-0.281</v>
      </c>
      <c r="I125" s="15" t="n"/>
      <c r="J125" s="15" t="n">
        <v>0.019</v>
      </c>
      <c r="K125" s="15" t="n">
        <v>0.168</v>
      </c>
      <c r="L125" s="15" t="n">
        <v>-0.276</v>
      </c>
      <c r="M125" s="15" t="n"/>
      <c r="N125" s="15" t="n">
        <v>2.98</v>
      </c>
      <c r="O125" s="15" t="n">
        <v>5.817</v>
      </c>
      <c r="P125" s="15" t="n">
        <v>3.168</v>
      </c>
      <c r="Q125" s="15" t="n">
        <v>0.191</v>
      </c>
      <c r="R125" s="15" t="n">
        <v>12.08</v>
      </c>
      <c r="S125" s="15" t="n">
        <v>12.302</v>
      </c>
      <c r="T125" s="15" t="n">
        <v>4.14</v>
      </c>
      <c r="U125" s="15" t="n">
        <v>2.287</v>
      </c>
      <c r="V125" s="15" t="n">
        <v>0.756</v>
      </c>
      <c r="W125" s="15" t="n">
        <v>1.089</v>
      </c>
      <c r="X125" s="15" t="n">
        <v>9.154</v>
      </c>
      <c r="Y125" s="15" t="n">
        <v>9.494999999999999</v>
      </c>
      <c r="Z125" s="15" t="n">
        <v>8.596</v>
      </c>
      <c r="AA125" s="15" t="n">
        <v>4.835</v>
      </c>
      <c r="AB125" s="15" t="n">
        <v>3.905</v>
      </c>
      <c r="AC125" s="15" t="n">
        <v>17.356</v>
      </c>
      <c r="AD125" s="16" t="n">
        <v>1040</v>
      </c>
      <c r="AE125" s="17">
        <f>IF(ISNUMBER(K125),K125,IF(AND(ISNUMBER(H125),ISNUMBER(I125)),H125+I125,IF(ISNUMBER(H125),H125,"")))</f>
        <v/>
      </c>
      <c r="AF125" s="18">
        <f>IF(OR(NOT(ISNUMBER(J125)),NOT(ISNUMBER(H125)),H125&lt;=0),기준표!$B$8,MIN(MAX(J125/H125,기준표!$B$6),기준표!$B$7))</f>
        <v/>
      </c>
      <c r="AG125" s="17">
        <f>IF(ISNUMBER(AE125),AE125*(1-AF125),"")</f>
        <v/>
      </c>
      <c r="AH125" s="17">
        <f>IF(AND(NOT(ISNUMBER(V125)),NOT(ISNUMBER(X125))),"",IF(ISNUMBER(V125),V125,0)+IF(ISNUMBER(X125),X125,0))</f>
        <v/>
      </c>
      <c r="AI125" s="17">
        <f>IF(E125="금융","",IF(AND(ISNUMBER(R125),ISNUMBER(AH125),ISNUMBER(T125)),R125+AH125-T125,""))</f>
        <v/>
      </c>
      <c r="AJ125" s="17">
        <f>IF(E125="금융","",IF(NOT(ISNUMBER(AI125)),"",IF(ISNUMBER(AC125),(AI125+AC125)/2,AI125)))</f>
        <v/>
      </c>
      <c r="AK125" s="19">
        <f>IF(AND(ISNUMBER(AG125),ISNUMBER(AJ125),AJ125&gt;0),AG125/AJ125,"")</f>
        <v/>
      </c>
      <c r="AL125" s="17">
        <f>IF(E125="금융","",IF(AND(ISNUMBER(R125),ISNUMBER(AH125)),R125+AH125,""))</f>
        <v/>
      </c>
      <c r="AM125" s="19">
        <f>IF(OR(NOT(ISNUMBER(AG125)),NOT(ISNUMBER(AL125)),AL125&lt;=0),"",IF(AND(ISNUMBER(G125),AL125&lt;0.1*G125),"",AG125/AL125))</f>
        <v/>
      </c>
      <c r="AN125" s="17">
        <f>IF(NOT(ISNUMBER(R125)),"",IF(ISNUMBER(S125),(R125+S125)/2,R125))</f>
        <v/>
      </c>
      <c r="AO125" s="19">
        <f>IF(AND(ISNUMBER(L125),ISNUMBER(AN125),AN125&gt;0),L125/AN125,"")</f>
        <v/>
      </c>
      <c r="AP125" s="19">
        <f>IF(AND(ISNUMBER(AO125),ISNUMBER({ROIC})),AO125-{ROIC},"")</f>
        <v/>
      </c>
      <c r="AQ125" s="17">
        <f>IF(AND(ISNUMBER(AE125),ISNUMBER(N125)),AE125+N125,"")</f>
        <v/>
      </c>
      <c r="AR125" s="20">
        <f>IF(AND(ISNUMBER(AH125),ISNUMBER(T125),ISNUMBER(AQ125),AQ125&gt;0),(AH125-T125)/AQ125,"")</f>
        <v/>
      </c>
      <c r="AS125" s="20">
        <f>IF(AND(ISNUMBER(AE125),ISNUMBER(I125),I125&lt;&gt;0,AE125&gt;0),AE125/I125,"")</f>
        <v/>
      </c>
      <c r="AT125" s="17">
        <f>IF(AND(ISNUMBER(Y125),ISNUMBER(AA125)),Y125-IF(ISNUMBER(T125),T125,0)-(AA125-IF(ISNUMBER(V125),V125,0)),"")</f>
        <v/>
      </c>
      <c r="AU125" s="17">
        <f>IF(AND(ISNUMBER(Z125),ISNUMBER(AB125)),Z125-IF(ISNUMBER(U125),U125,0)-(AB125-IF(ISNUMBER(W125),W125,0)),"")</f>
        <v/>
      </c>
      <c r="AV125" s="17">
        <f>IF(AND(ISNUMBER(AT125),ISNUMBER(AU125)),AT125-AU125,"")</f>
        <v/>
      </c>
      <c r="AW125" s="17">
        <f>IF(AND(ISNUMBER(L125),ISNUMBER(M125),ISNUMBER(AF125)),L125-M125*(1-AF125),IF(ISNUMBER(L125),L125,""))</f>
        <v/>
      </c>
      <c r="AX125" s="17">
        <f>IF(E125="금융","",IF(AND(ISNUMBER(AW125),ISNUMBER(N125),ISNUMBER(O125),ISNUMBER(AV125)),AW125+N125-O125-AV125,IF(AND(ISNUMBER(P125),ISNUMBER(O125)),P125-O125-IF(ISNUMBER(Q125),Q125,0),"")))</f>
        <v/>
      </c>
      <c r="AY125" s="8">
        <f>IF(E125="금융","금융업 - 정의되지 않음",IF(AND(ISNUMBER(AW125),ISNUMBER(N125),ISNUMBER(O125),ISNUMBER(AV125)),"영업순이익+감가상각-설비투자-운전자본증감",IF(AND(ISNUMBER(P125),ISNUMBER(O125)),IF(ISNUMBER(Q125),"영업현금흐름-설비투자-주식보상비용","영업현금흐름-설비투자(주식보상비용 미태깅)"),"산출불가")))</f>
        <v/>
      </c>
      <c r="AZ125" s="19">
        <f>IF(AND(ISNUMBER(AX125),ISNUMBER(G125),G125&lt;&gt;0),AX125/G125,"")</f>
        <v/>
      </c>
      <c r="BA125" s="19">
        <f>IF(AND(ISNUMBER(AE125),ISNUMBER(G125),G125&lt;&gt;0),AE125/G125,"")</f>
        <v/>
      </c>
    </row>
    <row r="126">
      <c r="A126" s="8" t="inlineStr">
        <is>
          <t>MU</t>
        </is>
      </c>
      <c r="B126" s="8" t="inlineStr">
        <is>
          <t>MICRON TECHNOLOGY INC</t>
        </is>
      </c>
      <c r="C126" s="8" t="n">
        <v>2017</v>
      </c>
      <c r="D126" s="8" t="inlineStr">
        <is>
          <t>2017-08-31</t>
        </is>
      </c>
      <c r="E126" s="8" t="inlineStr">
        <is>
          <t>일반</t>
        </is>
      </c>
      <c r="F126" s="8" t="inlineStr">
        <is>
          <t>0000723125-19-000094</t>
        </is>
      </c>
      <c r="G126" s="15" t="n">
        <v>20.322</v>
      </c>
      <c r="H126" s="15" t="n">
        <v>5.196</v>
      </c>
      <c r="I126" s="15" t="n"/>
      <c r="J126" s="15" t="n">
        <v>0.114</v>
      </c>
      <c r="K126" s="15" t="n">
        <v>5.868</v>
      </c>
      <c r="L126" s="15" t="n">
        <v>5.089</v>
      </c>
      <c r="M126" s="15" t="n"/>
      <c r="N126" s="15" t="n">
        <v>3.861</v>
      </c>
      <c r="O126" s="15" t="n">
        <v>4.734</v>
      </c>
      <c r="P126" s="15" t="n">
        <v>8.153</v>
      </c>
      <c r="Q126" s="15" t="n">
        <v>0.215</v>
      </c>
      <c r="R126" s="15" t="n">
        <v>18.621</v>
      </c>
      <c r="S126" s="15" t="n">
        <v>12.08</v>
      </c>
      <c r="T126" s="15" t="n">
        <v>5.109</v>
      </c>
      <c r="U126" s="15" t="n">
        <v>4.14</v>
      </c>
      <c r="V126" s="15" t="n">
        <v>1.262</v>
      </c>
      <c r="W126" s="15" t="n">
        <v>0.756</v>
      </c>
      <c r="X126" s="15" t="n">
        <v>9.872</v>
      </c>
      <c r="Y126" s="15" t="n">
        <v>12.457</v>
      </c>
      <c r="Z126" s="15" t="n">
        <v>9.494999999999999</v>
      </c>
      <c r="AA126" s="15" t="n">
        <v>5.334</v>
      </c>
      <c r="AB126" s="15" t="n">
        <v>4.835</v>
      </c>
      <c r="AC126" s="15" t="n">
        <v>17.85</v>
      </c>
      <c r="AD126" s="16" t="n">
        <v>1112</v>
      </c>
      <c r="AE126" s="17">
        <f>IF(ISNUMBER(K126),K126,IF(AND(ISNUMBER(H126),ISNUMBER(I126)),H126+I126,IF(ISNUMBER(H126),H126,"")))</f>
        <v/>
      </c>
      <c r="AF126" s="18">
        <f>IF(OR(NOT(ISNUMBER(J126)),NOT(ISNUMBER(H126)),H126&lt;=0),기준표!$B$8,MIN(MAX(J126/H126,기준표!$B$6),기준표!$B$7))</f>
        <v/>
      </c>
      <c r="AG126" s="17">
        <f>IF(ISNUMBER(AE126),AE126*(1-AF126),"")</f>
        <v/>
      </c>
      <c r="AH126" s="17">
        <f>IF(AND(NOT(ISNUMBER(V126)),NOT(ISNUMBER(X126))),"",IF(ISNUMBER(V126),V126,0)+IF(ISNUMBER(X126),X126,0))</f>
        <v/>
      </c>
      <c r="AI126" s="17">
        <f>IF(E126="금융","",IF(AND(ISNUMBER(R126),ISNUMBER(AH126),ISNUMBER(T126)),R126+AH126-T126,""))</f>
        <v/>
      </c>
      <c r="AJ126" s="17">
        <f>IF(E126="금융","",IF(NOT(ISNUMBER(AI126)),"",IF(ISNUMBER(AC126),(AI126+AC126)/2,AI126)))</f>
        <v/>
      </c>
      <c r="AK126" s="19">
        <f>IF(AND(ISNUMBER(AG126),ISNUMBER(AJ126),AJ126&gt;0),AG126/AJ126,"")</f>
        <v/>
      </c>
      <c r="AL126" s="17">
        <f>IF(E126="금융","",IF(AND(ISNUMBER(R126),ISNUMBER(AH126)),R126+AH126,""))</f>
        <v/>
      </c>
      <c r="AM126" s="19">
        <f>IF(OR(NOT(ISNUMBER(AG126)),NOT(ISNUMBER(AL126)),AL126&lt;=0),"",IF(AND(ISNUMBER(G126),AL126&lt;0.1*G126),"",AG126/AL126))</f>
        <v/>
      </c>
      <c r="AN126" s="17">
        <f>IF(NOT(ISNUMBER(R126)),"",IF(ISNUMBER(S126),(R126+S126)/2,R126))</f>
        <v/>
      </c>
      <c r="AO126" s="19">
        <f>IF(AND(ISNUMBER(L126),ISNUMBER(AN126),AN126&gt;0),L126/AN126,"")</f>
        <v/>
      </c>
      <c r="AP126" s="19">
        <f>IF(AND(ISNUMBER(AO126),ISNUMBER({ROIC})),AO126-{ROIC},"")</f>
        <v/>
      </c>
      <c r="AQ126" s="17">
        <f>IF(AND(ISNUMBER(AE126),ISNUMBER(N126)),AE126+N126,"")</f>
        <v/>
      </c>
      <c r="AR126" s="20">
        <f>IF(AND(ISNUMBER(AH126),ISNUMBER(T126),ISNUMBER(AQ126),AQ126&gt;0),(AH126-T126)/AQ126,"")</f>
        <v/>
      </c>
      <c r="AS126" s="20">
        <f>IF(AND(ISNUMBER(AE126),ISNUMBER(I126),I126&lt;&gt;0,AE126&gt;0),AE126/I126,"")</f>
        <v/>
      </c>
      <c r="AT126" s="17">
        <f>IF(AND(ISNUMBER(Y126),ISNUMBER(AA126)),Y126-IF(ISNUMBER(T126),T126,0)-(AA126-IF(ISNUMBER(V126),V126,0)),"")</f>
        <v/>
      </c>
      <c r="AU126" s="17">
        <f>IF(AND(ISNUMBER(Z126),ISNUMBER(AB126)),Z126-IF(ISNUMBER(U126),U126,0)-(AB126-IF(ISNUMBER(W126),W126,0)),"")</f>
        <v/>
      </c>
      <c r="AV126" s="17">
        <f>IF(AND(ISNUMBER(AT126),ISNUMBER(AU126)),AT126-AU126,"")</f>
        <v/>
      </c>
      <c r="AW126" s="17">
        <f>IF(AND(ISNUMBER(L126),ISNUMBER(M126),ISNUMBER(AF126)),L126-M126*(1-AF126),IF(ISNUMBER(L126),L126,""))</f>
        <v/>
      </c>
      <c r="AX126" s="17">
        <f>IF(E126="금융","",IF(AND(ISNUMBER(AW126),ISNUMBER(N126),ISNUMBER(O126),ISNUMBER(AV126)),AW126+N126-O126-AV126,IF(AND(ISNUMBER(P126),ISNUMBER(O126)),P126-O126-IF(ISNUMBER(Q126),Q126,0),"")))</f>
        <v/>
      </c>
      <c r="AY126" s="8">
        <f>IF(E126="금융","금융업 - 정의되지 않음",IF(AND(ISNUMBER(AW126),ISNUMBER(N126),ISNUMBER(O126),ISNUMBER(AV126)),"영업순이익+감가상각-설비투자-운전자본증감",IF(AND(ISNUMBER(P126),ISNUMBER(O126)),IF(ISNUMBER(Q126),"영업현금흐름-설비투자-주식보상비용","영업현금흐름-설비투자(주식보상비용 미태깅)"),"산출불가")))</f>
        <v/>
      </c>
      <c r="AZ126" s="19">
        <f>IF(AND(ISNUMBER(AX126),ISNUMBER(G126),G126&lt;&gt;0),AX126/G126,"")</f>
        <v/>
      </c>
      <c r="BA126" s="19">
        <f>IF(AND(ISNUMBER(AE126),ISNUMBER(G126),G126&lt;&gt;0),AE126/G126,"")</f>
        <v/>
      </c>
    </row>
    <row r="127">
      <c r="A127" s="8" t="inlineStr">
        <is>
          <t>MU</t>
        </is>
      </c>
      <c r="B127" s="8" t="inlineStr">
        <is>
          <t>MICRON TECHNOLOGY INC</t>
        </is>
      </c>
      <c r="C127" s="8" t="n">
        <v>2018</v>
      </c>
      <c r="D127" s="8" t="inlineStr">
        <is>
          <t>2018-08-30</t>
        </is>
      </c>
      <c r="E127" s="8" t="inlineStr">
        <is>
          <t>일반</t>
        </is>
      </c>
      <c r="F127" s="8" t="inlineStr">
        <is>
          <t>0000723125-20-000082</t>
        </is>
      </c>
      <c r="G127" s="15" t="n">
        <v>30.391</v>
      </c>
      <c r="H127" s="15" t="n">
        <v>14.307</v>
      </c>
      <c r="I127" s="15" t="n"/>
      <c r="J127" s="15" t="n">
        <v>0.168</v>
      </c>
      <c r="K127" s="15" t="n">
        <v>14.994</v>
      </c>
      <c r="L127" s="15" t="n">
        <v>14.135</v>
      </c>
      <c r="M127" s="15" t="n"/>
      <c r="N127" s="15" t="n">
        <v>4.759</v>
      </c>
      <c r="O127" s="15" t="n">
        <v>8.879</v>
      </c>
      <c r="P127" s="15" t="n">
        <v>17.4</v>
      </c>
      <c r="Q127" s="15" t="n">
        <v>0.198</v>
      </c>
      <c r="R127" s="15" t="n">
        <v>32.294</v>
      </c>
      <c r="S127" s="15" t="n">
        <v>18.621</v>
      </c>
      <c r="T127" s="15" t="n">
        <v>6.802</v>
      </c>
      <c r="U127" s="15" t="n">
        <v>5.109</v>
      </c>
      <c r="V127" s="15" t="n">
        <v>0.859</v>
      </c>
      <c r="W127" s="15" t="n">
        <v>1.262</v>
      </c>
      <c r="X127" s="15" t="n">
        <v>3.777</v>
      </c>
      <c r="Y127" s="15" t="n">
        <v>16.039</v>
      </c>
      <c r="Z127" s="15" t="n">
        <v>12.457</v>
      </c>
      <c r="AA127" s="15" t="n">
        <v>5.754</v>
      </c>
      <c r="AB127" s="15" t="n">
        <v>5.334</v>
      </c>
      <c r="AC127" s="15" t="n">
        <v>24.646</v>
      </c>
      <c r="AD127" s="16" t="n">
        <v>1161</v>
      </c>
      <c r="AE127" s="17">
        <f>IF(ISNUMBER(K127),K127,IF(AND(ISNUMBER(H127),ISNUMBER(I127)),H127+I127,IF(ISNUMBER(H127),H127,"")))</f>
        <v/>
      </c>
      <c r="AF127" s="18">
        <f>IF(OR(NOT(ISNUMBER(J127)),NOT(ISNUMBER(H127)),H127&lt;=0),기준표!$B$8,MIN(MAX(J127/H127,기준표!$B$6),기준표!$B$7))</f>
        <v/>
      </c>
      <c r="AG127" s="17">
        <f>IF(ISNUMBER(AE127),AE127*(1-AF127),"")</f>
        <v/>
      </c>
      <c r="AH127" s="17">
        <f>IF(AND(NOT(ISNUMBER(V127)),NOT(ISNUMBER(X127))),"",IF(ISNUMBER(V127),V127,0)+IF(ISNUMBER(X127),X127,0))</f>
        <v/>
      </c>
      <c r="AI127" s="17">
        <f>IF(E127="금융","",IF(AND(ISNUMBER(R127),ISNUMBER(AH127),ISNUMBER(T127)),R127+AH127-T127,""))</f>
        <v/>
      </c>
      <c r="AJ127" s="17">
        <f>IF(E127="금융","",IF(NOT(ISNUMBER(AI127)),"",IF(ISNUMBER(AC127),(AI127+AC127)/2,AI127)))</f>
        <v/>
      </c>
      <c r="AK127" s="19">
        <f>IF(AND(ISNUMBER(AG127),ISNUMBER(AJ127),AJ127&gt;0),AG127/AJ127,"")</f>
        <v/>
      </c>
      <c r="AL127" s="17">
        <f>IF(E127="금융","",IF(AND(ISNUMBER(R127),ISNUMBER(AH127)),R127+AH127,""))</f>
        <v/>
      </c>
      <c r="AM127" s="19">
        <f>IF(OR(NOT(ISNUMBER(AG127)),NOT(ISNUMBER(AL127)),AL127&lt;=0),"",IF(AND(ISNUMBER(G127),AL127&lt;0.1*G127),"",AG127/AL127))</f>
        <v/>
      </c>
      <c r="AN127" s="17">
        <f>IF(NOT(ISNUMBER(R127)),"",IF(ISNUMBER(S127),(R127+S127)/2,R127))</f>
        <v/>
      </c>
      <c r="AO127" s="19">
        <f>IF(AND(ISNUMBER(L127),ISNUMBER(AN127),AN127&gt;0),L127/AN127,"")</f>
        <v/>
      </c>
      <c r="AP127" s="19">
        <f>IF(AND(ISNUMBER(AO127),ISNUMBER({ROIC})),AO127-{ROIC},"")</f>
        <v/>
      </c>
      <c r="AQ127" s="17">
        <f>IF(AND(ISNUMBER(AE127),ISNUMBER(N127)),AE127+N127,"")</f>
        <v/>
      </c>
      <c r="AR127" s="20">
        <f>IF(AND(ISNUMBER(AH127),ISNUMBER(T127),ISNUMBER(AQ127),AQ127&gt;0),(AH127-T127)/AQ127,"")</f>
        <v/>
      </c>
      <c r="AS127" s="20">
        <f>IF(AND(ISNUMBER(AE127),ISNUMBER(I127),I127&lt;&gt;0,AE127&gt;0),AE127/I127,"")</f>
        <v/>
      </c>
      <c r="AT127" s="17">
        <f>IF(AND(ISNUMBER(Y127),ISNUMBER(AA127)),Y127-IF(ISNUMBER(T127),T127,0)-(AA127-IF(ISNUMBER(V127),V127,0)),"")</f>
        <v/>
      </c>
      <c r="AU127" s="17">
        <f>IF(AND(ISNUMBER(Z127),ISNUMBER(AB127)),Z127-IF(ISNUMBER(U127),U127,0)-(AB127-IF(ISNUMBER(W127),W127,0)),"")</f>
        <v/>
      </c>
      <c r="AV127" s="17">
        <f>IF(AND(ISNUMBER(AT127),ISNUMBER(AU127)),AT127-AU127,"")</f>
        <v/>
      </c>
      <c r="AW127" s="17">
        <f>IF(AND(ISNUMBER(L127),ISNUMBER(M127),ISNUMBER(AF127)),L127-M127*(1-AF127),IF(ISNUMBER(L127),L127,""))</f>
        <v/>
      </c>
      <c r="AX127" s="17">
        <f>IF(E127="금융","",IF(AND(ISNUMBER(AW127),ISNUMBER(N127),ISNUMBER(O127),ISNUMBER(AV127)),AW127+N127-O127-AV127,IF(AND(ISNUMBER(P127),ISNUMBER(O127)),P127-O127-IF(ISNUMBER(Q127),Q127,0),"")))</f>
        <v/>
      </c>
      <c r="AY127" s="8">
        <f>IF(E127="금융","금융업 - 정의되지 않음",IF(AND(ISNUMBER(AW127),ISNUMBER(N127),ISNUMBER(O127),ISNUMBER(AV127)),"영업순이익+감가상각-설비투자-운전자본증감",IF(AND(ISNUMBER(P127),ISNUMBER(O127)),IF(ISNUMBER(Q127),"영업현금흐름-설비투자-주식보상비용","영업현금흐름-설비투자(주식보상비용 미태깅)"),"산출불가")))</f>
        <v/>
      </c>
      <c r="AZ127" s="19">
        <f>IF(AND(ISNUMBER(AX127),ISNUMBER(G127),G127&lt;&gt;0),AX127/G127,"")</f>
        <v/>
      </c>
      <c r="BA127" s="19">
        <f>IF(AND(ISNUMBER(AE127),ISNUMBER(G127),G127&lt;&gt;0),AE127/G127,"")</f>
        <v/>
      </c>
    </row>
    <row r="128">
      <c r="A128" s="8" t="inlineStr">
        <is>
          <t>MU</t>
        </is>
      </c>
      <c r="B128" s="8" t="inlineStr">
        <is>
          <t>MICRON TECHNOLOGY INC</t>
        </is>
      </c>
      <c r="C128" s="8" t="n">
        <v>2019</v>
      </c>
      <c r="D128" s="8" t="inlineStr">
        <is>
          <t>2019-08-29</t>
        </is>
      </c>
      <c r="E128" s="8" t="inlineStr">
        <is>
          <t>일반</t>
        </is>
      </c>
      <c r="F128" s="8" t="inlineStr">
        <is>
          <t>0000723125-21-000065</t>
        </is>
      </c>
      <c r="G128" s="15" t="n">
        <v>23.406</v>
      </c>
      <c r="H128" s="15" t="n">
        <v>7.048</v>
      </c>
      <c r="I128" s="15" t="n"/>
      <c r="J128" s="15" t="n">
        <v>0.6929999999999999</v>
      </c>
      <c r="K128" s="15" t="n">
        <v>7.376</v>
      </c>
      <c r="L128" s="15" t="n">
        <v>6.313</v>
      </c>
      <c r="M128" s="15" t="n">
        <v>-0.004</v>
      </c>
      <c r="N128" s="15" t="n">
        <v>5.424</v>
      </c>
      <c r="O128" s="15" t="n">
        <v>9.779999999999999</v>
      </c>
      <c r="P128" s="15" t="n">
        <v>13.189</v>
      </c>
      <c r="Q128" s="15" t="n">
        <v>0.243</v>
      </c>
      <c r="R128" s="15" t="n">
        <v>35.881</v>
      </c>
      <c r="S128" s="15" t="n">
        <v>32.294</v>
      </c>
      <c r="T128" s="15" t="n">
        <v>7.955</v>
      </c>
      <c r="U128" s="15" t="n">
        <v>6.802</v>
      </c>
      <c r="V128" s="15" t="n">
        <v>1.31</v>
      </c>
      <c r="W128" s="15" t="n">
        <v>0.859</v>
      </c>
      <c r="X128" s="15" t="n">
        <v>4.541</v>
      </c>
      <c r="Y128" s="15" t="n">
        <v>16.503</v>
      </c>
      <c r="Z128" s="15" t="n">
        <v>16.039</v>
      </c>
      <c r="AA128" s="15" t="n">
        <v>6.39</v>
      </c>
      <c r="AB128" s="15" t="n">
        <v>5.754</v>
      </c>
      <c r="AC128" s="15" t="n">
        <v>30.128</v>
      </c>
      <c r="AD128" s="16" t="n">
        <v>1106</v>
      </c>
      <c r="AE128" s="17">
        <f>IF(ISNUMBER(K128),K128,IF(AND(ISNUMBER(H128),ISNUMBER(I128)),H128+I128,IF(ISNUMBER(H128),H128,"")))</f>
        <v/>
      </c>
      <c r="AF128" s="18">
        <f>IF(OR(NOT(ISNUMBER(J128)),NOT(ISNUMBER(H128)),H128&lt;=0),기준표!$B$8,MIN(MAX(J128/H128,기준표!$B$6),기준표!$B$7))</f>
        <v/>
      </c>
      <c r="AG128" s="17">
        <f>IF(ISNUMBER(AE128),AE128*(1-AF128),"")</f>
        <v/>
      </c>
      <c r="AH128" s="17">
        <f>IF(AND(NOT(ISNUMBER(V128)),NOT(ISNUMBER(X128))),"",IF(ISNUMBER(V128),V128,0)+IF(ISNUMBER(X128),X128,0))</f>
        <v/>
      </c>
      <c r="AI128" s="17">
        <f>IF(E128="금융","",IF(AND(ISNUMBER(R128),ISNUMBER(AH128),ISNUMBER(T128)),R128+AH128-T128,""))</f>
        <v/>
      </c>
      <c r="AJ128" s="17">
        <f>IF(E128="금융","",IF(NOT(ISNUMBER(AI128)),"",IF(ISNUMBER(AC128),(AI128+AC128)/2,AI128)))</f>
        <v/>
      </c>
      <c r="AK128" s="19">
        <f>IF(AND(ISNUMBER(AG128),ISNUMBER(AJ128),AJ128&gt;0),AG128/AJ128,"")</f>
        <v/>
      </c>
      <c r="AL128" s="17">
        <f>IF(E128="금융","",IF(AND(ISNUMBER(R128),ISNUMBER(AH128)),R128+AH128,""))</f>
        <v/>
      </c>
      <c r="AM128" s="19">
        <f>IF(OR(NOT(ISNUMBER(AG128)),NOT(ISNUMBER(AL128)),AL128&lt;=0),"",IF(AND(ISNUMBER(G128),AL128&lt;0.1*G128),"",AG128/AL128))</f>
        <v/>
      </c>
      <c r="AN128" s="17">
        <f>IF(NOT(ISNUMBER(R128)),"",IF(ISNUMBER(S128),(R128+S128)/2,R128))</f>
        <v/>
      </c>
      <c r="AO128" s="19">
        <f>IF(AND(ISNUMBER(L128),ISNUMBER(AN128),AN128&gt;0),L128/AN128,"")</f>
        <v/>
      </c>
      <c r="AP128" s="19">
        <f>IF(AND(ISNUMBER(AO128),ISNUMBER({ROIC})),AO128-{ROIC},"")</f>
        <v/>
      </c>
      <c r="AQ128" s="17">
        <f>IF(AND(ISNUMBER(AE128),ISNUMBER(N128)),AE128+N128,"")</f>
        <v/>
      </c>
      <c r="AR128" s="20">
        <f>IF(AND(ISNUMBER(AH128),ISNUMBER(T128),ISNUMBER(AQ128),AQ128&gt;0),(AH128-T128)/AQ128,"")</f>
        <v/>
      </c>
      <c r="AS128" s="20">
        <f>IF(AND(ISNUMBER(AE128),ISNUMBER(I128),I128&lt;&gt;0,AE128&gt;0),AE128/I128,"")</f>
        <v/>
      </c>
      <c r="AT128" s="17">
        <f>IF(AND(ISNUMBER(Y128),ISNUMBER(AA128)),Y128-IF(ISNUMBER(T128),T128,0)-(AA128-IF(ISNUMBER(V128),V128,0)),"")</f>
        <v/>
      </c>
      <c r="AU128" s="17">
        <f>IF(AND(ISNUMBER(Z128),ISNUMBER(AB128)),Z128-IF(ISNUMBER(U128),U128,0)-(AB128-IF(ISNUMBER(W128),W128,0)),"")</f>
        <v/>
      </c>
      <c r="AV128" s="17">
        <f>IF(AND(ISNUMBER(AT128),ISNUMBER(AU128)),AT128-AU128,"")</f>
        <v/>
      </c>
      <c r="AW128" s="17">
        <f>IF(AND(ISNUMBER(L128),ISNUMBER(M128),ISNUMBER(AF128)),L128-M128*(1-AF128),IF(ISNUMBER(L128),L128,""))</f>
        <v/>
      </c>
      <c r="AX128" s="17">
        <f>IF(E128="금융","",IF(AND(ISNUMBER(AW128),ISNUMBER(N128),ISNUMBER(O128),ISNUMBER(AV128)),AW128+N128-O128-AV128,IF(AND(ISNUMBER(P128),ISNUMBER(O128)),P128-O128-IF(ISNUMBER(Q128),Q128,0),"")))</f>
        <v/>
      </c>
      <c r="AY128" s="8">
        <f>IF(E128="금융","금융업 - 정의되지 않음",IF(AND(ISNUMBER(AW128),ISNUMBER(N128),ISNUMBER(O128),ISNUMBER(AV128)),"영업순이익+감가상각-설비투자-운전자본증감",IF(AND(ISNUMBER(P128),ISNUMBER(O128)),IF(ISNUMBER(Q128),"영업현금흐름-설비투자-주식보상비용","영업현금흐름-설비투자(주식보상비용 미태깅)"),"산출불가")))</f>
        <v/>
      </c>
      <c r="AZ128" s="19">
        <f>IF(AND(ISNUMBER(AX128),ISNUMBER(G128),G128&lt;&gt;0),AX128/G128,"")</f>
        <v/>
      </c>
      <c r="BA128" s="19">
        <f>IF(AND(ISNUMBER(AE128),ISNUMBER(G128),G128&lt;&gt;0),AE128/G128,"")</f>
        <v/>
      </c>
    </row>
    <row r="129">
      <c r="A129" s="8" t="inlineStr">
        <is>
          <t>MU</t>
        </is>
      </c>
      <c r="B129" s="8" t="inlineStr">
        <is>
          <t>MICRON TECHNOLOGY INC</t>
        </is>
      </c>
      <c r="C129" s="8" t="n">
        <v>2020</v>
      </c>
      <c r="D129" s="8" t="inlineStr">
        <is>
          <t>2020-09-03</t>
        </is>
      </c>
      <c r="E129" s="8" t="inlineStr">
        <is>
          <t>일반</t>
        </is>
      </c>
      <c r="F129" s="8" t="inlineStr">
        <is>
          <t>0000723125-22-000048</t>
        </is>
      </c>
      <c r="G129" s="15" t="n">
        <v>21.435</v>
      </c>
      <c r="H129" s="15" t="n">
        <v>2.983</v>
      </c>
      <c r="I129" s="15" t="n"/>
      <c r="J129" s="15" t="n">
        <v>0.28</v>
      </c>
      <c r="K129" s="15" t="n">
        <v>3.003</v>
      </c>
      <c r="L129" s="15" t="n">
        <v>2.687</v>
      </c>
      <c r="M129" s="15" t="n">
        <v>0.022</v>
      </c>
      <c r="N129" s="15" t="n">
        <v>5.65</v>
      </c>
      <c r="O129" s="15" t="n">
        <v>8.223000000000001</v>
      </c>
      <c r="P129" s="15" t="n">
        <v>8.305999999999999</v>
      </c>
      <c r="Q129" s="15" t="n">
        <v>0.328</v>
      </c>
      <c r="R129" s="15" t="n">
        <v>38.996</v>
      </c>
      <c r="S129" s="15" t="n">
        <v>35.881</v>
      </c>
      <c r="T129" s="15" t="n">
        <v>8.141999999999999</v>
      </c>
      <c r="U129" s="15" t="n">
        <v>7.955</v>
      </c>
      <c r="V129" s="15" t="n">
        <v>0.27</v>
      </c>
      <c r="W129" s="15" t="n">
        <v>1.31</v>
      </c>
      <c r="X129" s="15" t="n">
        <v>6.373</v>
      </c>
      <c r="Y129" s="15" t="n">
        <v>17.965</v>
      </c>
      <c r="Z129" s="15" t="n">
        <v>16.503</v>
      </c>
      <c r="AA129" s="15" t="n">
        <v>6.635</v>
      </c>
      <c r="AB129" s="15" t="n">
        <v>6.39</v>
      </c>
      <c r="AC129" s="15" t="n">
        <v>33.777</v>
      </c>
      <c r="AD129" s="16" t="n">
        <v>1113</v>
      </c>
      <c r="AE129" s="17">
        <f>IF(ISNUMBER(K129),K129,IF(AND(ISNUMBER(H129),ISNUMBER(I129)),H129+I129,IF(ISNUMBER(H129),H129,"")))</f>
        <v/>
      </c>
      <c r="AF129" s="18">
        <f>IF(OR(NOT(ISNUMBER(J129)),NOT(ISNUMBER(H129)),H129&lt;=0),기준표!$B$8,MIN(MAX(J129/H129,기준표!$B$6),기준표!$B$7))</f>
        <v/>
      </c>
      <c r="AG129" s="17">
        <f>IF(ISNUMBER(AE129),AE129*(1-AF129),"")</f>
        <v/>
      </c>
      <c r="AH129" s="17">
        <f>IF(AND(NOT(ISNUMBER(V129)),NOT(ISNUMBER(X129))),"",IF(ISNUMBER(V129),V129,0)+IF(ISNUMBER(X129),X129,0))</f>
        <v/>
      </c>
      <c r="AI129" s="17">
        <f>IF(E129="금융","",IF(AND(ISNUMBER(R129),ISNUMBER(AH129),ISNUMBER(T129)),R129+AH129-T129,""))</f>
        <v/>
      </c>
      <c r="AJ129" s="17">
        <f>IF(E129="금융","",IF(NOT(ISNUMBER(AI129)),"",IF(ISNUMBER(AC129),(AI129+AC129)/2,AI129)))</f>
        <v/>
      </c>
      <c r="AK129" s="19">
        <f>IF(AND(ISNUMBER(AG129),ISNUMBER(AJ129),AJ129&gt;0),AG129/AJ129,"")</f>
        <v/>
      </c>
      <c r="AL129" s="17">
        <f>IF(E129="금융","",IF(AND(ISNUMBER(R129),ISNUMBER(AH129)),R129+AH129,""))</f>
        <v/>
      </c>
      <c r="AM129" s="19">
        <f>IF(OR(NOT(ISNUMBER(AG129)),NOT(ISNUMBER(AL129)),AL129&lt;=0),"",IF(AND(ISNUMBER(G129),AL129&lt;0.1*G129),"",AG129/AL129))</f>
        <v/>
      </c>
      <c r="AN129" s="17">
        <f>IF(NOT(ISNUMBER(R129)),"",IF(ISNUMBER(S129),(R129+S129)/2,R129))</f>
        <v/>
      </c>
      <c r="AO129" s="19">
        <f>IF(AND(ISNUMBER(L129),ISNUMBER(AN129),AN129&gt;0),L129/AN129,"")</f>
        <v/>
      </c>
      <c r="AP129" s="19">
        <f>IF(AND(ISNUMBER(AO129),ISNUMBER({ROIC})),AO129-{ROIC},"")</f>
        <v/>
      </c>
      <c r="AQ129" s="17">
        <f>IF(AND(ISNUMBER(AE129),ISNUMBER(N129)),AE129+N129,"")</f>
        <v/>
      </c>
      <c r="AR129" s="20">
        <f>IF(AND(ISNUMBER(AH129),ISNUMBER(T129),ISNUMBER(AQ129),AQ129&gt;0),(AH129-T129)/AQ129,"")</f>
        <v/>
      </c>
      <c r="AS129" s="20">
        <f>IF(AND(ISNUMBER(AE129),ISNUMBER(I129),I129&lt;&gt;0,AE129&gt;0),AE129/I129,"")</f>
        <v/>
      </c>
      <c r="AT129" s="17">
        <f>IF(AND(ISNUMBER(Y129),ISNUMBER(AA129)),Y129-IF(ISNUMBER(T129),T129,0)-(AA129-IF(ISNUMBER(V129),V129,0)),"")</f>
        <v/>
      </c>
      <c r="AU129" s="17">
        <f>IF(AND(ISNUMBER(Z129),ISNUMBER(AB129)),Z129-IF(ISNUMBER(U129),U129,0)-(AB129-IF(ISNUMBER(W129),W129,0)),"")</f>
        <v/>
      </c>
      <c r="AV129" s="17">
        <f>IF(AND(ISNUMBER(AT129),ISNUMBER(AU129)),AT129-AU129,"")</f>
        <v/>
      </c>
      <c r="AW129" s="17">
        <f>IF(AND(ISNUMBER(L129),ISNUMBER(M129),ISNUMBER(AF129)),L129-M129*(1-AF129),IF(ISNUMBER(L129),L129,""))</f>
        <v/>
      </c>
      <c r="AX129" s="17">
        <f>IF(E129="금융","",IF(AND(ISNUMBER(AW129),ISNUMBER(N129),ISNUMBER(O129),ISNUMBER(AV129)),AW129+N129-O129-AV129,IF(AND(ISNUMBER(P129),ISNUMBER(O129)),P129-O129-IF(ISNUMBER(Q129),Q129,0),"")))</f>
        <v/>
      </c>
      <c r="AY129" s="8">
        <f>IF(E129="금융","금융업 - 정의되지 않음",IF(AND(ISNUMBER(AW129),ISNUMBER(N129),ISNUMBER(O129),ISNUMBER(AV129)),"영업순이익+감가상각-설비투자-운전자본증감",IF(AND(ISNUMBER(P129),ISNUMBER(O129)),IF(ISNUMBER(Q129),"영업현금흐름-설비투자-주식보상비용","영업현금흐름-설비투자(주식보상비용 미태깅)"),"산출불가")))</f>
        <v/>
      </c>
      <c r="AZ129" s="19">
        <f>IF(AND(ISNUMBER(AX129),ISNUMBER(G129),G129&lt;&gt;0),AX129/G129,"")</f>
        <v/>
      </c>
      <c r="BA129" s="19">
        <f>IF(AND(ISNUMBER(AE129),ISNUMBER(G129),G129&lt;&gt;0),AE129/G129,"")</f>
        <v/>
      </c>
    </row>
    <row r="130">
      <c r="A130" s="8" t="inlineStr">
        <is>
          <t>MU</t>
        </is>
      </c>
      <c r="B130" s="8" t="inlineStr">
        <is>
          <t>MICRON TECHNOLOGY INC</t>
        </is>
      </c>
      <c r="C130" s="8" t="n">
        <v>2021</v>
      </c>
      <c r="D130" s="8" t="inlineStr">
        <is>
          <t>2021-09-02</t>
        </is>
      </c>
      <c r="E130" s="8" t="inlineStr">
        <is>
          <t>일반</t>
        </is>
      </c>
      <c r="F130" s="8" t="inlineStr">
        <is>
          <t>0000723125-23-000054</t>
        </is>
      </c>
      <c r="G130" s="15" t="n">
        <v>27.705</v>
      </c>
      <c r="H130" s="15" t="n">
        <v>6.218</v>
      </c>
      <c r="I130" s="15" t="n"/>
      <c r="J130" s="15" t="n">
        <v>0.394</v>
      </c>
      <c r="K130" s="15" t="n">
        <v>6.283</v>
      </c>
      <c r="L130" s="15" t="n">
        <v>5.861</v>
      </c>
      <c r="M130" s="15" t="n">
        <v>0.082</v>
      </c>
      <c r="N130" s="15" t="n">
        <v>6.214</v>
      </c>
      <c r="O130" s="15" t="n">
        <v>10.03</v>
      </c>
      <c r="P130" s="15" t="n">
        <v>12.468</v>
      </c>
      <c r="Q130" s="15" t="n">
        <v>0.378</v>
      </c>
      <c r="R130" s="15" t="n">
        <v>43.933</v>
      </c>
      <c r="S130" s="15" t="n">
        <v>38.996</v>
      </c>
      <c r="T130" s="15" t="n">
        <v>8.632999999999999</v>
      </c>
      <c r="U130" s="15" t="n">
        <v>8.141999999999999</v>
      </c>
      <c r="V130" s="15" t="n">
        <v>0.155</v>
      </c>
      <c r="W130" s="15" t="n">
        <v>0.27</v>
      </c>
      <c r="X130" s="15" t="n">
        <v>6.621</v>
      </c>
      <c r="Y130" s="15" t="n">
        <v>19.907</v>
      </c>
      <c r="Z130" s="15" t="n">
        <v>17.965</v>
      </c>
      <c r="AA130" s="15" t="n">
        <v>6.424</v>
      </c>
      <c r="AB130" s="15" t="n">
        <v>6.635</v>
      </c>
      <c r="AC130" s="15" t="n">
        <v>37.497</v>
      </c>
      <c r="AD130" s="16" t="n">
        <v>1119</v>
      </c>
      <c r="AE130" s="17">
        <f>IF(ISNUMBER(K130),K130,IF(AND(ISNUMBER(H130),ISNUMBER(I130)),H130+I130,IF(ISNUMBER(H130),H130,"")))</f>
        <v/>
      </c>
      <c r="AF130" s="18">
        <f>IF(OR(NOT(ISNUMBER(J130)),NOT(ISNUMBER(H130)),H130&lt;=0),기준표!$B$8,MIN(MAX(J130/H130,기준표!$B$6),기준표!$B$7))</f>
        <v/>
      </c>
      <c r="AG130" s="17">
        <f>IF(ISNUMBER(AE130),AE130*(1-AF130),"")</f>
        <v/>
      </c>
      <c r="AH130" s="17">
        <f>IF(AND(NOT(ISNUMBER(V130)),NOT(ISNUMBER(X130))),"",IF(ISNUMBER(V130),V130,0)+IF(ISNUMBER(X130),X130,0))</f>
        <v/>
      </c>
      <c r="AI130" s="17">
        <f>IF(E130="금융","",IF(AND(ISNUMBER(R130),ISNUMBER(AH130),ISNUMBER(T130)),R130+AH130-T130,""))</f>
        <v/>
      </c>
      <c r="AJ130" s="17">
        <f>IF(E130="금융","",IF(NOT(ISNUMBER(AI130)),"",IF(ISNUMBER(AC130),(AI130+AC130)/2,AI130)))</f>
        <v/>
      </c>
      <c r="AK130" s="19">
        <f>IF(AND(ISNUMBER(AG130),ISNUMBER(AJ130),AJ130&gt;0),AG130/AJ130,"")</f>
        <v/>
      </c>
      <c r="AL130" s="17">
        <f>IF(E130="금융","",IF(AND(ISNUMBER(R130),ISNUMBER(AH130)),R130+AH130,""))</f>
        <v/>
      </c>
      <c r="AM130" s="19">
        <f>IF(OR(NOT(ISNUMBER(AG130)),NOT(ISNUMBER(AL130)),AL130&lt;=0),"",IF(AND(ISNUMBER(G130),AL130&lt;0.1*G130),"",AG130/AL130))</f>
        <v/>
      </c>
      <c r="AN130" s="17">
        <f>IF(NOT(ISNUMBER(R130)),"",IF(ISNUMBER(S130),(R130+S130)/2,R130))</f>
        <v/>
      </c>
      <c r="AO130" s="19">
        <f>IF(AND(ISNUMBER(L130),ISNUMBER(AN130),AN130&gt;0),L130/AN130,"")</f>
        <v/>
      </c>
      <c r="AP130" s="19">
        <f>IF(AND(ISNUMBER(AO130),ISNUMBER({ROIC})),AO130-{ROIC},"")</f>
        <v/>
      </c>
      <c r="AQ130" s="17">
        <f>IF(AND(ISNUMBER(AE130),ISNUMBER(N130)),AE130+N130,"")</f>
        <v/>
      </c>
      <c r="AR130" s="20">
        <f>IF(AND(ISNUMBER(AH130),ISNUMBER(T130),ISNUMBER(AQ130),AQ130&gt;0),(AH130-T130)/AQ130,"")</f>
        <v/>
      </c>
      <c r="AS130" s="20">
        <f>IF(AND(ISNUMBER(AE130),ISNUMBER(I130),I130&lt;&gt;0,AE130&gt;0),AE130/I130,"")</f>
        <v/>
      </c>
      <c r="AT130" s="17">
        <f>IF(AND(ISNUMBER(Y130),ISNUMBER(AA130)),Y130-IF(ISNUMBER(T130),T130,0)-(AA130-IF(ISNUMBER(V130),V130,0)),"")</f>
        <v/>
      </c>
      <c r="AU130" s="17">
        <f>IF(AND(ISNUMBER(Z130),ISNUMBER(AB130)),Z130-IF(ISNUMBER(U130),U130,0)-(AB130-IF(ISNUMBER(W130),W130,0)),"")</f>
        <v/>
      </c>
      <c r="AV130" s="17">
        <f>IF(AND(ISNUMBER(AT130),ISNUMBER(AU130)),AT130-AU130,"")</f>
        <v/>
      </c>
      <c r="AW130" s="17">
        <f>IF(AND(ISNUMBER(L130),ISNUMBER(M130),ISNUMBER(AF130)),L130-M130*(1-AF130),IF(ISNUMBER(L130),L130,""))</f>
        <v/>
      </c>
      <c r="AX130" s="17">
        <f>IF(E130="금융","",IF(AND(ISNUMBER(AW130),ISNUMBER(N130),ISNUMBER(O130),ISNUMBER(AV130)),AW130+N130-O130-AV130,IF(AND(ISNUMBER(P130),ISNUMBER(O130)),P130-O130-IF(ISNUMBER(Q130),Q130,0),"")))</f>
        <v/>
      </c>
      <c r="AY130" s="8">
        <f>IF(E130="금융","금융업 - 정의되지 않음",IF(AND(ISNUMBER(AW130),ISNUMBER(N130),ISNUMBER(O130),ISNUMBER(AV130)),"영업순이익+감가상각-설비투자-운전자본증감",IF(AND(ISNUMBER(P130),ISNUMBER(O130)),IF(ISNUMBER(Q130),"영업현금흐름-설비투자-주식보상비용","영업현금흐름-설비투자(주식보상비용 미태깅)"),"산출불가")))</f>
        <v/>
      </c>
      <c r="AZ130" s="19">
        <f>IF(AND(ISNUMBER(AX130),ISNUMBER(G130),G130&lt;&gt;0),AX130/G130,"")</f>
        <v/>
      </c>
      <c r="BA130" s="19">
        <f>IF(AND(ISNUMBER(AE130),ISNUMBER(G130),G130&lt;&gt;0),AE130/G130,"")</f>
        <v/>
      </c>
    </row>
    <row r="131">
      <c r="A131" s="8" t="inlineStr">
        <is>
          <t>MU</t>
        </is>
      </c>
      <c r="B131" s="8" t="inlineStr">
        <is>
          <t>MICRON TECHNOLOGY INC</t>
        </is>
      </c>
      <c r="C131" s="8" t="n">
        <v>2022</v>
      </c>
      <c r="D131" s="8" t="inlineStr">
        <is>
          <t>2022-09-01</t>
        </is>
      </c>
      <c r="E131" s="8" t="inlineStr">
        <is>
          <t>일반</t>
        </is>
      </c>
      <c r="F131" s="8" t="inlineStr">
        <is>
          <t>0000723125-24-000027</t>
        </is>
      </c>
      <c r="G131" s="15" t="n">
        <v>30.758</v>
      </c>
      <c r="H131" s="15" t="n">
        <v>9.571</v>
      </c>
      <c r="I131" s="15" t="n">
        <v>0.189</v>
      </c>
      <c r="J131" s="15" t="n">
        <v>0.888</v>
      </c>
      <c r="K131" s="15" t="n">
        <v>9.702</v>
      </c>
      <c r="L131" s="15" t="n">
        <v>8.686999999999999</v>
      </c>
      <c r="M131" s="15" t="n">
        <v>0.026</v>
      </c>
      <c r="N131" s="15" t="n">
        <v>7.116</v>
      </c>
      <c r="O131" s="15" t="n">
        <v>12.067</v>
      </c>
      <c r="P131" s="15" t="n">
        <v>15.181</v>
      </c>
      <c r="Q131" s="15" t="n">
        <v>0.514</v>
      </c>
      <c r="R131" s="15" t="n">
        <v>49.907</v>
      </c>
      <c r="S131" s="15" t="n">
        <v>43.933</v>
      </c>
      <c r="T131" s="15" t="n">
        <v>9.331</v>
      </c>
      <c r="U131" s="15" t="n">
        <v>8.632999999999999</v>
      </c>
      <c r="V131" s="15" t="n">
        <v>0.103</v>
      </c>
      <c r="W131" s="15" t="n">
        <v>0.155</v>
      </c>
      <c r="X131" s="15" t="n">
        <v>6.803</v>
      </c>
      <c r="Y131" s="15" t="n">
        <v>21.781</v>
      </c>
      <c r="Z131" s="15" t="n">
        <v>19.907</v>
      </c>
      <c r="AA131" s="15" t="n">
        <v>7.539</v>
      </c>
      <c r="AB131" s="15" t="n">
        <v>6.424</v>
      </c>
      <c r="AC131" s="15" t="n">
        <v>42.076</v>
      </c>
      <c r="AD131" s="16" t="n">
        <v>1094</v>
      </c>
      <c r="AE131" s="17">
        <f>IF(ISNUMBER(K131),K131,IF(AND(ISNUMBER(H131),ISNUMBER(I131)),H131+I131,IF(ISNUMBER(H131),H131,"")))</f>
        <v/>
      </c>
      <c r="AF131" s="18">
        <f>IF(OR(NOT(ISNUMBER(J131)),NOT(ISNUMBER(H131)),H131&lt;=0),기준표!$B$8,MIN(MAX(J131/H131,기준표!$B$6),기준표!$B$7))</f>
        <v/>
      </c>
      <c r="AG131" s="17">
        <f>IF(ISNUMBER(AE131),AE131*(1-AF131),"")</f>
        <v/>
      </c>
      <c r="AH131" s="17">
        <f>IF(AND(NOT(ISNUMBER(V131)),NOT(ISNUMBER(X131))),"",IF(ISNUMBER(V131),V131,0)+IF(ISNUMBER(X131),X131,0))</f>
        <v/>
      </c>
      <c r="AI131" s="17">
        <f>IF(E131="금융","",IF(AND(ISNUMBER(R131),ISNUMBER(AH131),ISNUMBER(T131)),R131+AH131-T131,""))</f>
        <v/>
      </c>
      <c r="AJ131" s="17">
        <f>IF(E131="금융","",IF(NOT(ISNUMBER(AI131)),"",IF(ISNUMBER(AC131),(AI131+AC131)/2,AI131)))</f>
        <v/>
      </c>
      <c r="AK131" s="19">
        <f>IF(AND(ISNUMBER(AG131),ISNUMBER(AJ131),AJ131&gt;0),AG131/AJ131,"")</f>
        <v/>
      </c>
      <c r="AL131" s="17">
        <f>IF(E131="금융","",IF(AND(ISNUMBER(R131),ISNUMBER(AH131)),R131+AH131,""))</f>
        <v/>
      </c>
      <c r="AM131" s="19">
        <f>IF(OR(NOT(ISNUMBER(AG131)),NOT(ISNUMBER(AL131)),AL131&lt;=0),"",IF(AND(ISNUMBER(G131),AL131&lt;0.1*G131),"",AG131/AL131))</f>
        <v/>
      </c>
      <c r="AN131" s="17">
        <f>IF(NOT(ISNUMBER(R131)),"",IF(ISNUMBER(S131),(R131+S131)/2,R131))</f>
        <v/>
      </c>
      <c r="AO131" s="19">
        <f>IF(AND(ISNUMBER(L131),ISNUMBER(AN131),AN131&gt;0),L131/AN131,"")</f>
        <v/>
      </c>
      <c r="AP131" s="19">
        <f>IF(AND(ISNUMBER(AO131),ISNUMBER({ROIC})),AO131-{ROIC},"")</f>
        <v/>
      </c>
      <c r="AQ131" s="17">
        <f>IF(AND(ISNUMBER(AE131),ISNUMBER(N131)),AE131+N131,"")</f>
        <v/>
      </c>
      <c r="AR131" s="20">
        <f>IF(AND(ISNUMBER(AH131),ISNUMBER(T131),ISNUMBER(AQ131),AQ131&gt;0),(AH131-T131)/AQ131,"")</f>
        <v/>
      </c>
      <c r="AS131" s="20">
        <f>IF(AND(ISNUMBER(AE131),ISNUMBER(I131),I131&lt;&gt;0,AE131&gt;0),AE131/I131,"")</f>
        <v/>
      </c>
      <c r="AT131" s="17">
        <f>IF(AND(ISNUMBER(Y131),ISNUMBER(AA131)),Y131-IF(ISNUMBER(T131),T131,0)-(AA131-IF(ISNUMBER(V131),V131,0)),"")</f>
        <v/>
      </c>
      <c r="AU131" s="17">
        <f>IF(AND(ISNUMBER(Z131),ISNUMBER(AB131)),Z131-IF(ISNUMBER(U131),U131,0)-(AB131-IF(ISNUMBER(W131),W131,0)),"")</f>
        <v/>
      </c>
      <c r="AV131" s="17">
        <f>IF(AND(ISNUMBER(AT131),ISNUMBER(AU131)),AT131-AU131,"")</f>
        <v/>
      </c>
      <c r="AW131" s="17">
        <f>IF(AND(ISNUMBER(L131),ISNUMBER(M131),ISNUMBER(AF131)),L131-M131*(1-AF131),IF(ISNUMBER(L131),L131,""))</f>
        <v/>
      </c>
      <c r="AX131" s="17">
        <f>IF(E131="금융","",IF(AND(ISNUMBER(AW131),ISNUMBER(N131),ISNUMBER(O131),ISNUMBER(AV131)),AW131+N131-O131-AV131,IF(AND(ISNUMBER(P131),ISNUMBER(O131)),P131-O131-IF(ISNUMBER(Q131),Q131,0),"")))</f>
        <v/>
      </c>
      <c r="AY131" s="8">
        <f>IF(E131="금융","금융업 - 정의되지 않음",IF(AND(ISNUMBER(AW131),ISNUMBER(N131),ISNUMBER(O131),ISNUMBER(AV131)),"영업순이익+감가상각-설비투자-운전자본증감",IF(AND(ISNUMBER(P131),ISNUMBER(O131)),IF(ISNUMBER(Q131),"영업현금흐름-설비투자-주식보상비용","영업현금흐름-설비투자(주식보상비용 미태깅)"),"산출불가")))</f>
        <v/>
      </c>
      <c r="AZ131" s="19">
        <f>IF(AND(ISNUMBER(AX131),ISNUMBER(G131),G131&lt;&gt;0),AX131/G131,"")</f>
        <v/>
      </c>
      <c r="BA131" s="19">
        <f>IF(AND(ISNUMBER(AE131),ISNUMBER(G131),G131&lt;&gt;0),AE131/G131,"")</f>
        <v/>
      </c>
    </row>
    <row r="132">
      <c r="A132" s="8" t="inlineStr">
        <is>
          <t>MU</t>
        </is>
      </c>
      <c r="B132" s="8" t="inlineStr">
        <is>
          <t>MICRON TECHNOLOGY INC</t>
        </is>
      </c>
      <c r="C132" s="8" t="n">
        <v>2023</v>
      </c>
      <c r="D132" s="8" t="inlineStr">
        <is>
          <t>2023-08-31</t>
        </is>
      </c>
      <c r="E132" s="8" t="inlineStr">
        <is>
          <t>일반</t>
        </is>
      </c>
      <c r="F132" s="8" t="inlineStr">
        <is>
          <t>0000723125-25-000028</t>
        </is>
      </c>
      <c r="G132" s="15" t="n">
        <v>15.54</v>
      </c>
      <c r="H132" s="15" t="n">
        <v>-5.658</v>
      </c>
      <c r="I132" s="15" t="n">
        <v>0.388</v>
      </c>
      <c r="J132" s="15" t="n">
        <v>0.177</v>
      </c>
      <c r="K132" s="15" t="n">
        <v>-5.745</v>
      </c>
      <c r="L132" s="15" t="n">
        <v>-5.833</v>
      </c>
      <c r="M132" s="15" t="n">
        <v>-0.008</v>
      </c>
      <c r="N132" s="15" t="n">
        <v>7.756</v>
      </c>
      <c r="O132" s="15" t="n">
        <v>7.676</v>
      </c>
      <c r="P132" s="15" t="n">
        <v>1.559</v>
      </c>
      <c r="Q132" s="15" t="n">
        <v>0.596</v>
      </c>
      <c r="R132" s="15" t="n">
        <v>44.12</v>
      </c>
      <c r="S132" s="15" t="n">
        <v>49.907</v>
      </c>
      <c r="T132" s="15" t="n">
        <v>9.593999999999999</v>
      </c>
      <c r="U132" s="15" t="n">
        <v>9.331</v>
      </c>
      <c r="V132" s="15" t="n">
        <v>0.278</v>
      </c>
      <c r="W132" s="15" t="n">
        <v>0.103</v>
      </c>
      <c r="X132" s="15" t="n">
        <v>13.052</v>
      </c>
      <c r="Y132" s="15" t="n">
        <v>21.244</v>
      </c>
      <c r="Z132" s="15" t="n">
        <v>21.781</v>
      </c>
      <c r="AA132" s="15" t="n">
        <v>4.765</v>
      </c>
      <c r="AB132" s="15" t="n">
        <v>7.539</v>
      </c>
      <c r="AC132" s="15" t="n">
        <v>47.482</v>
      </c>
      <c r="AD132" s="16" t="n">
        <v>1098</v>
      </c>
      <c r="AE132" s="17">
        <f>IF(ISNUMBER(K132),K132,IF(AND(ISNUMBER(H132),ISNUMBER(I132)),H132+I132,IF(ISNUMBER(H132),H132,"")))</f>
        <v/>
      </c>
      <c r="AF132" s="18">
        <f>IF(OR(NOT(ISNUMBER(J132)),NOT(ISNUMBER(H132)),H132&lt;=0),기준표!$B$8,MIN(MAX(J132/H132,기준표!$B$6),기준표!$B$7))</f>
        <v/>
      </c>
      <c r="AG132" s="17">
        <f>IF(ISNUMBER(AE132),AE132*(1-AF132),"")</f>
        <v/>
      </c>
      <c r="AH132" s="17">
        <f>IF(AND(NOT(ISNUMBER(V132)),NOT(ISNUMBER(X132))),"",IF(ISNUMBER(V132),V132,0)+IF(ISNUMBER(X132),X132,0))</f>
        <v/>
      </c>
      <c r="AI132" s="17">
        <f>IF(E132="금융","",IF(AND(ISNUMBER(R132),ISNUMBER(AH132),ISNUMBER(T132)),R132+AH132-T132,""))</f>
        <v/>
      </c>
      <c r="AJ132" s="17">
        <f>IF(E132="금융","",IF(NOT(ISNUMBER(AI132)),"",IF(ISNUMBER(AC132),(AI132+AC132)/2,AI132)))</f>
        <v/>
      </c>
      <c r="AK132" s="19">
        <f>IF(AND(ISNUMBER(AG132),ISNUMBER(AJ132),AJ132&gt;0),AG132/AJ132,"")</f>
        <v/>
      </c>
      <c r="AL132" s="17">
        <f>IF(E132="금융","",IF(AND(ISNUMBER(R132),ISNUMBER(AH132)),R132+AH132,""))</f>
        <v/>
      </c>
      <c r="AM132" s="19">
        <f>IF(OR(NOT(ISNUMBER(AG132)),NOT(ISNUMBER(AL132)),AL132&lt;=0),"",IF(AND(ISNUMBER(G132),AL132&lt;0.1*G132),"",AG132/AL132))</f>
        <v/>
      </c>
      <c r="AN132" s="17">
        <f>IF(NOT(ISNUMBER(R132)),"",IF(ISNUMBER(S132),(R132+S132)/2,R132))</f>
        <v/>
      </c>
      <c r="AO132" s="19">
        <f>IF(AND(ISNUMBER(L132),ISNUMBER(AN132),AN132&gt;0),L132/AN132,"")</f>
        <v/>
      </c>
      <c r="AP132" s="19">
        <f>IF(AND(ISNUMBER(AO132),ISNUMBER({ROIC})),AO132-{ROIC},"")</f>
        <v/>
      </c>
      <c r="AQ132" s="17">
        <f>IF(AND(ISNUMBER(AE132),ISNUMBER(N132)),AE132+N132,"")</f>
        <v/>
      </c>
      <c r="AR132" s="20">
        <f>IF(AND(ISNUMBER(AH132),ISNUMBER(T132),ISNUMBER(AQ132),AQ132&gt;0),(AH132-T132)/AQ132,"")</f>
        <v/>
      </c>
      <c r="AS132" s="20">
        <f>IF(AND(ISNUMBER(AE132),ISNUMBER(I132),I132&lt;&gt;0,AE132&gt;0),AE132/I132,"")</f>
        <v/>
      </c>
      <c r="AT132" s="17">
        <f>IF(AND(ISNUMBER(Y132),ISNUMBER(AA132)),Y132-IF(ISNUMBER(T132),T132,0)-(AA132-IF(ISNUMBER(V132),V132,0)),"")</f>
        <v/>
      </c>
      <c r="AU132" s="17">
        <f>IF(AND(ISNUMBER(Z132),ISNUMBER(AB132)),Z132-IF(ISNUMBER(U132),U132,0)-(AB132-IF(ISNUMBER(W132),W132,0)),"")</f>
        <v/>
      </c>
      <c r="AV132" s="17">
        <f>IF(AND(ISNUMBER(AT132),ISNUMBER(AU132)),AT132-AU132,"")</f>
        <v/>
      </c>
      <c r="AW132" s="17">
        <f>IF(AND(ISNUMBER(L132),ISNUMBER(M132),ISNUMBER(AF132)),L132-M132*(1-AF132),IF(ISNUMBER(L132),L132,""))</f>
        <v/>
      </c>
      <c r="AX132" s="17">
        <f>IF(E132="금융","",IF(AND(ISNUMBER(AW132),ISNUMBER(N132),ISNUMBER(O132),ISNUMBER(AV132)),AW132+N132-O132-AV132,IF(AND(ISNUMBER(P132),ISNUMBER(O132)),P132-O132-IF(ISNUMBER(Q132),Q132,0),"")))</f>
        <v/>
      </c>
      <c r="AY132" s="8">
        <f>IF(E132="금융","금융업 - 정의되지 않음",IF(AND(ISNUMBER(AW132),ISNUMBER(N132),ISNUMBER(O132),ISNUMBER(AV132)),"영업순이익+감가상각-설비투자-운전자본증감",IF(AND(ISNUMBER(P132),ISNUMBER(O132)),IF(ISNUMBER(Q132),"영업현금흐름-설비투자-주식보상비용","영업현금흐름-설비투자(주식보상비용 미태깅)"),"산출불가")))</f>
        <v/>
      </c>
      <c r="AZ132" s="19">
        <f>IF(AND(ISNUMBER(AX132),ISNUMBER(G132),G132&lt;&gt;0),AX132/G132,"")</f>
        <v/>
      </c>
      <c r="BA132" s="19">
        <f>IF(AND(ISNUMBER(AE132),ISNUMBER(G132),G132&lt;&gt;0),AE132/G132,"")</f>
        <v/>
      </c>
    </row>
    <row r="133">
      <c r="A133" s="8" t="inlineStr">
        <is>
          <t>MU</t>
        </is>
      </c>
      <c r="B133" s="8" t="inlineStr">
        <is>
          <t>MICRON TECHNOLOGY INC</t>
        </is>
      </c>
      <c r="C133" s="8" t="n">
        <v>2024</v>
      </c>
      <c r="D133" s="8" t="inlineStr">
        <is>
          <t>2024-08-29</t>
        </is>
      </c>
      <c r="E133" s="8" t="inlineStr">
        <is>
          <t>일반</t>
        </is>
      </c>
      <c r="F133" s="8" t="inlineStr">
        <is>
          <t>0000723125-25-000028</t>
        </is>
      </c>
      <c r="G133" s="15" t="n">
        <v>25.111</v>
      </c>
      <c r="H133" s="15" t="n">
        <v>1.24</v>
      </c>
      <c r="I133" s="15" t="n">
        <v>0.5620000000000001</v>
      </c>
      <c r="J133" s="15" t="n">
        <v>0.451</v>
      </c>
      <c r="K133" s="15" t="n">
        <v>1.304</v>
      </c>
      <c r="L133" s="15" t="n">
        <v>0.778</v>
      </c>
      <c r="M133" s="15" t="n"/>
      <c r="N133" s="15" t="n">
        <v>7.78</v>
      </c>
      <c r="O133" s="15" t="n">
        <v>8.385999999999999</v>
      </c>
      <c r="P133" s="15" t="n">
        <v>8.507</v>
      </c>
      <c r="Q133" s="15" t="n">
        <v>0.833</v>
      </c>
      <c r="R133" s="15" t="n">
        <v>45.131</v>
      </c>
      <c r="S133" s="15" t="n">
        <v>44.12</v>
      </c>
      <c r="T133" s="15" t="n">
        <v>8.106</v>
      </c>
      <c r="U133" s="15" t="n">
        <v>9.593999999999999</v>
      </c>
      <c r="V133" s="15" t="n">
        <v>0.431</v>
      </c>
      <c r="W133" s="15" t="n">
        <v>0.278</v>
      </c>
      <c r="X133" s="15" t="n">
        <v>12.966</v>
      </c>
      <c r="Y133" s="15" t="n">
        <v>24.372</v>
      </c>
      <c r="Z133" s="15" t="n">
        <v>21.244</v>
      </c>
      <c r="AA133" s="15" t="n">
        <v>9.247999999999999</v>
      </c>
      <c r="AB133" s="15" t="n">
        <v>4.765</v>
      </c>
      <c r="AC133" s="15" t="n">
        <v>47.856</v>
      </c>
      <c r="AD133" s="16" t="n">
        <v>1109</v>
      </c>
      <c r="AE133" s="17">
        <f>IF(ISNUMBER(K133),K133,IF(AND(ISNUMBER(H133),ISNUMBER(I133)),H133+I133,IF(ISNUMBER(H133),H133,"")))</f>
        <v/>
      </c>
      <c r="AF133" s="18">
        <f>IF(OR(NOT(ISNUMBER(J133)),NOT(ISNUMBER(H133)),H133&lt;=0),기준표!$B$8,MIN(MAX(J133/H133,기준표!$B$6),기준표!$B$7))</f>
        <v/>
      </c>
      <c r="AG133" s="17">
        <f>IF(ISNUMBER(AE133),AE133*(1-AF133),"")</f>
        <v/>
      </c>
      <c r="AH133" s="17">
        <f>IF(AND(NOT(ISNUMBER(V133)),NOT(ISNUMBER(X133))),"",IF(ISNUMBER(V133),V133,0)+IF(ISNUMBER(X133),X133,0))</f>
        <v/>
      </c>
      <c r="AI133" s="17">
        <f>IF(E133="금융","",IF(AND(ISNUMBER(R133),ISNUMBER(AH133),ISNUMBER(T133)),R133+AH133-T133,""))</f>
        <v/>
      </c>
      <c r="AJ133" s="17">
        <f>IF(E133="금융","",IF(NOT(ISNUMBER(AI133)),"",IF(ISNUMBER(AC133),(AI133+AC133)/2,AI133)))</f>
        <v/>
      </c>
      <c r="AK133" s="19">
        <f>IF(AND(ISNUMBER(AG133),ISNUMBER(AJ133),AJ133&gt;0),AG133/AJ133,"")</f>
        <v/>
      </c>
      <c r="AL133" s="17">
        <f>IF(E133="금융","",IF(AND(ISNUMBER(R133),ISNUMBER(AH133)),R133+AH133,""))</f>
        <v/>
      </c>
      <c r="AM133" s="19">
        <f>IF(OR(NOT(ISNUMBER(AG133)),NOT(ISNUMBER(AL133)),AL133&lt;=0),"",IF(AND(ISNUMBER(G133),AL133&lt;0.1*G133),"",AG133/AL133))</f>
        <v/>
      </c>
      <c r="AN133" s="17">
        <f>IF(NOT(ISNUMBER(R133)),"",IF(ISNUMBER(S133),(R133+S133)/2,R133))</f>
        <v/>
      </c>
      <c r="AO133" s="19">
        <f>IF(AND(ISNUMBER(L133),ISNUMBER(AN133),AN133&gt;0),L133/AN133,"")</f>
        <v/>
      </c>
      <c r="AP133" s="19">
        <f>IF(AND(ISNUMBER(AO133),ISNUMBER({ROIC})),AO133-{ROIC},"")</f>
        <v/>
      </c>
      <c r="AQ133" s="17">
        <f>IF(AND(ISNUMBER(AE133),ISNUMBER(N133)),AE133+N133,"")</f>
        <v/>
      </c>
      <c r="AR133" s="20">
        <f>IF(AND(ISNUMBER(AH133),ISNUMBER(T133),ISNUMBER(AQ133),AQ133&gt;0),(AH133-T133)/AQ133,"")</f>
        <v/>
      </c>
      <c r="AS133" s="20">
        <f>IF(AND(ISNUMBER(AE133),ISNUMBER(I133),I133&lt;&gt;0,AE133&gt;0),AE133/I133,"")</f>
        <v/>
      </c>
      <c r="AT133" s="17">
        <f>IF(AND(ISNUMBER(Y133),ISNUMBER(AA133)),Y133-IF(ISNUMBER(T133),T133,0)-(AA133-IF(ISNUMBER(V133),V133,0)),"")</f>
        <v/>
      </c>
      <c r="AU133" s="17">
        <f>IF(AND(ISNUMBER(Z133),ISNUMBER(AB133)),Z133-IF(ISNUMBER(U133),U133,0)-(AB133-IF(ISNUMBER(W133),W133,0)),"")</f>
        <v/>
      </c>
      <c r="AV133" s="17">
        <f>IF(AND(ISNUMBER(AT133),ISNUMBER(AU133)),AT133-AU133,"")</f>
        <v/>
      </c>
      <c r="AW133" s="17">
        <f>IF(AND(ISNUMBER(L133),ISNUMBER(M133),ISNUMBER(AF133)),L133-M133*(1-AF133),IF(ISNUMBER(L133),L133,""))</f>
        <v/>
      </c>
      <c r="AX133" s="17">
        <f>IF(E133="금융","",IF(AND(ISNUMBER(AW133),ISNUMBER(N133),ISNUMBER(O133),ISNUMBER(AV133)),AW133+N133-O133-AV133,IF(AND(ISNUMBER(P133),ISNUMBER(O133)),P133-O133-IF(ISNUMBER(Q133),Q133,0),"")))</f>
        <v/>
      </c>
      <c r="AY133" s="8">
        <f>IF(E133="금융","금융업 - 정의되지 않음",IF(AND(ISNUMBER(AW133),ISNUMBER(N133),ISNUMBER(O133),ISNUMBER(AV133)),"영업순이익+감가상각-설비투자-운전자본증감",IF(AND(ISNUMBER(P133),ISNUMBER(O133)),IF(ISNUMBER(Q133),"영업현금흐름-설비투자-주식보상비용","영업현금흐름-설비투자(주식보상비용 미태깅)"),"산출불가")))</f>
        <v/>
      </c>
      <c r="AZ133" s="19">
        <f>IF(AND(ISNUMBER(AX133),ISNUMBER(G133),G133&lt;&gt;0),AX133/G133,"")</f>
        <v/>
      </c>
      <c r="BA133" s="19">
        <f>IF(AND(ISNUMBER(AE133),ISNUMBER(G133),G133&lt;&gt;0),AE133/G133,"")</f>
        <v/>
      </c>
    </row>
    <row r="134">
      <c r="A134" s="8" t="inlineStr">
        <is>
          <t>MU</t>
        </is>
      </c>
      <c r="B134" s="8" t="inlineStr">
        <is>
          <t>MICRON TECHNOLOGY INC</t>
        </is>
      </c>
      <c r="C134" s="8" t="n">
        <v>2025</v>
      </c>
      <c r="D134" s="8" t="inlineStr">
        <is>
          <t>2025-08-28</t>
        </is>
      </c>
      <c r="E134" s="8" t="inlineStr">
        <is>
          <t>일반</t>
        </is>
      </c>
      <c r="F134" s="8" t="inlineStr">
        <is>
          <t>0000723125-25-000028</t>
        </is>
      </c>
      <c r="G134" s="15" t="n">
        <v>37.378</v>
      </c>
      <c r="H134" s="15" t="n">
        <v>9.654</v>
      </c>
      <c r="I134" s="15" t="n">
        <v>0.477</v>
      </c>
      <c r="J134" s="15" t="n">
        <v>1.124</v>
      </c>
      <c r="K134" s="15" t="n">
        <v>9.77</v>
      </c>
      <c r="L134" s="15" t="n">
        <v>8.539</v>
      </c>
      <c r="M134" s="15" t="n"/>
      <c r="N134" s="15" t="n">
        <v>8.352</v>
      </c>
      <c r="O134" s="15" t="n">
        <v>15.857</v>
      </c>
      <c r="P134" s="15" t="n">
        <v>17.525</v>
      </c>
      <c r="Q134" s="15" t="n">
        <v>0.972</v>
      </c>
      <c r="R134" s="15" t="n">
        <v>54.165</v>
      </c>
      <c r="S134" s="15" t="n">
        <v>45.131</v>
      </c>
      <c r="T134" s="15" t="n">
        <v>10.307</v>
      </c>
      <c r="U134" s="15" t="n">
        <v>8.106</v>
      </c>
      <c r="V134" s="15" t="n">
        <v>0.5600000000000001</v>
      </c>
      <c r="W134" s="15" t="n">
        <v>0.431</v>
      </c>
      <c r="X134" s="15" t="n">
        <v>14.017</v>
      </c>
      <c r="Y134" s="15" t="n">
        <v>28.841</v>
      </c>
      <c r="Z134" s="15" t="n">
        <v>24.372</v>
      </c>
      <c r="AA134" s="15" t="n">
        <v>11.454</v>
      </c>
      <c r="AB134" s="15" t="n">
        <v>9.247999999999999</v>
      </c>
      <c r="AC134" s="15" t="n">
        <v>50.422</v>
      </c>
      <c r="AD134" s="16" t="n">
        <v>1122</v>
      </c>
      <c r="AE134" s="17">
        <f>IF(ISNUMBER(K134),K134,IF(AND(ISNUMBER(H134),ISNUMBER(I134)),H134+I134,IF(ISNUMBER(H134),H134,"")))</f>
        <v/>
      </c>
      <c r="AF134" s="18">
        <f>IF(OR(NOT(ISNUMBER(J134)),NOT(ISNUMBER(H134)),H134&lt;=0),기준표!$B$8,MIN(MAX(J134/H134,기준표!$B$6),기준표!$B$7))</f>
        <v/>
      </c>
      <c r="AG134" s="17">
        <f>IF(ISNUMBER(AE134),AE134*(1-AF134),"")</f>
        <v/>
      </c>
      <c r="AH134" s="17">
        <f>IF(AND(NOT(ISNUMBER(V134)),NOT(ISNUMBER(X134))),"",IF(ISNUMBER(V134),V134,0)+IF(ISNUMBER(X134),X134,0))</f>
        <v/>
      </c>
      <c r="AI134" s="17">
        <f>IF(E134="금융","",IF(AND(ISNUMBER(R134),ISNUMBER(AH134),ISNUMBER(T134)),R134+AH134-T134,""))</f>
        <v/>
      </c>
      <c r="AJ134" s="17">
        <f>IF(E134="금융","",IF(NOT(ISNUMBER(AI134)),"",IF(ISNUMBER(AC134),(AI134+AC134)/2,AI134)))</f>
        <v/>
      </c>
      <c r="AK134" s="19">
        <f>IF(AND(ISNUMBER(AG134),ISNUMBER(AJ134),AJ134&gt;0),AG134/AJ134,"")</f>
        <v/>
      </c>
      <c r="AL134" s="17">
        <f>IF(E134="금융","",IF(AND(ISNUMBER(R134),ISNUMBER(AH134)),R134+AH134,""))</f>
        <v/>
      </c>
      <c r="AM134" s="19">
        <f>IF(OR(NOT(ISNUMBER(AG134)),NOT(ISNUMBER(AL134)),AL134&lt;=0),"",IF(AND(ISNUMBER(G134),AL134&lt;0.1*G134),"",AG134/AL134))</f>
        <v/>
      </c>
      <c r="AN134" s="17">
        <f>IF(NOT(ISNUMBER(R134)),"",IF(ISNUMBER(S134),(R134+S134)/2,R134))</f>
        <v/>
      </c>
      <c r="AO134" s="19">
        <f>IF(AND(ISNUMBER(L134),ISNUMBER(AN134),AN134&gt;0),L134/AN134,"")</f>
        <v/>
      </c>
      <c r="AP134" s="19">
        <f>IF(AND(ISNUMBER(AO134),ISNUMBER({ROIC})),AO134-{ROIC},"")</f>
        <v/>
      </c>
      <c r="AQ134" s="17">
        <f>IF(AND(ISNUMBER(AE134),ISNUMBER(N134)),AE134+N134,"")</f>
        <v/>
      </c>
      <c r="AR134" s="20">
        <f>IF(AND(ISNUMBER(AH134),ISNUMBER(T134),ISNUMBER(AQ134),AQ134&gt;0),(AH134-T134)/AQ134,"")</f>
        <v/>
      </c>
      <c r="AS134" s="20">
        <f>IF(AND(ISNUMBER(AE134),ISNUMBER(I134),I134&lt;&gt;0,AE134&gt;0),AE134/I134,"")</f>
        <v/>
      </c>
      <c r="AT134" s="17">
        <f>IF(AND(ISNUMBER(Y134),ISNUMBER(AA134)),Y134-IF(ISNUMBER(T134),T134,0)-(AA134-IF(ISNUMBER(V134),V134,0)),"")</f>
        <v/>
      </c>
      <c r="AU134" s="17">
        <f>IF(AND(ISNUMBER(Z134),ISNUMBER(AB134)),Z134-IF(ISNUMBER(U134),U134,0)-(AB134-IF(ISNUMBER(W134),W134,0)),"")</f>
        <v/>
      </c>
      <c r="AV134" s="17">
        <f>IF(AND(ISNUMBER(AT134),ISNUMBER(AU134)),AT134-AU134,"")</f>
        <v/>
      </c>
      <c r="AW134" s="17">
        <f>IF(AND(ISNUMBER(L134),ISNUMBER(M134),ISNUMBER(AF134)),L134-M134*(1-AF134),IF(ISNUMBER(L134),L134,""))</f>
        <v/>
      </c>
      <c r="AX134" s="17">
        <f>IF(E134="금융","",IF(AND(ISNUMBER(AW134),ISNUMBER(N134),ISNUMBER(O134),ISNUMBER(AV134)),AW134+N134-O134-AV134,IF(AND(ISNUMBER(P134),ISNUMBER(O134)),P134-O134-IF(ISNUMBER(Q134),Q134,0),"")))</f>
        <v/>
      </c>
      <c r="AY134" s="8">
        <f>IF(E134="금융","금융업 - 정의되지 않음",IF(AND(ISNUMBER(AW134),ISNUMBER(N134),ISNUMBER(O134),ISNUMBER(AV134)),"영업순이익+감가상각-설비투자-운전자본증감",IF(AND(ISNUMBER(P134),ISNUMBER(O134)),IF(ISNUMBER(Q134),"영업현금흐름-설비투자-주식보상비용","영업현금흐름-설비투자(주식보상비용 미태깅)"),"산출불가")))</f>
        <v/>
      </c>
      <c r="AZ134" s="19">
        <f>IF(AND(ISNUMBER(AX134),ISNUMBER(G134),G134&lt;&gt;0),AX134/G134,"")</f>
        <v/>
      </c>
      <c r="BA134" s="19">
        <f>IF(AND(ISNUMBER(AE134),ISNUMBER(G134),G134&lt;&gt;0),AE134/G134,"")</f>
        <v/>
      </c>
    </row>
    <row r="135">
      <c r="A135" s="8" t="inlineStr">
        <is>
          <t>JPM</t>
        </is>
      </c>
      <c r="B135" s="8" t="inlineStr">
        <is>
          <t>JPMORGAN CHASE &amp; CO</t>
        </is>
      </c>
      <c r="C135" s="8" t="n">
        <v>2014</v>
      </c>
      <c r="D135" s="8" t="inlineStr">
        <is>
          <t>2014-12-31</t>
        </is>
      </c>
      <c r="E135" s="8" t="inlineStr">
        <is>
          <t>금융</t>
        </is>
      </c>
      <c r="F135" s="8" t="inlineStr">
        <is>
          <t>0000019617-17-000314</t>
        </is>
      </c>
      <c r="G135" s="15" t="n">
        <v>95.11199999999999</v>
      </c>
      <c r="H135" s="15" t="n">
        <v>30.699</v>
      </c>
      <c r="I135" s="15" t="n">
        <v>43.634</v>
      </c>
      <c r="J135" s="15" t="n">
        <v>8.954000000000001</v>
      </c>
      <c r="K135" s="15" t="n"/>
      <c r="L135" s="15" t="n">
        <v>21.745</v>
      </c>
      <c r="M135" s="15" t="n">
        <v>0.077</v>
      </c>
      <c r="N135" s="15" t="n">
        <v>4.759</v>
      </c>
      <c r="O135" s="15" t="n"/>
      <c r="P135" s="15" t="n">
        <v>36.593</v>
      </c>
      <c r="Q135" s="15" t="n">
        <v>2.19</v>
      </c>
      <c r="R135" s="15" t="n">
        <v>231.727</v>
      </c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6" t="n">
        <v>3714.8</v>
      </c>
      <c r="AE135" s="17">
        <f>IF(ISNUMBER(K135),K135,IF(AND(ISNUMBER(H135),ISNUMBER(I135)),H135+I135,IF(ISNUMBER(H135),H135,"")))</f>
        <v/>
      </c>
      <c r="AF135" s="18">
        <f>IF(OR(NOT(ISNUMBER(J135)),NOT(ISNUMBER(H135)),H135&lt;=0),기준표!$B$8,MIN(MAX(J135/H135,기준표!$B$6),기준표!$B$7))</f>
        <v/>
      </c>
      <c r="AG135" s="17">
        <f>IF(ISNUMBER(AE135),AE135*(1-AF135),"")</f>
        <v/>
      </c>
      <c r="AH135" s="17">
        <f>IF(AND(NOT(ISNUMBER(V135)),NOT(ISNUMBER(X135))),"",IF(ISNUMBER(V135),V135,0)+IF(ISNUMBER(X135),X135,0))</f>
        <v/>
      </c>
      <c r="AI135" s="17">
        <f>IF(E135="금융","",IF(AND(ISNUMBER(R135),ISNUMBER(AH135),ISNUMBER(T135)),R135+AH135-T135,""))</f>
        <v/>
      </c>
      <c r="AJ135" s="17">
        <f>IF(E135="금융","",IF(NOT(ISNUMBER(AI135)),"",IF(ISNUMBER(AC135),(AI135+AC135)/2,AI135)))</f>
        <v/>
      </c>
      <c r="AK135" s="19">
        <f>IF(AND(ISNUMBER(AG135),ISNUMBER(AJ135),AJ135&gt;0),AG135/AJ135,"")</f>
        <v/>
      </c>
      <c r="AL135" s="17">
        <f>IF(E135="금융","",IF(AND(ISNUMBER(R135),ISNUMBER(AH135)),R135+AH135,""))</f>
        <v/>
      </c>
      <c r="AM135" s="19">
        <f>IF(OR(NOT(ISNUMBER(AG135)),NOT(ISNUMBER(AL135)),AL135&lt;=0),"",IF(AND(ISNUMBER(G135),AL135&lt;0.1*G135),"",AG135/AL135))</f>
        <v/>
      </c>
      <c r="AN135" s="17">
        <f>IF(NOT(ISNUMBER(R135)),"",IF(ISNUMBER(S135),(R135+S135)/2,R135))</f>
        <v/>
      </c>
      <c r="AO135" s="19">
        <f>IF(AND(ISNUMBER(L135),ISNUMBER(AN135),AN135&gt;0),L135/AN135,"")</f>
        <v/>
      </c>
      <c r="AP135" s="19">
        <f>IF(AND(ISNUMBER(AO135),ISNUMBER({ROIC})),AO135-{ROIC},"")</f>
        <v/>
      </c>
      <c r="AQ135" s="17">
        <f>IF(AND(ISNUMBER(AE135),ISNUMBER(N135)),AE135+N135,"")</f>
        <v/>
      </c>
      <c r="AR135" s="20">
        <f>IF(AND(ISNUMBER(AH135),ISNUMBER(T135),ISNUMBER(AQ135),AQ135&gt;0),(AH135-T135)/AQ135,"")</f>
        <v/>
      </c>
      <c r="AS135" s="20">
        <f>IF(AND(ISNUMBER(AE135),ISNUMBER(I135),I135&lt;&gt;0,AE135&gt;0),AE135/I135,"")</f>
        <v/>
      </c>
      <c r="AT135" s="17">
        <f>IF(AND(ISNUMBER(Y135),ISNUMBER(AA135)),Y135-IF(ISNUMBER(T135),T135,0)-(AA135-IF(ISNUMBER(V135),V135,0)),"")</f>
        <v/>
      </c>
      <c r="AU135" s="17">
        <f>IF(AND(ISNUMBER(Z135),ISNUMBER(AB135)),Z135-IF(ISNUMBER(U135),U135,0)-(AB135-IF(ISNUMBER(W135),W135,0)),"")</f>
        <v/>
      </c>
      <c r="AV135" s="17">
        <f>IF(AND(ISNUMBER(AT135),ISNUMBER(AU135)),AT135-AU135,"")</f>
        <v/>
      </c>
      <c r="AW135" s="17">
        <f>IF(AND(ISNUMBER(L135),ISNUMBER(M135),ISNUMBER(AF135)),L135-M135*(1-AF135),IF(ISNUMBER(L135),L135,""))</f>
        <v/>
      </c>
      <c r="AX135" s="17">
        <f>IF(E135="금융","",IF(AND(ISNUMBER(AW135),ISNUMBER(N135),ISNUMBER(O135),ISNUMBER(AV135)),AW135+N135-O135-AV135,IF(AND(ISNUMBER(P135),ISNUMBER(O135)),P135-O135-IF(ISNUMBER(Q135),Q135,0),"")))</f>
        <v/>
      </c>
      <c r="AY135" s="8">
        <f>IF(E135="금융","금융업 - 정의되지 않음",IF(AND(ISNUMBER(AW135),ISNUMBER(N135),ISNUMBER(O135),ISNUMBER(AV135)),"영업순이익+감가상각-설비투자-운전자본증감",IF(AND(ISNUMBER(P135),ISNUMBER(O135)),IF(ISNUMBER(Q135),"영업현금흐름-설비투자-주식보상비용","영업현금흐름-설비투자(주식보상비용 미태깅)"),"산출불가")))</f>
        <v/>
      </c>
      <c r="AZ135" s="19">
        <f>IF(AND(ISNUMBER(AX135),ISNUMBER(G135),G135&lt;&gt;0),AX135/G135,"")</f>
        <v/>
      </c>
      <c r="BA135" s="19">
        <f>IF(AND(ISNUMBER(AE135),ISNUMBER(G135),G135&lt;&gt;0),AE135/G135,"")</f>
        <v/>
      </c>
    </row>
    <row r="136">
      <c r="A136" s="8" t="inlineStr">
        <is>
          <t>JPM</t>
        </is>
      </c>
      <c r="B136" s="8" t="inlineStr">
        <is>
          <t>JPMORGAN CHASE &amp; CO</t>
        </is>
      </c>
      <c r="C136" s="8" t="n">
        <v>2015</v>
      </c>
      <c r="D136" s="8" t="inlineStr">
        <is>
          <t>2015-12-31</t>
        </is>
      </c>
      <c r="E136" s="8" t="inlineStr">
        <is>
          <t>금융</t>
        </is>
      </c>
      <c r="F136" s="8" t="inlineStr">
        <is>
          <t>0000019617-18-000057</t>
        </is>
      </c>
      <c r="G136" s="15" t="n">
        <v>93.54300000000001</v>
      </c>
      <c r="H136" s="15" t="n">
        <v>30.702</v>
      </c>
      <c r="I136" s="15" t="n">
        <v>43.51</v>
      </c>
      <c r="J136" s="15" t="n">
        <v>6.26</v>
      </c>
      <c r="K136" s="15" t="n"/>
      <c r="L136" s="15" t="n">
        <v>24.442</v>
      </c>
      <c r="M136" s="15" t="n"/>
      <c r="N136" s="15" t="n">
        <v>4.94</v>
      </c>
      <c r="O136" s="15" t="n"/>
      <c r="P136" s="15" t="n">
        <v>73.46599999999999</v>
      </c>
      <c r="Q136" s="15" t="n">
        <v>1.987</v>
      </c>
      <c r="R136" s="15" t="n">
        <v>247.573</v>
      </c>
      <c r="S136" s="15" t="n">
        <v>231.727</v>
      </c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6" t="n">
        <v>3663.5</v>
      </c>
      <c r="AE136" s="17">
        <f>IF(ISNUMBER(K136),K136,IF(AND(ISNUMBER(H136),ISNUMBER(I136)),H136+I136,IF(ISNUMBER(H136),H136,"")))</f>
        <v/>
      </c>
      <c r="AF136" s="18">
        <f>IF(OR(NOT(ISNUMBER(J136)),NOT(ISNUMBER(H136)),H136&lt;=0),기준표!$B$8,MIN(MAX(J136/H136,기준표!$B$6),기준표!$B$7))</f>
        <v/>
      </c>
      <c r="AG136" s="17">
        <f>IF(ISNUMBER(AE136),AE136*(1-AF136),"")</f>
        <v/>
      </c>
      <c r="AH136" s="17">
        <f>IF(AND(NOT(ISNUMBER(V136)),NOT(ISNUMBER(X136))),"",IF(ISNUMBER(V136),V136,0)+IF(ISNUMBER(X136),X136,0))</f>
        <v/>
      </c>
      <c r="AI136" s="17">
        <f>IF(E136="금융","",IF(AND(ISNUMBER(R136),ISNUMBER(AH136),ISNUMBER(T136)),R136+AH136-T136,""))</f>
        <v/>
      </c>
      <c r="AJ136" s="17">
        <f>IF(E136="금융","",IF(NOT(ISNUMBER(AI136)),"",IF(ISNUMBER(AC136),(AI136+AC136)/2,AI136)))</f>
        <v/>
      </c>
      <c r="AK136" s="19">
        <f>IF(AND(ISNUMBER(AG136),ISNUMBER(AJ136),AJ136&gt;0),AG136/AJ136,"")</f>
        <v/>
      </c>
      <c r="AL136" s="17">
        <f>IF(E136="금융","",IF(AND(ISNUMBER(R136),ISNUMBER(AH136)),R136+AH136,""))</f>
        <v/>
      </c>
      <c r="AM136" s="19">
        <f>IF(OR(NOT(ISNUMBER(AG136)),NOT(ISNUMBER(AL136)),AL136&lt;=0),"",IF(AND(ISNUMBER(G136),AL136&lt;0.1*G136),"",AG136/AL136))</f>
        <v/>
      </c>
      <c r="AN136" s="17">
        <f>IF(NOT(ISNUMBER(R136)),"",IF(ISNUMBER(S136),(R136+S136)/2,R136))</f>
        <v/>
      </c>
      <c r="AO136" s="19">
        <f>IF(AND(ISNUMBER(L136),ISNUMBER(AN136),AN136&gt;0),L136/AN136,"")</f>
        <v/>
      </c>
      <c r="AP136" s="19">
        <f>IF(AND(ISNUMBER(AO136),ISNUMBER({ROIC})),AO136-{ROIC},"")</f>
        <v/>
      </c>
      <c r="AQ136" s="17">
        <f>IF(AND(ISNUMBER(AE136),ISNUMBER(N136)),AE136+N136,"")</f>
        <v/>
      </c>
      <c r="AR136" s="20">
        <f>IF(AND(ISNUMBER(AH136),ISNUMBER(T136),ISNUMBER(AQ136),AQ136&gt;0),(AH136-T136)/AQ136,"")</f>
        <v/>
      </c>
      <c r="AS136" s="20">
        <f>IF(AND(ISNUMBER(AE136),ISNUMBER(I136),I136&lt;&gt;0,AE136&gt;0),AE136/I136,"")</f>
        <v/>
      </c>
      <c r="AT136" s="17">
        <f>IF(AND(ISNUMBER(Y136),ISNUMBER(AA136)),Y136-IF(ISNUMBER(T136),T136,0)-(AA136-IF(ISNUMBER(V136),V136,0)),"")</f>
        <v/>
      </c>
      <c r="AU136" s="17">
        <f>IF(AND(ISNUMBER(Z136),ISNUMBER(AB136)),Z136-IF(ISNUMBER(U136),U136,0)-(AB136-IF(ISNUMBER(W136),W136,0)),"")</f>
        <v/>
      </c>
      <c r="AV136" s="17">
        <f>IF(AND(ISNUMBER(AT136),ISNUMBER(AU136)),AT136-AU136,"")</f>
        <v/>
      </c>
      <c r="AW136" s="17">
        <f>IF(AND(ISNUMBER(L136),ISNUMBER(M136),ISNUMBER(AF136)),L136-M136*(1-AF136),IF(ISNUMBER(L136),L136,""))</f>
        <v/>
      </c>
      <c r="AX136" s="17">
        <f>IF(E136="금융","",IF(AND(ISNUMBER(AW136),ISNUMBER(N136),ISNUMBER(O136),ISNUMBER(AV136)),AW136+N136-O136-AV136,IF(AND(ISNUMBER(P136),ISNUMBER(O136)),P136-O136-IF(ISNUMBER(Q136),Q136,0),"")))</f>
        <v/>
      </c>
      <c r="AY136" s="8">
        <f>IF(E136="금융","금융업 - 정의되지 않음",IF(AND(ISNUMBER(AW136),ISNUMBER(N136),ISNUMBER(O136),ISNUMBER(AV136)),"영업순이익+감가상각-설비투자-운전자본증감",IF(AND(ISNUMBER(P136),ISNUMBER(O136)),IF(ISNUMBER(Q136),"영업현금흐름-설비투자-주식보상비용","영업현금흐름-설비투자(주식보상비용 미태깅)"),"산출불가")))</f>
        <v/>
      </c>
      <c r="AZ136" s="19">
        <f>IF(AND(ISNUMBER(AX136),ISNUMBER(G136),G136&lt;&gt;0),AX136/G136,"")</f>
        <v/>
      </c>
      <c r="BA136" s="19">
        <f>IF(AND(ISNUMBER(AE136),ISNUMBER(G136),G136&lt;&gt;0),AE136/G136,"")</f>
        <v/>
      </c>
    </row>
    <row r="137">
      <c r="A137" s="8" t="inlineStr">
        <is>
          <t>JPM</t>
        </is>
      </c>
      <c r="B137" s="8" t="inlineStr">
        <is>
          <t>JPMORGAN CHASE &amp; CO</t>
        </is>
      </c>
      <c r="C137" s="8" t="n">
        <v>2016</v>
      </c>
      <c r="D137" s="8" t="inlineStr">
        <is>
          <t>2016-12-31</t>
        </is>
      </c>
      <c r="E137" s="8" t="inlineStr">
        <is>
          <t>금융</t>
        </is>
      </c>
      <c r="F137" s="8" t="inlineStr">
        <is>
          <t>0000019617-19-000054</t>
        </is>
      </c>
      <c r="G137" s="15" t="n">
        <v>96.569</v>
      </c>
      <c r="H137" s="15" t="n">
        <v>34.536</v>
      </c>
      <c r="I137" s="15" t="n">
        <v>46.083</v>
      </c>
      <c r="J137" s="15" t="n">
        <v>9.803000000000001</v>
      </c>
      <c r="K137" s="15" t="n"/>
      <c r="L137" s="15" t="n">
        <v>24.733</v>
      </c>
      <c r="M137" s="15" t="n"/>
      <c r="N137" s="15" t="n">
        <v>5.478</v>
      </c>
      <c r="O137" s="15" t="n"/>
      <c r="P137" s="15" t="n">
        <v>21.884</v>
      </c>
      <c r="Q137" s="15" t="n">
        <v>1.94</v>
      </c>
      <c r="R137" s="15" t="n">
        <v>254.19</v>
      </c>
      <c r="S137" s="15" t="n">
        <v>247.573</v>
      </c>
      <c r="T137" s="15" t="n">
        <v>391.154</v>
      </c>
      <c r="U137" s="15" t="n"/>
      <c r="V137" s="15" t="n">
        <v>34.443</v>
      </c>
      <c r="W137" s="15" t="n"/>
      <c r="X137" s="15" t="n"/>
      <c r="Y137" s="15" t="n"/>
      <c r="Z137" s="15" t="n"/>
      <c r="AA137" s="15" t="n"/>
      <c r="AB137" s="15" t="n"/>
      <c r="AC137" s="15" t="n"/>
      <c r="AD137" s="16" t="n">
        <v>3561.2</v>
      </c>
      <c r="AE137" s="17">
        <f>IF(ISNUMBER(K137),K137,IF(AND(ISNUMBER(H137),ISNUMBER(I137)),H137+I137,IF(ISNUMBER(H137),H137,"")))</f>
        <v/>
      </c>
      <c r="AF137" s="18">
        <f>IF(OR(NOT(ISNUMBER(J137)),NOT(ISNUMBER(H137)),H137&lt;=0),기준표!$B$8,MIN(MAX(J137/H137,기준표!$B$6),기준표!$B$7))</f>
        <v/>
      </c>
      <c r="AG137" s="17">
        <f>IF(ISNUMBER(AE137),AE137*(1-AF137),"")</f>
        <v/>
      </c>
      <c r="AH137" s="17">
        <f>IF(AND(NOT(ISNUMBER(V137)),NOT(ISNUMBER(X137))),"",IF(ISNUMBER(V137),V137,0)+IF(ISNUMBER(X137),X137,0))</f>
        <v/>
      </c>
      <c r="AI137" s="17">
        <f>IF(E137="금융","",IF(AND(ISNUMBER(R137),ISNUMBER(AH137),ISNUMBER(T137)),R137+AH137-T137,""))</f>
        <v/>
      </c>
      <c r="AJ137" s="17">
        <f>IF(E137="금융","",IF(NOT(ISNUMBER(AI137)),"",IF(ISNUMBER(AC137),(AI137+AC137)/2,AI137)))</f>
        <v/>
      </c>
      <c r="AK137" s="19">
        <f>IF(AND(ISNUMBER(AG137),ISNUMBER(AJ137),AJ137&gt;0),AG137/AJ137,"")</f>
        <v/>
      </c>
      <c r="AL137" s="17">
        <f>IF(E137="금융","",IF(AND(ISNUMBER(R137),ISNUMBER(AH137)),R137+AH137,""))</f>
        <v/>
      </c>
      <c r="AM137" s="19">
        <f>IF(OR(NOT(ISNUMBER(AG137)),NOT(ISNUMBER(AL137)),AL137&lt;=0),"",IF(AND(ISNUMBER(G137),AL137&lt;0.1*G137),"",AG137/AL137))</f>
        <v/>
      </c>
      <c r="AN137" s="17">
        <f>IF(NOT(ISNUMBER(R137)),"",IF(ISNUMBER(S137),(R137+S137)/2,R137))</f>
        <v/>
      </c>
      <c r="AO137" s="19">
        <f>IF(AND(ISNUMBER(L137),ISNUMBER(AN137),AN137&gt;0),L137/AN137,"")</f>
        <v/>
      </c>
      <c r="AP137" s="19">
        <f>IF(AND(ISNUMBER(AO137),ISNUMBER({ROIC})),AO137-{ROIC},"")</f>
        <v/>
      </c>
      <c r="AQ137" s="17">
        <f>IF(AND(ISNUMBER(AE137),ISNUMBER(N137)),AE137+N137,"")</f>
        <v/>
      </c>
      <c r="AR137" s="20">
        <f>IF(AND(ISNUMBER(AH137),ISNUMBER(T137),ISNUMBER(AQ137),AQ137&gt;0),(AH137-T137)/AQ137,"")</f>
        <v/>
      </c>
      <c r="AS137" s="20">
        <f>IF(AND(ISNUMBER(AE137),ISNUMBER(I137),I137&lt;&gt;0,AE137&gt;0),AE137/I137,"")</f>
        <v/>
      </c>
      <c r="AT137" s="17">
        <f>IF(AND(ISNUMBER(Y137),ISNUMBER(AA137)),Y137-IF(ISNUMBER(T137),T137,0)-(AA137-IF(ISNUMBER(V137),V137,0)),"")</f>
        <v/>
      </c>
      <c r="AU137" s="17">
        <f>IF(AND(ISNUMBER(Z137),ISNUMBER(AB137)),Z137-IF(ISNUMBER(U137),U137,0)-(AB137-IF(ISNUMBER(W137),W137,0)),"")</f>
        <v/>
      </c>
      <c r="AV137" s="17">
        <f>IF(AND(ISNUMBER(AT137),ISNUMBER(AU137)),AT137-AU137,"")</f>
        <v/>
      </c>
      <c r="AW137" s="17">
        <f>IF(AND(ISNUMBER(L137),ISNUMBER(M137),ISNUMBER(AF137)),L137-M137*(1-AF137),IF(ISNUMBER(L137),L137,""))</f>
        <v/>
      </c>
      <c r="AX137" s="17">
        <f>IF(E137="금융","",IF(AND(ISNUMBER(AW137),ISNUMBER(N137),ISNUMBER(O137),ISNUMBER(AV137)),AW137+N137-O137-AV137,IF(AND(ISNUMBER(P137),ISNUMBER(O137)),P137-O137-IF(ISNUMBER(Q137),Q137,0),"")))</f>
        <v/>
      </c>
      <c r="AY137" s="8">
        <f>IF(E137="금융","금융업 - 정의되지 않음",IF(AND(ISNUMBER(AW137),ISNUMBER(N137),ISNUMBER(O137),ISNUMBER(AV137)),"영업순이익+감가상각-설비투자-운전자본증감",IF(AND(ISNUMBER(P137),ISNUMBER(O137)),IF(ISNUMBER(Q137),"영업현금흐름-설비투자-주식보상비용","영업현금흐름-설비투자(주식보상비용 미태깅)"),"산출불가")))</f>
        <v/>
      </c>
      <c r="AZ137" s="19">
        <f>IF(AND(ISNUMBER(AX137),ISNUMBER(G137),G137&lt;&gt;0),AX137/G137,"")</f>
        <v/>
      </c>
      <c r="BA137" s="19">
        <f>IF(AND(ISNUMBER(AE137),ISNUMBER(G137),G137&lt;&gt;0),AE137/G137,"")</f>
        <v/>
      </c>
    </row>
    <row r="138">
      <c r="A138" s="8" t="inlineStr">
        <is>
          <t>JPM</t>
        </is>
      </c>
      <c r="B138" s="8" t="inlineStr">
        <is>
          <t>JPMORGAN CHASE &amp; CO</t>
        </is>
      </c>
      <c r="C138" s="8" t="n">
        <v>2017</v>
      </c>
      <c r="D138" s="8" t="inlineStr">
        <is>
          <t>2017-12-31</t>
        </is>
      </c>
      <c r="E138" s="8" t="inlineStr">
        <is>
          <t>금융</t>
        </is>
      </c>
      <c r="F138" s="8" t="inlineStr">
        <is>
          <t>0000019617-20-000257</t>
        </is>
      </c>
      <c r="G138" s="15" t="n">
        <v>100.705</v>
      </c>
      <c r="H138" s="15" t="n">
        <v>35.9</v>
      </c>
      <c r="I138" s="15" t="n">
        <v>50.097</v>
      </c>
      <c r="J138" s="15" t="n">
        <v>11.459</v>
      </c>
      <c r="K138" s="15" t="n"/>
      <c r="L138" s="15" t="n">
        <v>24.441</v>
      </c>
      <c r="M138" s="15" t="n"/>
      <c r="N138" s="15" t="n">
        <v>6.179</v>
      </c>
      <c r="O138" s="15" t="n"/>
      <c r="P138" s="15" t="n">
        <v>-10.827</v>
      </c>
      <c r="Q138" s="15" t="n">
        <v>2.07</v>
      </c>
      <c r="R138" s="15" t="n">
        <v>255.693</v>
      </c>
      <c r="S138" s="15" t="n">
        <v>254.19</v>
      </c>
      <c r="T138" s="15" t="n">
        <v>431.304</v>
      </c>
      <c r="U138" s="15" t="n">
        <v>391.154</v>
      </c>
      <c r="V138" s="15" t="n">
        <v>51.802</v>
      </c>
      <c r="W138" s="15" t="n">
        <v>34.443</v>
      </c>
      <c r="X138" s="15" t="n"/>
      <c r="Y138" s="15" t="n"/>
      <c r="Z138" s="15" t="n"/>
      <c r="AA138" s="15" t="n"/>
      <c r="AB138" s="15" t="n"/>
      <c r="AC138" s="15" t="n"/>
      <c r="AD138" s="16" t="n">
        <v>3425.3</v>
      </c>
      <c r="AE138" s="17">
        <f>IF(ISNUMBER(K138),K138,IF(AND(ISNUMBER(H138),ISNUMBER(I138)),H138+I138,IF(ISNUMBER(H138),H138,"")))</f>
        <v/>
      </c>
      <c r="AF138" s="18">
        <f>IF(OR(NOT(ISNUMBER(J138)),NOT(ISNUMBER(H138)),H138&lt;=0),기준표!$B$8,MIN(MAX(J138/H138,기준표!$B$6),기준표!$B$7))</f>
        <v/>
      </c>
      <c r="AG138" s="17">
        <f>IF(ISNUMBER(AE138),AE138*(1-AF138),"")</f>
        <v/>
      </c>
      <c r="AH138" s="17">
        <f>IF(AND(NOT(ISNUMBER(V138)),NOT(ISNUMBER(X138))),"",IF(ISNUMBER(V138),V138,0)+IF(ISNUMBER(X138),X138,0))</f>
        <v/>
      </c>
      <c r="AI138" s="17">
        <f>IF(E138="금융","",IF(AND(ISNUMBER(R138),ISNUMBER(AH138),ISNUMBER(T138)),R138+AH138-T138,""))</f>
        <v/>
      </c>
      <c r="AJ138" s="17">
        <f>IF(E138="금융","",IF(NOT(ISNUMBER(AI138)),"",IF(ISNUMBER(AC138),(AI138+AC138)/2,AI138)))</f>
        <v/>
      </c>
      <c r="AK138" s="19">
        <f>IF(AND(ISNUMBER(AG138),ISNUMBER(AJ138),AJ138&gt;0),AG138/AJ138,"")</f>
        <v/>
      </c>
      <c r="AL138" s="17">
        <f>IF(E138="금융","",IF(AND(ISNUMBER(R138),ISNUMBER(AH138)),R138+AH138,""))</f>
        <v/>
      </c>
      <c r="AM138" s="19">
        <f>IF(OR(NOT(ISNUMBER(AG138)),NOT(ISNUMBER(AL138)),AL138&lt;=0),"",IF(AND(ISNUMBER(G138),AL138&lt;0.1*G138),"",AG138/AL138))</f>
        <v/>
      </c>
      <c r="AN138" s="17">
        <f>IF(NOT(ISNUMBER(R138)),"",IF(ISNUMBER(S138),(R138+S138)/2,R138))</f>
        <v/>
      </c>
      <c r="AO138" s="19">
        <f>IF(AND(ISNUMBER(L138),ISNUMBER(AN138),AN138&gt;0),L138/AN138,"")</f>
        <v/>
      </c>
      <c r="AP138" s="19">
        <f>IF(AND(ISNUMBER(AO138),ISNUMBER({ROIC})),AO138-{ROIC},"")</f>
        <v/>
      </c>
      <c r="AQ138" s="17">
        <f>IF(AND(ISNUMBER(AE138),ISNUMBER(N138)),AE138+N138,"")</f>
        <v/>
      </c>
      <c r="AR138" s="20">
        <f>IF(AND(ISNUMBER(AH138),ISNUMBER(T138),ISNUMBER(AQ138),AQ138&gt;0),(AH138-T138)/AQ138,"")</f>
        <v/>
      </c>
      <c r="AS138" s="20">
        <f>IF(AND(ISNUMBER(AE138),ISNUMBER(I138),I138&lt;&gt;0,AE138&gt;0),AE138/I138,"")</f>
        <v/>
      </c>
      <c r="AT138" s="17">
        <f>IF(AND(ISNUMBER(Y138),ISNUMBER(AA138)),Y138-IF(ISNUMBER(T138),T138,0)-(AA138-IF(ISNUMBER(V138),V138,0)),"")</f>
        <v/>
      </c>
      <c r="AU138" s="17">
        <f>IF(AND(ISNUMBER(Z138),ISNUMBER(AB138)),Z138-IF(ISNUMBER(U138),U138,0)-(AB138-IF(ISNUMBER(W138),W138,0)),"")</f>
        <v/>
      </c>
      <c r="AV138" s="17">
        <f>IF(AND(ISNUMBER(AT138),ISNUMBER(AU138)),AT138-AU138,"")</f>
        <v/>
      </c>
      <c r="AW138" s="17">
        <f>IF(AND(ISNUMBER(L138),ISNUMBER(M138),ISNUMBER(AF138)),L138-M138*(1-AF138),IF(ISNUMBER(L138),L138,""))</f>
        <v/>
      </c>
      <c r="AX138" s="17">
        <f>IF(E138="금융","",IF(AND(ISNUMBER(AW138),ISNUMBER(N138),ISNUMBER(O138),ISNUMBER(AV138)),AW138+N138-O138-AV138,IF(AND(ISNUMBER(P138),ISNUMBER(O138)),P138-O138-IF(ISNUMBER(Q138),Q138,0),"")))</f>
        <v/>
      </c>
      <c r="AY138" s="8">
        <f>IF(E138="금융","금융업 - 정의되지 않음",IF(AND(ISNUMBER(AW138),ISNUMBER(N138),ISNUMBER(O138),ISNUMBER(AV138)),"영업순이익+감가상각-설비투자-운전자본증감",IF(AND(ISNUMBER(P138),ISNUMBER(O138)),IF(ISNUMBER(Q138),"영업현금흐름-설비투자-주식보상비용","영업현금흐름-설비투자(주식보상비용 미태깅)"),"산출불가")))</f>
        <v/>
      </c>
      <c r="AZ138" s="19">
        <f>IF(AND(ISNUMBER(AX138),ISNUMBER(G138),G138&lt;&gt;0),AX138/G138,"")</f>
        <v/>
      </c>
      <c r="BA138" s="19">
        <f>IF(AND(ISNUMBER(AE138),ISNUMBER(G138),G138&lt;&gt;0),AE138/G138,"")</f>
        <v/>
      </c>
    </row>
    <row r="139">
      <c r="A139" s="8" t="inlineStr">
        <is>
          <t>JPM</t>
        </is>
      </c>
      <c r="B139" s="8" t="inlineStr">
        <is>
          <t>JPMORGAN CHASE &amp; CO</t>
        </is>
      </c>
      <c r="C139" s="8" t="n">
        <v>2018</v>
      </c>
      <c r="D139" s="8" t="inlineStr">
        <is>
          <t>2018-12-31</t>
        </is>
      </c>
      <c r="E139" s="8" t="inlineStr">
        <is>
          <t>금융</t>
        </is>
      </c>
      <c r="F139" s="8" t="inlineStr">
        <is>
          <t>0000019617-21-000236</t>
        </is>
      </c>
      <c r="G139" s="15" t="n">
        <v>108.783</v>
      </c>
      <c r="H139" s="15" t="n">
        <v>40.764</v>
      </c>
      <c r="I139" s="15" t="n">
        <v>55.059</v>
      </c>
      <c r="J139" s="15" t="n">
        <v>8.289999999999999</v>
      </c>
      <c r="K139" s="15" t="n"/>
      <c r="L139" s="15" t="n">
        <v>32.474</v>
      </c>
      <c r="M139" s="15" t="n"/>
      <c r="N139" s="15" t="n">
        <v>7.791</v>
      </c>
      <c r="O139" s="15" t="n"/>
      <c r="P139" s="15" t="n">
        <v>15.614</v>
      </c>
      <c r="Q139" s="15" t="n">
        <v>2.322</v>
      </c>
      <c r="R139" s="15" t="n">
        <v>256.515</v>
      </c>
      <c r="S139" s="15" t="n">
        <v>255.693</v>
      </c>
      <c r="T139" s="15" t="n">
        <v>278.793</v>
      </c>
      <c r="U139" s="15" t="n">
        <v>431.304</v>
      </c>
      <c r="V139" s="15" t="n">
        <v>69.276</v>
      </c>
      <c r="W139" s="15" t="n">
        <v>51.802</v>
      </c>
      <c r="X139" s="15" t="n"/>
      <c r="Y139" s="15" t="n"/>
      <c r="Z139" s="15" t="n"/>
      <c r="AA139" s="15" t="n"/>
      <c r="AB139" s="15" t="n"/>
      <c r="AC139" s="15" t="n"/>
      <c r="AD139" s="16" t="n">
        <v>3275.8</v>
      </c>
      <c r="AE139" s="17">
        <f>IF(ISNUMBER(K139),K139,IF(AND(ISNUMBER(H139),ISNUMBER(I139)),H139+I139,IF(ISNUMBER(H139),H139,"")))</f>
        <v/>
      </c>
      <c r="AF139" s="18">
        <f>IF(OR(NOT(ISNUMBER(J139)),NOT(ISNUMBER(H139)),H139&lt;=0),기준표!$B$8,MIN(MAX(J139/H139,기준표!$B$6),기준표!$B$7))</f>
        <v/>
      </c>
      <c r="AG139" s="17">
        <f>IF(ISNUMBER(AE139),AE139*(1-AF139),"")</f>
        <v/>
      </c>
      <c r="AH139" s="17">
        <f>IF(AND(NOT(ISNUMBER(V139)),NOT(ISNUMBER(X139))),"",IF(ISNUMBER(V139),V139,0)+IF(ISNUMBER(X139),X139,0))</f>
        <v/>
      </c>
      <c r="AI139" s="17">
        <f>IF(E139="금융","",IF(AND(ISNUMBER(R139),ISNUMBER(AH139),ISNUMBER(T139)),R139+AH139-T139,""))</f>
        <v/>
      </c>
      <c r="AJ139" s="17">
        <f>IF(E139="금융","",IF(NOT(ISNUMBER(AI139)),"",IF(ISNUMBER(AC139),(AI139+AC139)/2,AI139)))</f>
        <v/>
      </c>
      <c r="AK139" s="19">
        <f>IF(AND(ISNUMBER(AG139),ISNUMBER(AJ139),AJ139&gt;0),AG139/AJ139,"")</f>
        <v/>
      </c>
      <c r="AL139" s="17">
        <f>IF(E139="금융","",IF(AND(ISNUMBER(R139),ISNUMBER(AH139)),R139+AH139,""))</f>
        <v/>
      </c>
      <c r="AM139" s="19">
        <f>IF(OR(NOT(ISNUMBER(AG139)),NOT(ISNUMBER(AL139)),AL139&lt;=0),"",IF(AND(ISNUMBER(G139),AL139&lt;0.1*G139),"",AG139/AL139))</f>
        <v/>
      </c>
      <c r="AN139" s="17">
        <f>IF(NOT(ISNUMBER(R139)),"",IF(ISNUMBER(S139),(R139+S139)/2,R139))</f>
        <v/>
      </c>
      <c r="AO139" s="19">
        <f>IF(AND(ISNUMBER(L139),ISNUMBER(AN139),AN139&gt;0),L139/AN139,"")</f>
        <v/>
      </c>
      <c r="AP139" s="19">
        <f>IF(AND(ISNUMBER(AO139),ISNUMBER({ROIC})),AO139-{ROIC},"")</f>
        <v/>
      </c>
      <c r="AQ139" s="17">
        <f>IF(AND(ISNUMBER(AE139),ISNUMBER(N139)),AE139+N139,"")</f>
        <v/>
      </c>
      <c r="AR139" s="20">
        <f>IF(AND(ISNUMBER(AH139),ISNUMBER(T139),ISNUMBER(AQ139),AQ139&gt;0),(AH139-T139)/AQ139,"")</f>
        <v/>
      </c>
      <c r="AS139" s="20">
        <f>IF(AND(ISNUMBER(AE139),ISNUMBER(I139),I139&lt;&gt;0,AE139&gt;0),AE139/I139,"")</f>
        <v/>
      </c>
      <c r="AT139" s="17">
        <f>IF(AND(ISNUMBER(Y139),ISNUMBER(AA139)),Y139-IF(ISNUMBER(T139),T139,0)-(AA139-IF(ISNUMBER(V139),V139,0)),"")</f>
        <v/>
      </c>
      <c r="AU139" s="17">
        <f>IF(AND(ISNUMBER(Z139),ISNUMBER(AB139)),Z139-IF(ISNUMBER(U139),U139,0)-(AB139-IF(ISNUMBER(W139),W139,0)),"")</f>
        <v/>
      </c>
      <c r="AV139" s="17">
        <f>IF(AND(ISNUMBER(AT139),ISNUMBER(AU139)),AT139-AU139,"")</f>
        <v/>
      </c>
      <c r="AW139" s="17">
        <f>IF(AND(ISNUMBER(L139),ISNUMBER(M139),ISNUMBER(AF139)),L139-M139*(1-AF139),IF(ISNUMBER(L139),L139,""))</f>
        <v/>
      </c>
      <c r="AX139" s="17">
        <f>IF(E139="금융","",IF(AND(ISNUMBER(AW139),ISNUMBER(N139),ISNUMBER(O139),ISNUMBER(AV139)),AW139+N139-O139-AV139,IF(AND(ISNUMBER(P139),ISNUMBER(O139)),P139-O139-IF(ISNUMBER(Q139),Q139,0),"")))</f>
        <v/>
      </c>
      <c r="AY139" s="8">
        <f>IF(E139="금융","금융업 - 정의되지 않음",IF(AND(ISNUMBER(AW139),ISNUMBER(N139),ISNUMBER(O139),ISNUMBER(AV139)),"영업순이익+감가상각-설비투자-운전자본증감",IF(AND(ISNUMBER(P139),ISNUMBER(O139)),IF(ISNUMBER(Q139),"영업현금흐름-설비투자-주식보상비용","영업현금흐름-설비투자(주식보상비용 미태깅)"),"산출불가")))</f>
        <v/>
      </c>
      <c r="AZ139" s="19">
        <f>IF(AND(ISNUMBER(AX139),ISNUMBER(G139),G139&lt;&gt;0),AX139/G139,"")</f>
        <v/>
      </c>
      <c r="BA139" s="19">
        <f>IF(AND(ISNUMBER(AE139),ISNUMBER(G139),G139&lt;&gt;0),AE139/G139,"")</f>
        <v/>
      </c>
    </row>
    <row r="140">
      <c r="A140" s="8" t="inlineStr">
        <is>
          <t>JPM</t>
        </is>
      </c>
      <c r="B140" s="8" t="inlineStr">
        <is>
          <t>JPMORGAN CHASE &amp; CO</t>
        </is>
      </c>
      <c r="C140" s="8" t="n">
        <v>2019</v>
      </c>
      <c r="D140" s="8" t="inlineStr">
        <is>
          <t>2019-12-31</t>
        </is>
      </c>
      <c r="E140" s="8" t="inlineStr">
        <is>
          <t>금융</t>
        </is>
      </c>
      <c r="F140" s="8" t="inlineStr">
        <is>
          <t>0000019617-22-000272</t>
        </is>
      </c>
      <c r="G140" s="15" t="n">
        <v>115.72</v>
      </c>
      <c r="H140" s="15" t="n">
        <v>44.866</v>
      </c>
      <c r="I140" s="15" t="n">
        <v>57.245</v>
      </c>
      <c r="J140" s="15" t="n">
        <v>8.435</v>
      </c>
      <c r="K140" s="15" t="n"/>
      <c r="L140" s="15" t="n">
        <v>36.431</v>
      </c>
      <c r="M140" s="15" t="n"/>
      <c r="N140" s="15" t="n">
        <v>8.368</v>
      </c>
      <c r="O140" s="15" t="n"/>
      <c r="P140" s="15" t="n">
        <v>4.092</v>
      </c>
      <c r="Q140" s="15" t="n">
        <v>2.256</v>
      </c>
      <c r="R140" s="15" t="n">
        <v>261.33</v>
      </c>
      <c r="S140" s="15" t="n">
        <v>256.515</v>
      </c>
      <c r="T140" s="15" t="n">
        <v>263.631</v>
      </c>
      <c r="U140" s="15" t="n">
        <v>278.793</v>
      </c>
      <c r="V140" s="15" t="n">
        <v>40.92</v>
      </c>
      <c r="W140" s="15" t="n">
        <v>69.276</v>
      </c>
      <c r="X140" s="15" t="n"/>
      <c r="Y140" s="15" t="n"/>
      <c r="Z140" s="15" t="n"/>
      <c r="AA140" s="15" t="n"/>
      <c r="AB140" s="15" t="n"/>
      <c r="AC140" s="15" t="n"/>
      <c r="AD140" s="16" t="n">
        <v>3084</v>
      </c>
      <c r="AE140" s="17">
        <f>IF(ISNUMBER(K140),K140,IF(AND(ISNUMBER(H140),ISNUMBER(I140)),H140+I140,IF(ISNUMBER(H140),H140,"")))</f>
        <v/>
      </c>
      <c r="AF140" s="18">
        <f>IF(OR(NOT(ISNUMBER(J140)),NOT(ISNUMBER(H140)),H140&lt;=0),기준표!$B$8,MIN(MAX(J140/H140,기준표!$B$6),기준표!$B$7))</f>
        <v/>
      </c>
      <c r="AG140" s="17">
        <f>IF(ISNUMBER(AE140),AE140*(1-AF140),"")</f>
        <v/>
      </c>
      <c r="AH140" s="17">
        <f>IF(AND(NOT(ISNUMBER(V140)),NOT(ISNUMBER(X140))),"",IF(ISNUMBER(V140),V140,0)+IF(ISNUMBER(X140),X140,0))</f>
        <v/>
      </c>
      <c r="AI140" s="17">
        <f>IF(E140="금융","",IF(AND(ISNUMBER(R140),ISNUMBER(AH140),ISNUMBER(T140)),R140+AH140-T140,""))</f>
        <v/>
      </c>
      <c r="AJ140" s="17">
        <f>IF(E140="금융","",IF(NOT(ISNUMBER(AI140)),"",IF(ISNUMBER(AC140),(AI140+AC140)/2,AI140)))</f>
        <v/>
      </c>
      <c r="AK140" s="19">
        <f>IF(AND(ISNUMBER(AG140),ISNUMBER(AJ140),AJ140&gt;0),AG140/AJ140,"")</f>
        <v/>
      </c>
      <c r="AL140" s="17">
        <f>IF(E140="금융","",IF(AND(ISNUMBER(R140),ISNUMBER(AH140)),R140+AH140,""))</f>
        <v/>
      </c>
      <c r="AM140" s="19">
        <f>IF(OR(NOT(ISNUMBER(AG140)),NOT(ISNUMBER(AL140)),AL140&lt;=0),"",IF(AND(ISNUMBER(G140),AL140&lt;0.1*G140),"",AG140/AL140))</f>
        <v/>
      </c>
      <c r="AN140" s="17">
        <f>IF(NOT(ISNUMBER(R140)),"",IF(ISNUMBER(S140),(R140+S140)/2,R140))</f>
        <v/>
      </c>
      <c r="AO140" s="19">
        <f>IF(AND(ISNUMBER(L140),ISNUMBER(AN140),AN140&gt;0),L140/AN140,"")</f>
        <v/>
      </c>
      <c r="AP140" s="19">
        <f>IF(AND(ISNUMBER(AO140),ISNUMBER({ROIC})),AO140-{ROIC},"")</f>
        <v/>
      </c>
      <c r="AQ140" s="17">
        <f>IF(AND(ISNUMBER(AE140),ISNUMBER(N140)),AE140+N140,"")</f>
        <v/>
      </c>
      <c r="AR140" s="20">
        <f>IF(AND(ISNUMBER(AH140),ISNUMBER(T140),ISNUMBER(AQ140),AQ140&gt;0),(AH140-T140)/AQ140,"")</f>
        <v/>
      </c>
      <c r="AS140" s="20">
        <f>IF(AND(ISNUMBER(AE140),ISNUMBER(I140),I140&lt;&gt;0,AE140&gt;0),AE140/I140,"")</f>
        <v/>
      </c>
      <c r="AT140" s="17">
        <f>IF(AND(ISNUMBER(Y140),ISNUMBER(AA140)),Y140-IF(ISNUMBER(T140),T140,0)-(AA140-IF(ISNUMBER(V140),V140,0)),"")</f>
        <v/>
      </c>
      <c r="AU140" s="17">
        <f>IF(AND(ISNUMBER(Z140),ISNUMBER(AB140)),Z140-IF(ISNUMBER(U140),U140,0)-(AB140-IF(ISNUMBER(W140),W140,0)),"")</f>
        <v/>
      </c>
      <c r="AV140" s="17">
        <f>IF(AND(ISNUMBER(AT140),ISNUMBER(AU140)),AT140-AU140,"")</f>
        <v/>
      </c>
      <c r="AW140" s="17">
        <f>IF(AND(ISNUMBER(L140),ISNUMBER(M140),ISNUMBER(AF140)),L140-M140*(1-AF140),IF(ISNUMBER(L140),L140,""))</f>
        <v/>
      </c>
      <c r="AX140" s="17">
        <f>IF(E140="금융","",IF(AND(ISNUMBER(AW140),ISNUMBER(N140),ISNUMBER(O140),ISNUMBER(AV140)),AW140+N140-O140-AV140,IF(AND(ISNUMBER(P140),ISNUMBER(O140)),P140-O140-IF(ISNUMBER(Q140),Q140,0),"")))</f>
        <v/>
      </c>
      <c r="AY140" s="8">
        <f>IF(E140="금융","금융업 - 정의되지 않음",IF(AND(ISNUMBER(AW140),ISNUMBER(N140),ISNUMBER(O140),ISNUMBER(AV140)),"영업순이익+감가상각-설비투자-운전자본증감",IF(AND(ISNUMBER(P140),ISNUMBER(O140)),IF(ISNUMBER(Q140),"영업현금흐름-설비투자-주식보상비용","영업현금흐름-설비투자(주식보상비용 미태깅)"),"산출불가")))</f>
        <v/>
      </c>
      <c r="AZ140" s="19">
        <f>IF(AND(ISNUMBER(AX140),ISNUMBER(G140),G140&lt;&gt;0),AX140/G140,"")</f>
        <v/>
      </c>
      <c r="BA140" s="19">
        <f>IF(AND(ISNUMBER(AE140),ISNUMBER(G140),G140&lt;&gt;0),AE140/G140,"")</f>
        <v/>
      </c>
    </row>
    <row r="141">
      <c r="A141" s="8" t="inlineStr">
        <is>
          <t>JPM</t>
        </is>
      </c>
      <c r="B141" s="8" t="inlineStr">
        <is>
          <t>JPMORGAN CHASE &amp; CO</t>
        </is>
      </c>
      <c r="C141" s="8" t="n">
        <v>2020</v>
      </c>
      <c r="D141" s="8" t="inlineStr">
        <is>
          <t>2020-12-31</t>
        </is>
      </c>
      <c r="E141" s="8" t="inlineStr">
        <is>
          <t>금융</t>
        </is>
      </c>
      <c r="F141" s="8" t="inlineStr">
        <is>
          <t>0000019617-23-000231</t>
        </is>
      </c>
      <c r="G141" s="15" t="n">
        <v>119.951</v>
      </c>
      <c r="H141" s="15" t="n">
        <v>35.815</v>
      </c>
      <c r="I141" s="15" t="n">
        <v>54.563</v>
      </c>
      <c r="J141" s="15" t="n">
        <v>6.684</v>
      </c>
      <c r="K141" s="15" t="n"/>
      <c r="L141" s="15" t="n">
        <v>29.131</v>
      </c>
      <c r="M141" s="15" t="n"/>
      <c r="N141" s="15" t="n">
        <v>8.614000000000001</v>
      </c>
      <c r="O141" s="15" t="n"/>
      <c r="P141" s="15" t="n">
        <v>-79.91</v>
      </c>
      <c r="Q141" s="15" t="n">
        <v>2.451</v>
      </c>
      <c r="R141" s="15" t="n">
        <v>279.354</v>
      </c>
      <c r="S141" s="15" t="n">
        <v>261.33</v>
      </c>
      <c r="T141" s="15" t="n">
        <v>527.609</v>
      </c>
      <c r="U141" s="15" t="n">
        <v>263.631</v>
      </c>
      <c r="V141" s="15" t="n">
        <v>45.208</v>
      </c>
      <c r="W141" s="15" t="n">
        <v>40.92</v>
      </c>
      <c r="X141" s="15" t="n"/>
      <c r="Y141" s="15" t="n"/>
      <c r="Z141" s="15" t="n"/>
      <c r="AA141" s="15" t="n"/>
      <c r="AB141" s="15" t="n"/>
      <c r="AC141" s="15" t="n"/>
      <c r="AD141" s="16" t="n">
        <v>3049.4</v>
      </c>
      <c r="AE141" s="17">
        <f>IF(ISNUMBER(K141),K141,IF(AND(ISNUMBER(H141),ISNUMBER(I141)),H141+I141,IF(ISNUMBER(H141),H141,"")))</f>
        <v/>
      </c>
      <c r="AF141" s="18">
        <f>IF(OR(NOT(ISNUMBER(J141)),NOT(ISNUMBER(H141)),H141&lt;=0),기준표!$B$8,MIN(MAX(J141/H141,기준표!$B$6),기준표!$B$7))</f>
        <v/>
      </c>
      <c r="AG141" s="17">
        <f>IF(ISNUMBER(AE141),AE141*(1-AF141),"")</f>
        <v/>
      </c>
      <c r="AH141" s="17">
        <f>IF(AND(NOT(ISNUMBER(V141)),NOT(ISNUMBER(X141))),"",IF(ISNUMBER(V141),V141,0)+IF(ISNUMBER(X141),X141,0))</f>
        <v/>
      </c>
      <c r="AI141" s="17">
        <f>IF(E141="금융","",IF(AND(ISNUMBER(R141),ISNUMBER(AH141),ISNUMBER(T141)),R141+AH141-T141,""))</f>
        <v/>
      </c>
      <c r="AJ141" s="17">
        <f>IF(E141="금융","",IF(NOT(ISNUMBER(AI141)),"",IF(ISNUMBER(AC141),(AI141+AC141)/2,AI141)))</f>
        <v/>
      </c>
      <c r="AK141" s="19">
        <f>IF(AND(ISNUMBER(AG141),ISNUMBER(AJ141),AJ141&gt;0),AG141/AJ141,"")</f>
        <v/>
      </c>
      <c r="AL141" s="17">
        <f>IF(E141="금융","",IF(AND(ISNUMBER(R141),ISNUMBER(AH141)),R141+AH141,""))</f>
        <v/>
      </c>
      <c r="AM141" s="19">
        <f>IF(OR(NOT(ISNUMBER(AG141)),NOT(ISNUMBER(AL141)),AL141&lt;=0),"",IF(AND(ISNUMBER(G141),AL141&lt;0.1*G141),"",AG141/AL141))</f>
        <v/>
      </c>
      <c r="AN141" s="17">
        <f>IF(NOT(ISNUMBER(R141)),"",IF(ISNUMBER(S141),(R141+S141)/2,R141))</f>
        <v/>
      </c>
      <c r="AO141" s="19">
        <f>IF(AND(ISNUMBER(L141),ISNUMBER(AN141),AN141&gt;0),L141/AN141,"")</f>
        <v/>
      </c>
      <c r="AP141" s="19">
        <f>IF(AND(ISNUMBER(AO141),ISNUMBER({ROIC})),AO141-{ROIC},"")</f>
        <v/>
      </c>
      <c r="AQ141" s="17">
        <f>IF(AND(ISNUMBER(AE141),ISNUMBER(N141)),AE141+N141,"")</f>
        <v/>
      </c>
      <c r="AR141" s="20">
        <f>IF(AND(ISNUMBER(AH141),ISNUMBER(T141),ISNUMBER(AQ141),AQ141&gt;0),(AH141-T141)/AQ141,"")</f>
        <v/>
      </c>
      <c r="AS141" s="20">
        <f>IF(AND(ISNUMBER(AE141),ISNUMBER(I141),I141&lt;&gt;0,AE141&gt;0),AE141/I141,"")</f>
        <v/>
      </c>
      <c r="AT141" s="17">
        <f>IF(AND(ISNUMBER(Y141),ISNUMBER(AA141)),Y141-IF(ISNUMBER(T141),T141,0)-(AA141-IF(ISNUMBER(V141),V141,0)),"")</f>
        <v/>
      </c>
      <c r="AU141" s="17">
        <f>IF(AND(ISNUMBER(Z141),ISNUMBER(AB141)),Z141-IF(ISNUMBER(U141),U141,0)-(AB141-IF(ISNUMBER(W141),W141,0)),"")</f>
        <v/>
      </c>
      <c r="AV141" s="17">
        <f>IF(AND(ISNUMBER(AT141),ISNUMBER(AU141)),AT141-AU141,"")</f>
        <v/>
      </c>
      <c r="AW141" s="17">
        <f>IF(AND(ISNUMBER(L141),ISNUMBER(M141),ISNUMBER(AF141)),L141-M141*(1-AF141),IF(ISNUMBER(L141),L141,""))</f>
        <v/>
      </c>
      <c r="AX141" s="17">
        <f>IF(E141="금융","",IF(AND(ISNUMBER(AW141),ISNUMBER(N141),ISNUMBER(O141),ISNUMBER(AV141)),AW141+N141-O141-AV141,IF(AND(ISNUMBER(P141),ISNUMBER(O141)),P141-O141-IF(ISNUMBER(Q141),Q141,0),"")))</f>
        <v/>
      </c>
      <c r="AY141" s="8">
        <f>IF(E141="금융","금융업 - 정의되지 않음",IF(AND(ISNUMBER(AW141),ISNUMBER(N141),ISNUMBER(O141),ISNUMBER(AV141)),"영업순이익+감가상각-설비투자-운전자본증감",IF(AND(ISNUMBER(P141),ISNUMBER(O141)),IF(ISNUMBER(Q141),"영업현금흐름-설비투자-주식보상비용","영업현금흐름-설비투자(주식보상비용 미태깅)"),"산출불가")))</f>
        <v/>
      </c>
      <c r="AZ141" s="19">
        <f>IF(AND(ISNUMBER(AX141),ISNUMBER(G141),G141&lt;&gt;0),AX141/G141,"")</f>
        <v/>
      </c>
      <c r="BA141" s="19">
        <f>IF(AND(ISNUMBER(AE141),ISNUMBER(G141),G141&lt;&gt;0),AE141/G141,"")</f>
        <v/>
      </c>
    </row>
    <row r="142">
      <c r="A142" s="8" t="inlineStr">
        <is>
          <t>JPM</t>
        </is>
      </c>
      <c r="B142" s="8" t="inlineStr">
        <is>
          <t>JPMORGAN CHASE &amp; CO</t>
        </is>
      </c>
      <c r="C142" s="8" t="n">
        <v>2021</v>
      </c>
      <c r="D142" s="8" t="inlineStr">
        <is>
          <t>2021-12-31</t>
        </is>
      </c>
      <c r="E142" s="8" t="inlineStr">
        <is>
          <t>금융</t>
        </is>
      </c>
      <c r="F142" s="8" t="inlineStr">
        <is>
          <t>0000019617-24-000225</t>
        </is>
      </c>
      <c r="G142" s="15" t="n">
        <v>121.649</v>
      </c>
      <c r="H142" s="15" t="n">
        <v>59.562</v>
      </c>
      <c r="I142" s="15" t="n">
        <v>52.311</v>
      </c>
      <c r="J142" s="15" t="n">
        <v>11.228</v>
      </c>
      <c r="K142" s="15" t="n"/>
      <c r="L142" s="15" t="n">
        <v>48.334</v>
      </c>
      <c r="M142" s="15" t="n"/>
      <c r="N142" s="15" t="n">
        <v>7.932</v>
      </c>
      <c r="O142" s="15" t="n"/>
      <c r="P142" s="15" t="n">
        <v>78.084</v>
      </c>
      <c r="Q142" s="15" t="n">
        <v>2.929</v>
      </c>
      <c r="R142" s="15" t="n">
        <v>294.127</v>
      </c>
      <c r="S142" s="15" t="n">
        <v>279.354</v>
      </c>
      <c r="T142" s="15" t="n">
        <v>740.8339999999999</v>
      </c>
      <c r="U142" s="15" t="n">
        <v>527.609</v>
      </c>
      <c r="V142" s="15" t="n">
        <v>53.594</v>
      </c>
      <c r="W142" s="15" t="n">
        <v>45.208</v>
      </c>
      <c r="X142" s="15" t="n"/>
      <c r="Y142" s="15" t="n"/>
      <c r="Z142" s="15" t="n"/>
      <c r="AA142" s="15" t="n"/>
      <c r="AB142" s="15" t="n"/>
      <c r="AC142" s="15" t="n"/>
      <c r="AD142" s="16" t="n">
        <v>2944.1</v>
      </c>
      <c r="AE142" s="17">
        <f>IF(ISNUMBER(K142),K142,IF(AND(ISNUMBER(H142),ISNUMBER(I142)),H142+I142,IF(ISNUMBER(H142),H142,"")))</f>
        <v/>
      </c>
      <c r="AF142" s="18">
        <f>IF(OR(NOT(ISNUMBER(J142)),NOT(ISNUMBER(H142)),H142&lt;=0),기준표!$B$8,MIN(MAX(J142/H142,기준표!$B$6),기준표!$B$7))</f>
        <v/>
      </c>
      <c r="AG142" s="17">
        <f>IF(ISNUMBER(AE142),AE142*(1-AF142),"")</f>
        <v/>
      </c>
      <c r="AH142" s="17">
        <f>IF(AND(NOT(ISNUMBER(V142)),NOT(ISNUMBER(X142))),"",IF(ISNUMBER(V142),V142,0)+IF(ISNUMBER(X142),X142,0))</f>
        <v/>
      </c>
      <c r="AI142" s="17">
        <f>IF(E142="금융","",IF(AND(ISNUMBER(R142),ISNUMBER(AH142),ISNUMBER(T142)),R142+AH142-T142,""))</f>
        <v/>
      </c>
      <c r="AJ142" s="17">
        <f>IF(E142="금융","",IF(NOT(ISNUMBER(AI142)),"",IF(ISNUMBER(AC142),(AI142+AC142)/2,AI142)))</f>
        <v/>
      </c>
      <c r="AK142" s="19">
        <f>IF(AND(ISNUMBER(AG142),ISNUMBER(AJ142),AJ142&gt;0),AG142/AJ142,"")</f>
        <v/>
      </c>
      <c r="AL142" s="17">
        <f>IF(E142="금융","",IF(AND(ISNUMBER(R142),ISNUMBER(AH142)),R142+AH142,""))</f>
        <v/>
      </c>
      <c r="AM142" s="19">
        <f>IF(OR(NOT(ISNUMBER(AG142)),NOT(ISNUMBER(AL142)),AL142&lt;=0),"",IF(AND(ISNUMBER(G142),AL142&lt;0.1*G142),"",AG142/AL142))</f>
        <v/>
      </c>
      <c r="AN142" s="17">
        <f>IF(NOT(ISNUMBER(R142)),"",IF(ISNUMBER(S142),(R142+S142)/2,R142))</f>
        <v/>
      </c>
      <c r="AO142" s="19">
        <f>IF(AND(ISNUMBER(L142),ISNUMBER(AN142),AN142&gt;0),L142/AN142,"")</f>
        <v/>
      </c>
      <c r="AP142" s="19">
        <f>IF(AND(ISNUMBER(AO142),ISNUMBER({ROIC})),AO142-{ROIC},"")</f>
        <v/>
      </c>
      <c r="AQ142" s="17">
        <f>IF(AND(ISNUMBER(AE142),ISNUMBER(N142)),AE142+N142,"")</f>
        <v/>
      </c>
      <c r="AR142" s="20">
        <f>IF(AND(ISNUMBER(AH142),ISNUMBER(T142),ISNUMBER(AQ142),AQ142&gt;0),(AH142-T142)/AQ142,"")</f>
        <v/>
      </c>
      <c r="AS142" s="20">
        <f>IF(AND(ISNUMBER(AE142),ISNUMBER(I142),I142&lt;&gt;0,AE142&gt;0),AE142/I142,"")</f>
        <v/>
      </c>
      <c r="AT142" s="17">
        <f>IF(AND(ISNUMBER(Y142),ISNUMBER(AA142)),Y142-IF(ISNUMBER(T142),T142,0)-(AA142-IF(ISNUMBER(V142),V142,0)),"")</f>
        <v/>
      </c>
      <c r="AU142" s="17">
        <f>IF(AND(ISNUMBER(Z142),ISNUMBER(AB142)),Z142-IF(ISNUMBER(U142),U142,0)-(AB142-IF(ISNUMBER(W142),W142,0)),"")</f>
        <v/>
      </c>
      <c r="AV142" s="17">
        <f>IF(AND(ISNUMBER(AT142),ISNUMBER(AU142)),AT142-AU142,"")</f>
        <v/>
      </c>
      <c r="AW142" s="17">
        <f>IF(AND(ISNUMBER(L142),ISNUMBER(M142),ISNUMBER(AF142)),L142-M142*(1-AF142),IF(ISNUMBER(L142),L142,""))</f>
        <v/>
      </c>
      <c r="AX142" s="17">
        <f>IF(E142="금융","",IF(AND(ISNUMBER(AW142),ISNUMBER(N142),ISNUMBER(O142),ISNUMBER(AV142)),AW142+N142-O142-AV142,IF(AND(ISNUMBER(P142),ISNUMBER(O142)),P142-O142-IF(ISNUMBER(Q142),Q142,0),"")))</f>
        <v/>
      </c>
      <c r="AY142" s="8">
        <f>IF(E142="금융","금융업 - 정의되지 않음",IF(AND(ISNUMBER(AW142),ISNUMBER(N142),ISNUMBER(O142),ISNUMBER(AV142)),"영업순이익+감가상각-설비투자-운전자본증감",IF(AND(ISNUMBER(P142),ISNUMBER(O142)),IF(ISNUMBER(Q142),"영업현금흐름-설비투자-주식보상비용","영업현금흐름-설비투자(주식보상비용 미태깅)"),"산출불가")))</f>
        <v/>
      </c>
      <c r="AZ142" s="19">
        <f>IF(AND(ISNUMBER(AX142),ISNUMBER(G142),G142&lt;&gt;0),AX142/G142,"")</f>
        <v/>
      </c>
      <c r="BA142" s="19">
        <f>IF(AND(ISNUMBER(AE142),ISNUMBER(G142),G142&lt;&gt;0),AE142/G142,"")</f>
        <v/>
      </c>
    </row>
    <row r="143">
      <c r="A143" s="8" t="inlineStr">
        <is>
          <t>JPM</t>
        </is>
      </c>
      <c r="B143" s="8" t="inlineStr">
        <is>
          <t>JPMORGAN CHASE &amp; CO</t>
        </is>
      </c>
      <c r="C143" s="8" t="n">
        <v>2022</v>
      </c>
      <c r="D143" s="8" t="inlineStr">
        <is>
          <t>2022-12-31</t>
        </is>
      </c>
      <c r="E143" s="8" t="inlineStr">
        <is>
          <t>금융</t>
        </is>
      </c>
      <c r="F143" s="8" t="inlineStr">
        <is>
          <t>0000019617-25-000270</t>
        </is>
      </c>
      <c r="G143" s="15" t="n">
        <v>128.695</v>
      </c>
      <c r="H143" s="15" t="n">
        <v>46.166</v>
      </c>
      <c r="I143" s="15" t="n">
        <v>66.70999999999999</v>
      </c>
      <c r="J143" s="15" t="n">
        <v>8.49</v>
      </c>
      <c r="K143" s="15" t="n"/>
      <c r="L143" s="15" t="n">
        <v>37.676</v>
      </c>
      <c r="M143" s="15" t="n"/>
      <c r="N143" s="15" t="n">
        <v>7.051</v>
      </c>
      <c r="O143" s="15" t="n"/>
      <c r="P143" s="15" t="n">
        <v>107.119</v>
      </c>
      <c r="Q143" s="15" t="n">
        <v>2.794</v>
      </c>
      <c r="R143" s="15" t="n">
        <v>292.332</v>
      </c>
      <c r="S143" s="15" t="n">
        <v>294.127</v>
      </c>
      <c r="T143" s="15" t="n">
        <v>567.234</v>
      </c>
      <c r="U143" s="15" t="n">
        <v>740.8339999999999</v>
      </c>
      <c r="V143" s="15" t="n">
        <v>44.027</v>
      </c>
      <c r="W143" s="15" t="n">
        <v>53.594</v>
      </c>
      <c r="X143" s="15" t="n"/>
      <c r="Y143" s="15" t="n"/>
      <c r="Z143" s="15" t="n"/>
      <c r="AA143" s="15" t="n"/>
      <c r="AB143" s="15" t="n"/>
      <c r="AC143" s="15" t="n"/>
      <c r="AD143" s="16" t="n">
        <v>2934.2</v>
      </c>
      <c r="AE143" s="17">
        <f>IF(ISNUMBER(K143),K143,IF(AND(ISNUMBER(H143),ISNUMBER(I143)),H143+I143,IF(ISNUMBER(H143),H143,"")))</f>
        <v/>
      </c>
      <c r="AF143" s="18">
        <f>IF(OR(NOT(ISNUMBER(J143)),NOT(ISNUMBER(H143)),H143&lt;=0),기준표!$B$8,MIN(MAX(J143/H143,기준표!$B$6),기준표!$B$7))</f>
        <v/>
      </c>
      <c r="AG143" s="17">
        <f>IF(ISNUMBER(AE143),AE143*(1-AF143),"")</f>
        <v/>
      </c>
      <c r="AH143" s="17">
        <f>IF(AND(NOT(ISNUMBER(V143)),NOT(ISNUMBER(X143))),"",IF(ISNUMBER(V143),V143,0)+IF(ISNUMBER(X143),X143,0))</f>
        <v/>
      </c>
      <c r="AI143" s="17">
        <f>IF(E143="금융","",IF(AND(ISNUMBER(R143),ISNUMBER(AH143),ISNUMBER(T143)),R143+AH143-T143,""))</f>
        <v/>
      </c>
      <c r="AJ143" s="17">
        <f>IF(E143="금융","",IF(NOT(ISNUMBER(AI143)),"",IF(ISNUMBER(AC143),(AI143+AC143)/2,AI143)))</f>
        <v/>
      </c>
      <c r="AK143" s="19">
        <f>IF(AND(ISNUMBER(AG143),ISNUMBER(AJ143),AJ143&gt;0),AG143/AJ143,"")</f>
        <v/>
      </c>
      <c r="AL143" s="17">
        <f>IF(E143="금융","",IF(AND(ISNUMBER(R143),ISNUMBER(AH143)),R143+AH143,""))</f>
        <v/>
      </c>
      <c r="AM143" s="19">
        <f>IF(OR(NOT(ISNUMBER(AG143)),NOT(ISNUMBER(AL143)),AL143&lt;=0),"",IF(AND(ISNUMBER(G143),AL143&lt;0.1*G143),"",AG143/AL143))</f>
        <v/>
      </c>
      <c r="AN143" s="17">
        <f>IF(NOT(ISNUMBER(R143)),"",IF(ISNUMBER(S143),(R143+S143)/2,R143))</f>
        <v/>
      </c>
      <c r="AO143" s="19">
        <f>IF(AND(ISNUMBER(L143),ISNUMBER(AN143),AN143&gt;0),L143/AN143,"")</f>
        <v/>
      </c>
      <c r="AP143" s="19">
        <f>IF(AND(ISNUMBER(AO143),ISNUMBER({ROIC})),AO143-{ROIC},"")</f>
        <v/>
      </c>
      <c r="AQ143" s="17">
        <f>IF(AND(ISNUMBER(AE143),ISNUMBER(N143)),AE143+N143,"")</f>
        <v/>
      </c>
      <c r="AR143" s="20">
        <f>IF(AND(ISNUMBER(AH143),ISNUMBER(T143),ISNUMBER(AQ143),AQ143&gt;0),(AH143-T143)/AQ143,"")</f>
        <v/>
      </c>
      <c r="AS143" s="20">
        <f>IF(AND(ISNUMBER(AE143),ISNUMBER(I143),I143&lt;&gt;0,AE143&gt;0),AE143/I143,"")</f>
        <v/>
      </c>
      <c r="AT143" s="17">
        <f>IF(AND(ISNUMBER(Y143),ISNUMBER(AA143)),Y143-IF(ISNUMBER(T143),T143,0)-(AA143-IF(ISNUMBER(V143),V143,0)),"")</f>
        <v/>
      </c>
      <c r="AU143" s="17">
        <f>IF(AND(ISNUMBER(Z143),ISNUMBER(AB143)),Z143-IF(ISNUMBER(U143),U143,0)-(AB143-IF(ISNUMBER(W143),W143,0)),"")</f>
        <v/>
      </c>
      <c r="AV143" s="17">
        <f>IF(AND(ISNUMBER(AT143),ISNUMBER(AU143)),AT143-AU143,"")</f>
        <v/>
      </c>
      <c r="AW143" s="17">
        <f>IF(AND(ISNUMBER(L143),ISNUMBER(M143),ISNUMBER(AF143)),L143-M143*(1-AF143),IF(ISNUMBER(L143),L143,""))</f>
        <v/>
      </c>
      <c r="AX143" s="17">
        <f>IF(E143="금융","",IF(AND(ISNUMBER(AW143),ISNUMBER(N143),ISNUMBER(O143),ISNUMBER(AV143)),AW143+N143-O143-AV143,IF(AND(ISNUMBER(P143),ISNUMBER(O143)),P143-O143-IF(ISNUMBER(Q143),Q143,0),"")))</f>
        <v/>
      </c>
      <c r="AY143" s="8">
        <f>IF(E143="금융","금융업 - 정의되지 않음",IF(AND(ISNUMBER(AW143),ISNUMBER(N143),ISNUMBER(O143),ISNUMBER(AV143)),"영업순이익+감가상각-설비투자-운전자본증감",IF(AND(ISNUMBER(P143),ISNUMBER(O143)),IF(ISNUMBER(Q143),"영업현금흐름-설비투자-주식보상비용","영업현금흐름-설비투자(주식보상비용 미태깅)"),"산출불가")))</f>
        <v/>
      </c>
      <c r="AZ143" s="19">
        <f>IF(AND(ISNUMBER(AX143),ISNUMBER(G143),G143&lt;&gt;0),AX143/G143,"")</f>
        <v/>
      </c>
      <c r="BA143" s="19">
        <f>IF(AND(ISNUMBER(AE143),ISNUMBER(G143),G143&lt;&gt;0),AE143/G143,"")</f>
        <v/>
      </c>
    </row>
    <row r="144">
      <c r="A144" s="8" t="inlineStr">
        <is>
          <t>JPM</t>
        </is>
      </c>
      <c r="B144" s="8" t="inlineStr">
        <is>
          <t>JPMORGAN CHASE &amp; CO</t>
        </is>
      </c>
      <c r="C144" s="8" t="n">
        <v>2023</v>
      </c>
      <c r="D144" s="8" t="inlineStr">
        <is>
          <t>2023-12-31</t>
        </is>
      </c>
      <c r="E144" s="8" t="inlineStr">
        <is>
          <t>금융</t>
        </is>
      </c>
      <c r="F144" s="8" t="inlineStr">
        <is>
          <t>0001628280-26-008131</t>
        </is>
      </c>
      <c r="G144" s="15" t="n">
        <v>158.104</v>
      </c>
      <c r="H144" s="15" t="n">
        <v>61.612</v>
      </c>
      <c r="I144" s="15" t="n">
        <v>89.267</v>
      </c>
      <c r="J144" s="15" t="n">
        <v>12.06</v>
      </c>
      <c r="K144" s="15" t="n"/>
      <c r="L144" s="15" t="n">
        <v>49.552</v>
      </c>
      <c r="M144" s="15" t="n"/>
      <c r="N144" s="15" t="n">
        <v>7.512</v>
      </c>
      <c r="O144" s="15" t="n"/>
      <c r="P144" s="15" t="n">
        <v>12.974</v>
      </c>
      <c r="Q144" s="15" t="n">
        <v>3.117</v>
      </c>
      <c r="R144" s="15" t="n">
        <v>327.878</v>
      </c>
      <c r="S144" s="15" t="n">
        <v>292.332</v>
      </c>
      <c r="T144" s="15" t="n">
        <v>624.151</v>
      </c>
      <c r="U144" s="15" t="n">
        <v>567.234</v>
      </c>
      <c r="V144" s="15" t="n">
        <v>44.712</v>
      </c>
      <c r="W144" s="15" t="n">
        <v>44.027</v>
      </c>
      <c r="X144" s="15" t="n"/>
      <c r="Y144" s="15" t="n"/>
      <c r="Z144" s="15" t="n"/>
      <c r="AA144" s="15" t="n"/>
      <c r="AB144" s="15" t="n"/>
      <c r="AC144" s="15" t="n"/>
      <c r="AD144" s="16" t="n">
        <v>2876.6</v>
      </c>
      <c r="AE144" s="17">
        <f>IF(ISNUMBER(K144),K144,IF(AND(ISNUMBER(H144),ISNUMBER(I144)),H144+I144,IF(ISNUMBER(H144),H144,"")))</f>
        <v/>
      </c>
      <c r="AF144" s="18">
        <f>IF(OR(NOT(ISNUMBER(J144)),NOT(ISNUMBER(H144)),H144&lt;=0),기준표!$B$8,MIN(MAX(J144/H144,기준표!$B$6),기준표!$B$7))</f>
        <v/>
      </c>
      <c r="AG144" s="17">
        <f>IF(ISNUMBER(AE144),AE144*(1-AF144),"")</f>
        <v/>
      </c>
      <c r="AH144" s="17">
        <f>IF(AND(NOT(ISNUMBER(V144)),NOT(ISNUMBER(X144))),"",IF(ISNUMBER(V144),V144,0)+IF(ISNUMBER(X144),X144,0))</f>
        <v/>
      </c>
      <c r="AI144" s="17">
        <f>IF(E144="금융","",IF(AND(ISNUMBER(R144),ISNUMBER(AH144),ISNUMBER(T144)),R144+AH144-T144,""))</f>
        <v/>
      </c>
      <c r="AJ144" s="17">
        <f>IF(E144="금융","",IF(NOT(ISNUMBER(AI144)),"",IF(ISNUMBER(AC144),(AI144+AC144)/2,AI144)))</f>
        <v/>
      </c>
      <c r="AK144" s="19">
        <f>IF(AND(ISNUMBER(AG144),ISNUMBER(AJ144),AJ144&gt;0),AG144/AJ144,"")</f>
        <v/>
      </c>
      <c r="AL144" s="17">
        <f>IF(E144="금융","",IF(AND(ISNUMBER(R144),ISNUMBER(AH144)),R144+AH144,""))</f>
        <v/>
      </c>
      <c r="AM144" s="19">
        <f>IF(OR(NOT(ISNUMBER(AG144)),NOT(ISNUMBER(AL144)),AL144&lt;=0),"",IF(AND(ISNUMBER(G144),AL144&lt;0.1*G144),"",AG144/AL144))</f>
        <v/>
      </c>
      <c r="AN144" s="17">
        <f>IF(NOT(ISNUMBER(R144)),"",IF(ISNUMBER(S144),(R144+S144)/2,R144))</f>
        <v/>
      </c>
      <c r="AO144" s="19">
        <f>IF(AND(ISNUMBER(L144),ISNUMBER(AN144),AN144&gt;0),L144/AN144,"")</f>
        <v/>
      </c>
      <c r="AP144" s="19">
        <f>IF(AND(ISNUMBER(AO144),ISNUMBER({ROIC})),AO144-{ROIC},"")</f>
        <v/>
      </c>
      <c r="AQ144" s="17">
        <f>IF(AND(ISNUMBER(AE144),ISNUMBER(N144)),AE144+N144,"")</f>
        <v/>
      </c>
      <c r="AR144" s="20">
        <f>IF(AND(ISNUMBER(AH144),ISNUMBER(T144),ISNUMBER(AQ144),AQ144&gt;0),(AH144-T144)/AQ144,"")</f>
        <v/>
      </c>
      <c r="AS144" s="20">
        <f>IF(AND(ISNUMBER(AE144),ISNUMBER(I144),I144&lt;&gt;0,AE144&gt;0),AE144/I144,"")</f>
        <v/>
      </c>
      <c r="AT144" s="17">
        <f>IF(AND(ISNUMBER(Y144),ISNUMBER(AA144)),Y144-IF(ISNUMBER(T144),T144,0)-(AA144-IF(ISNUMBER(V144),V144,0)),"")</f>
        <v/>
      </c>
      <c r="AU144" s="17">
        <f>IF(AND(ISNUMBER(Z144),ISNUMBER(AB144)),Z144-IF(ISNUMBER(U144),U144,0)-(AB144-IF(ISNUMBER(W144),W144,0)),"")</f>
        <v/>
      </c>
      <c r="AV144" s="17">
        <f>IF(AND(ISNUMBER(AT144),ISNUMBER(AU144)),AT144-AU144,"")</f>
        <v/>
      </c>
      <c r="AW144" s="17">
        <f>IF(AND(ISNUMBER(L144),ISNUMBER(M144),ISNUMBER(AF144)),L144-M144*(1-AF144),IF(ISNUMBER(L144),L144,""))</f>
        <v/>
      </c>
      <c r="AX144" s="17">
        <f>IF(E144="금융","",IF(AND(ISNUMBER(AW144),ISNUMBER(N144),ISNUMBER(O144),ISNUMBER(AV144)),AW144+N144-O144-AV144,IF(AND(ISNUMBER(P144),ISNUMBER(O144)),P144-O144-IF(ISNUMBER(Q144),Q144,0),"")))</f>
        <v/>
      </c>
      <c r="AY144" s="8">
        <f>IF(E144="금융","금융업 - 정의되지 않음",IF(AND(ISNUMBER(AW144),ISNUMBER(N144),ISNUMBER(O144),ISNUMBER(AV144)),"영업순이익+감가상각-설비투자-운전자본증감",IF(AND(ISNUMBER(P144),ISNUMBER(O144)),IF(ISNUMBER(Q144),"영업현금흐름-설비투자-주식보상비용","영업현금흐름-설비투자(주식보상비용 미태깅)"),"산출불가")))</f>
        <v/>
      </c>
      <c r="AZ144" s="19">
        <f>IF(AND(ISNUMBER(AX144),ISNUMBER(G144),G144&lt;&gt;0),AX144/G144,"")</f>
        <v/>
      </c>
      <c r="BA144" s="19">
        <f>IF(AND(ISNUMBER(AE144),ISNUMBER(G144),G144&lt;&gt;0),AE144/G144,"")</f>
        <v/>
      </c>
    </row>
    <row r="145">
      <c r="A145" s="8" t="inlineStr">
        <is>
          <t>JPM</t>
        </is>
      </c>
      <c r="B145" s="8" t="inlineStr">
        <is>
          <t>JPMORGAN CHASE &amp; CO</t>
        </is>
      </c>
      <c r="C145" s="8" t="n">
        <v>2024</v>
      </c>
      <c r="D145" s="8" t="inlineStr">
        <is>
          <t>2024-12-31</t>
        </is>
      </c>
      <c r="E145" s="8" t="inlineStr">
        <is>
          <t>금융</t>
        </is>
      </c>
      <c r="F145" s="8" t="inlineStr">
        <is>
          <t>0001628280-26-008131</t>
        </is>
      </c>
      <c r="G145" s="15" t="n">
        <v>177.556</v>
      </c>
      <c r="H145" s="15" t="n">
        <v>75.081</v>
      </c>
      <c r="I145" s="15" t="n">
        <v>92.583</v>
      </c>
      <c r="J145" s="15" t="n">
        <v>16.61</v>
      </c>
      <c r="K145" s="15" t="n"/>
      <c r="L145" s="15" t="n">
        <v>58.471</v>
      </c>
      <c r="M145" s="15" t="n"/>
      <c r="N145" s="15" t="n">
        <v>7.938</v>
      </c>
      <c r="O145" s="15" t="n"/>
      <c r="P145" s="15" t="n">
        <v>-42.012</v>
      </c>
      <c r="Q145" s="15" t="n">
        <v>3.504</v>
      </c>
      <c r="R145" s="15" t="n">
        <v>344.758</v>
      </c>
      <c r="S145" s="15" t="n">
        <v>327.878</v>
      </c>
      <c r="T145" s="15" t="n">
        <v>469.317</v>
      </c>
      <c r="U145" s="15" t="n">
        <v>624.151</v>
      </c>
      <c r="V145" s="15" t="n">
        <v>52.893</v>
      </c>
      <c r="W145" s="15" t="n">
        <v>44.712</v>
      </c>
      <c r="X145" s="15" t="n"/>
      <c r="Y145" s="15" t="n"/>
      <c r="Z145" s="15" t="n"/>
      <c r="AA145" s="15" t="n"/>
      <c r="AB145" s="15" t="n"/>
      <c r="AC145" s="15" t="n"/>
      <c r="AD145" s="16" t="n">
        <v>2797.6</v>
      </c>
      <c r="AE145" s="17">
        <f>IF(ISNUMBER(K145),K145,IF(AND(ISNUMBER(H145),ISNUMBER(I145)),H145+I145,IF(ISNUMBER(H145),H145,"")))</f>
        <v/>
      </c>
      <c r="AF145" s="18">
        <f>IF(OR(NOT(ISNUMBER(J145)),NOT(ISNUMBER(H145)),H145&lt;=0),기준표!$B$8,MIN(MAX(J145/H145,기준표!$B$6),기준표!$B$7))</f>
        <v/>
      </c>
      <c r="AG145" s="17">
        <f>IF(ISNUMBER(AE145),AE145*(1-AF145),"")</f>
        <v/>
      </c>
      <c r="AH145" s="17">
        <f>IF(AND(NOT(ISNUMBER(V145)),NOT(ISNUMBER(X145))),"",IF(ISNUMBER(V145),V145,0)+IF(ISNUMBER(X145),X145,0))</f>
        <v/>
      </c>
      <c r="AI145" s="17">
        <f>IF(E145="금융","",IF(AND(ISNUMBER(R145),ISNUMBER(AH145),ISNUMBER(T145)),R145+AH145-T145,""))</f>
        <v/>
      </c>
      <c r="AJ145" s="17">
        <f>IF(E145="금융","",IF(NOT(ISNUMBER(AI145)),"",IF(ISNUMBER(AC145),(AI145+AC145)/2,AI145)))</f>
        <v/>
      </c>
      <c r="AK145" s="19">
        <f>IF(AND(ISNUMBER(AG145),ISNUMBER(AJ145),AJ145&gt;0),AG145/AJ145,"")</f>
        <v/>
      </c>
      <c r="AL145" s="17">
        <f>IF(E145="금융","",IF(AND(ISNUMBER(R145),ISNUMBER(AH145)),R145+AH145,""))</f>
        <v/>
      </c>
      <c r="AM145" s="19">
        <f>IF(OR(NOT(ISNUMBER(AG145)),NOT(ISNUMBER(AL145)),AL145&lt;=0),"",IF(AND(ISNUMBER(G145),AL145&lt;0.1*G145),"",AG145/AL145))</f>
        <v/>
      </c>
      <c r="AN145" s="17">
        <f>IF(NOT(ISNUMBER(R145)),"",IF(ISNUMBER(S145),(R145+S145)/2,R145))</f>
        <v/>
      </c>
      <c r="AO145" s="19">
        <f>IF(AND(ISNUMBER(L145),ISNUMBER(AN145),AN145&gt;0),L145/AN145,"")</f>
        <v/>
      </c>
      <c r="AP145" s="19">
        <f>IF(AND(ISNUMBER(AO145),ISNUMBER({ROIC})),AO145-{ROIC},"")</f>
        <v/>
      </c>
      <c r="AQ145" s="17">
        <f>IF(AND(ISNUMBER(AE145),ISNUMBER(N145)),AE145+N145,"")</f>
        <v/>
      </c>
      <c r="AR145" s="20">
        <f>IF(AND(ISNUMBER(AH145),ISNUMBER(T145),ISNUMBER(AQ145),AQ145&gt;0),(AH145-T145)/AQ145,"")</f>
        <v/>
      </c>
      <c r="AS145" s="20">
        <f>IF(AND(ISNUMBER(AE145),ISNUMBER(I145),I145&lt;&gt;0,AE145&gt;0),AE145/I145,"")</f>
        <v/>
      </c>
      <c r="AT145" s="17">
        <f>IF(AND(ISNUMBER(Y145),ISNUMBER(AA145)),Y145-IF(ISNUMBER(T145),T145,0)-(AA145-IF(ISNUMBER(V145),V145,0)),"")</f>
        <v/>
      </c>
      <c r="AU145" s="17">
        <f>IF(AND(ISNUMBER(Z145),ISNUMBER(AB145)),Z145-IF(ISNUMBER(U145),U145,0)-(AB145-IF(ISNUMBER(W145),W145,0)),"")</f>
        <v/>
      </c>
      <c r="AV145" s="17">
        <f>IF(AND(ISNUMBER(AT145),ISNUMBER(AU145)),AT145-AU145,"")</f>
        <v/>
      </c>
      <c r="AW145" s="17">
        <f>IF(AND(ISNUMBER(L145),ISNUMBER(M145),ISNUMBER(AF145)),L145-M145*(1-AF145),IF(ISNUMBER(L145),L145,""))</f>
        <v/>
      </c>
      <c r="AX145" s="17">
        <f>IF(E145="금융","",IF(AND(ISNUMBER(AW145),ISNUMBER(N145),ISNUMBER(O145),ISNUMBER(AV145)),AW145+N145-O145-AV145,IF(AND(ISNUMBER(P145),ISNUMBER(O145)),P145-O145-IF(ISNUMBER(Q145),Q145,0),"")))</f>
        <v/>
      </c>
      <c r="AY145" s="8">
        <f>IF(E145="금융","금융업 - 정의되지 않음",IF(AND(ISNUMBER(AW145),ISNUMBER(N145),ISNUMBER(O145),ISNUMBER(AV145)),"영업순이익+감가상각-설비투자-운전자본증감",IF(AND(ISNUMBER(P145),ISNUMBER(O145)),IF(ISNUMBER(Q145),"영업현금흐름-설비투자-주식보상비용","영업현금흐름-설비투자(주식보상비용 미태깅)"),"산출불가")))</f>
        <v/>
      </c>
      <c r="AZ145" s="19">
        <f>IF(AND(ISNUMBER(AX145),ISNUMBER(G145),G145&lt;&gt;0),AX145/G145,"")</f>
        <v/>
      </c>
      <c r="BA145" s="19">
        <f>IF(AND(ISNUMBER(AE145),ISNUMBER(G145),G145&lt;&gt;0),AE145/G145,"")</f>
        <v/>
      </c>
    </row>
    <row r="146">
      <c r="A146" s="8" t="inlineStr">
        <is>
          <t>JPM</t>
        </is>
      </c>
      <c r="B146" s="8" t="inlineStr">
        <is>
          <t>JPMORGAN CHASE &amp; CO</t>
        </is>
      </c>
      <c r="C146" s="8" t="n">
        <v>2025</v>
      </c>
      <c r="D146" s="8" t="inlineStr">
        <is>
          <t>2025-12-31</t>
        </is>
      </c>
      <c r="E146" s="8" t="inlineStr">
        <is>
          <t>금융</t>
        </is>
      </c>
      <c r="F146" s="8" t="inlineStr">
        <is>
          <t>0001628280-26-008131</t>
        </is>
      </c>
      <c r="G146" s="15" t="n">
        <v>182.447</v>
      </c>
      <c r="H146" s="15" t="n">
        <v>72.595</v>
      </c>
      <c r="I146" s="15" t="n">
        <v>95.443</v>
      </c>
      <c r="J146" s="15" t="n">
        <v>15.547</v>
      </c>
      <c r="K146" s="15" t="n"/>
      <c r="L146" s="15" t="n">
        <v>57.048</v>
      </c>
      <c r="M146" s="15" t="n"/>
      <c r="N146" s="15" t="n">
        <v>8.821</v>
      </c>
      <c r="O146" s="15" t="n"/>
      <c r="P146" s="15" t="n">
        <v>-147.782</v>
      </c>
      <c r="Q146" s="15" t="n">
        <v>3.614</v>
      </c>
      <c r="R146" s="15" t="n">
        <v>362.438</v>
      </c>
      <c r="S146" s="15" t="n">
        <v>344.758</v>
      </c>
      <c r="T146" s="15" t="n">
        <v>343.338</v>
      </c>
      <c r="U146" s="15" t="n">
        <v>469.317</v>
      </c>
      <c r="V146" s="15" t="n">
        <v>64.776</v>
      </c>
      <c r="W146" s="15" t="n">
        <v>52.893</v>
      </c>
      <c r="X146" s="15" t="n"/>
      <c r="Y146" s="15" t="n"/>
      <c r="Z146" s="15" t="n"/>
      <c r="AA146" s="15" t="n"/>
      <c r="AB146" s="15" t="n"/>
      <c r="AC146" s="15" t="n"/>
      <c r="AD146" s="16" t="n">
        <v>2696.2</v>
      </c>
      <c r="AE146" s="17">
        <f>IF(ISNUMBER(K146),K146,IF(AND(ISNUMBER(H146),ISNUMBER(I146)),H146+I146,IF(ISNUMBER(H146),H146,"")))</f>
        <v/>
      </c>
      <c r="AF146" s="18">
        <f>IF(OR(NOT(ISNUMBER(J146)),NOT(ISNUMBER(H146)),H146&lt;=0),기준표!$B$8,MIN(MAX(J146/H146,기준표!$B$6),기준표!$B$7))</f>
        <v/>
      </c>
      <c r="AG146" s="17">
        <f>IF(ISNUMBER(AE146),AE146*(1-AF146),"")</f>
        <v/>
      </c>
      <c r="AH146" s="17">
        <f>IF(AND(NOT(ISNUMBER(V146)),NOT(ISNUMBER(X146))),"",IF(ISNUMBER(V146),V146,0)+IF(ISNUMBER(X146),X146,0))</f>
        <v/>
      </c>
      <c r="AI146" s="17">
        <f>IF(E146="금융","",IF(AND(ISNUMBER(R146),ISNUMBER(AH146),ISNUMBER(T146)),R146+AH146-T146,""))</f>
        <v/>
      </c>
      <c r="AJ146" s="17">
        <f>IF(E146="금융","",IF(NOT(ISNUMBER(AI146)),"",IF(ISNUMBER(AC146),(AI146+AC146)/2,AI146)))</f>
        <v/>
      </c>
      <c r="AK146" s="19">
        <f>IF(AND(ISNUMBER(AG146),ISNUMBER(AJ146),AJ146&gt;0),AG146/AJ146,"")</f>
        <v/>
      </c>
      <c r="AL146" s="17">
        <f>IF(E146="금융","",IF(AND(ISNUMBER(R146),ISNUMBER(AH146)),R146+AH146,""))</f>
        <v/>
      </c>
      <c r="AM146" s="19">
        <f>IF(OR(NOT(ISNUMBER(AG146)),NOT(ISNUMBER(AL146)),AL146&lt;=0),"",IF(AND(ISNUMBER(G146),AL146&lt;0.1*G146),"",AG146/AL146))</f>
        <v/>
      </c>
      <c r="AN146" s="17">
        <f>IF(NOT(ISNUMBER(R146)),"",IF(ISNUMBER(S146),(R146+S146)/2,R146))</f>
        <v/>
      </c>
      <c r="AO146" s="19">
        <f>IF(AND(ISNUMBER(L146),ISNUMBER(AN146),AN146&gt;0),L146/AN146,"")</f>
        <v/>
      </c>
      <c r="AP146" s="19">
        <f>IF(AND(ISNUMBER(AO146),ISNUMBER({ROIC})),AO146-{ROIC},"")</f>
        <v/>
      </c>
      <c r="AQ146" s="17">
        <f>IF(AND(ISNUMBER(AE146),ISNUMBER(N146)),AE146+N146,"")</f>
        <v/>
      </c>
      <c r="AR146" s="20">
        <f>IF(AND(ISNUMBER(AH146),ISNUMBER(T146),ISNUMBER(AQ146),AQ146&gt;0),(AH146-T146)/AQ146,"")</f>
        <v/>
      </c>
      <c r="AS146" s="20">
        <f>IF(AND(ISNUMBER(AE146),ISNUMBER(I146),I146&lt;&gt;0,AE146&gt;0),AE146/I146,"")</f>
        <v/>
      </c>
      <c r="AT146" s="17">
        <f>IF(AND(ISNUMBER(Y146),ISNUMBER(AA146)),Y146-IF(ISNUMBER(T146),T146,0)-(AA146-IF(ISNUMBER(V146),V146,0)),"")</f>
        <v/>
      </c>
      <c r="AU146" s="17">
        <f>IF(AND(ISNUMBER(Z146),ISNUMBER(AB146)),Z146-IF(ISNUMBER(U146),U146,0)-(AB146-IF(ISNUMBER(W146),W146,0)),"")</f>
        <v/>
      </c>
      <c r="AV146" s="17">
        <f>IF(AND(ISNUMBER(AT146),ISNUMBER(AU146)),AT146-AU146,"")</f>
        <v/>
      </c>
      <c r="AW146" s="17">
        <f>IF(AND(ISNUMBER(L146),ISNUMBER(M146),ISNUMBER(AF146)),L146-M146*(1-AF146),IF(ISNUMBER(L146),L146,""))</f>
        <v/>
      </c>
      <c r="AX146" s="17">
        <f>IF(E146="금융","",IF(AND(ISNUMBER(AW146),ISNUMBER(N146),ISNUMBER(O146),ISNUMBER(AV146)),AW146+N146-O146-AV146,IF(AND(ISNUMBER(P146),ISNUMBER(O146)),P146-O146-IF(ISNUMBER(Q146),Q146,0),"")))</f>
        <v/>
      </c>
      <c r="AY146" s="8">
        <f>IF(E146="금융","금융업 - 정의되지 않음",IF(AND(ISNUMBER(AW146),ISNUMBER(N146),ISNUMBER(O146),ISNUMBER(AV146)),"영업순이익+감가상각-설비투자-운전자본증감",IF(AND(ISNUMBER(P146),ISNUMBER(O146)),IF(ISNUMBER(Q146),"영업현금흐름-설비투자-주식보상비용","영업현금흐름-설비투자(주식보상비용 미태깅)"),"산출불가")))</f>
        <v/>
      </c>
      <c r="AZ146" s="19">
        <f>IF(AND(ISNUMBER(AX146),ISNUMBER(G146),G146&lt;&gt;0),AX146/G146,"")</f>
        <v/>
      </c>
      <c r="BA146" s="19">
        <f>IF(AND(ISNUMBER(AE146),ISNUMBER(G146),G146&lt;&gt;0),AE146/G146,"")</f>
        <v/>
      </c>
    </row>
    <row r="147">
      <c r="A147" s="8" t="inlineStr">
        <is>
          <t>WMT</t>
        </is>
      </c>
      <c r="B147" s="8" t="inlineStr">
        <is>
          <t>Walmart Inc.</t>
        </is>
      </c>
      <c r="C147" s="8" t="n">
        <v>2014</v>
      </c>
      <c r="D147" s="8" t="inlineStr">
        <is>
          <t>2015-01-31</t>
        </is>
      </c>
      <c r="E147" s="8" t="inlineStr">
        <is>
          <t>일반</t>
        </is>
      </c>
      <c r="F147" s="8" t="inlineStr">
        <is>
          <t>0000104169-17-000021</t>
        </is>
      </c>
      <c r="G147" s="15" t="n"/>
      <c r="H147" s="15" t="n">
        <v>24.799</v>
      </c>
      <c r="I147" s="15" t="n">
        <v>2.161</v>
      </c>
      <c r="J147" s="15" t="n">
        <v>7.985</v>
      </c>
      <c r="K147" s="15" t="n">
        <v>27.147</v>
      </c>
      <c r="L147" s="15" t="n">
        <v>16.363</v>
      </c>
      <c r="M147" s="15" t="n"/>
      <c r="N147" s="15" t="n"/>
      <c r="O147" s="15" t="n">
        <v>12.174</v>
      </c>
      <c r="P147" s="15" t="n">
        <v>28.564</v>
      </c>
      <c r="Q147" s="15" t="n">
        <v>0.462</v>
      </c>
      <c r="R147" s="15" t="n">
        <v>81.39400000000001</v>
      </c>
      <c r="S147" s="15" t="n"/>
      <c r="T147" s="15" t="n">
        <v>9.135</v>
      </c>
      <c r="U147" s="15" t="n"/>
      <c r="V147" s="15" t="n">
        <v>1.592</v>
      </c>
      <c r="W147" s="15" t="n"/>
      <c r="X147" s="15" t="n">
        <v>40.889</v>
      </c>
      <c r="Y147" s="15" t="n">
        <v>63.278</v>
      </c>
      <c r="Z147" s="15" t="n"/>
      <c r="AA147" s="15" t="n">
        <v>65.253</v>
      </c>
      <c r="AB147" s="15" t="n"/>
      <c r="AC147" s="15" t="n"/>
      <c r="AD147" s="16" t="n">
        <v>9729</v>
      </c>
      <c r="AE147" s="17">
        <f>IF(ISNUMBER(K147),K147,IF(AND(ISNUMBER(H147),ISNUMBER(I147)),H147+I147,IF(ISNUMBER(H147),H147,"")))</f>
        <v/>
      </c>
      <c r="AF147" s="18">
        <f>IF(OR(NOT(ISNUMBER(J147)),NOT(ISNUMBER(H147)),H147&lt;=0),기준표!$B$8,MIN(MAX(J147/H147,기준표!$B$6),기준표!$B$7))</f>
        <v/>
      </c>
      <c r="AG147" s="17">
        <f>IF(ISNUMBER(AE147),AE147*(1-AF147),"")</f>
        <v/>
      </c>
      <c r="AH147" s="17">
        <f>IF(AND(NOT(ISNUMBER(V147)),NOT(ISNUMBER(X147))),"",IF(ISNUMBER(V147),V147,0)+IF(ISNUMBER(X147),X147,0))</f>
        <v/>
      </c>
      <c r="AI147" s="17">
        <f>IF(E147="금융","",IF(AND(ISNUMBER(R147),ISNUMBER(AH147),ISNUMBER(T147)),R147+AH147-T147,""))</f>
        <v/>
      </c>
      <c r="AJ147" s="17">
        <f>IF(E147="금융","",IF(NOT(ISNUMBER(AI147)),"",IF(ISNUMBER(AC147),(AI147+AC147)/2,AI147)))</f>
        <v/>
      </c>
      <c r="AK147" s="19">
        <f>IF(AND(ISNUMBER(AG147),ISNUMBER(AJ147),AJ147&gt;0),AG147/AJ147,"")</f>
        <v/>
      </c>
      <c r="AL147" s="17">
        <f>IF(E147="금융","",IF(AND(ISNUMBER(R147),ISNUMBER(AH147)),R147+AH147,""))</f>
        <v/>
      </c>
      <c r="AM147" s="19">
        <f>IF(OR(NOT(ISNUMBER(AG147)),NOT(ISNUMBER(AL147)),AL147&lt;=0),"",IF(AND(ISNUMBER(G147),AL147&lt;0.1*G147),"",AG147/AL147))</f>
        <v/>
      </c>
      <c r="AN147" s="17">
        <f>IF(NOT(ISNUMBER(R147)),"",IF(ISNUMBER(S147),(R147+S147)/2,R147))</f>
        <v/>
      </c>
      <c r="AO147" s="19">
        <f>IF(AND(ISNUMBER(L147),ISNUMBER(AN147),AN147&gt;0),L147/AN147,"")</f>
        <v/>
      </c>
      <c r="AP147" s="19">
        <f>IF(AND(ISNUMBER(AO147),ISNUMBER({ROIC})),AO147-{ROIC},"")</f>
        <v/>
      </c>
      <c r="AQ147" s="17">
        <f>IF(AND(ISNUMBER(AE147),ISNUMBER(N147)),AE147+N147,"")</f>
        <v/>
      </c>
      <c r="AR147" s="20">
        <f>IF(AND(ISNUMBER(AH147),ISNUMBER(T147),ISNUMBER(AQ147),AQ147&gt;0),(AH147-T147)/AQ147,"")</f>
        <v/>
      </c>
      <c r="AS147" s="20">
        <f>IF(AND(ISNUMBER(AE147),ISNUMBER(I147),I147&lt;&gt;0,AE147&gt;0),AE147/I147,"")</f>
        <v/>
      </c>
      <c r="AT147" s="17">
        <f>IF(AND(ISNUMBER(Y147),ISNUMBER(AA147)),Y147-IF(ISNUMBER(T147),T147,0)-(AA147-IF(ISNUMBER(V147),V147,0)),"")</f>
        <v/>
      </c>
      <c r="AU147" s="17">
        <f>IF(AND(ISNUMBER(Z147),ISNUMBER(AB147)),Z147-IF(ISNUMBER(U147),U147,0)-(AB147-IF(ISNUMBER(W147),W147,0)),"")</f>
        <v/>
      </c>
      <c r="AV147" s="17">
        <f>IF(AND(ISNUMBER(AT147),ISNUMBER(AU147)),AT147-AU147,"")</f>
        <v/>
      </c>
      <c r="AW147" s="17">
        <f>IF(AND(ISNUMBER(L147),ISNUMBER(M147),ISNUMBER(AF147)),L147-M147*(1-AF147),IF(ISNUMBER(L147),L147,""))</f>
        <v/>
      </c>
      <c r="AX147" s="17">
        <f>IF(E147="금융","",IF(AND(ISNUMBER(AW147),ISNUMBER(N147),ISNUMBER(O147),ISNUMBER(AV147)),AW147+N147-O147-AV147,IF(AND(ISNUMBER(P147),ISNUMBER(O147)),P147-O147-IF(ISNUMBER(Q147),Q147,0),"")))</f>
        <v/>
      </c>
      <c r="AY147" s="8">
        <f>IF(E147="금융","금융업 - 정의되지 않음",IF(AND(ISNUMBER(AW147),ISNUMBER(N147),ISNUMBER(O147),ISNUMBER(AV147)),"영업순이익+감가상각-설비투자-운전자본증감",IF(AND(ISNUMBER(P147),ISNUMBER(O147)),IF(ISNUMBER(Q147),"영업현금흐름-설비투자-주식보상비용","영업현금흐름-설비투자(주식보상비용 미태깅)"),"산출불가")))</f>
        <v/>
      </c>
      <c r="AZ147" s="19">
        <f>IF(AND(ISNUMBER(AX147),ISNUMBER(G147),G147&lt;&gt;0),AX147/G147,"")</f>
        <v/>
      </c>
      <c r="BA147" s="19">
        <f>IF(AND(ISNUMBER(AE147),ISNUMBER(G147),G147&lt;&gt;0),AE147/G147,"")</f>
        <v/>
      </c>
    </row>
    <row r="148">
      <c r="A148" s="8" t="inlineStr">
        <is>
          <t>WMT</t>
        </is>
      </c>
      <c r="B148" s="8" t="inlineStr">
        <is>
          <t>Walmart Inc.</t>
        </is>
      </c>
      <c r="C148" s="8" t="n">
        <v>2015</v>
      </c>
      <c r="D148" s="8" t="inlineStr">
        <is>
          <t>2016-01-31</t>
        </is>
      </c>
      <c r="E148" s="8" t="inlineStr">
        <is>
          <t>일반</t>
        </is>
      </c>
      <c r="F148" s="8" t="inlineStr">
        <is>
          <t>0000104169-18-000028</t>
        </is>
      </c>
      <c r="G148" s="15" t="n"/>
      <c r="H148" s="15" t="n">
        <v>21.638</v>
      </c>
      <c r="I148" s="15" t="n">
        <v>2.027</v>
      </c>
      <c r="J148" s="15" t="n">
        <v>6.558</v>
      </c>
      <c r="K148" s="15" t="n">
        <v>24.105</v>
      </c>
      <c r="L148" s="15" t="n">
        <v>14.694</v>
      </c>
      <c r="M148" s="15" t="n"/>
      <c r="N148" s="15" t="n"/>
      <c r="O148" s="15" t="n">
        <v>11.477</v>
      </c>
      <c r="P148" s="15" t="n">
        <v>27.552</v>
      </c>
      <c r="Q148" s="15" t="n">
        <v>0.448</v>
      </c>
      <c r="R148" s="15" t="n">
        <v>80.54600000000001</v>
      </c>
      <c r="S148" s="15" t="n">
        <v>81.39400000000001</v>
      </c>
      <c r="T148" s="15" t="n">
        <v>8.705</v>
      </c>
      <c r="U148" s="15" t="n">
        <v>9.135</v>
      </c>
      <c r="V148" s="15" t="n">
        <v>2.708</v>
      </c>
      <c r="W148" s="15" t="n">
        <v>1.592</v>
      </c>
      <c r="X148" s="15" t="n">
        <v>38.214</v>
      </c>
      <c r="Y148" s="15" t="n">
        <v>60.239</v>
      </c>
      <c r="Z148" s="15" t="n">
        <v>63.278</v>
      </c>
      <c r="AA148" s="15" t="n">
        <v>64.619</v>
      </c>
      <c r="AB148" s="15" t="n">
        <v>65.253</v>
      </c>
      <c r="AC148" s="15" t="n">
        <v>114.74</v>
      </c>
      <c r="AD148" s="16" t="n">
        <v>9651</v>
      </c>
      <c r="AE148" s="17">
        <f>IF(ISNUMBER(K148),K148,IF(AND(ISNUMBER(H148),ISNUMBER(I148)),H148+I148,IF(ISNUMBER(H148),H148,"")))</f>
        <v/>
      </c>
      <c r="AF148" s="18">
        <f>IF(OR(NOT(ISNUMBER(J148)),NOT(ISNUMBER(H148)),H148&lt;=0),기준표!$B$8,MIN(MAX(J148/H148,기준표!$B$6),기준표!$B$7))</f>
        <v/>
      </c>
      <c r="AG148" s="17">
        <f>IF(ISNUMBER(AE148),AE148*(1-AF148),"")</f>
        <v/>
      </c>
      <c r="AH148" s="17">
        <f>IF(AND(NOT(ISNUMBER(V148)),NOT(ISNUMBER(X148))),"",IF(ISNUMBER(V148),V148,0)+IF(ISNUMBER(X148),X148,0))</f>
        <v/>
      </c>
      <c r="AI148" s="17">
        <f>IF(E148="금융","",IF(AND(ISNUMBER(R148),ISNUMBER(AH148),ISNUMBER(T148)),R148+AH148-T148,""))</f>
        <v/>
      </c>
      <c r="AJ148" s="17">
        <f>IF(E148="금융","",IF(NOT(ISNUMBER(AI148)),"",IF(ISNUMBER(AC148),(AI148+AC148)/2,AI148)))</f>
        <v/>
      </c>
      <c r="AK148" s="19">
        <f>IF(AND(ISNUMBER(AG148),ISNUMBER(AJ148),AJ148&gt;0),AG148/AJ148,"")</f>
        <v/>
      </c>
      <c r="AL148" s="17">
        <f>IF(E148="금융","",IF(AND(ISNUMBER(R148),ISNUMBER(AH148)),R148+AH148,""))</f>
        <v/>
      </c>
      <c r="AM148" s="19">
        <f>IF(OR(NOT(ISNUMBER(AG148)),NOT(ISNUMBER(AL148)),AL148&lt;=0),"",IF(AND(ISNUMBER(G148),AL148&lt;0.1*G148),"",AG148/AL148))</f>
        <v/>
      </c>
      <c r="AN148" s="17">
        <f>IF(NOT(ISNUMBER(R148)),"",IF(ISNUMBER(S148),(R148+S148)/2,R148))</f>
        <v/>
      </c>
      <c r="AO148" s="19">
        <f>IF(AND(ISNUMBER(L148),ISNUMBER(AN148),AN148&gt;0),L148/AN148,"")</f>
        <v/>
      </c>
      <c r="AP148" s="19">
        <f>IF(AND(ISNUMBER(AO148),ISNUMBER({ROIC})),AO148-{ROIC},"")</f>
        <v/>
      </c>
      <c r="AQ148" s="17">
        <f>IF(AND(ISNUMBER(AE148),ISNUMBER(N148)),AE148+N148,"")</f>
        <v/>
      </c>
      <c r="AR148" s="20">
        <f>IF(AND(ISNUMBER(AH148),ISNUMBER(T148),ISNUMBER(AQ148),AQ148&gt;0),(AH148-T148)/AQ148,"")</f>
        <v/>
      </c>
      <c r="AS148" s="20">
        <f>IF(AND(ISNUMBER(AE148),ISNUMBER(I148),I148&lt;&gt;0,AE148&gt;0),AE148/I148,"")</f>
        <v/>
      </c>
      <c r="AT148" s="17">
        <f>IF(AND(ISNUMBER(Y148),ISNUMBER(AA148)),Y148-IF(ISNUMBER(T148),T148,0)-(AA148-IF(ISNUMBER(V148),V148,0)),"")</f>
        <v/>
      </c>
      <c r="AU148" s="17">
        <f>IF(AND(ISNUMBER(Z148),ISNUMBER(AB148)),Z148-IF(ISNUMBER(U148),U148,0)-(AB148-IF(ISNUMBER(W148),W148,0)),"")</f>
        <v/>
      </c>
      <c r="AV148" s="17">
        <f>IF(AND(ISNUMBER(AT148),ISNUMBER(AU148)),AT148-AU148,"")</f>
        <v/>
      </c>
      <c r="AW148" s="17">
        <f>IF(AND(ISNUMBER(L148),ISNUMBER(M148),ISNUMBER(AF148)),L148-M148*(1-AF148),IF(ISNUMBER(L148),L148,""))</f>
        <v/>
      </c>
      <c r="AX148" s="17">
        <f>IF(E148="금융","",IF(AND(ISNUMBER(AW148),ISNUMBER(N148),ISNUMBER(O148),ISNUMBER(AV148)),AW148+N148-O148-AV148,IF(AND(ISNUMBER(P148),ISNUMBER(O148)),P148-O148-IF(ISNUMBER(Q148),Q148,0),"")))</f>
        <v/>
      </c>
      <c r="AY148" s="8">
        <f>IF(E148="금융","금융업 - 정의되지 않음",IF(AND(ISNUMBER(AW148),ISNUMBER(N148),ISNUMBER(O148),ISNUMBER(AV148)),"영업순이익+감가상각-설비투자-운전자본증감",IF(AND(ISNUMBER(P148),ISNUMBER(O148)),IF(ISNUMBER(Q148),"영업현금흐름-설비투자-주식보상비용","영업현금흐름-설비투자(주식보상비용 미태깅)"),"산출불가")))</f>
        <v/>
      </c>
      <c r="AZ148" s="19">
        <f>IF(AND(ISNUMBER(AX148),ISNUMBER(G148),G148&lt;&gt;0),AX148/G148,"")</f>
        <v/>
      </c>
      <c r="BA148" s="19">
        <f>IF(AND(ISNUMBER(AE148),ISNUMBER(G148),G148&lt;&gt;0),AE148/G148,"")</f>
        <v/>
      </c>
    </row>
    <row r="149">
      <c r="A149" s="8" t="inlineStr">
        <is>
          <t>WMT</t>
        </is>
      </c>
      <c r="B149" s="8" t="inlineStr">
        <is>
          <t>Walmart Inc.</t>
        </is>
      </c>
      <c r="C149" s="8" t="n">
        <v>2016</v>
      </c>
      <c r="D149" s="8" t="inlineStr">
        <is>
          <t>2017-01-31</t>
        </is>
      </c>
      <c r="E149" s="8" t="inlineStr">
        <is>
          <t>일반</t>
        </is>
      </c>
      <c r="F149" s="8" t="inlineStr">
        <is>
          <t>0000104169-19-000016</t>
        </is>
      </c>
      <c r="G149" s="15" t="n">
        <v>481.317</v>
      </c>
      <c r="H149" s="15" t="n">
        <v>20.497</v>
      </c>
      <c r="I149" s="15" t="n">
        <v>2.044</v>
      </c>
      <c r="J149" s="15" t="n">
        <v>6.204</v>
      </c>
      <c r="K149" s="15" t="n">
        <v>22.764</v>
      </c>
      <c r="L149" s="15" t="n">
        <v>13.643</v>
      </c>
      <c r="M149" s="15" t="n"/>
      <c r="N149" s="15" t="n"/>
      <c r="O149" s="15" t="n">
        <v>10.619</v>
      </c>
      <c r="P149" s="15" t="n">
        <v>31.673</v>
      </c>
      <c r="Q149" s="15" t="n">
        <v>0.596</v>
      </c>
      <c r="R149" s="15" t="n">
        <v>77.798</v>
      </c>
      <c r="S149" s="15" t="n">
        <v>80.54600000000001</v>
      </c>
      <c r="T149" s="15" t="n">
        <v>6.867</v>
      </c>
      <c r="U149" s="15" t="n">
        <v>8.705</v>
      </c>
      <c r="V149" s="15" t="n">
        <v>1.099</v>
      </c>
      <c r="W149" s="15" t="n">
        <v>2.708</v>
      </c>
      <c r="X149" s="15" t="n">
        <v>36.015</v>
      </c>
      <c r="Y149" s="15" t="n">
        <v>57.689</v>
      </c>
      <c r="Z149" s="15" t="n">
        <v>60.239</v>
      </c>
      <c r="AA149" s="15" t="n">
        <v>66.928</v>
      </c>
      <c r="AB149" s="15" t="n">
        <v>64.619</v>
      </c>
      <c r="AC149" s="15" t="n">
        <v>112.763</v>
      </c>
      <c r="AD149" s="16" t="n">
        <v>9336</v>
      </c>
      <c r="AE149" s="17">
        <f>IF(ISNUMBER(K149),K149,IF(AND(ISNUMBER(H149),ISNUMBER(I149)),H149+I149,IF(ISNUMBER(H149),H149,"")))</f>
        <v/>
      </c>
      <c r="AF149" s="18">
        <f>IF(OR(NOT(ISNUMBER(J149)),NOT(ISNUMBER(H149)),H149&lt;=0),기준표!$B$8,MIN(MAX(J149/H149,기준표!$B$6),기준표!$B$7))</f>
        <v/>
      </c>
      <c r="AG149" s="17">
        <f>IF(ISNUMBER(AE149),AE149*(1-AF149),"")</f>
        <v/>
      </c>
      <c r="AH149" s="17">
        <f>IF(AND(NOT(ISNUMBER(V149)),NOT(ISNUMBER(X149))),"",IF(ISNUMBER(V149),V149,0)+IF(ISNUMBER(X149),X149,0))</f>
        <v/>
      </c>
      <c r="AI149" s="17">
        <f>IF(E149="금융","",IF(AND(ISNUMBER(R149),ISNUMBER(AH149),ISNUMBER(T149)),R149+AH149-T149,""))</f>
        <v/>
      </c>
      <c r="AJ149" s="17">
        <f>IF(E149="금융","",IF(NOT(ISNUMBER(AI149)),"",IF(ISNUMBER(AC149),(AI149+AC149)/2,AI149)))</f>
        <v/>
      </c>
      <c r="AK149" s="19">
        <f>IF(AND(ISNUMBER(AG149),ISNUMBER(AJ149),AJ149&gt;0),AG149/AJ149,"")</f>
        <v/>
      </c>
      <c r="AL149" s="17">
        <f>IF(E149="금융","",IF(AND(ISNUMBER(R149),ISNUMBER(AH149)),R149+AH149,""))</f>
        <v/>
      </c>
      <c r="AM149" s="19">
        <f>IF(OR(NOT(ISNUMBER(AG149)),NOT(ISNUMBER(AL149)),AL149&lt;=0),"",IF(AND(ISNUMBER(G149),AL149&lt;0.1*G149),"",AG149/AL149))</f>
        <v/>
      </c>
      <c r="AN149" s="17">
        <f>IF(NOT(ISNUMBER(R149)),"",IF(ISNUMBER(S149),(R149+S149)/2,R149))</f>
        <v/>
      </c>
      <c r="AO149" s="19">
        <f>IF(AND(ISNUMBER(L149),ISNUMBER(AN149),AN149&gt;0),L149/AN149,"")</f>
        <v/>
      </c>
      <c r="AP149" s="19">
        <f>IF(AND(ISNUMBER(AO149),ISNUMBER({ROIC})),AO149-{ROIC},"")</f>
        <v/>
      </c>
      <c r="AQ149" s="17">
        <f>IF(AND(ISNUMBER(AE149),ISNUMBER(N149)),AE149+N149,"")</f>
        <v/>
      </c>
      <c r="AR149" s="20">
        <f>IF(AND(ISNUMBER(AH149),ISNUMBER(T149),ISNUMBER(AQ149),AQ149&gt;0),(AH149-T149)/AQ149,"")</f>
        <v/>
      </c>
      <c r="AS149" s="20">
        <f>IF(AND(ISNUMBER(AE149),ISNUMBER(I149),I149&lt;&gt;0,AE149&gt;0),AE149/I149,"")</f>
        <v/>
      </c>
      <c r="AT149" s="17">
        <f>IF(AND(ISNUMBER(Y149),ISNUMBER(AA149)),Y149-IF(ISNUMBER(T149),T149,0)-(AA149-IF(ISNUMBER(V149),V149,0)),"")</f>
        <v/>
      </c>
      <c r="AU149" s="17">
        <f>IF(AND(ISNUMBER(Z149),ISNUMBER(AB149)),Z149-IF(ISNUMBER(U149),U149,0)-(AB149-IF(ISNUMBER(W149),W149,0)),"")</f>
        <v/>
      </c>
      <c r="AV149" s="17">
        <f>IF(AND(ISNUMBER(AT149),ISNUMBER(AU149)),AT149-AU149,"")</f>
        <v/>
      </c>
      <c r="AW149" s="17">
        <f>IF(AND(ISNUMBER(L149),ISNUMBER(M149),ISNUMBER(AF149)),L149-M149*(1-AF149),IF(ISNUMBER(L149),L149,""))</f>
        <v/>
      </c>
      <c r="AX149" s="17">
        <f>IF(E149="금융","",IF(AND(ISNUMBER(AW149),ISNUMBER(N149),ISNUMBER(O149),ISNUMBER(AV149)),AW149+N149-O149-AV149,IF(AND(ISNUMBER(P149),ISNUMBER(O149)),P149-O149-IF(ISNUMBER(Q149),Q149,0),"")))</f>
        <v/>
      </c>
      <c r="AY149" s="8">
        <f>IF(E149="금융","금융업 - 정의되지 않음",IF(AND(ISNUMBER(AW149),ISNUMBER(N149),ISNUMBER(O149),ISNUMBER(AV149)),"영업순이익+감가상각-설비투자-운전자본증감",IF(AND(ISNUMBER(P149),ISNUMBER(O149)),IF(ISNUMBER(Q149),"영업현금흐름-설비투자-주식보상비용","영업현금흐름-설비투자(주식보상비용 미태깅)"),"산출불가")))</f>
        <v/>
      </c>
      <c r="AZ149" s="19">
        <f>IF(AND(ISNUMBER(AX149),ISNUMBER(G149),G149&lt;&gt;0),AX149/G149,"")</f>
        <v/>
      </c>
      <c r="BA149" s="19">
        <f>IF(AND(ISNUMBER(AE149),ISNUMBER(G149),G149&lt;&gt;0),AE149/G149,"")</f>
        <v/>
      </c>
    </row>
    <row r="150">
      <c r="A150" s="8" t="inlineStr">
        <is>
          <t>WMT</t>
        </is>
      </c>
      <c r="B150" s="8" t="inlineStr">
        <is>
          <t>Walmart Inc.</t>
        </is>
      </c>
      <c r="C150" s="8" t="n">
        <v>2017</v>
      </c>
      <c r="D150" s="8" t="inlineStr">
        <is>
          <t>2018-01-31</t>
        </is>
      </c>
      <c r="E150" s="8" t="inlineStr">
        <is>
          <t>일반</t>
        </is>
      </c>
      <c r="F150" s="8" t="inlineStr">
        <is>
          <t>0000104169-20-000011</t>
        </is>
      </c>
      <c r="G150" s="15" t="n">
        <v>495.761</v>
      </c>
      <c r="H150" s="15" t="n">
        <v>15.123</v>
      </c>
      <c r="I150" s="15" t="n">
        <v>1.978</v>
      </c>
      <c r="J150" s="15" t="n">
        <v>4.6</v>
      </c>
      <c r="K150" s="15" t="n">
        <v>20.437</v>
      </c>
      <c r="L150" s="15" t="n">
        <v>9.862</v>
      </c>
      <c r="M150" s="15" t="n"/>
      <c r="N150" s="15" t="n">
        <v>10.529</v>
      </c>
      <c r="O150" s="15" t="n">
        <v>10.051</v>
      </c>
      <c r="P150" s="15" t="n">
        <v>28.337</v>
      </c>
      <c r="Q150" s="15" t="n">
        <v>0.626</v>
      </c>
      <c r="R150" s="15" t="n">
        <v>77.869</v>
      </c>
      <c r="S150" s="15" t="n">
        <v>77.798</v>
      </c>
      <c r="T150" s="15" t="n">
        <v>6.756</v>
      </c>
      <c r="U150" s="15" t="n">
        <v>6.867</v>
      </c>
      <c r="V150" s="15" t="n">
        <v>5.257</v>
      </c>
      <c r="W150" s="15" t="n">
        <v>1.099</v>
      </c>
      <c r="X150" s="15" t="n">
        <v>30.045</v>
      </c>
      <c r="Y150" s="15" t="n">
        <v>59.664</v>
      </c>
      <c r="Z150" s="15" t="n">
        <v>57.689</v>
      </c>
      <c r="AA150" s="15" t="n">
        <v>78.521</v>
      </c>
      <c r="AB150" s="15" t="n">
        <v>66.928</v>
      </c>
      <c r="AC150" s="15" t="n">
        <v>108.045</v>
      </c>
      <c r="AD150" s="16" t="n">
        <v>9030</v>
      </c>
      <c r="AE150" s="17">
        <f>IF(ISNUMBER(K150),K150,IF(AND(ISNUMBER(H150),ISNUMBER(I150)),H150+I150,IF(ISNUMBER(H150),H150,"")))</f>
        <v/>
      </c>
      <c r="AF150" s="18">
        <f>IF(OR(NOT(ISNUMBER(J150)),NOT(ISNUMBER(H150)),H150&lt;=0),기준표!$B$8,MIN(MAX(J150/H150,기준표!$B$6),기준표!$B$7))</f>
        <v/>
      </c>
      <c r="AG150" s="17">
        <f>IF(ISNUMBER(AE150),AE150*(1-AF150),"")</f>
        <v/>
      </c>
      <c r="AH150" s="17">
        <f>IF(AND(NOT(ISNUMBER(V150)),NOT(ISNUMBER(X150))),"",IF(ISNUMBER(V150),V150,0)+IF(ISNUMBER(X150),X150,0))</f>
        <v/>
      </c>
      <c r="AI150" s="17">
        <f>IF(E150="금융","",IF(AND(ISNUMBER(R150),ISNUMBER(AH150),ISNUMBER(T150)),R150+AH150-T150,""))</f>
        <v/>
      </c>
      <c r="AJ150" s="17">
        <f>IF(E150="금융","",IF(NOT(ISNUMBER(AI150)),"",IF(ISNUMBER(AC150),(AI150+AC150)/2,AI150)))</f>
        <v/>
      </c>
      <c r="AK150" s="19">
        <f>IF(AND(ISNUMBER(AG150),ISNUMBER(AJ150),AJ150&gt;0),AG150/AJ150,"")</f>
        <v/>
      </c>
      <c r="AL150" s="17">
        <f>IF(E150="금융","",IF(AND(ISNUMBER(R150),ISNUMBER(AH150)),R150+AH150,""))</f>
        <v/>
      </c>
      <c r="AM150" s="19">
        <f>IF(OR(NOT(ISNUMBER(AG150)),NOT(ISNUMBER(AL150)),AL150&lt;=0),"",IF(AND(ISNUMBER(G150),AL150&lt;0.1*G150),"",AG150/AL150))</f>
        <v/>
      </c>
      <c r="AN150" s="17">
        <f>IF(NOT(ISNUMBER(R150)),"",IF(ISNUMBER(S150),(R150+S150)/2,R150))</f>
        <v/>
      </c>
      <c r="AO150" s="19">
        <f>IF(AND(ISNUMBER(L150),ISNUMBER(AN150),AN150&gt;0),L150/AN150,"")</f>
        <v/>
      </c>
      <c r="AP150" s="19">
        <f>IF(AND(ISNUMBER(AO150),ISNUMBER({ROIC})),AO150-{ROIC},"")</f>
        <v/>
      </c>
      <c r="AQ150" s="17">
        <f>IF(AND(ISNUMBER(AE150),ISNUMBER(N150)),AE150+N150,"")</f>
        <v/>
      </c>
      <c r="AR150" s="20">
        <f>IF(AND(ISNUMBER(AH150),ISNUMBER(T150),ISNUMBER(AQ150),AQ150&gt;0),(AH150-T150)/AQ150,"")</f>
        <v/>
      </c>
      <c r="AS150" s="20">
        <f>IF(AND(ISNUMBER(AE150),ISNUMBER(I150),I150&lt;&gt;0,AE150&gt;0),AE150/I150,"")</f>
        <v/>
      </c>
      <c r="AT150" s="17">
        <f>IF(AND(ISNUMBER(Y150),ISNUMBER(AA150)),Y150-IF(ISNUMBER(T150),T150,0)-(AA150-IF(ISNUMBER(V150),V150,0)),"")</f>
        <v/>
      </c>
      <c r="AU150" s="17">
        <f>IF(AND(ISNUMBER(Z150),ISNUMBER(AB150)),Z150-IF(ISNUMBER(U150),U150,0)-(AB150-IF(ISNUMBER(W150),W150,0)),"")</f>
        <v/>
      </c>
      <c r="AV150" s="17">
        <f>IF(AND(ISNUMBER(AT150),ISNUMBER(AU150)),AT150-AU150,"")</f>
        <v/>
      </c>
      <c r="AW150" s="17">
        <f>IF(AND(ISNUMBER(L150),ISNUMBER(M150),ISNUMBER(AF150)),L150-M150*(1-AF150),IF(ISNUMBER(L150),L150,""))</f>
        <v/>
      </c>
      <c r="AX150" s="17">
        <f>IF(E150="금융","",IF(AND(ISNUMBER(AW150),ISNUMBER(N150),ISNUMBER(O150),ISNUMBER(AV150)),AW150+N150-O150-AV150,IF(AND(ISNUMBER(P150),ISNUMBER(O150)),P150-O150-IF(ISNUMBER(Q150),Q150,0),"")))</f>
        <v/>
      </c>
      <c r="AY150" s="8">
        <f>IF(E150="금융","금융업 - 정의되지 않음",IF(AND(ISNUMBER(AW150),ISNUMBER(N150),ISNUMBER(O150),ISNUMBER(AV150)),"영업순이익+감가상각-설비투자-운전자본증감",IF(AND(ISNUMBER(P150),ISNUMBER(O150)),IF(ISNUMBER(Q150),"영업현금흐름-설비투자-주식보상비용","영업현금흐름-설비투자(주식보상비용 미태깅)"),"산출불가")))</f>
        <v/>
      </c>
      <c r="AZ150" s="19">
        <f>IF(AND(ISNUMBER(AX150),ISNUMBER(G150),G150&lt;&gt;0),AX150/G150,"")</f>
        <v/>
      </c>
      <c r="BA150" s="19">
        <f>IF(AND(ISNUMBER(AE150),ISNUMBER(G150),G150&lt;&gt;0),AE150/G150,"")</f>
        <v/>
      </c>
    </row>
    <row r="151">
      <c r="A151" s="8" t="inlineStr">
        <is>
          <t>WMT</t>
        </is>
      </c>
      <c r="B151" s="8" t="inlineStr">
        <is>
          <t>Walmart Inc.</t>
        </is>
      </c>
      <c r="C151" s="8" t="n">
        <v>2018</v>
      </c>
      <c r="D151" s="8" t="inlineStr">
        <is>
          <t>2019-01-31</t>
        </is>
      </c>
      <c r="E151" s="8" t="inlineStr">
        <is>
          <t>일반</t>
        </is>
      </c>
      <c r="F151" s="8" t="inlineStr">
        <is>
          <t>0000104169-21-000033</t>
        </is>
      </c>
      <c r="G151" s="15" t="n">
        <v>510.329</v>
      </c>
      <c r="H151" s="15" t="n">
        <v>11.46</v>
      </c>
      <c r="I151" s="15" t="n">
        <v>1.975</v>
      </c>
      <c r="J151" s="15" t="n">
        <v>4.281</v>
      </c>
      <c r="K151" s="15" t="n">
        <v>21.957</v>
      </c>
      <c r="L151" s="15" t="n">
        <v>6.67</v>
      </c>
      <c r="M151" s="15" t="n"/>
      <c r="N151" s="15" t="n">
        <v>10.678</v>
      </c>
      <c r="O151" s="15" t="n">
        <v>10.344</v>
      </c>
      <c r="P151" s="15" t="n">
        <v>27.753</v>
      </c>
      <c r="Q151" s="15" t="n">
        <v>0.773</v>
      </c>
      <c r="R151" s="15" t="n">
        <v>72.496</v>
      </c>
      <c r="S151" s="15" t="n">
        <v>77.869</v>
      </c>
      <c r="T151" s="15" t="n">
        <v>7.722</v>
      </c>
      <c r="U151" s="15" t="n">
        <v>6.756</v>
      </c>
      <c r="V151" s="15" t="n">
        <v>5.225</v>
      </c>
      <c r="W151" s="15" t="n">
        <v>5.257</v>
      </c>
      <c r="X151" s="15" t="n">
        <v>43.52</v>
      </c>
      <c r="Y151" s="15" t="n">
        <v>61.897</v>
      </c>
      <c r="Z151" s="15" t="n">
        <v>59.664</v>
      </c>
      <c r="AA151" s="15" t="n">
        <v>77.477</v>
      </c>
      <c r="AB151" s="15" t="n">
        <v>78.521</v>
      </c>
      <c r="AC151" s="15" t="n">
        <v>106.415</v>
      </c>
      <c r="AD151" s="16" t="n">
        <v>8835</v>
      </c>
      <c r="AE151" s="17">
        <f>IF(ISNUMBER(K151),K151,IF(AND(ISNUMBER(H151),ISNUMBER(I151)),H151+I151,IF(ISNUMBER(H151),H151,"")))</f>
        <v/>
      </c>
      <c r="AF151" s="18">
        <f>IF(OR(NOT(ISNUMBER(J151)),NOT(ISNUMBER(H151)),H151&lt;=0),기준표!$B$8,MIN(MAX(J151/H151,기준표!$B$6),기준표!$B$7))</f>
        <v/>
      </c>
      <c r="AG151" s="17">
        <f>IF(ISNUMBER(AE151),AE151*(1-AF151),"")</f>
        <v/>
      </c>
      <c r="AH151" s="17">
        <f>IF(AND(NOT(ISNUMBER(V151)),NOT(ISNUMBER(X151))),"",IF(ISNUMBER(V151),V151,0)+IF(ISNUMBER(X151),X151,0))</f>
        <v/>
      </c>
      <c r="AI151" s="17">
        <f>IF(E151="금융","",IF(AND(ISNUMBER(R151),ISNUMBER(AH151),ISNUMBER(T151)),R151+AH151-T151,""))</f>
        <v/>
      </c>
      <c r="AJ151" s="17">
        <f>IF(E151="금융","",IF(NOT(ISNUMBER(AI151)),"",IF(ISNUMBER(AC151),(AI151+AC151)/2,AI151)))</f>
        <v/>
      </c>
      <c r="AK151" s="19">
        <f>IF(AND(ISNUMBER(AG151),ISNUMBER(AJ151),AJ151&gt;0),AG151/AJ151,"")</f>
        <v/>
      </c>
      <c r="AL151" s="17">
        <f>IF(E151="금융","",IF(AND(ISNUMBER(R151),ISNUMBER(AH151)),R151+AH151,""))</f>
        <v/>
      </c>
      <c r="AM151" s="19">
        <f>IF(OR(NOT(ISNUMBER(AG151)),NOT(ISNUMBER(AL151)),AL151&lt;=0),"",IF(AND(ISNUMBER(G151),AL151&lt;0.1*G151),"",AG151/AL151))</f>
        <v/>
      </c>
      <c r="AN151" s="17">
        <f>IF(NOT(ISNUMBER(R151)),"",IF(ISNUMBER(S151),(R151+S151)/2,R151))</f>
        <v/>
      </c>
      <c r="AO151" s="19">
        <f>IF(AND(ISNUMBER(L151),ISNUMBER(AN151),AN151&gt;0),L151/AN151,"")</f>
        <v/>
      </c>
      <c r="AP151" s="19">
        <f>IF(AND(ISNUMBER(AO151),ISNUMBER({ROIC})),AO151-{ROIC},"")</f>
        <v/>
      </c>
      <c r="AQ151" s="17">
        <f>IF(AND(ISNUMBER(AE151),ISNUMBER(N151)),AE151+N151,"")</f>
        <v/>
      </c>
      <c r="AR151" s="20">
        <f>IF(AND(ISNUMBER(AH151),ISNUMBER(T151),ISNUMBER(AQ151),AQ151&gt;0),(AH151-T151)/AQ151,"")</f>
        <v/>
      </c>
      <c r="AS151" s="20">
        <f>IF(AND(ISNUMBER(AE151),ISNUMBER(I151),I151&lt;&gt;0,AE151&gt;0),AE151/I151,"")</f>
        <v/>
      </c>
      <c r="AT151" s="17">
        <f>IF(AND(ISNUMBER(Y151),ISNUMBER(AA151)),Y151-IF(ISNUMBER(T151),T151,0)-(AA151-IF(ISNUMBER(V151),V151,0)),"")</f>
        <v/>
      </c>
      <c r="AU151" s="17">
        <f>IF(AND(ISNUMBER(Z151),ISNUMBER(AB151)),Z151-IF(ISNUMBER(U151),U151,0)-(AB151-IF(ISNUMBER(W151),W151,0)),"")</f>
        <v/>
      </c>
      <c r="AV151" s="17">
        <f>IF(AND(ISNUMBER(AT151),ISNUMBER(AU151)),AT151-AU151,"")</f>
        <v/>
      </c>
      <c r="AW151" s="17">
        <f>IF(AND(ISNUMBER(L151),ISNUMBER(M151),ISNUMBER(AF151)),L151-M151*(1-AF151),IF(ISNUMBER(L151),L151,""))</f>
        <v/>
      </c>
      <c r="AX151" s="17">
        <f>IF(E151="금융","",IF(AND(ISNUMBER(AW151),ISNUMBER(N151),ISNUMBER(O151),ISNUMBER(AV151)),AW151+N151-O151-AV151,IF(AND(ISNUMBER(P151),ISNUMBER(O151)),P151-O151-IF(ISNUMBER(Q151),Q151,0),"")))</f>
        <v/>
      </c>
      <c r="AY151" s="8">
        <f>IF(E151="금융","금융업 - 정의되지 않음",IF(AND(ISNUMBER(AW151),ISNUMBER(N151),ISNUMBER(O151),ISNUMBER(AV151)),"영업순이익+감가상각-설비투자-운전자본증감",IF(AND(ISNUMBER(P151),ISNUMBER(O151)),IF(ISNUMBER(Q151),"영업현금흐름-설비투자-주식보상비용","영업현금흐름-설비투자(주식보상비용 미태깅)"),"산출불가")))</f>
        <v/>
      </c>
      <c r="AZ151" s="19">
        <f>IF(AND(ISNUMBER(AX151),ISNUMBER(G151),G151&lt;&gt;0),AX151/G151,"")</f>
        <v/>
      </c>
      <c r="BA151" s="19">
        <f>IF(AND(ISNUMBER(AE151),ISNUMBER(G151),G151&lt;&gt;0),AE151/G151,"")</f>
        <v/>
      </c>
    </row>
    <row r="152">
      <c r="A152" s="8" t="inlineStr">
        <is>
          <t>WMT</t>
        </is>
      </c>
      <c r="B152" s="8" t="inlineStr">
        <is>
          <t>Walmart Inc.</t>
        </is>
      </c>
      <c r="C152" s="8" t="n">
        <v>2019</v>
      </c>
      <c r="D152" s="8" t="inlineStr">
        <is>
          <t>2020-01-31</t>
        </is>
      </c>
      <c r="E152" s="8" t="inlineStr">
        <is>
          <t>일반</t>
        </is>
      </c>
      <c r="F152" s="8" t="inlineStr">
        <is>
          <t>0000104169-22-000012</t>
        </is>
      </c>
      <c r="G152" s="15" t="n">
        <v>519.926</v>
      </c>
      <c r="H152" s="15" t="n">
        <v>20.116</v>
      </c>
      <c r="I152" s="15" t="n">
        <v>2.262</v>
      </c>
      <c r="J152" s="15" t="n">
        <v>4.915</v>
      </c>
      <c r="K152" s="15" t="n">
        <v>20.568</v>
      </c>
      <c r="L152" s="15" t="n">
        <v>14.881</v>
      </c>
      <c r="M152" s="15" t="n"/>
      <c r="N152" s="15" t="n">
        <v>10.987</v>
      </c>
      <c r="O152" s="15" t="n">
        <v>10.705</v>
      </c>
      <c r="P152" s="15" t="n">
        <v>25.255</v>
      </c>
      <c r="Q152" s="15" t="n">
        <v>0.854</v>
      </c>
      <c r="R152" s="15" t="n">
        <v>74.669</v>
      </c>
      <c r="S152" s="15" t="n">
        <v>72.496</v>
      </c>
      <c r="T152" s="15" t="n">
        <v>9.465</v>
      </c>
      <c r="U152" s="15" t="n">
        <v>7.722</v>
      </c>
      <c r="V152" s="15" t="n">
        <v>0.575</v>
      </c>
      <c r="W152" s="15" t="n">
        <v>5.225</v>
      </c>
      <c r="X152" s="15" t="n">
        <v>43.714</v>
      </c>
      <c r="Y152" s="15" t="n">
        <v>61.806</v>
      </c>
      <c r="Z152" s="15" t="n">
        <v>61.897</v>
      </c>
      <c r="AA152" s="15" t="n">
        <v>77.79000000000001</v>
      </c>
      <c r="AB152" s="15" t="n">
        <v>77.477</v>
      </c>
      <c r="AC152" s="15" t="n">
        <v>113.519</v>
      </c>
      <c r="AD152" s="16" t="n">
        <v>8604</v>
      </c>
      <c r="AE152" s="17">
        <f>IF(ISNUMBER(K152),K152,IF(AND(ISNUMBER(H152),ISNUMBER(I152)),H152+I152,IF(ISNUMBER(H152),H152,"")))</f>
        <v/>
      </c>
      <c r="AF152" s="18">
        <f>IF(OR(NOT(ISNUMBER(J152)),NOT(ISNUMBER(H152)),H152&lt;=0),기준표!$B$8,MIN(MAX(J152/H152,기준표!$B$6),기준표!$B$7))</f>
        <v/>
      </c>
      <c r="AG152" s="17">
        <f>IF(ISNUMBER(AE152),AE152*(1-AF152),"")</f>
        <v/>
      </c>
      <c r="AH152" s="17">
        <f>IF(AND(NOT(ISNUMBER(V152)),NOT(ISNUMBER(X152))),"",IF(ISNUMBER(V152),V152,0)+IF(ISNUMBER(X152),X152,0))</f>
        <v/>
      </c>
      <c r="AI152" s="17">
        <f>IF(E152="금융","",IF(AND(ISNUMBER(R152),ISNUMBER(AH152),ISNUMBER(T152)),R152+AH152-T152,""))</f>
        <v/>
      </c>
      <c r="AJ152" s="17">
        <f>IF(E152="금융","",IF(NOT(ISNUMBER(AI152)),"",IF(ISNUMBER(AC152),(AI152+AC152)/2,AI152)))</f>
        <v/>
      </c>
      <c r="AK152" s="19">
        <f>IF(AND(ISNUMBER(AG152),ISNUMBER(AJ152),AJ152&gt;0),AG152/AJ152,"")</f>
        <v/>
      </c>
      <c r="AL152" s="17">
        <f>IF(E152="금융","",IF(AND(ISNUMBER(R152),ISNUMBER(AH152)),R152+AH152,""))</f>
        <v/>
      </c>
      <c r="AM152" s="19">
        <f>IF(OR(NOT(ISNUMBER(AG152)),NOT(ISNUMBER(AL152)),AL152&lt;=0),"",IF(AND(ISNUMBER(G152),AL152&lt;0.1*G152),"",AG152/AL152))</f>
        <v/>
      </c>
      <c r="AN152" s="17">
        <f>IF(NOT(ISNUMBER(R152)),"",IF(ISNUMBER(S152),(R152+S152)/2,R152))</f>
        <v/>
      </c>
      <c r="AO152" s="19">
        <f>IF(AND(ISNUMBER(L152),ISNUMBER(AN152),AN152&gt;0),L152/AN152,"")</f>
        <v/>
      </c>
      <c r="AP152" s="19">
        <f>IF(AND(ISNUMBER(AO152),ISNUMBER({ROIC})),AO152-{ROIC},"")</f>
        <v/>
      </c>
      <c r="AQ152" s="17">
        <f>IF(AND(ISNUMBER(AE152),ISNUMBER(N152)),AE152+N152,"")</f>
        <v/>
      </c>
      <c r="AR152" s="20">
        <f>IF(AND(ISNUMBER(AH152),ISNUMBER(T152),ISNUMBER(AQ152),AQ152&gt;0),(AH152-T152)/AQ152,"")</f>
        <v/>
      </c>
      <c r="AS152" s="20">
        <f>IF(AND(ISNUMBER(AE152),ISNUMBER(I152),I152&lt;&gt;0,AE152&gt;0),AE152/I152,"")</f>
        <v/>
      </c>
      <c r="AT152" s="17">
        <f>IF(AND(ISNUMBER(Y152),ISNUMBER(AA152)),Y152-IF(ISNUMBER(T152),T152,0)-(AA152-IF(ISNUMBER(V152),V152,0)),"")</f>
        <v/>
      </c>
      <c r="AU152" s="17">
        <f>IF(AND(ISNUMBER(Z152),ISNUMBER(AB152)),Z152-IF(ISNUMBER(U152),U152,0)-(AB152-IF(ISNUMBER(W152),W152,0)),"")</f>
        <v/>
      </c>
      <c r="AV152" s="17">
        <f>IF(AND(ISNUMBER(AT152),ISNUMBER(AU152)),AT152-AU152,"")</f>
        <v/>
      </c>
      <c r="AW152" s="17">
        <f>IF(AND(ISNUMBER(L152),ISNUMBER(M152),ISNUMBER(AF152)),L152-M152*(1-AF152),IF(ISNUMBER(L152),L152,""))</f>
        <v/>
      </c>
      <c r="AX152" s="17">
        <f>IF(E152="금융","",IF(AND(ISNUMBER(AW152),ISNUMBER(N152),ISNUMBER(O152),ISNUMBER(AV152)),AW152+N152-O152-AV152,IF(AND(ISNUMBER(P152),ISNUMBER(O152)),P152-O152-IF(ISNUMBER(Q152),Q152,0),"")))</f>
        <v/>
      </c>
      <c r="AY152" s="8">
        <f>IF(E152="금융","금융업 - 정의되지 않음",IF(AND(ISNUMBER(AW152),ISNUMBER(N152),ISNUMBER(O152),ISNUMBER(AV152)),"영업순이익+감가상각-설비투자-운전자본증감",IF(AND(ISNUMBER(P152),ISNUMBER(O152)),IF(ISNUMBER(Q152),"영업현금흐름-설비투자-주식보상비용","영업현금흐름-설비투자(주식보상비용 미태깅)"),"산출불가")))</f>
        <v/>
      </c>
      <c r="AZ152" s="19">
        <f>IF(AND(ISNUMBER(AX152),ISNUMBER(G152),G152&lt;&gt;0),AX152/G152,"")</f>
        <v/>
      </c>
      <c r="BA152" s="19">
        <f>IF(AND(ISNUMBER(AE152),ISNUMBER(G152),G152&lt;&gt;0),AE152/G152,"")</f>
        <v/>
      </c>
    </row>
    <row r="153">
      <c r="A153" s="8" t="inlineStr">
        <is>
          <t>WMT</t>
        </is>
      </c>
      <c r="B153" s="8" t="inlineStr">
        <is>
          <t>Walmart Inc.</t>
        </is>
      </c>
      <c r="C153" s="8" t="n">
        <v>2020</v>
      </c>
      <c r="D153" s="8" t="inlineStr">
        <is>
          <t>2021-01-31</t>
        </is>
      </c>
      <c r="E153" s="8" t="inlineStr">
        <is>
          <t>일반</t>
        </is>
      </c>
      <c r="F153" s="8" t="inlineStr">
        <is>
          <t>0000104169-23-000020</t>
        </is>
      </c>
      <c r="G153" s="15" t="n">
        <v>555.2329999999999</v>
      </c>
      <c r="H153" s="15" t="n">
        <v>20.564</v>
      </c>
      <c r="I153" s="15" t="n">
        <v>1.976</v>
      </c>
      <c r="J153" s="15" t="n">
        <v>6.858</v>
      </c>
      <c r="K153" s="15" t="n">
        <v>22.548</v>
      </c>
      <c r="L153" s="15" t="n">
        <v>13.51</v>
      </c>
      <c r="M153" s="15" t="n"/>
      <c r="N153" s="15" t="n">
        <v>11.152</v>
      </c>
      <c r="O153" s="15" t="n">
        <v>10.264</v>
      </c>
      <c r="P153" s="15" t="n">
        <v>36.074</v>
      </c>
      <c r="Q153" s="15" t="n">
        <v>1.169</v>
      </c>
      <c r="R153" s="15" t="n">
        <v>80.925</v>
      </c>
      <c r="S153" s="15" t="n">
        <v>74.669</v>
      </c>
      <c r="T153" s="15" t="n">
        <v>17.741</v>
      </c>
      <c r="U153" s="15" t="n">
        <v>9.465</v>
      </c>
      <c r="V153" s="15" t="n">
        <v>0.224</v>
      </c>
      <c r="W153" s="15" t="n">
        <v>0.575</v>
      </c>
      <c r="X153" s="15" t="n">
        <v>41.194</v>
      </c>
      <c r="Y153" s="15" t="n">
        <v>90.06699999999999</v>
      </c>
      <c r="Z153" s="15" t="n">
        <v>61.806</v>
      </c>
      <c r="AA153" s="15" t="n">
        <v>92.645</v>
      </c>
      <c r="AB153" s="15" t="n">
        <v>77.79000000000001</v>
      </c>
      <c r="AC153" s="15" t="n">
        <v>109.493</v>
      </c>
      <c r="AD153" s="16" t="n">
        <v>8541</v>
      </c>
      <c r="AE153" s="17">
        <f>IF(ISNUMBER(K153),K153,IF(AND(ISNUMBER(H153),ISNUMBER(I153)),H153+I153,IF(ISNUMBER(H153),H153,"")))</f>
        <v/>
      </c>
      <c r="AF153" s="18">
        <f>IF(OR(NOT(ISNUMBER(J153)),NOT(ISNUMBER(H153)),H153&lt;=0),기준표!$B$8,MIN(MAX(J153/H153,기준표!$B$6),기준표!$B$7))</f>
        <v/>
      </c>
      <c r="AG153" s="17">
        <f>IF(ISNUMBER(AE153),AE153*(1-AF153),"")</f>
        <v/>
      </c>
      <c r="AH153" s="17">
        <f>IF(AND(NOT(ISNUMBER(V153)),NOT(ISNUMBER(X153))),"",IF(ISNUMBER(V153),V153,0)+IF(ISNUMBER(X153),X153,0))</f>
        <v/>
      </c>
      <c r="AI153" s="17">
        <f>IF(E153="금융","",IF(AND(ISNUMBER(R153),ISNUMBER(AH153),ISNUMBER(T153)),R153+AH153-T153,""))</f>
        <v/>
      </c>
      <c r="AJ153" s="17">
        <f>IF(E153="금융","",IF(NOT(ISNUMBER(AI153)),"",IF(ISNUMBER(AC153),(AI153+AC153)/2,AI153)))</f>
        <v/>
      </c>
      <c r="AK153" s="19">
        <f>IF(AND(ISNUMBER(AG153),ISNUMBER(AJ153),AJ153&gt;0),AG153/AJ153,"")</f>
        <v/>
      </c>
      <c r="AL153" s="17">
        <f>IF(E153="금융","",IF(AND(ISNUMBER(R153),ISNUMBER(AH153)),R153+AH153,""))</f>
        <v/>
      </c>
      <c r="AM153" s="19">
        <f>IF(OR(NOT(ISNUMBER(AG153)),NOT(ISNUMBER(AL153)),AL153&lt;=0),"",IF(AND(ISNUMBER(G153),AL153&lt;0.1*G153),"",AG153/AL153))</f>
        <v/>
      </c>
      <c r="AN153" s="17">
        <f>IF(NOT(ISNUMBER(R153)),"",IF(ISNUMBER(S153),(R153+S153)/2,R153))</f>
        <v/>
      </c>
      <c r="AO153" s="19">
        <f>IF(AND(ISNUMBER(L153),ISNUMBER(AN153),AN153&gt;0),L153/AN153,"")</f>
        <v/>
      </c>
      <c r="AP153" s="19">
        <f>IF(AND(ISNUMBER(AO153),ISNUMBER({ROIC})),AO153-{ROIC},"")</f>
        <v/>
      </c>
      <c r="AQ153" s="17">
        <f>IF(AND(ISNUMBER(AE153),ISNUMBER(N153)),AE153+N153,"")</f>
        <v/>
      </c>
      <c r="AR153" s="20">
        <f>IF(AND(ISNUMBER(AH153),ISNUMBER(T153),ISNUMBER(AQ153),AQ153&gt;0),(AH153-T153)/AQ153,"")</f>
        <v/>
      </c>
      <c r="AS153" s="20">
        <f>IF(AND(ISNUMBER(AE153),ISNUMBER(I153),I153&lt;&gt;0,AE153&gt;0),AE153/I153,"")</f>
        <v/>
      </c>
      <c r="AT153" s="17">
        <f>IF(AND(ISNUMBER(Y153),ISNUMBER(AA153)),Y153-IF(ISNUMBER(T153),T153,0)-(AA153-IF(ISNUMBER(V153),V153,0)),"")</f>
        <v/>
      </c>
      <c r="AU153" s="17">
        <f>IF(AND(ISNUMBER(Z153),ISNUMBER(AB153)),Z153-IF(ISNUMBER(U153),U153,0)-(AB153-IF(ISNUMBER(W153),W153,0)),"")</f>
        <v/>
      </c>
      <c r="AV153" s="17">
        <f>IF(AND(ISNUMBER(AT153),ISNUMBER(AU153)),AT153-AU153,"")</f>
        <v/>
      </c>
      <c r="AW153" s="17">
        <f>IF(AND(ISNUMBER(L153),ISNUMBER(M153),ISNUMBER(AF153)),L153-M153*(1-AF153),IF(ISNUMBER(L153),L153,""))</f>
        <v/>
      </c>
      <c r="AX153" s="17">
        <f>IF(E153="금융","",IF(AND(ISNUMBER(AW153),ISNUMBER(N153),ISNUMBER(O153),ISNUMBER(AV153)),AW153+N153-O153-AV153,IF(AND(ISNUMBER(P153),ISNUMBER(O153)),P153-O153-IF(ISNUMBER(Q153),Q153,0),"")))</f>
        <v/>
      </c>
      <c r="AY153" s="8">
        <f>IF(E153="금융","금융업 - 정의되지 않음",IF(AND(ISNUMBER(AW153),ISNUMBER(N153),ISNUMBER(O153),ISNUMBER(AV153)),"영업순이익+감가상각-설비투자-운전자본증감",IF(AND(ISNUMBER(P153),ISNUMBER(O153)),IF(ISNUMBER(Q153),"영업현금흐름-설비투자-주식보상비용","영업현금흐름-설비투자(주식보상비용 미태깅)"),"산출불가")))</f>
        <v/>
      </c>
      <c r="AZ153" s="19">
        <f>IF(AND(ISNUMBER(AX153),ISNUMBER(G153),G153&lt;&gt;0),AX153/G153,"")</f>
        <v/>
      </c>
      <c r="BA153" s="19">
        <f>IF(AND(ISNUMBER(AE153),ISNUMBER(G153),G153&lt;&gt;0),AE153/G153,"")</f>
        <v/>
      </c>
    </row>
    <row r="154">
      <c r="A154" s="8" t="inlineStr">
        <is>
          <t>WMT</t>
        </is>
      </c>
      <c r="B154" s="8" t="inlineStr">
        <is>
          <t>Walmart Inc.</t>
        </is>
      </c>
      <c r="C154" s="8" t="n">
        <v>2021</v>
      </c>
      <c r="D154" s="8" t="inlineStr">
        <is>
          <t>2022-01-31</t>
        </is>
      </c>
      <c r="E154" s="8" t="inlineStr">
        <is>
          <t>일반</t>
        </is>
      </c>
      <c r="F154" s="8" t="inlineStr">
        <is>
          <t>0000104169-24-000056</t>
        </is>
      </c>
      <c r="G154" s="15" t="n">
        <v>567.7619999999999</v>
      </c>
      <c r="H154" s="15" t="n">
        <v>18.696</v>
      </c>
      <c r="I154" s="15" t="n">
        <v>1.674</v>
      </c>
      <c r="J154" s="15" t="n">
        <v>4.756</v>
      </c>
      <c r="K154" s="15" t="n">
        <v>25.942</v>
      </c>
      <c r="L154" s="15" t="n">
        <v>13.673</v>
      </c>
      <c r="M154" s="15" t="n"/>
      <c r="N154" s="15" t="n">
        <v>10.658</v>
      </c>
      <c r="O154" s="15" t="n">
        <v>13.106</v>
      </c>
      <c r="P154" s="15" t="n">
        <v>24.181</v>
      </c>
      <c r="Q154" s="15" t="n">
        <v>1.163</v>
      </c>
      <c r="R154" s="15" t="n">
        <v>83.253</v>
      </c>
      <c r="S154" s="15" t="n">
        <v>80.925</v>
      </c>
      <c r="T154" s="15" t="n">
        <v>14.76</v>
      </c>
      <c r="U154" s="15" t="n">
        <v>17.741</v>
      </c>
      <c r="V154" s="15" t="n">
        <v>0.41</v>
      </c>
      <c r="W154" s="15" t="n">
        <v>0.224</v>
      </c>
      <c r="X154" s="15" t="n">
        <v>34.864</v>
      </c>
      <c r="Y154" s="15" t="n">
        <v>81.06999999999999</v>
      </c>
      <c r="Z154" s="15" t="n">
        <v>90.06699999999999</v>
      </c>
      <c r="AA154" s="15" t="n">
        <v>87.379</v>
      </c>
      <c r="AB154" s="15" t="n">
        <v>92.645</v>
      </c>
      <c r="AC154" s="15" t="n">
        <v>104.602</v>
      </c>
      <c r="AD154" s="16" t="n">
        <v>8415</v>
      </c>
      <c r="AE154" s="17">
        <f>IF(ISNUMBER(K154),K154,IF(AND(ISNUMBER(H154),ISNUMBER(I154)),H154+I154,IF(ISNUMBER(H154),H154,"")))</f>
        <v/>
      </c>
      <c r="AF154" s="18">
        <f>IF(OR(NOT(ISNUMBER(J154)),NOT(ISNUMBER(H154)),H154&lt;=0),기준표!$B$8,MIN(MAX(J154/H154,기준표!$B$6),기준표!$B$7))</f>
        <v/>
      </c>
      <c r="AG154" s="17">
        <f>IF(ISNUMBER(AE154),AE154*(1-AF154),"")</f>
        <v/>
      </c>
      <c r="AH154" s="17">
        <f>IF(AND(NOT(ISNUMBER(V154)),NOT(ISNUMBER(X154))),"",IF(ISNUMBER(V154),V154,0)+IF(ISNUMBER(X154),X154,0))</f>
        <v/>
      </c>
      <c r="AI154" s="17">
        <f>IF(E154="금융","",IF(AND(ISNUMBER(R154),ISNUMBER(AH154),ISNUMBER(T154)),R154+AH154-T154,""))</f>
        <v/>
      </c>
      <c r="AJ154" s="17">
        <f>IF(E154="금융","",IF(NOT(ISNUMBER(AI154)),"",IF(ISNUMBER(AC154),(AI154+AC154)/2,AI154)))</f>
        <v/>
      </c>
      <c r="AK154" s="19">
        <f>IF(AND(ISNUMBER(AG154),ISNUMBER(AJ154),AJ154&gt;0),AG154/AJ154,"")</f>
        <v/>
      </c>
      <c r="AL154" s="17">
        <f>IF(E154="금융","",IF(AND(ISNUMBER(R154),ISNUMBER(AH154)),R154+AH154,""))</f>
        <v/>
      </c>
      <c r="AM154" s="19">
        <f>IF(OR(NOT(ISNUMBER(AG154)),NOT(ISNUMBER(AL154)),AL154&lt;=0),"",IF(AND(ISNUMBER(G154),AL154&lt;0.1*G154),"",AG154/AL154))</f>
        <v/>
      </c>
      <c r="AN154" s="17">
        <f>IF(NOT(ISNUMBER(R154)),"",IF(ISNUMBER(S154),(R154+S154)/2,R154))</f>
        <v/>
      </c>
      <c r="AO154" s="19">
        <f>IF(AND(ISNUMBER(L154),ISNUMBER(AN154),AN154&gt;0),L154/AN154,"")</f>
        <v/>
      </c>
      <c r="AP154" s="19">
        <f>IF(AND(ISNUMBER(AO154),ISNUMBER({ROIC})),AO154-{ROIC},"")</f>
        <v/>
      </c>
      <c r="AQ154" s="17">
        <f>IF(AND(ISNUMBER(AE154),ISNUMBER(N154)),AE154+N154,"")</f>
        <v/>
      </c>
      <c r="AR154" s="20">
        <f>IF(AND(ISNUMBER(AH154),ISNUMBER(T154),ISNUMBER(AQ154),AQ154&gt;0),(AH154-T154)/AQ154,"")</f>
        <v/>
      </c>
      <c r="AS154" s="20">
        <f>IF(AND(ISNUMBER(AE154),ISNUMBER(I154),I154&lt;&gt;0,AE154&gt;0),AE154/I154,"")</f>
        <v/>
      </c>
      <c r="AT154" s="17">
        <f>IF(AND(ISNUMBER(Y154),ISNUMBER(AA154)),Y154-IF(ISNUMBER(T154),T154,0)-(AA154-IF(ISNUMBER(V154),V154,0)),"")</f>
        <v/>
      </c>
      <c r="AU154" s="17">
        <f>IF(AND(ISNUMBER(Z154),ISNUMBER(AB154)),Z154-IF(ISNUMBER(U154),U154,0)-(AB154-IF(ISNUMBER(W154),W154,0)),"")</f>
        <v/>
      </c>
      <c r="AV154" s="17">
        <f>IF(AND(ISNUMBER(AT154),ISNUMBER(AU154)),AT154-AU154,"")</f>
        <v/>
      </c>
      <c r="AW154" s="17">
        <f>IF(AND(ISNUMBER(L154),ISNUMBER(M154),ISNUMBER(AF154)),L154-M154*(1-AF154),IF(ISNUMBER(L154),L154,""))</f>
        <v/>
      </c>
      <c r="AX154" s="17">
        <f>IF(E154="금융","",IF(AND(ISNUMBER(AW154),ISNUMBER(N154),ISNUMBER(O154),ISNUMBER(AV154)),AW154+N154-O154-AV154,IF(AND(ISNUMBER(P154),ISNUMBER(O154)),P154-O154-IF(ISNUMBER(Q154),Q154,0),"")))</f>
        <v/>
      </c>
      <c r="AY154" s="8">
        <f>IF(E154="금융","금융업 - 정의되지 않음",IF(AND(ISNUMBER(AW154),ISNUMBER(N154),ISNUMBER(O154),ISNUMBER(AV154)),"영업순이익+감가상각-설비투자-운전자본증감",IF(AND(ISNUMBER(P154),ISNUMBER(O154)),IF(ISNUMBER(Q154),"영업현금흐름-설비투자-주식보상비용","영업현금흐름-설비투자(주식보상비용 미태깅)"),"산출불가")))</f>
        <v/>
      </c>
      <c r="AZ154" s="19">
        <f>IF(AND(ISNUMBER(AX154),ISNUMBER(G154),G154&lt;&gt;0),AX154/G154,"")</f>
        <v/>
      </c>
      <c r="BA154" s="19">
        <f>IF(AND(ISNUMBER(AE154),ISNUMBER(G154),G154&lt;&gt;0),AE154/G154,"")</f>
        <v/>
      </c>
    </row>
    <row r="155">
      <c r="A155" s="8" t="inlineStr">
        <is>
          <t>WMT</t>
        </is>
      </c>
      <c r="B155" s="8" t="inlineStr">
        <is>
          <t>Walmart Inc.</t>
        </is>
      </c>
      <c r="C155" s="8" t="n">
        <v>2022</v>
      </c>
      <c r="D155" s="8" t="inlineStr">
        <is>
          <t>2023-01-31</t>
        </is>
      </c>
      <c r="E155" s="8" t="inlineStr">
        <is>
          <t>일반</t>
        </is>
      </c>
      <c r="F155" s="8" t="inlineStr">
        <is>
          <t>0000104169-25-000021</t>
        </is>
      </c>
      <c r="G155" s="15" t="n">
        <v>605.881</v>
      </c>
      <c r="H155" s="15" t="n">
        <v>17.016</v>
      </c>
      <c r="I155" s="15" t="n">
        <v>1.787</v>
      </c>
      <c r="J155" s="15" t="n">
        <v>5.724</v>
      </c>
      <c r="K155" s="15" t="n">
        <v>20.428</v>
      </c>
      <c r="L155" s="15" t="n">
        <v>11.68</v>
      </c>
      <c r="M155" s="15" t="n"/>
      <c r="N155" s="15" t="n">
        <v>10.945</v>
      </c>
      <c r="O155" s="15" t="n">
        <v>16.857</v>
      </c>
      <c r="P155" s="15" t="n">
        <v>28.841</v>
      </c>
      <c r="Q155" s="15" t="n">
        <v>1.578</v>
      </c>
      <c r="R155" s="15" t="n">
        <v>76.693</v>
      </c>
      <c r="S155" s="15" t="n">
        <v>83.253</v>
      </c>
      <c r="T155" s="15" t="n">
        <v>8.625</v>
      </c>
      <c r="U155" s="15" t="n">
        <v>14.76</v>
      </c>
      <c r="V155" s="15" t="n">
        <v>0.372</v>
      </c>
      <c r="W155" s="15" t="n">
        <v>0.41</v>
      </c>
      <c r="X155" s="15" t="n">
        <v>34.649</v>
      </c>
      <c r="Y155" s="15" t="n">
        <v>75.655</v>
      </c>
      <c r="Z155" s="15" t="n">
        <v>81.06999999999999</v>
      </c>
      <c r="AA155" s="15" t="n">
        <v>92.19799999999999</v>
      </c>
      <c r="AB155" s="15" t="n">
        <v>87.379</v>
      </c>
      <c r="AC155" s="15" t="n">
        <v>103.767</v>
      </c>
      <c r="AD155" s="16" t="n">
        <v>8202</v>
      </c>
      <c r="AE155" s="17">
        <f>IF(ISNUMBER(K155),K155,IF(AND(ISNUMBER(H155),ISNUMBER(I155)),H155+I155,IF(ISNUMBER(H155),H155,"")))</f>
        <v/>
      </c>
      <c r="AF155" s="18">
        <f>IF(OR(NOT(ISNUMBER(J155)),NOT(ISNUMBER(H155)),H155&lt;=0),기준표!$B$8,MIN(MAX(J155/H155,기준표!$B$6),기준표!$B$7))</f>
        <v/>
      </c>
      <c r="AG155" s="17">
        <f>IF(ISNUMBER(AE155),AE155*(1-AF155),"")</f>
        <v/>
      </c>
      <c r="AH155" s="17">
        <f>IF(AND(NOT(ISNUMBER(V155)),NOT(ISNUMBER(X155))),"",IF(ISNUMBER(V155),V155,0)+IF(ISNUMBER(X155),X155,0))</f>
        <v/>
      </c>
      <c r="AI155" s="17">
        <f>IF(E155="금융","",IF(AND(ISNUMBER(R155),ISNUMBER(AH155),ISNUMBER(T155)),R155+AH155-T155,""))</f>
        <v/>
      </c>
      <c r="AJ155" s="17">
        <f>IF(E155="금융","",IF(NOT(ISNUMBER(AI155)),"",IF(ISNUMBER(AC155),(AI155+AC155)/2,AI155)))</f>
        <v/>
      </c>
      <c r="AK155" s="19">
        <f>IF(AND(ISNUMBER(AG155),ISNUMBER(AJ155),AJ155&gt;0),AG155/AJ155,"")</f>
        <v/>
      </c>
      <c r="AL155" s="17">
        <f>IF(E155="금융","",IF(AND(ISNUMBER(R155),ISNUMBER(AH155)),R155+AH155,""))</f>
        <v/>
      </c>
      <c r="AM155" s="19">
        <f>IF(OR(NOT(ISNUMBER(AG155)),NOT(ISNUMBER(AL155)),AL155&lt;=0),"",IF(AND(ISNUMBER(G155),AL155&lt;0.1*G155),"",AG155/AL155))</f>
        <v/>
      </c>
      <c r="AN155" s="17">
        <f>IF(NOT(ISNUMBER(R155)),"",IF(ISNUMBER(S155),(R155+S155)/2,R155))</f>
        <v/>
      </c>
      <c r="AO155" s="19">
        <f>IF(AND(ISNUMBER(L155),ISNUMBER(AN155),AN155&gt;0),L155/AN155,"")</f>
        <v/>
      </c>
      <c r="AP155" s="19">
        <f>IF(AND(ISNUMBER(AO155),ISNUMBER({ROIC})),AO155-{ROIC},"")</f>
        <v/>
      </c>
      <c r="AQ155" s="17">
        <f>IF(AND(ISNUMBER(AE155),ISNUMBER(N155)),AE155+N155,"")</f>
        <v/>
      </c>
      <c r="AR155" s="20">
        <f>IF(AND(ISNUMBER(AH155),ISNUMBER(T155),ISNUMBER(AQ155),AQ155&gt;0),(AH155-T155)/AQ155,"")</f>
        <v/>
      </c>
      <c r="AS155" s="20">
        <f>IF(AND(ISNUMBER(AE155),ISNUMBER(I155),I155&lt;&gt;0,AE155&gt;0),AE155/I155,"")</f>
        <v/>
      </c>
      <c r="AT155" s="17">
        <f>IF(AND(ISNUMBER(Y155),ISNUMBER(AA155)),Y155-IF(ISNUMBER(T155),T155,0)-(AA155-IF(ISNUMBER(V155),V155,0)),"")</f>
        <v/>
      </c>
      <c r="AU155" s="17">
        <f>IF(AND(ISNUMBER(Z155),ISNUMBER(AB155)),Z155-IF(ISNUMBER(U155),U155,0)-(AB155-IF(ISNUMBER(W155),W155,0)),"")</f>
        <v/>
      </c>
      <c r="AV155" s="17">
        <f>IF(AND(ISNUMBER(AT155),ISNUMBER(AU155)),AT155-AU155,"")</f>
        <v/>
      </c>
      <c r="AW155" s="17">
        <f>IF(AND(ISNUMBER(L155),ISNUMBER(M155),ISNUMBER(AF155)),L155-M155*(1-AF155),IF(ISNUMBER(L155),L155,""))</f>
        <v/>
      </c>
      <c r="AX155" s="17">
        <f>IF(E155="금융","",IF(AND(ISNUMBER(AW155),ISNUMBER(N155),ISNUMBER(O155),ISNUMBER(AV155)),AW155+N155-O155-AV155,IF(AND(ISNUMBER(P155),ISNUMBER(O155)),P155-O155-IF(ISNUMBER(Q155),Q155,0),"")))</f>
        <v/>
      </c>
      <c r="AY155" s="8">
        <f>IF(E155="금융","금융업 - 정의되지 않음",IF(AND(ISNUMBER(AW155),ISNUMBER(N155),ISNUMBER(O155),ISNUMBER(AV155)),"영업순이익+감가상각-설비투자-운전자본증감",IF(AND(ISNUMBER(P155),ISNUMBER(O155)),IF(ISNUMBER(Q155),"영업현금흐름-설비투자-주식보상비용","영업현금흐름-설비투자(주식보상비용 미태깅)"),"산출불가")))</f>
        <v/>
      </c>
      <c r="AZ155" s="19">
        <f>IF(AND(ISNUMBER(AX155),ISNUMBER(G155),G155&lt;&gt;0),AX155/G155,"")</f>
        <v/>
      </c>
      <c r="BA155" s="19">
        <f>IF(AND(ISNUMBER(AE155),ISNUMBER(G155),G155&lt;&gt;0),AE155/G155,"")</f>
        <v/>
      </c>
    </row>
    <row r="156">
      <c r="A156" s="8" t="inlineStr">
        <is>
          <t>WMT</t>
        </is>
      </c>
      <c r="B156" s="8" t="inlineStr">
        <is>
          <t>Walmart Inc.</t>
        </is>
      </c>
      <c r="C156" s="8" t="n">
        <v>2023</v>
      </c>
      <c r="D156" s="8" t="inlineStr">
        <is>
          <t>2024-01-31</t>
        </is>
      </c>
      <c r="E156" s="8" t="inlineStr">
        <is>
          <t>일반</t>
        </is>
      </c>
      <c r="F156" s="8" t="inlineStr">
        <is>
          <t>0000104169-26-000055</t>
        </is>
      </c>
      <c r="G156" s="15" t="n">
        <v>642.6369999999999</v>
      </c>
      <c r="H156" s="15" t="n">
        <v>21.848</v>
      </c>
      <c r="I156" s="15" t="n">
        <v>2.259</v>
      </c>
      <c r="J156" s="15" t="n">
        <v>5.578</v>
      </c>
      <c r="K156" s="15" t="n">
        <v>27.012</v>
      </c>
      <c r="L156" s="15" t="n">
        <v>15.511</v>
      </c>
      <c r="M156" s="15" t="n">
        <v>-3.193</v>
      </c>
      <c r="N156" s="15" t="n">
        <v>11.853</v>
      </c>
      <c r="O156" s="15" t="n">
        <v>20.606</v>
      </c>
      <c r="P156" s="15" t="n">
        <v>35.726</v>
      </c>
      <c r="Q156" s="15" t="n">
        <v>2.093</v>
      </c>
      <c r="R156" s="15" t="n">
        <v>83.861</v>
      </c>
      <c r="S156" s="15" t="n">
        <v>76.693</v>
      </c>
      <c r="T156" s="15" t="n">
        <v>9.867000000000001</v>
      </c>
      <c r="U156" s="15" t="n">
        <v>8.625</v>
      </c>
      <c r="V156" s="15" t="n">
        <v>0.878</v>
      </c>
      <c r="W156" s="15" t="n">
        <v>0.372</v>
      </c>
      <c r="X156" s="15" t="n">
        <v>36.132</v>
      </c>
      <c r="Y156" s="15" t="n">
        <v>76.877</v>
      </c>
      <c r="Z156" s="15" t="n">
        <v>75.655</v>
      </c>
      <c r="AA156" s="15" t="n">
        <v>92.41500000000001</v>
      </c>
      <c r="AB156" s="15" t="n">
        <v>92.19799999999999</v>
      </c>
      <c r="AC156" s="15" t="n">
        <v>103.089</v>
      </c>
      <c r="AD156" s="16" t="n">
        <v>8108</v>
      </c>
      <c r="AE156" s="17">
        <f>IF(ISNUMBER(K156),K156,IF(AND(ISNUMBER(H156),ISNUMBER(I156)),H156+I156,IF(ISNUMBER(H156),H156,"")))</f>
        <v/>
      </c>
      <c r="AF156" s="18">
        <f>IF(OR(NOT(ISNUMBER(J156)),NOT(ISNUMBER(H156)),H156&lt;=0),기준표!$B$8,MIN(MAX(J156/H156,기준표!$B$6),기준표!$B$7))</f>
        <v/>
      </c>
      <c r="AG156" s="17">
        <f>IF(ISNUMBER(AE156),AE156*(1-AF156),"")</f>
        <v/>
      </c>
      <c r="AH156" s="17">
        <f>IF(AND(NOT(ISNUMBER(V156)),NOT(ISNUMBER(X156))),"",IF(ISNUMBER(V156),V156,0)+IF(ISNUMBER(X156),X156,0))</f>
        <v/>
      </c>
      <c r="AI156" s="17">
        <f>IF(E156="금융","",IF(AND(ISNUMBER(R156),ISNUMBER(AH156),ISNUMBER(T156)),R156+AH156-T156,""))</f>
        <v/>
      </c>
      <c r="AJ156" s="17">
        <f>IF(E156="금융","",IF(NOT(ISNUMBER(AI156)),"",IF(ISNUMBER(AC156),(AI156+AC156)/2,AI156)))</f>
        <v/>
      </c>
      <c r="AK156" s="19">
        <f>IF(AND(ISNUMBER(AG156),ISNUMBER(AJ156),AJ156&gt;0),AG156/AJ156,"")</f>
        <v/>
      </c>
      <c r="AL156" s="17">
        <f>IF(E156="금융","",IF(AND(ISNUMBER(R156),ISNUMBER(AH156)),R156+AH156,""))</f>
        <v/>
      </c>
      <c r="AM156" s="19">
        <f>IF(OR(NOT(ISNUMBER(AG156)),NOT(ISNUMBER(AL156)),AL156&lt;=0),"",IF(AND(ISNUMBER(G156),AL156&lt;0.1*G156),"",AG156/AL156))</f>
        <v/>
      </c>
      <c r="AN156" s="17">
        <f>IF(NOT(ISNUMBER(R156)),"",IF(ISNUMBER(S156),(R156+S156)/2,R156))</f>
        <v/>
      </c>
      <c r="AO156" s="19">
        <f>IF(AND(ISNUMBER(L156),ISNUMBER(AN156),AN156&gt;0),L156/AN156,"")</f>
        <v/>
      </c>
      <c r="AP156" s="19">
        <f>IF(AND(ISNUMBER(AO156),ISNUMBER({ROIC})),AO156-{ROIC},"")</f>
        <v/>
      </c>
      <c r="AQ156" s="17">
        <f>IF(AND(ISNUMBER(AE156),ISNUMBER(N156)),AE156+N156,"")</f>
        <v/>
      </c>
      <c r="AR156" s="20">
        <f>IF(AND(ISNUMBER(AH156),ISNUMBER(T156),ISNUMBER(AQ156),AQ156&gt;0),(AH156-T156)/AQ156,"")</f>
        <v/>
      </c>
      <c r="AS156" s="20">
        <f>IF(AND(ISNUMBER(AE156),ISNUMBER(I156),I156&lt;&gt;0,AE156&gt;0),AE156/I156,"")</f>
        <v/>
      </c>
      <c r="AT156" s="17">
        <f>IF(AND(ISNUMBER(Y156),ISNUMBER(AA156)),Y156-IF(ISNUMBER(T156),T156,0)-(AA156-IF(ISNUMBER(V156),V156,0)),"")</f>
        <v/>
      </c>
      <c r="AU156" s="17">
        <f>IF(AND(ISNUMBER(Z156),ISNUMBER(AB156)),Z156-IF(ISNUMBER(U156),U156,0)-(AB156-IF(ISNUMBER(W156),W156,0)),"")</f>
        <v/>
      </c>
      <c r="AV156" s="17">
        <f>IF(AND(ISNUMBER(AT156),ISNUMBER(AU156)),AT156-AU156,"")</f>
        <v/>
      </c>
      <c r="AW156" s="17">
        <f>IF(AND(ISNUMBER(L156),ISNUMBER(M156),ISNUMBER(AF156)),L156-M156*(1-AF156),IF(ISNUMBER(L156),L156,""))</f>
        <v/>
      </c>
      <c r="AX156" s="17">
        <f>IF(E156="금융","",IF(AND(ISNUMBER(AW156),ISNUMBER(N156),ISNUMBER(O156),ISNUMBER(AV156)),AW156+N156-O156-AV156,IF(AND(ISNUMBER(P156),ISNUMBER(O156)),P156-O156-IF(ISNUMBER(Q156),Q156,0),"")))</f>
        <v/>
      </c>
      <c r="AY156" s="8">
        <f>IF(E156="금융","금융업 - 정의되지 않음",IF(AND(ISNUMBER(AW156),ISNUMBER(N156),ISNUMBER(O156),ISNUMBER(AV156)),"영업순이익+감가상각-설비투자-운전자본증감",IF(AND(ISNUMBER(P156),ISNUMBER(O156)),IF(ISNUMBER(Q156),"영업현금흐름-설비투자-주식보상비용","영업현금흐름-설비투자(주식보상비용 미태깅)"),"산출불가")))</f>
        <v/>
      </c>
      <c r="AZ156" s="19">
        <f>IF(AND(ISNUMBER(AX156),ISNUMBER(G156),G156&lt;&gt;0),AX156/G156,"")</f>
        <v/>
      </c>
      <c r="BA156" s="19">
        <f>IF(AND(ISNUMBER(AE156),ISNUMBER(G156),G156&lt;&gt;0),AE156/G156,"")</f>
        <v/>
      </c>
    </row>
    <row r="157">
      <c r="A157" s="8" t="inlineStr">
        <is>
          <t>WMT</t>
        </is>
      </c>
      <c r="B157" s="8" t="inlineStr">
        <is>
          <t>Walmart Inc.</t>
        </is>
      </c>
      <c r="C157" s="8" t="n">
        <v>2024</v>
      </c>
      <c r="D157" s="8" t="inlineStr">
        <is>
          <t>2025-01-31</t>
        </is>
      </c>
      <c r="E157" s="8" t="inlineStr">
        <is>
          <t>일반</t>
        </is>
      </c>
      <c r="F157" s="8" t="inlineStr">
        <is>
          <t>0000104169-26-000055</t>
        </is>
      </c>
      <c r="G157" s="15" t="n">
        <v>674.538</v>
      </c>
      <c r="H157" s="15" t="n">
        <v>26.309</v>
      </c>
      <c r="I157" s="15" t="n">
        <v>2.249</v>
      </c>
      <c r="J157" s="15" t="n">
        <v>6.152</v>
      </c>
      <c r="K157" s="15" t="n">
        <v>29.348</v>
      </c>
      <c r="L157" s="15" t="n">
        <v>19.436</v>
      </c>
      <c r="M157" s="15" t="n">
        <v>-0.878</v>
      </c>
      <c r="N157" s="15" t="n">
        <v>12.973</v>
      </c>
      <c r="O157" s="15" t="n">
        <v>23.783</v>
      </c>
      <c r="P157" s="15" t="n">
        <v>36.443</v>
      </c>
      <c r="Q157" s="15" t="n">
        <v>2.769</v>
      </c>
      <c r="R157" s="15" t="n">
        <v>91.01300000000001</v>
      </c>
      <c r="S157" s="15" t="n">
        <v>83.861</v>
      </c>
      <c r="T157" s="15" t="n">
        <v>9.037000000000001</v>
      </c>
      <c r="U157" s="15" t="n">
        <v>9.867000000000001</v>
      </c>
      <c r="V157" s="15" t="n">
        <v>3.068</v>
      </c>
      <c r="W157" s="15" t="n">
        <v>0.878</v>
      </c>
      <c r="X157" s="15" t="n">
        <v>33.401</v>
      </c>
      <c r="Y157" s="15" t="n">
        <v>79.458</v>
      </c>
      <c r="Z157" s="15" t="n">
        <v>76.877</v>
      </c>
      <c r="AA157" s="15" t="n">
        <v>96.584</v>
      </c>
      <c r="AB157" s="15" t="n">
        <v>92.41500000000001</v>
      </c>
      <c r="AC157" s="15" t="n">
        <v>111.004</v>
      </c>
      <c r="AD157" s="16" t="n">
        <v>8081</v>
      </c>
      <c r="AE157" s="17">
        <f>IF(ISNUMBER(K157),K157,IF(AND(ISNUMBER(H157),ISNUMBER(I157)),H157+I157,IF(ISNUMBER(H157),H157,"")))</f>
        <v/>
      </c>
      <c r="AF157" s="18">
        <f>IF(OR(NOT(ISNUMBER(J157)),NOT(ISNUMBER(H157)),H157&lt;=0),기준표!$B$8,MIN(MAX(J157/H157,기준표!$B$6),기준표!$B$7))</f>
        <v/>
      </c>
      <c r="AG157" s="17">
        <f>IF(ISNUMBER(AE157),AE157*(1-AF157),"")</f>
        <v/>
      </c>
      <c r="AH157" s="17">
        <f>IF(AND(NOT(ISNUMBER(V157)),NOT(ISNUMBER(X157))),"",IF(ISNUMBER(V157),V157,0)+IF(ISNUMBER(X157),X157,0))</f>
        <v/>
      </c>
      <c r="AI157" s="17">
        <f>IF(E157="금융","",IF(AND(ISNUMBER(R157),ISNUMBER(AH157),ISNUMBER(T157)),R157+AH157-T157,""))</f>
        <v/>
      </c>
      <c r="AJ157" s="17">
        <f>IF(E157="금융","",IF(NOT(ISNUMBER(AI157)),"",IF(ISNUMBER(AC157),(AI157+AC157)/2,AI157)))</f>
        <v/>
      </c>
      <c r="AK157" s="19">
        <f>IF(AND(ISNUMBER(AG157),ISNUMBER(AJ157),AJ157&gt;0),AG157/AJ157,"")</f>
        <v/>
      </c>
      <c r="AL157" s="17">
        <f>IF(E157="금융","",IF(AND(ISNUMBER(R157),ISNUMBER(AH157)),R157+AH157,""))</f>
        <v/>
      </c>
      <c r="AM157" s="19">
        <f>IF(OR(NOT(ISNUMBER(AG157)),NOT(ISNUMBER(AL157)),AL157&lt;=0),"",IF(AND(ISNUMBER(G157),AL157&lt;0.1*G157),"",AG157/AL157))</f>
        <v/>
      </c>
      <c r="AN157" s="17">
        <f>IF(NOT(ISNUMBER(R157)),"",IF(ISNUMBER(S157),(R157+S157)/2,R157))</f>
        <v/>
      </c>
      <c r="AO157" s="19">
        <f>IF(AND(ISNUMBER(L157),ISNUMBER(AN157),AN157&gt;0),L157/AN157,"")</f>
        <v/>
      </c>
      <c r="AP157" s="19">
        <f>IF(AND(ISNUMBER(AO157),ISNUMBER({ROIC})),AO157-{ROIC},"")</f>
        <v/>
      </c>
      <c r="AQ157" s="17">
        <f>IF(AND(ISNUMBER(AE157),ISNUMBER(N157)),AE157+N157,"")</f>
        <v/>
      </c>
      <c r="AR157" s="20">
        <f>IF(AND(ISNUMBER(AH157),ISNUMBER(T157),ISNUMBER(AQ157),AQ157&gt;0),(AH157-T157)/AQ157,"")</f>
        <v/>
      </c>
      <c r="AS157" s="20">
        <f>IF(AND(ISNUMBER(AE157),ISNUMBER(I157),I157&lt;&gt;0,AE157&gt;0),AE157/I157,"")</f>
        <v/>
      </c>
      <c r="AT157" s="17">
        <f>IF(AND(ISNUMBER(Y157),ISNUMBER(AA157)),Y157-IF(ISNUMBER(T157),T157,0)-(AA157-IF(ISNUMBER(V157),V157,0)),"")</f>
        <v/>
      </c>
      <c r="AU157" s="17">
        <f>IF(AND(ISNUMBER(Z157),ISNUMBER(AB157)),Z157-IF(ISNUMBER(U157),U157,0)-(AB157-IF(ISNUMBER(W157),W157,0)),"")</f>
        <v/>
      </c>
      <c r="AV157" s="17">
        <f>IF(AND(ISNUMBER(AT157),ISNUMBER(AU157)),AT157-AU157,"")</f>
        <v/>
      </c>
      <c r="AW157" s="17">
        <f>IF(AND(ISNUMBER(L157),ISNUMBER(M157),ISNUMBER(AF157)),L157-M157*(1-AF157),IF(ISNUMBER(L157),L157,""))</f>
        <v/>
      </c>
      <c r="AX157" s="17">
        <f>IF(E157="금융","",IF(AND(ISNUMBER(AW157),ISNUMBER(N157),ISNUMBER(O157),ISNUMBER(AV157)),AW157+N157-O157-AV157,IF(AND(ISNUMBER(P157),ISNUMBER(O157)),P157-O157-IF(ISNUMBER(Q157),Q157,0),"")))</f>
        <v/>
      </c>
      <c r="AY157" s="8">
        <f>IF(E157="금융","금융업 - 정의되지 않음",IF(AND(ISNUMBER(AW157),ISNUMBER(N157),ISNUMBER(O157),ISNUMBER(AV157)),"영업순이익+감가상각-설비투자-운전자본증감",IF(AND(ISNUMBER(P157),ISNUMBER(O157)),IF(ISNUMBER(Q157),"영업현금흐름-설비투자-주식보상비용","영업현금흐름-설비투자(주식보상비용 미태깅)"),"산출불가")))</f>
        <v/>
      </c>
      <c r="AZ157" s="19">
        <f>IF(AND(ISNUMBER(AX157),ISNUMBER(G157),G157&lt;&gt;0),AX157/G157,"")</f>
        <v/>
      </c>
      <c r="BA157" s="19">
        <f>IF(AND(ISNUMBER(AE157),ISNUMBER(G157),G157&lt;&gt;0),AE157/G157,"")</f>
        <v/>
      </c>
    </row>
    <row r="158">
      <c r="A158" s="8" t="inlineStr">
        <is>
          <t>WMT</t>
        </is>
      </c>
      <c r="B158" s="8" t="inlineStr">
        <is>
          <t>Walmart Inc.</t>
        </is>
      </c>
      <c r="C158" s="8" t="n">
        <v>2025</v>
      </c>
      <c r="D158" s="8" t="inlineStr">
        <is>
          <t>2026-01-31</t>
        </is>
      </c>
      <c r="E158" s="8" t="inlineStr">
        <is>
          <t>일반</t>
        </is>
      </c>
      <c r="F158" s="8" t="inlineStr">
        <is>
          <t>0000104169-26-000055</t>
        </is>
      </c>
      <c r="G158" s="15" t="n">
        <v>706.413</v>
      </c>
      <c r="H158" s="15" t="n">
        <v>29.469</v>
      </c>
      <c r="I158" s="15" t="n">
        <v>2.318</v>
      </c>
      <c r="J158" s="15" t="n">
        <v>7.199</v>
      </c>
      <c r="K158" s="15" t="n">
        <v>29.825</v>
      </c>
      <c r="L158" s="15" t="n">
        <v>21.893</v>
      </c>
      <c r="M158" s="15" t="n">
        <v>2.016</v>
      </c>
      <c r="N158" s="15" t="n">
        <v>14.203</v>
      </c>
      <c r="O158" s="15" t="n">
        <v>26.642</v>
      </c>
      <c r="P158" s="15" t="n">
        <v>41.565</v>
      </c>
      <c r="Q158" s="15" t="n">
        <v>3.603</v>
      </c>
      <c r="R158" s="15" t="n">
        <v>99.617</v>
      </c>
      <c r="S158" s="15" t="n">
        <v>91.01300000000001</v>
      </c>
      <c r="T158" s="15" t="n">
        <v>10.727</v>
      </c>
      <c r="U158" s="15" t="n">
        <v>9.037000000000001</v>
      </c>
      <c r="V158" s="15" t="n">
        <v>6.596</v>
      </c>
      <c r="W158" s="15" t="n">
        <v>3.068</v>
      </c>
      <c r="X158" s="15" t="n">
        <v>34.624</v>
      </c>
      <c r="Y158" s="15" t="n">
        <v>84.874</v>
      </c>
      <c r="Z158" s="15" t="n">
        <v>79.458</v>
      </c>
      <c r="AA158" s="15" t="n">
        <v>107.469</v>
      </c>
      <c r="AB158" s="15" t="n">
        <v>96.584</v>
      </c>
      <c r="AC158" s="15" t="n">
        <v>118.445</v>
      </c>
      <c r="AD158" s="16" t="n">
        <v>8022</v>
      </c>
      <c r="AE158" s="17">
        <f>IF(ISNUMBER(K158),K158,IF(AND(ISNUMBER(H158),ISNUMBER(I158)),H158+I158,IF(ISNUMBER(H158),H158,"")))</f>
        <v/>
      </c>
      <c r="AF158" s="18">
        <f>IF(OR(NOT(ISNUMBER(J158)),NOT(ISNUMBER(H158)),H158&lt;=0),기준표!$B$8,MIN(MAX(J158/H158,기준표!$B$6),기준표!$B$7))</f>
        <v/>
      </c>
      <c r="AG158" s="17">
        <f>IF(ISNUMBER(AE158),AE158*(1-AF158),"")</f>
        <v/>
      </c>
      <c r="AH158" s="17">
        <f>IF(AND(NOT(ISNUMBER(V158)),NOT(ISNUMBER(X158))),"",IF(ISNUMBER(V158),V158,0)+IF(ISNUMBER(X158),X158,0))</f>
        <v/>
      </c>
      <c r="AI158" s="17">
        <f>IF(E158="금융","",IF(AND(ISNUMBER(R158),ISNUMBER(AH158),ISNUMBER(T158)),R158+AH158-T158,""))</f>
        <v/>
      </c>
      <c r="AJ158" s="17">
        <f>IF(E158="금융","",IF(NOT(ISNUMBER(AI158)),"",IF(ISNUMBER(AC158),(AI158+AC158)/2,AI158)))</f>
        <v/>
      </c>
      <c r="AK158" s="19">
        <f>IF(AND(ISNUMBER(AG158),ISNUMBER(AJ158),AJ158&gt;0),AG158/AJ158,"")</f>
        <v/>
      </c>
      <c r="AL158" s="17">
        <f>IF(E158="금융","",IF(AND(ISNUMBER(R158),ISNUMBER(AH158)),R158+AH158,""))</f>
        <v/>
      </c>
      <c r="AM158" s="19">
        <f>IF(OR(NOT(ISNUMBER(AG158)),NOT(ISNUMBER(AL158)),AL158&lt;=0),"",IF(AND(ISNUMBER(G158),AL158&lt;0.1*G158),"",AG158/AL158))</f>
        <v/>
      </c>
      <c r="AN158" s="17">
        <f>IF(NOT(ISNUMBER(R158)),"",IF(ISNUMBER(S158),(R158+S158)/2,R158))</f>
        <v/>
      </c>
      <c r="AO158" s="19">
        <f>IF(AND(ISNUMBER(L158),ISNUMBER(AN158),AN158&gt;0),L158/AN158,"")</f>
        <v/>
      </c>
      <c r="AP158" s="19">
        <f>IF(AND(ISNUMBER(AO158),ISNUMBER({ROIC})),AO158-{ROIC},"")</f>
        <v/>
      </c>
      <c r="AQ158" s="17">
        <f>IF(AND(ISNUMBER(AE158),ISNUMBER(N158)),AE158+N158,"")</f>
        <v/>
      </c>
      <c r="AR158" s="20">
        <f>IF(AND(ISNUMBER(AH158),ISNUMBER(T158),ISNUMBER(AQ158),AQ158&gt;0),(AH158-T158)/AQ158,"")</f>
        <v/>
      </c>
      <c r="AS158" s="20">
        <f>IF(AND(ISNUMBER(AE158),ISNUMBER(I158),I158&lt;&gt;0,AE158&gt;0),AE158/I158,"")</f>
        <v/>
      </c>
      <c r="AT158" s="17">
        <f>IF(AND(ISNUMBER(Y158),ISNUMBER(AA158)),Y158-IF(ISNUMBER(T158),T158,0)-(AA158-IF(ISNUMBER(V158),V158,0)),"")</f>
        <v/>
      </c>
      <c r="AU158" s="17">
        <f>IF(AND(ISNUMBER(Z158),ISNUMBER(AB158)),Z158-IF(ISNUMBER(U158),U158,0)-(AB158-IF(ISNUMBER(W158),W158,0)),"")</f>
        <v/>
      </c>
      <c r="AV158" s="17">
        <f>IF(AND(ISNUMBER(AT158),ISNUMBER(AU158)),AT158-AU158,"")</f>
        <v/>
      </c>
      <c r="AW158" s="17">
        <f>IF(AND(ISNUMBER(L158),ISNUMBER(M158),ISNUMBER(AF158)),L158-M158*(1-AF158),IF(ISNUMBER(L158),L158,""))</f>
        <v/>
      </c>
      <c r="AX158" s="17">
        <f>IF(E158="금융","",IF(AND(ISNUMBER(AW158),ISNUMBER(N158),ISNUMBER(O158),ISNUMBER(AV158)),AW158+N158-O158-AV158,IF(AND(ISNUMBER(P158),ISNUMBER(O158)),P158-O158-IF(ISNUMBER(Q158),Q158,0),"")))</f>
        <v/>
      </c>
      <c r="AY158" s="8">
        <f>IF(E158="금융","금융업 - 정의되지 않음",IF(AND(ISNUMBER(AW158),ISNUMBER(N158),ISNUMBER(O158),ISNUMBER(AV158)),"영업순이익+감가상각-설비투자-운전자본증감",IF(AND(ISNUMBER(P158),ISNUMBER(O158)),IF(ISNUMBER(Q158),"영업현금흐름-설비투자-주식보상비용","영업현금흐름-설비투자(주식보상비용 미태깅)"),"산출불가")))</f>
        <v/>
      </c>
      <c r="AZ158" s="19">
        <f>IF(AND(ISNUMBER(AX158),ISNUMBER(G158),G158&lt;&gt;0),AX158/G158,"")</f>
        <v/>
      </c>
      <c r="BA158" s="19">
        <f>IF(AND(ISNUMBER(AE158),ISNUMBER(G158),G158&lt;&gt;0),AE158/G158,"")</f>
        <v/>
      </c>
    </row>
    <row r="159">
      <c r="A159" s="8" t="inlineStr">
        <is>
          <t>AMD</t>
        </is>
      </c>
      <c r="B159" s="8" t="inlineStr">
        <is>
          <t>ADVANCED MICRO DEVICES INC</t>
        </is>
      </c>
      <c r="C159" s="8" t="n">
        <v>2014</v>
      </c>
      <c r="D159" s="8" t="inlineStr">
        <is>
          <t>2014-12-27</t>
        </is>
      </c>
      <c r="E159" s="8" t="inlineStr">
        <is>
          <t>일반</t>
        </is>
      </c>
      <c r="F159" s="8" t="inlineStr">
        <is>
          <t>0000002488-17-000043</t>
        </is>
      </c>
      <c r="G159" s="15" t="n"/>
      <c r="H159" s="15" t="n">
        <v>-0.398</v>
      </c>
      <c r="I159" s="15" t="n">
        <v>0.177</v>
      </c>
      <c r="J159" s="15" t="n">
        <v>0.005</v>
      </c>
      <c r="K159" s="15" t="n">
        <v>-0.155</v>
      </c>
      <c r="L159" s="15" t="n">
        <v>-0.403</v>
      </c>
      <c r="M159" s="15" t="n"/>
      <c r="N159" s="15" t="n">
        <v>0.115</v>
      </c>
      <c r="O159" s="15" t="n">
        <v>0.095</v>
      </c>
      <c r="P159" s="15" t="n">
        <v>-0.098</v>
      </c>
      <c r="Q159" s="15" t="n">
        <v>0.081</v>
      </c>
      <c r="R159" s="15" t="n">
        <v>0.187</v>
      </c>
      <c r="S159" s="15" t="n"/>
      <c r="T159" s="15" t="n">
        <v>0.805</v>
      </c>
      <c r="U159" s="15" t="n"/>
      <c r="V159" s="15" t="n">
        <v>0.172</v>
      </c>
      <c r="W159" s="15" t="n"/>
      <c r="X159" s="15" t="n">
        <v>2.025</v>
      </c>
      <c r="Y159" s="15" t="n">
        <v>2.736</v>
      </c>
      <c r="Z159" s="15" t="n"/>
      <c r="AA159" s="15" t="n">
        <v>1.44</v>
      </c>
      <c r="AB159" s="15" t="n"/>
      <c r="AC159" s="15" t="n"/>
      <c r="AD159" s="16" t="n">
        <v>776</v>
      </c>
      <c r="AE159" s="17">
        <f>IF(ISNUMBER(K159),K159,IF(AND(ISNUMBER(H159),ISNUMBER(I159)),H159+I159,IF(ISNUMBER(H159),H159,"")))</f>
        <v/>
      </c>
      <c r="AF159" s="18">
        <f>IF(OR(NOT(ISNUMBER(J159)),NOT(ISNUMBER(H159)),H159&lt;=0),기준표!$B$8,MIN(MAX(J159/H159,기준표!$B$6),기준표!$B$7))</f>
        <v/>
      </c>
      <c r="AG159" s="17">
        <f>IF(ISNUMBER(AE159),AE159*(1-AF159),"")</f>
        <v/>
      </c>
      <c r="AH159" s="17">
        <f>IF(AND(NOT(ISNUMBER(V159)),NOT(ISNUMBER(X159))),"",IF(ISNUMBER(V159),V159,0)+IF(ISNUMBER(X159),X159,0))</f>
        <v/>
      </c>
      <c r="AI159" s="17">
        <f>IF(E159="금융","",IF(AND(ISNUMBER(R159),ISNUMBER(AH159),ISNUMBER(T159)),R159+AH159-T159,""))</f>
        <v/>
      </c>
      <c r="AJ159" s="17">
        <f>IF(E159="금융","",IF(NOT(ISNUMBER(AI159)),"",IF(ISNUMBER(AC159),(AI159+AC159)/2,AI159)))</f>
        <v/>
      </c>
      <c r="AK159" s="19">
        <f>IF(AND(ISNUMBER(AG159),ISNUMBER(AJ159),AJ159&gt;0),AG159/AJ159,"")</f>
        <v/>
      </c>
      <c r="AL159" s="17">
        <f>IF(E159="금융","",IF(AND(ISNUMBER(R159),ISNUMBER(AH159)),R159+AH159,""))</f>
        <v/>
      </c>
      <c r="AM159" s="19">
        <f>IF(OR(NOT(ISNUMBER(AG159)),NOT(ISNUMBER(AL159)),AL159&lt;=0),"",IF(AND(ISNUMBER(G159),AL159&lt;0.1*G159),"",AG159/AL159))</f>
        <v/>
      </c>
      <c r="AN159" s="17">
        <f>IF(NOT(ISNUMBER(R159)),"",IF(ISNUMBER(S159),(R159+S159)/2,R159))</f>
        <v/>
      </c>
      <c r="AO159" s="19">
        <f>IF(AND(ISNUMBER(L159),ISNUMBER(AN159),AN159&gt;0),L159/AN159,"")</f>
        <v/>
      </c>
      <c r="AP159" s="19">
        <f>IF(AND(ISNUMBER(AO159),ISNUMBER({ROIC})),AO159-{ROIC},"")</f>
        <v/>
      </c>
      <c r="AQ159" s="17">
        <f>IF(AND(ISNUMBER(AE159),ISNUMBER(N159)),AE159+N159,"")</f>
        <v/>
      </c>
      <c r="AR159" s="20">
        <f>IF(AND(ISNUMBER(AH159),ISNUMBER(T159),ISNUMBER(AQ159),AQ159&gt;0),(AH159-T159)/AQ159,"")</f>
        <v/>
      </c>
      <c r="AS159" s="20">
        <f>IF(AND(ISNUMBER(AE159),ISNUMBER(I159),I159&lt;&gt;0,AE159&gt;0),AE159/I159,"")</f>
        <v/>
      </c>
      <c r="AT159" s="17">
        <f>IF(AND(ISNUMBER(Y159),ISNUMBER(AA159)),Y159-IF(ISNUMBER(T159),T159,0)-(AA159-IF(ISNUMBER(V159),V159,0)),"")</f>
        <v/>
      </c>
      <c r="AU159" s="17">
        <f>IF(AND(ISNUMBER(Z159),ISNUMBER(AB159)),Z159-IF(ISNUMBER(U159),U159,0)-(AB159-IF(ISNUMBER(W159),W159,0)),"")</f>
        <v/>
      </c>
      <c r="AV159" s="17">
        <f>IF(AND(ISNUMBER(AT159),ISNUMBER(AU159)),AT159-AU159,"")</f>
        <v/>
      </c>
      <c r="AW159" s="17">
        <f>IF(AND(ISNUMBER(L159),ISNUMBER(M159),ISNUMBER(AF159)),L159-M159*(1-AF159),IF(ISNUMBER(L159),L159,""))</f>
        <v/>
      </c>
      <c r="AX159" s="17">
        <f>IF(E159="금융","",IF(AND(ISNUMBER(AW159),ISNUMBER(N159),ISNUMBER(O159),ISNUMBER(AV159)),AW159+N159-O159-AV159,IF(AND(ISNUMBER(P159),ISNUMBER(O159)),P159-O159-IF(ISNUMBER(Q159),Q159,0),"")))</f>
        <v/>
      </c>
      <c r="AY159" s="8">
        <f>IF(E159="금융","금융업 - 정의되지 않음",IF(AND(ISNUMBER(AW159),ISNUMBER(N159),ISNUMBER(O159),ISNUMBER(AV159)),"영업순이익+감가상각-설비투자-운전자본증감",IF(AND(ISNUMBER(P159),ISNUMBER(O159)),IF(ISNUMBER(Q159),"영업현금흐름-설비투자-주식보상비용","영업현금흐름-설비투자(주식보상비용 미태깅)"),"산출불가")))</f>
        <v/>
      </c>
      <c r="AZ159" s="19">
        <f>IF(AND(ISNUMBER(AX159),ISNUMBER(G159),G159&lt;&gt;0),AX159/G159,"")</f>
        <v/>
      </c>
      <c r="BA159" s="19">
        <f>IF(AND(ISNUMBER(AE159),ISNUMBER(G159),G159&lt;&gt;0),AE159/G159,"")</f>
        <v/>
      </c>
    </row>
    <row r="160">
      <c r="A160" s="8" t="inlineStr">
        <is>
          <t>AMD</t>
        </is>
      </c>
      <c r="B160" s="8" t="inlineStr">
        <is>
          <t>ADVANCED MICRO DEVICES INC</t>
        </is>
      </c>
      <c r="C160" s="8" t="n">
        <v>2015</v>
      </c>
      <c r="D160" s="8" t="inlineStr">
        <is>
          <t>2015-12-26</t>
        </is>
      </c>
      <c r="E160" s="8" t="inlineStr">
        <is>
          <t>일반</t>
        </is>
      </c>
      <c r="F160" s="8" t="inlineStr">
        <is>
          <t>0000002488-18-000042</t>
        </is>
      </c>
      <c r="G160" s="15" t="n"/>
      <c r="H160" s="15" t="n">
        <v>-0.646</v>
      </c>
      <c r="I160" s="15" t="n">
        <v>0.16</v>
      </c>
      <c r="J160" s="15" t="n">
        <v>0.014</v>
      </c>
      <c r="K160" s="15" t="n">
        <v>-0.481</v>
      </c>
      <c r="L160" s="15" t="n">
        <v>-0.66</v>
      </c>
      <c r="M160" s="15" t="n"/>
      <c r="N160" s="15" t="n">
        <v>0.094</v>
      </c>
      <c r="O160" s="15" t="n">
        <v>0.096</v>
      </c>
      <c r="P160" s="15" t="n">
        <v>-0.226</v>
      </c>
      <c r="Q160" s="15" t="n">
        <v>0.063</v>
      </c>
      <c r="R160" s="15" t="n">
        <v>-0.35</v>
      </c>
      <c r="S160" s="15" t="n">
        <v>0.187</v>
      </c>
      <c r="T160" s="15" t="n">
        <v>0.785</v>
      </c>
      <c r="U160" s="15" t="n">
        <v>0.805</v>
      </c>
      <c r="V160" s="15" t="n">
        <v>0.23</v>
      </c>
      <c r="W160" s="15" t="n">
        <v>0.172</v>
      </c>
      <c r="X160" s="15" t="n">
        <v>2.007</v>
      </c>
      <c r="Y160" s="15" t="n">
        <v>2.32</v>
      </c>
      <c r="Z160" s="15" t="n">
        <v>2.736</v>
      </c>
      <c r="AA160" s="15" t="n">
        <v>1.403</v>
      </c>
      <c r="AB160" s="15" t="n">
        <v>1.44</v>
      </c>
      <c r="AC160" s="15" t="n">
        <v>1.579</v>
      </c>
      <c r="AD160" s="16" t="n">
        <v>792</v>
      </c>
      <c r="AE160" s="17">
        <f>IF(ISNUMBER(K160),K160,IF(AND(ISNUMBER(H160),ISNUMBER(I160)),H160+I160,IF(ISNUMBER(H160),H160,"")))</f>
        <v/>
      </c>
      <c r="AF160" s="18">
        <f>IF(OR(NOT(ISNUMBER(J160)),NOT(ISNUMBER(H160)),H160&lt;=0),기준표!$B$8,MIN(MAX(J160/H160,기준표!$B$6),기준표!$B$7))</f>
        <v/>
      </c>
      <c r="AG160" s="17">
        <f>IF(ISNUMBER(AE160),AE160*(1-AF160),"")</f>
        <v/>
      </c>
      <c r="AH160" s="17">
        <f>IF(AND(NOT(ISNUMBER(V160)),NOT(ISNUMBER(X160))),"",IF(ISNUMBER(V160),V160,0)+IF(ISNUMBER(X160),X160,0))</f>
        <v/>
      </c>
      <c r="AI160" s="17">
        <f>IF(E160="금융","",IF(AND(ISNUMBER(R160),ISNUMBER(AH160),ISNUMBER(T160)),R160+AH160-T160,""))</f>
        <v/>
      </c>
      <c r="AJ160" s="17">
        <f>IF(E160="금융","",IF(NOT(ISNUMBER(AI160)),"",IF(ISNUMBER(AC160),(AI160+AC160)/2,AI160)))</f>
        <v/>
      </c>
      <c r="AK160" s="19">
        <f>IF(AND(ISNUMBER(AG160),ISNUMBER(AJ160),AJ160&gt;0),AG160/AJ160,"")</f>
        <v/>
      </c>
      <c r="AL160" s="17">
        <f>IF(E160="금융","",IF(AND(ISNUMBER(R160),ISNUMBER(AH160)),R160+AH160,""))</f>
        <v/>
      </c>
      <c r="AM160" s="19">
        <f>IF(OR(NOT(ISNUMBER(AG160)),NOT(ISNUMBER(AL160)),AL160&lt;=0),"",IF(AND(ISNUMBER(G160),AL160&lt;0.1*G160),"",AG160/AL160))</f>
        <v/>
      </c>
      <c r="AN160" s="17">
        <f>IF(NOT(ISNUMBER(R160)),"",IF(ISNUMBER(S160),(R160+S160)/2,R160))</f>
        <v/>
      </c>
      <c r="AO160" s="19">
        <f>IF(AND(ISNUMBER(L160),ISNUMBER(AN160),AN160&gt;0),L160/AN160,"")</f>
        <v/>
      </c>
      <c r="AP160" s="19">
        <f>IF(AND(ISNUMBER(AO160),ISNUMBER({ROIC})),AO160-{ROIC},"")</f>
        <v/>
      </c>
      <c r="AQ160" s="17">
        <f>IF(AND(ISNUMBER(AE160),ISNUMBER(N160)),AE160+N160,"")</f>
        <v/>
      </c>
      <c r="AR160" s="20">
        <f>IF(AND(ISNUMBER(AH160),ISNUMBER(T160),ISNUMBER(AQ160),AQ160&gt;0),(AH160-T160)/AQ160,"")</f>
        <v/>
      </c>
      <c r="AS160" s="20">
        <f>IF(AND(ISNUMBER(AE160),ISNUMBER(I160),I160&lt;&gt;0,AE160&gt;0),AE160/I160,"")</f>
        <v/>
      </c>
      <c r="AT160" s="17">
        <f>IF(AND(ISNUMBER(Y160),ISNUMBER(AA160)),Y160-IF(ISNUMBER(T160),T160,0)-(AA160-IF(ISNUMBER(V160),V160,0)),"")</f>
        <v/>
      </c>
      <c r="AU160" s="17">
        <f>IF(AND(ISNUMBER(Z160),ISNUMBER(AB160)),Z160-IF(ISNUMBER(U160),U160,0)-(AB160-IF(ISNUMBER(W160),W160,0)),"")</f>
        <v/>
      </c>
      <c r="AV160" s="17">
        <f>IF(AND(ISNUMBER(AT160),ISNUMBER(AU160)),AT160-AU160,"")</f>
        <v/>
      </c>
      <c r="AW160" s="17">
        <f>IF(AND(ISNUMBER(L160),ISNUMBER(M160),ISNUMBER(AF160)),L160-M160*(1-AF160),IF(ISNUMBER(L160),L160,""))</f>
        <v/>
      </c>
      <c r="AX160" s="17">
        <f>IF(E160="금융","",IF(AND(ISNUMBER(AW160),ISNUMBER(N160),ISNUMBER(O160),ISNUMBER(AV160)),AW160+N160-O160-AV160,IF(AND(ISNUMBER(P160),ISNUMBER(O160)),P160-O160-IF(ISNUMBER(Q160),Q160,0),"")))</f>
        <v/>
      </c>
      <c r="AY160" s="8">
        <f>IF(E160="금융","금융업 - 정의되지 않음",IF(AND(ISNUMBER(AW160),ISNUMBER(N160),ISNUMBER(O160),ISNUMBER(AV160)),"영업순이익+감가상각-설비투자-운전자본증감",IF(AND(ISNUMBER(P160),ISNUMBER(O160)),IF(ISNUMBER(Q160),"영업현금흐름-설비투자-주식보상비용","영업현금흐름-설비투자(주식보상비용 미태깅)"),"산출불가")))</f>
        <v/>
      </c>
      <c r="AZ160" s="19">
        <f>IF(AND(ISNUMBER(AX160),ISNUMBER(G160),G160&lt;&gt;0),AX160/G160,"")</f>
        <v/>
      </c>
      <c r="BA160" s="19">
        <f>IF(AND(ISNUMBER(AE160),ISNUMBER(G160),G160&lt;&gt;0),AE160/G160,"")</f>
        <v/>
      </c>
    </row>
    <row r="161">
      <c r="A161" s="8" t="inlineStr">
        <is>
          <t>AMD</t>
        </is>
      </c>
      <c r="B161" s="8" t="inlineStr">
        <is>
          <t>ADVANCED MICRO DEVICES INC</t>
        </is>
      </c>
      <c r="C161" s="8" t="n">
        <v>2016</v>
      </c>
      <c r="D161" s="8" t="inlineStr">
        <is>
          <t>2016-12-31</t>
        </is>
      </c>
      <c r="E161" s="8" t="inlineStr">
        <is>
          <t>일반</t>
        </is>
      </c>
      <c r="F161" s="8" t="inlineStr">
        <is>
          <t>0000002488-19-000011</t>
        </is>
      </c>
      <c r="G161" s="15" t="n">
        <v>4.319</v>
      </c>
      <c r="H161" s="15" t="n">
        <v>-0.459</v>
      </c>
      <c r="I161" s="15" t="n">
        <v>0.156</v>
      </c>
      <c r="J161" s="15" t="n">
        <v>0.039</v>
      </c>
      <c r="K161" s="15" t="n">
        <v>-0.373</v>
      </c>
      <c r="L161" s="15" t="n">
        <v>-0.498</v>
      </c>
      <c r="M161" s="15" t="n"/>
      <c r="N161" s="15" t="n">
        <v>0.07099999999999999</v>
      </c>
      <c r="O161" s="15" t="n">
        <v>0.077</v>
      </c>
      <c r="P161" s="15" t="n">
        <v>0.081</v>
      </c>
      <c r="Q161" s="15" t="n">
        <v>0.08599999999999999</v>
      </c>
      <c r="R161" s="15" t="n">
        <v>0.477</v>
      </c>
      <c r="S161" s="15" t="n">
        <v>-0.35</v>
      </c>
      <c r="T161" s="15" t="n">
        <v>1.264</v>
      </c>
      <c r="U161" s="15" t="n">
        <v>0.785</v>
      </c>
      <c r="V161" s="15" t="n"/>
      <c r="W161" s="15" t="n">
        <v>0.23</v>
      </c>
      <c r="X161" s="15" t="n">
        <v>1.435</v>
      </c>
      <c r="Y161" s="15" t="n">
        <v>2.53</v>
      </c>
      <c r="Z161" s="15" t="n">
        <v>2.32</v>
      </c>
      <c r="AA161" s="15" t="n">
        <v>1.346</v>
      </c>
      <c r="AB161" s="15" t="n">
        <v>1.403</v>
      </c>
      <c r="AC161" s="15" t="n">
        <v>1.102</v>
      </c>
      <c r="AD161" s="16" t="n">
        <v>935</v>
      </c>
      <c r="AE161" s="17">
        <f>IF(ISNUMBER(K161),K161,IF(AND(ISNUMBER(H161),ISNUMBER(I161)),H161+I161,IF(ISNUMBER(H161),H161,"")))</f>
        <v/>
      </c>
      <c r="AF161" s="18">
        <f>IF(OR(NOT(ISNUMBER(J161)),NOT(ISNUMBER(H161)),H161&lt;=0),기준표!$B$8,MIN(MAX(J161/H161,기준표!$B$6),기준표!$B$7))</f>
        <v/>
      </c>
      <c r="AG161" s="17">
        <f>IF(ISNUMBER(AE161),AE161*(1-AF161),"")</f>
        <v/>
      </c>
      <c r="AH161" s="17">
        <f>IF(AND(NOT(ISNUMBER(V161)),NOT(ISNUMBER(X161))),"",IF(ISNUMBER(V161),V161,0)+IF(ISNUMBER(X161),X161,0))</f>
        <v/>
      </c>
      <c r="AI161" s="17">
        <f>IF(E161="금융","",IF(AND(ISNUMBER(R161),ISNUMBER(AH161),ISNUMBER(T161)),R161+AH161-T161,""))</f>
        <v/>
      </c>
      <c r="AJ161" s="17">
        <f>IF(E161="금융","",IF(NOT(ISNUMBER(AI161)),"",IF(ISNUMBER(AC161),(AI161+AC161)/2,AI161)))</f>
        <v/>
      </c>
      <c r="AK161" s="19">
        <f>IF(AND(ISNUMBER(AG161),ISNUMBER(AJ161),AJ161&gt;0),AG161/AJ161,"")</f>
        <v/>
      </c>
      <c r="AL161" s="17">
        <f>IF(E161="금융","",IF(AND(ISNUMBER(R161),ISNUMBER(AH161)),R161+AH161,""))</f>
        <v/>
      </c>
      <c r="AM161" s="19">
        <f>IF(OR(NOT(ISNUMBER(AG161)),NOT(ISNUMBER(AL161)),AL161&lt;=0),"",IF(AND(ISNUMBER(G161),AL161&lt;0.1*G161),"",AG161/AL161))</f>
        <v/>
      </c>
      <c r="AN161" s="17">
        <f>IF(NOT(ISNUMBER(R161)),"",IF(ISNUMBER(S161),(R161+S161)/2,R161))</f>
        <v/>
      </c>
      <c r="AO161" s="19">
        <f>IF(AND(ISNUMBER(L161),ISNUMBER(AN161),AN161&gt;0),L161/AN161,"")</f>
        <v/>
      </c>
      <c r="AP161" s="19">
        <f>IF(AND(ISNUMBER(AO161),ISNUMBER({ROIC})),AO161-{ROIC},"")</f>
        <v/>
      </c>
      <c r="AQ161" s="17">
        <f>IF(AND(ISNUMBER(AE161),ISNUMBER(N161)),AE161+N161,"")</f>
        <v/>
      </c>
      <c r="AR161" s="20">
        <f>IF(AND(ISNUMBER(AH161),ISNUMBER(T161),ISNUMBER(AQ161),AQ161&gt;0),(AH161-T161)/AQ161,"")</f>
        <v/>
      </c>
      <c r="AS161" s="20">
        <f>IF(AND(ISNUMBER(AE161),ISNUMBER(I161),I161&lt;&gt;0,AE161&gt;0),AE161/I161,"")</f>
        <v/>
      </c>
      <c r="AT161" s="17">
        <f>IF(AND(ISNUMBER(Y161),ISNUMBER(AA161)),Y161-IF(ISNUMBER(T161),T161,0)-(AA161-IF(ISNUMBER(V161),V161,0)),"")</f>
        <v/>
      </c>
      <c r="AU161" s="17">
        <f>IF(AND(ISNUMBER(Z161),ISNUMBER(AB161)),Z161-IF(ISNUMBER(U161),U161,0)-(AB161-IF(ISNUMBER(W161),W161,0)),"")</f>
        <v/>
      </c>
      <c r="AV161" s="17">
        <f>IF(AND(ISNUMBER(AT161),ISNUMBER(AU161)),AT161-AU161,"")</f>
        <v/>
      </c>
      <c r="AW161" s="17">
        <f>IF(AND(ISNUMBER(L161),ISNUMBER(M161),ISNUMBER(AF161)),L161-M161*(1-AF161),IF(ISNUMBER(L161),L161,""))</f>
        <v/>
      </c>
      <c r="AX161" s="17">
        <f>IF(E161="금융","",IF(AND(ISNUMBER(AW161),ISNUMBER(N161),ISNUMBER(O161),ISNUMBER(AV161)),AW161+N161-O161-AV161,IF(AND(ISNUMBER(P161),ISNUMBER(O161)),P161-O161-IF(ISNUMBER(Q161),Q161,0),"")))</f>
        <v/>
      </c>
      <c r="AY161" s="8">
        <f>IF(E161="금융","금융업 - 정의되지 않음",IF(AND(ISNUMBER(AW161),ISNUMBER(N161),ISNUMBER(O161),ISNUMBER(AV161)),"영업순이익+감가상각-설비투자-운전자본증감",IF(AND(ISNUMBER(P161),ISNUMBER(O161)),IF(ISNUMBER(Q161),"영업현금흐름-설비투자-주식보상비용","영업현금흐름-설비투자(주식보상비용 미태깅)"),"산출불가")))</f>
        <v/>
      </c>
      <c r="AZ161" s="19">
        <f>IF(AND(ISNUMBER(AX161),ISNUMBER(G161),G161&lt;&gt;0),AX161/G161,"")</f>
        <v/>
      </c>
      <c r="BA161" s="19">
        <f>IF(AND(ISNUMBER(AE161),ISNUMBER(G161),G161&lt;&gt;0),AE161/G161,"")</f>
        <v/>
      </c>
    </row>
    <row r="162">
      <c r="A162" s="8" t="inlineStr">
        <is>
          <t>AMD</t>
        </is>
      </c>
      <c r="B162" s="8" t="inlineStr">
        <is>
          <t>ADVANCED MICRO DEVICES INC</t>
        </is>
      </c>
      <c r="C162" s="8" t="n">
        <v>2017</v>
      </c>
      <c r="D162" s="8" t="inlineStr">
        <is>
          <t>2017-12-30</t>
        </is>
      </c>
      <c r="E162" s="8" t="inlineStr">
        <is>
          <t>일반</t>
        </is>
      </c>
      <c r="F162" s="8" t="inlineStr">
        <is>
          <t>0000002488-20-000008</t>
        </is>
      </c>
      <c r="G162" s="15" t="n">
        <v>5.253</v>
      </c>
      <c r="H162" s="15" t="n">
        <v>-0.015</v>
      </c>
      <c r="I162" s="15" t="n">
        <v>0.126</v>
      </c>
      <c r="J162" s="15" t="n">
        <v>0.018</v>
      </c>
      <c r="K162" s="15" t="n">
        <v>0.127</v>
      </c>
      <c r="L162" s="15" t="n">
        <v>-0.033</v>
      </c>
      <c r="M162" s="15" t="n"/>
      <c r="N162" s="15" t="n">
        <v>0.077</v>
      </c>
      <c r="O162" s="15" t="n">
        <v>0.113</v>
      </c>
      <c r="P162" s="15" t="n">
        <v>0.012</v>
      </c>
      <c r="Q162" s="15" t="n">
        <v>0.097</v>
      </c>
      <c r="R162" s="15" t="n">
        <v>0.596</v>
      </c>
      <c r="S162" s="15" t="n">
        <v>0.477</v>
      </c>
      <c r="T162" s="15" t="n">
        <v>1.185</v>
      </c>
      <c r="U162" s="15" t="n">
        <v>1.264</v>
      </c>
      <c r="V162" s="15" t="n"/>
      <c r="W162" s="15" t="n"/>
      <c r="X162" s="15" t="n">
        <v>1.325</v>
      </c>
      <c r="Y162" s="15" t="n">
        <v>2.634</v>
      </c>
      <c r="Z162" s="15" t="n">
        <v>2.53</v>
      </c>
      <c r="AA162" s="15" t="n">
        <v>1.513</v>
      </c>
      <c r="AB162" s="15" t="n">
        <v>1.346</v>
      </c>
      <c r="AC162" s="15" t="n">
        <v>0.648</v>
      </c>
      <c r="AD162" s="16" t="n">
        <v>967</v>
      </c>
      <c r="AE162" s="17">
        <f>IF(ISNUMBER(K162),K162,IF(AND(ISNUMBER(H162),ISNUMBER(I162)),H162+I162,IF(ISNUMBER(H162),H162,"")))</f>
        <v/>
      </c>
      <c r="AF162" s="18">
        <f>IF(OR(NOT(ISNUMBER(J162)),NOT(ISNUMBER(H162)),H162&lt;=0),기준표!$B$8,MIN(MAX(J162/H162,기준표!$B$6),기준표!$B$7))</f>
        <v/>
      </c>
      <c r="AG162" s="17">
        <f>IF(ISNUMBER(AE162),AE162*(1-AF162),"")</f>
        <v/>
      </c>
      <c r="AH162" s="17">
        <f>IF(AND(NOT(ISNUMBER(V162)),NOT(ISNUMBER(X162))),"",IF(ISNUMBER(V162),V162,0)+IF(ISNUMBER(X162),X162,0))</f>
        <v/>
      </c>
      <c r="AI162" s="17">
        <f>IF(E162="금융","",IF(AND(ISNUMBER(R162),ISNUMBER(AH162),ISNUMBER(T162)),R162+AH162-T162,""))</f>
        <v/>
      </c>
      <c r="AJ162" s="17">
        <f>IF(E162="금융","",IF(NOT(ISNUMBER(AI162)),"",IF(ISNUMBER(AC162),(AI162+AC162)/2,AI162)))</f>
        <v/>
      </c>
      <c r="AK162" s="19">
        <f>IF(AND(ISNUMBER(AG162),ISNUMBER(AJ162),AJ162&gt;0),AG162/AJ162,"")</f>
        <v/>
      </c>
      <c r="AL162" s="17">
        <f>IF(E162="금융","",IF(AND(ISNUMBER(R162),ISNUMBER(AH162)),R162+AH162,""))</f>
        <v/>
      </c>
      <c r="AM162" s="19">
        <f>IF(OR(NOT(ISNUMBER(AG162)),NOT(ISNUMBER(AL162)),AL162&lt;=0),"",IF(AND(ISNUMBER(G162),AL162&lt;0.1*G162),"",AG162/AL162))</f>
        <v/>
      </c>
      <c r="AN162" s="17">
        <f>IF(NOT(ISNUMBER(R162)),"",IF(ISNUMBER(S162),(R162+S162)/2,R162))</f>
        <v/>
      </c>
      <c r="AO162" s="19">
        <f>IF(AND(ISNUMBER(L162),ISNUMBER(AN162),AN162&gt;0),L162/AN162,"")</f>
        <v/>
      </c>
      <c r="AP162" s="19">
        <f>IF(AND(ISNUMBER(AO162),ISNUMBER({ROIC})),AO162-{ROIC},"")</f>
        <v/>
      </c>
      <c r="AQ162" s="17">
        <f>IF(AND(ISNUMBER(AE162),ISNUMBER(N162)),AE162+N162,"")</f>
        <v/>
      </c>
      <c r="AR162" s="20">
        <f>IF(AND(ISNUMBER(AH162),ISNUMBER(T162),ISNUMBER(AQ162),AQ162&gt;0),(AH162-T162)/AQ162,"")</f>
        <v/>
      </c>
      <c r="AS162" s="20">
        <f>IF(AND(ISNUMBER(AE162),ISNUMBER(I162),I162&lt;&gt;0,AE162&gt;0),AE162/I162,"")</f>
        <v/>
      </c>
      <c r="AT162" s="17">
        <f>IF(AND(ISNUMBER(Y162),ISNUMBER(AA162)),Y162-IF(ISNUMBER(T162),T162,0)-(AA162-IF(ISNUMBER(V162),V162,0)),"")</f>
        <v/>
      </c>
      <c r="AU162" s="17">
        <f>IF(AND(ISNUMBER(Z162),ISNUMBER(AB162)),Z162-IF(ISNUMBER(U162),U162,0)-(AB162-IF(ISNUMBER(W162),W162,0)),"")</f>
        <v/>
      </c>
      <c r="AV162" s="17">
        <f>IF(AND(ISNUMBER(AT162),ISNUMBER(AU162)),AT162-AU162,"")</f>
        <v/>
      </c>
      <c r="AW162" s="17">
        <f>IF(AND(ISNUMBER(L162),ISNUMBER(M162),ISNUMBER(AF162)),L162-M162*(1-AF162),IF(ISNUMBER(L162),L162,""))</f>
        <v/>
      </c>
      <c r="AX162" s="17">
        <f>IF(E162="금융","",IF(AND(ISNUMBER(AW162),ISNUMBER(N162),ISNUMBER(O162),ISNUMBER(AV162)),AW162+N162-O162-AV162,IF(AND(ISNUMBER(P162),ISNUMBER(O162)),P162-O162-IF(ISNUMBER(Q162),Q162,0),"")))</f>
        <v/>
      </c>
      <c r="AY162" s="8">
        <f>IF(E162="금융","금융업 - 정의되지 않음",IF(AND(ISNUMBER(AW162),ISNUMBER(N162),ISNUMBER(O162),ISNUMBER(AV162)),"영업순이익+감가상각-설비투자-운전자본증감",IF(AND(ISNUMBER(P162),ISNUMBER(O162)),IF(ISNUMBER(Q162),"영업현금흐름-설비투자-주식보상비용","영업현금흐름-설비투자(주식보상비용 미태깅)"),"산출불가")))</f>
        <v/>
      </c>
      <c r="AZ162" s="19">
        <f>IF(AND(ISNUMBER(AX162),ISNUMBER(G162),G162&lt;&gt;0),AX162/G162,"")</f>
        <v/>
      </c>
      <c r="BA162" s="19">
        <f>IF(AND(ISNUMBER(AE162),ISNUMBER(G162),G162&lt;&gt;0),AE162/G162,"")</f>
        <v/>
      </c>
    </row>
    <row r="163">
      <c r="A163" s="8" t="inlineStr">
        <is>
          <t>AMD</t>
        </is>
      </c>
      <c r="B163" s="8" t="inlineStr">
        <is>
          <t>ADVANCED MICRO DEVICES INC</t>
        </is>
      </c>
      <c r="C163" s="8" t="n">
        <v>2018</v>
      </c>
      <c r="D163" s="8" t="inlineStr">
        <is>
          <t>2018-12-29</t>
        </is>
      </c>
      <c r="E163" s="8" t="inlineStr">
        <is>
          <t>일반</t>
        </is>
      </c>
      <c r="F163" s="8" t="inlineStr">
        <is>
          <t>0001628280-21-001185</t>
        </is>
      </c>
      <c r="G163" s="15" t="n">
        <v>6.475</v>
      </c>
      <c r="H163" s="15" t="n">
        <v>0.328</v>
      </c>
      <c r="I163" s="15" t="n">
        <v>0.121</v>
      </c>
      <c r="J163" s="15" t="n">
        <v>-0.008999999999999999</v>
      </c>
      <c r="K163" s="15" t="n">
        <v>0.451</v>
      </c>
      <c r="L163" s="15" t="n">
        <v>0.337</v>
      </c>
      <c r="M163" s="15" t="n"/>
      <c r="N163" s="15" t="n">
        <v>0.094</v>
      </c>
      <c r="O163" s="15" t="n">
        <v>0.163</v>
      </c>
      <c r="P163" s="15" t="n">
        <v>0.034</v>
      </c>
      <c r="Q163" s="15" t="n">
        <v>0.137</v>
      </c>
      <c r="R163" s="15" t="n">
        <v>1.266</v>
      </c>
      <c r="S163" s="15" t="n">
        <v>0.596</v>
      </c>
      <c r="T163" s="15" t="n">
        <v>1.078</v>
      </c>
      <c r="U163" s="15" t="n">
        <v>1.185</v>
      </c>
      <c r="V163" s="15" t="n"/>
      <c r="W163" s="15" t="n"/>
      <c r="X163" s="15" t="n">
        <v>1.114</v>
      </c>
      <c r="Y163" s="15" t="n">
        <v>3.54</v>
      </c>
      <c r="Z163" s="15" t="n">
        <v>2.634</v>
      </c>
      <c r="AA163" s="15" t="n">
        <v>1.984</v>
      </c>
      <c r="AB163" s="15" t="n">
        <v>1.513</v>
      </c>
      <c r="AC163" s="15" t="n">
        <v>0.736</v>
      </c>
      <c r="AD163" s="16" t="n">
        <v>1005</v>
      </c>
      <c r="AE163" s="17">
        <f>IF(ISNUMBER(K163),K163,IF(AND(ISNUMBER(H163),ISNUMBER(I163)),H163+I163,IF(ISNUMBER(H163),H163,"")))</f>
        <v/>
      </c>
      <c r="AF163" s="18">
        <f>IF(OR(NOT(ISNUMBER(J163)),NOT(ISNUMBER(H163)),H163&lt;=0),기준표!$B$8,MIN(MAX(J163/H163,기준표!$B$6),기준표!$B$7))</f>
        <v/>
      </c>
      <c r="AG163" s="17">
        <f>IF(ISNUMBER(AE163),AE163*(1-AF163),"")</f>
        <v/>
      </c>
      <c r="AH163" s="17">
        <f>IF(AND(NOT(ISNUMBER(V163)),NOT(ISNUMBER(X163))),"",IF(ISNUMBER(V163),V163,0)+IF(ISNUMBER(X163),X163,0))</f>
        <v/>
      </c>
      <c r="AI163" s="17">
        <f>IF(E163="금융","",IF(AND(ISNUMBER(R163),ISNUMBER(AH163),ISNUMBER(T163)),R163+AH163-T163,""))</f>
        <v/>
      </c>
      <c r="AJ163" s="17">
        <f>IF(E163="금융","",IF(NOT(ISNUMBER(AI163)),"",IF(ISNUMBER(AC163),(AI163+AC163)/2,AI163)))</f>
        <v/>
      </c>
      <c r="AK163" s="19">
        <f>IF(AND(ISNUMBER(AG163),ISNUMBER(AJ163),AJ163&gt;0),AG163/AJ163,"")</f>
        <v/>
      </c>
      <c r="AL163" s="17">
        <f>IF(E163="금융","",IF(AND(ISNUMBER(R163),ISNUMBER(AH163)),R163+AH163,""))</f>
        <v/>
      </c>
      <c r="AM163" s="19">
        <f>IF(OR(NOT(ISNUMBER(AG163)),NOT(ISNUMBER(AL163)),AL163&lt;=0),"",IF(AND(ISNUMBER(G163),AL163&lt;0.1*G163),"",AG163/AL163))</f>
        <v/>
      </c>
      <c r="AN163" s="17">
        <f>IF(NOT(ISNUMBER(R163)),"",IF(ISNUMBER(S163),(R163+S163)/2,R163))</f>
        <v/>
      </c>
      <c r="AO163" s="19">
        <f>IF(AND(ISNUMBER(L163),ISNUMBER(AN163),AN163&gt;0),L163/AN163,"")</f>
        <v/>
      </c>
      <c r="AP163" s="19">
        <f>IF(AND(ISNUMBER(AO163),ISNUMBER({ROIC})),AO163-{ROIC},"")</f>
        <v/>
      </c>
      <c r="AQ163" s="17">
        <f>IF(AND(ISNUMBER(AE163),ISNUMBER(N163)),AE163+N163,"")</f>
        <v/>
      </c>
      <c r="AR163" s="20">
        <f>IF(AND(ISNUMBER(AH163),ISNUMBER(T163),ISNUMBER(AQ163),AQ163&gt;0),(AH163-T163)/AQ163,"")</f>
        <v/>
      </c>
      <c r="AS163" s="20">
        <f>IF(AND(ISNUMBER(AE163),ISNUMBER(I163),I163&lt;&gt;0,AE163&gt;0),AE163/I163,"")</f>
        <v/>
      </c>
      <c r="AT163" s="17">
        <f>IF(AND(ISNUMBER(Y163),ISNUMBER(AA163)),Y163-IF(ISNUMBER(T163),T163,0)-(AA163-IF(ISNUMBER(V163),V163,0)),"")</f>
        <v/>
      </c>
      <c r="AU163" s="17">
        <f>IF(AND(ISNUMBER(Z163),ISNUMBER(AB163)),Z163-IF(ISNUMBER(U163),U163,0)-(AB163-IF(ISNUMBER(W163),W163,0)),"")</f>
        <v/>
      </c>
      <c r="AV163" s="17">
        <f>IF(AND(ISNUMBER(AT163),ISNUMBER(AU163)),AT163-AU163,"")</f>
        <v/>
      </c>
      <c r="AW163" s="17">
        <f>IF(AND(ISNUMBER(L163),ISNUMBER(M163),ISNUMBER(AF163)),L163-M163*(1-AF163),IF(ISNUMBER(L163),L163,""))</f>
        <v/>
      </c>
      <c r="AX163" s="17">
        <f>IF(E163="금융","",IF(AND(ISNUMBER(AW163),ISNUMBER(N163),ISNUMBER(O163),ISNUMBER(AV163)),AW163+N163-O163-AV163,IF(AND(ISNUMBER(P163),ISNUMBER(O163)),P163-O163-IF(ISNUMBER(Q163),Q163,0),"")))</f>
        <v/>
      </c>
      <c r="AY163" s="8">
        <f>IF(E163="금융","금융업 - 정의되지 않음",IF(AND(ISNUMBER(AW163),ISNUMBER(N163),ISNUMBER(O163),ISNUMBER(AV163)),"영업순이익+감가상각-설비투자-운전자본증감",IF(AND(ISNUMBER(P163),ISNUMBER(O163)),IF(ISNUMBER(Q163),"영업현금흐름-설비투자-주식보상비용","영업현금흐름-설비투자(주식보상비용 미태깅)"),"산출불가")))</f>
        <v/>
      </c>
      <c r="AZ163" s="19">
        <f>IF(AND(ISNUMBER(AX163),ISNUMBER(G163),G163&lt;&gt;0),AX163/G163,"")</f>
        <v/>
      </c>
      <c r="BA163" s="19">
        <f>IF(AND(ISNUMBER(AE163),ISNUMBER(G163),G163&lt;&gt;0),AE163/G163,"")</f>
        <v/>
      </c>
    </row>
    <row r="164">
      <c r="A164" s="8" t="inlineStr">
        <is>
          <t>AMD</t>
        </is>
      </c>
      <c r="B164" s="8" t="inlineStr">
        <is>
          <t>ADVANCED MICRO DEVICES INC</t>
        </is>
      </c>
      <c r="C164" s="8" t="n">
        <v>2019</v>
      </c>
      <c r="D164" s="8" t="inlineStr">
        <is>
          <t>2019-12-28</t>
        </is>
      </c>
      <c r="E164" s="8" t="inlineStr">
        <is>
          <t>일반</t>
        </is>
      </c>
      <c r="F164" s="8" t="inlineStr">
        <is>
          <t>0000002488-22-000016</t>
        </is>
      </c>
      <c r="G164" s="15" t="n">
        <v>6.731</v>
      </c>
      <c r="H164" s="15" t="n">
        <v>0.372</v>
      </c>
      <c r="I164" s="15" t="n">
        <v>0.094</v>
      </c>
      <c r="J164" s="15" t="n">
        <v>0.031</v>
      </c>
      <c r="K164" s="15" t="n">
        <v>0.631</v>
      </c>
      <c r="L164" s="15" t="n">
        <v>0.341</v>
      </c>
      <c r="M164" s="15" t="n"/>
      <c r="N164" s="15" t="n">
        <v>0.142</v>
      </c>
      <c r="O164" s="15" t="n">
        <v>0.217</v>
      </c>
      <c r="P164" s="15" t="n">
        <v>0.493</v>
      </c>
      <c r="Q164" s="15" t="n">
        <v>0.197</v>
      </c>
      <c r="R164" s="15" t="n">
        <v>2.827</v>
      </c>
      <c r="S164" s="15" t="n">
        <v>1.266</v>
      </c>
      <c r="T164" s="15" t="n">
        <v>1.503</v>
      </c>
      <c r="U164" s="15" t="n">
        <v>1.078</v>
      </c>
      <c r="V164" s="15" t="n"/>
      <c r="W164" s="15" t="n"/>
      <c r="X164" s="15" t="n">
        <v>0.486</v>
      </c>
      <c r="Y164" s="15" t="n">
        <v>4.597</v>
      </c>
      <c r="Z164" s="15" t="n">
        <v>3.54</v>
      </c>
      <c r="AA164" s="15" t="n">
        <v>2.359</v>
      </c>
      <c r="AB164" s="15" t="n">
        <v>1.984</v>
      </c>
      <c r="AC164" s="15" t="n">
        <v>1.302</v>
      </c>
      <c r="AD164" s="16" t="n">
        <v>1170</v>
      </c>
      <c r="AE164" s="17">
        <f>IF(ISNUMBER(K164),K164,IF(AND(ISNUMBER(H164),ISNUMBER(I164)),H164+I164,IF(ISNUMBER(H164),H164,"")))</f>
        <v/>
      </c>
      <c r="AF164" s="18">
        <f>IF(OR(NOT(ISNUMBER(J164)),NOT(ISNUMBER(H164)),H164&lt;=0),기준표!$B$8,MIN(MAX(J164/H164,기준표!$B$6),기준표!$B$7))</f>
        <v/>
      </c>
      <c r="AG164" s="17">
        <f>IF(ISNUMBER(AE164),AE164*(1-AF164),"")</f>
        <v/>
      </c>
      <c r="AH164" s="17">
        <f>IF(AND(NOT(ISNUMBER(V164)),NOT(ISNUMBER(X164))),"",IF(ISNUMBER(V164),V164,0)+IF(ISNUMBER(X164),X164,0))</f>
        <v/>
      </c>
      <c r="AI164" s="17">
        <f>IF(E164="금융","",IF(AND(ISNUMBER(R164),ISNUMBER(AH164),ISNUMBER(T164)),R164+AH164-T164,""))</f>
        <v/>
      </c>
      <c r="AJ164" s="17">
        <f>IF(E164="금융","",IF(NOT(ISNUMBER(AI164)),"",IF(ISNUMBER(AC164),(AI164+AC164)/2,AI164)))</f>
        <v/>
      </c>
      <c r="AK164" s="19">
        <f>IF(AND(ISNUMBER(AG164),ISNUMBER(AJ164),AJ164&gt;0),AG164/AJ164,"")</f>
        <v/>
      </c>
      <c r="AL164" s="17">
        <f>IF(E164="금융","",IF(AND(ISNUMBER(R164),ISNUMBER(AH164)),R164+AH164,""))</f>
        <v/>
      </c>
      <c r="AM164" s="19">
        <f>IF(OR(NOT(ISNUMBER(AG164)),NOT(ISNUMBER(AL164)),AL164&lt;=0),"",IF(AND(ISNUMBER(G164),AL164&lt;0.1*G164),"",AG164/AL164))</f>
        <v/>
      </c>
      <c r="AN164" s="17">
        <f>IF(NOT(ISNUMBER(R164)),"",IF(ISNUMBER(S164),(R164+S164)/2,R164))</f>
        <v/>
      </c>
      <c r="AO164" s="19">
        <f>IF(AND(ISNUMBER(L164),ISNUMBER(AN164),AN164&gt;0),L164/AN164,"")</f>
        <v/>
      </c>
      <c r="AP164" s="19">
        <f>IF(AND(ISNUMBER(AO164),ISNUMBER({ROIC})),AO164-{ROIC},"")</f>
        <v/>
      </c>
      <c r="AQ164" s="17">
        <f>IF(AND(ISNUMBER(AE164),ISNUMBER(N164)),AE164+N164,"")</f>
        <v/>
      </c>
      <c r="AR164" s="20">
        <f>IF(AND(ISNUMBER(AH164),ISNUMBER(T164),ISNUMBER(AQ164),AQ164&gt;0),(AH164-T164)/AQ164,"")</f>
        <v/>
      </c>
      <c r="AS164" s="20">
        <f>IF(AND(ISNUMBER(AE164),ISNUMBER(I164),I164&lt;&gt;0,AE164&gt;0),AE164/I164,"")</f>
        <v/>
      </c>
      <c r="AT164" s="17">
        <f>IF(AND(ISNUMBER(Y164),ISNUMBER(AA164)),Y164-IF(ISNUMBER(T164),T164,0)-(AA164-IF(ISNUMBER(V164),V164,0)),"")</f>
        <v/>
      </c>
      <c r="AU164" s="17">
        <f>IF(AND(ISNUMBER(Z164),ISNUMBER(AB164)),Z164-IF(ISNUMBER(U164),U164,0)-(AB164-IF(ISNUMBER(W164),W164,0)),"")</f>
        <v/>
      </c>
      <c r="AV164" s="17">
        <f>IF(AND(ISNUMBER(AT164),ISNUMBER(AU164)),AT164-AU164,"")</f>
        <v/>
      </c>
      <c r="AW164" s="17">
        <f>IF(AND(ISNUMBER(L164),ISNUMBER(M164),ISNUMBER(AF164)),L164-M164*(1-AF164),IF(ISNUMBER(L164),L164,""))</f>
        <v/>
      </c>
      <c r="AX164" s="17">
        <f>IF(E164="금융","",IF(AND(ISNUMBER(AW164),ISNUMBER(N164),ISNUMBER(O164),ISNUMBER(AV164)),AW164+N164-O164-AV164,IF(AND(ISNUMBER(P164),ISNUMBER(O164)),P164-O164-IF(ISNUMBER(Q164),Q164,0),"")))</f>
        <v/>
      </c>
      <c r="AY164" s="8">
        <f>IF(E164="금융","금융업 - 정의되지 않음",IF(AND(ISNUMBER(AW164),ISNUMBER(N164),ISNUMBER(O164),ISNUMBER(AV164)),"영업순이익+감가상각-설비투자-운전자본증감",IF(AND(ISNUMBER(P164),ISNUMBER(O164)),IF(ISNUMBER(Q164),"영업현금흐름-설비투자-주식보상비용","영업현금흐름-설비투자(주식보상비용 미태깅)"),"산출불가")))</f>
        <v/>
      </c>
      <c r="AZ164" s="19">
        <f>IF(AND(ISNUMBER(AX164),ISNUMBER(G164),G164&lt;&gt;0),AX164/G164,"")</f>
        <v/>
      </c>
      <c r="BA164" s="19">
        <f>IF(AND(ISNUMBER(AE164),ISNUMBER(G164),G164&lt;&gt;0),AE164/G164,"")</f>
        <v/>
      </c>
    </row>
    <row r="165">
      <c r="A165" s="8" t="inlineStr">
        <is>
          <t>AMD</t>
        </is>
      </c>
      <c r="B165" s="8" t="inlineStr">
        <is>
          <t>ADVANCED MICRO DEVICES INC</t>
        </is>
      </c>
      <c r="C165" s="8" t="n">
        <v>2020</v>
      </c>
      <c r="D165" s="8" t="inlineStr">
        <is>
          <t>2020-12-26</t>
        </is>
      </c>
      <c r="E165" s="8" t="inlineStr">
        <is>
          <t>일반</t>
        </is>
      </c>
      <c r="F165" s="8" t="inlineStr">
        <is>
          <t>0000002488-23-000047</t>
        </is>
      </c>
      <c r="G165" s="15" t="n">
        <v>9.763</v>
      </c>
      <c r="H165" s="15" t="n">
        <v>1.28</v>
      </c>
      <c r="I165" s="15" t="n">
        <v>0.047</v>
      </c>
      <c r="J165" s="15" t="n">
        <v>-1.21</v>
      </c>
      <c r="K165" s="15" t="n">
        <v>1.369</v>
      </c>
      <c r="L165" s="15" t="n">
        <v>2.49</v>
      </c>
      <c r="M165" s="15" t="n"/>
      <c r="N165" s="15" t="n">
        <v>0.217</v>
      </c>
      <c r="O165" s="15" t="n">
        <v>0.294</v>
      </c>
      <c r="P165" s="15" t="n">
        <v>1.071</v>
      </c>
      <c r="Q165" s="15" t="n">
        <v>0.274</v>
      </c>
      <c r="R165" s="15" t="n">
        <v>5.837</v>
      </c>
      <c r="S165" s="15" t="n">
        <v>2.827</v>
      </c>
      <c r="T165" s="15" t="n">
        <v>2.29</v>
      </c>
      <c r="U165" s="15" t="n">
        <v>1.503</v>
      </c>
      <c r="V165" s="15" t="n">
        <v>0</v>
      </c>
      <c r="W165" s="15" t="n"/>
      <c r="X165" s="15" t="n">
        <v>0.33</v>
      </c>
      <c r="Y165" s="15" t="n">
        <v>6.143</v>
      </c>
      <c r="Z165" s="15" t="n">
        <v>4.597</v>
      </c>
      <c r="AA165" s="15" t="n">
        <v>2.417</v>
      </c>
      <c r="AB165" s="15" t="n">
        <v>2.359</v>
      </c>
      <c r="AC165" s="15" t="n">
        <v>1.81</v>
      </c>
      <c r="AD165" s="16" t="n">
        <v>1211</v>
      </c>
      <c r="AE165" s="17">
        <f>IF(ISNUMBER(K165),K165,IF(AND(ISNUMBER(H165),ISNUMBER(I165)),H165+I165,IF(ISNUMBER(H165),H165,"")))</f>
        <v/>
      </c>
      <c r="AF165" s="18">
        <f>IF(OR(NOT(ISNUMBER(J165)),NOT(ISNUMBER(H165)),H165&lt;=0),기준표!$B$8,MIN(MAX(J165/H165,기준표!$B$6),기준표!$B$7))</f>
        <v/>
      </c>
      <c r="AG165" s="17">
        <f>IF(ISNUMBER(AE165),AE165*(1-AF165),"")</f>
        <v/>
      </c>
      <c r="AH165" s="17">
        <f>IF(AND(NOT(ISNUMBER(V165)),NOT(ISNUMBER(X165))),"",IF(ISNUMBER(V165),V165,0)+IF(ISNUMBER(X165),X165,0))</f>
        <v/>
      </c>
      <c r="AI165" s="17">
        <f>IF(E165="금융","",IF(AND(ISNUMBER(R165),ISNUMBER(AH165),ISNUMBER(T165)),R165+AH165-T165,""))</f>
        <v/>
      </c>
      <c r="AJ165" s="17">
        <f>IF(E165="금융","",IF(NOT(ISNUMBER(AI165)),"",IF(ISNUMBER(AC165),(AI165+AC165)/2,AI165)))</f>
        <v/>
      </c>
      <c r="AK165" s="19">
        <f>IF(AND(ISNUMBER(AG165),ISNUMBER(AJ165),AJ165&gt;0),AG165/AJ165,"")</f>
        <v/>
      </c>
      <c r="AL165" s="17">
        <f>IF(E165="금융","",IF(AND(ISNUMBER(R165),ISNUMBER(AH165)),R165+AH165,""))</f>
        <v/>
      </c>
      <c r="AM165" s="19">
        <f>IF(OR(NOT(ISNUMBER(AG165)),NOT(ISNUMBER(AL165)),AL165&lt;=0),"",IF(AND(ISNUMBER(G165),AL165&lt;0.1*G165),"",AG165/AL165))</f>
        <v/>
      </c>
      <c r="AN165" s="17">
        <f>IF(NOT(ISNUMBER(R165)),"",IF(ISNUMBER(S165),(R165+S165)/2,R165))</f>
        <v/>
      </c>
      <c r="AO165" s="19">
        <f>IF(AND(ISNUMBER(L165),ISNUMBER(AN165),AN165&gt;0),L165/AN165,"")</f>
        <v/>
      </c>
      <c r="AP165" s="19">
        <f>IF(AND(ISNUMBER(AO165),ISNUMBER({ROIC})),AO165-{ROIC},"")</f>
        <v/>
      </c>
      <c r="AQ165" s="17">
        <f>IF(AND(ISNUMBER(AE165),ISNUMBER(N165)),AE165+N165,"")</f>
        <v/>
      </c>
      <c r="AR165" s="20">
        <f>IF(AND(ISNUMBER(AH165),ISNUMBER(T165),ISNUMBER(AQ165),AQ165&gt;0),(AH165-T165)/AQ165,"")</f>
        <v/>
      </c>
      <c r="AS165" s="20">
        <f>IF(AND(ISNUMBER(AE165),ISNUMBER(I165),I165&lt;&gt;0,AE165&gt;0),AE165/I165,"")</f>
        <v/>
      </c>
      <c r="AT165" s="17">
        <f>IF(AND(ISNUMBER(Y165),ISNUMBER(AA165)),Y165-IF(ISNUMBER(T165),T165,0)-(AA165-IF(ISNUMBER(V165),V165,0)),"")</f>
        <v/>
      </c>
      <c r="AU165" s="17">
        <f>IF(AND(ISNUMBER(Z165),ISNUMBER(AB165)),Z165-IF(ISNUMBER(U165),U165,0)-(AB165-IF(ISNUMBER(W165),W165,0)),"")</f>
        <v/>
      </c>
      <c r="AV165" s="17">
        <f>IF(AND(ISNUMBER(AT165),ISNUMBER(AU165)),AT165-AU165,"")</f>
        <v/>
      </c>
      <c r="AW165" s="17">
        <f>IF(AND(ISNUMBER(L165),ISNUMBER(M165),ISNUMBER(AF165)),L165-M165*(1-AF165),IF(ISNUMBER(L165),L165,""))</f>
        <v/>
      </c>
      <c r="AX165" s="17">
        <f>IF(E165="금융","",IF(AND(ISNUMBER(AW165),ISNUMBER(N165),ISNUMBER(O165),ISNUMBER(AV165)),AW165+N165-O165-AV165,IF(AND(ISNUMBER(P165),ISNUMBER(O165)),P165-O165-IF(ISNUMBER(Q165),Q165,0),"")))</f>
        <v/>
      </c>
      <c r="AY165" s="8">
        <f>IF(E165="금융","금융업 - 정의되지 않음",IF(AND(ISNUMBER(AW165),ISNUMBER(N165),ISNUMBER(O165),ISNUMBER(AV165)),"영업순이익+감가상각-설비투자-운전자본증감",IF(AND(ISNUMBER(P165),ISNUMBER(O165)),IF(ISNUMBER(Q165),"영업현금흐름-설비투자-주식보상비용","영업현금흐름-설비투자(주식보상비용 미태깅)"),"산출불가")))</f>
        <v/>
      </c>
      <c r="AZ165" s="19">
        <f>IF(AND(ISNUMBER(AX165),ISNUMBER(G165),G165&lt;&gt;0),AX165/G165,"")</f>
        <v/>
      </c>
      <c r="BA165" s="19">
        <f>IF(AND(ISNUMBER(AE165),ISNUMBER(G165),G165&lt;&gt;0),AE165/G165,"")</f>
        <v/>
      </c>
    </row>
    <row r="166">
      <c r="A166" s="8" t="inlineStr">
        <is>
          <t>AMD</t>
        </is>
      </c>
      <c r="B166" s="8" t="inlineStr">
        <is>
          <t>ADVANCED MICRO DEVICES INC</t>
        </is>
      </c>
      <c r="C166" s="8" t="n">
        <v>2021</v>
      </c>
      <c r="D166" s="8" t="inlineStr">
        <is>
          <t>2021-12-25</t>
        </is>
      </c>
      <c r="E166" s="8" t="inlineStr">
        <is>
          <t>일반</t>
        </is>
      </c>
      <c r="F166" s="8" t="inlineStr">
        <is>
          <t>0000002488-24-000012</t>
        </is>
      </c>
      <c r="G166" s="15" t="n">
        <v>16.434</v>
      </c>
      <c r="H166" s="15" t="n">
        <v>3.675</v>
      </c>
      <c r="I166" s="15" t="n">
        <v>0.034</v>
      </c>
      <c r="J166" s="15" t="n">
        <v>0.513</v>
      </c>
      <c r="K166" s="15" t="n">
        <v>3.648</v>
      </c>
      <c r="L166" s="15" t="n">
        <v>3.162</v>
      </c>
      <c r="M166" s="15" t="n"/>
      <c r="N166" s="15" t="n">
        <v>0.296</v>
      </c>
      <c r="O166" s="15" t="n">
        <v>0.301</v>
      </c>
      <c r="P166" s="15" t="n">
        <v>3.521</v>
      </c>
      <c r="Q166" s="15" t="n">
        <v>0.379</v>
      </c>
      <c r="R166" s="15" t="n">
        <v>7.497</v>
      </c>
      <c r="S166" s="15" t="n">
        <v>5.837</v>
      </c>
      <c r="T166" s="15" t="n">
        <v>3.608</v>
      </c>
      <c r="U166" s="15" t="n">
        <v>2.29</v>
      </c>
      <c r="V166" s="15" t="n">
        <v>0.312</v>
      </c>
      <c r="W166" s="15" t="n">
        <v>0</v>
      </c>
      <c r="X166" s="15" t="n">
        <v>0.001</v>
      </c>
      <c r="Y166" s="15" t="n">
        <v>8.583</v>
      </c>
      <c r="Z166" s="15" t="n">
        <v>6.143</v>
      </c>
      <c r="AA166" s="15" t="n">
        <v>4.24</v>
      </c>
      <c r="AB166" s="15" t="n">
        <v>2.417</v>
      </c>
      <c r="AC166" s="15" t="n">
        <v>3.877</v>
      </c>
      <c r="AD166" s="16" t="n">
        <v>1207</v>
      </c>
      <c r="AE166" s="17">
        <f>IF(ISNUMBER(K166),K166,IF(AND(ISNUMBER(H166),ISNUMBER(I166)),H166+I166,IF(ISNUMBER(H166),H166,"")))</f>
        <v/>
      </c>
      <c r="AF166" s="18">
        <f>IF(OR(NOT(ISNUMBER(J166)),NOT(ISNUMBER(H166)),H166&lt;=0),기준표!$B$8,MIN(MAX(J166/H166,기준표!$B$6),기준표!$B$7))</f>
        <v/>
      </c>
      <c r="AG166" s="17">
        <f>IF(ISNUMBER(AE166),AE166*(1-AF166),"")</f>
        <v/>
      </c>
      <c r="AH166" s="17">
        <f>IF(AND(NOT(ISNUMBER(V166)),NOT(ISNUMBER(X166))),"",IF(ISNUMBER(V166),V166,0)+IF(ISNUMBER(X166),X166,0))</f>
        <v/>
      </c>
      <c r="AI166" s="17">
        <f>IF(E166="금융","",IF(AND(ISNUMBER(R166),ISNUMBER(AH166),ISNUMBER(T166)),R166+AH166-T166,""))</f>
        <v/>
      </c>
      <c r="AJ166" s="17">
        <f>IF(E166="금융","",IF(NOT(ISNUMBER(AI166)),"",IF(ISNUMBER(AC166),(AI166+AC166)/2,AI166)))</f>
        <v/>
      </c>
      <c r="AK166" s="19">
        <f>IF(AND(ISNUMBER(AG166),ISNUMBER(AJ166),AJ166&gt;0),AG166/AJ166,"")</f>
        <v/>
      </c>
      <c r="AL166" s="17">
        <f>IF(E166="금융","",IF(AND(ISNUMBER(R166),ISNUMBER(AH166)),R166+AH166,""))</f>
        <v/>
      </c>
      <c r="AM166" s="19">
        <f>IF(OR(NOT(ISNUMBER(AG166)),NOT(ISNUMBER(AL166)),AL166&lt;=0),"",IF(AND(ISNUMBER(G166),AL166&lt;0.1*G166),"",AG166/AL166))</f>
        <v/>
      </c>
      <c r="AN166" s="17">
        <f>IF(NOT(ISNUMBER(R166)),"",IF(ISNUMBER(S166),(R166+S166)/2,R166))</f>
        <v/>
      </c>
      <c r="AO166" s="19">
        <f>IF(AND(ISNUMBER(L166),ISNUMBER(AN166),AN166&gt;0),L166/AN166,"")</f>
        <v/>
      </c>
      <c r="AP166" s="19">
        <f>IF(AND(ISNUMBER(AO166),ISNUMBER({ROIC})),AO166-{ROIC},"")</f>
        <v/>
      </c>
      <c r="AQ166" s="17">
        <f>IF(AND(ISNUMBER(AE166),ISNUMBER(N166)),AE166+N166,"")</f>
        <v/>
      </c>
      <c r="AR166" s="20">
        <f>IF(AND(ISNUMBER(AH166),ISNUMBER(T166),ISNUMBER(AQ166),AQ166&gt;0),(AH166-T166)/AQ166,"")</f>
        <v/>
      </c>
      <c r="AS166" s="20">
        <f>IF(AND(ISNUMBER(AE166),ISNUMBER(I166),I166&lt;&gt;0,AE166&gt;0),AE166/I166,"")</f>
        <v/>
      </c>
      <c r="AT166" s="17">
        <f>IF(AND(ISNUMBER(Y166),ISNUMBER(AA166)),Y166-IF(ISNUMBER(T166),T166,0)-(AA166-IF(ISNUMBER(V166),V166,0)),"")</f>
        <v/>
      </c>
      <c r="AU166" s="17">
        <f>IF(AND(ISNUMBER(Z166),ISNUMBER(AB166)),Z166-IF(ISNUMBER(U166),U166,0)-(AB166-IF(ISNUMBER(W166),W166,0)),"")</f>
        <v/>
      </c>
      <c r="AV166" s="17">
        <f>IF(AND(ISNUMBER(AT166),ISNUMBER(AU166)),AT166-AU166,"")</f>
        <v/>
      </c>
      <c r="AW166" s="17">
        <f>IF(AND(ISNUMBER(L166),ISNUMBER(M166),ISNUMBER(AF166)),L166-M166*(1-AF166),IF(ISNUMBER(L166),L166,""))</f>
        <v/>
      </c>
      <c r="AX166" s="17">
        <f>IF(E166="금융","",IF(AND(ISNUMBER(AW166),ISNUMBER(N166),ISNUMBER(O166),ISNUMBER(AV166)),AW166+N166-O166-AV166,IF(AND(ISNUMBER(P166),ISNUMBER(O166)),P166-O166-IF(ISNUMBER(Q166),Q166,0),"")))</f>
        <v/>
      </c>
      <c r="AY166" s="8">
        <f>IF(E166="금융","금융업 - 정의되지 않음",IF(AND(ISNUMBER(AW166),ISNUMBER(N166),ISNUMBER(O166),ISNUMBER(AV166)),"영업순이익+감가상각-설비투자-운전자본증감",IF(AND(ISNUMBER(P166),ISNUMBER(O166)),IF(ISNUMBER(Q166),"영업현금흐름-설비투자-주식보상비용","영업현금흐름-설비투자(주식보상비용 미태깅)"),"산출불가")))</f>
        <v/>
      </c>
      <c r="AZ166" s="19">
        <f>IF(AND(ISNUMBER(AX166),ISNUMBER(G166),G166&lt;&gt;0),AX166/G166,"")</f>
        <v/>
      </c>
      <c r="BA166" s="19">
        <f>IF(AND(ISNUMBER(AE166),ISNUMBER(G166),G166&lt;&gt;0),AE166/G166,"")</f>
        <v/>
      </c>
    </row>
    <row r="167">
      <c r="A167" s="8" t="inlineStr">
        <is>
          <t>AMD</t>
        </is>
      </c>
      <c r="B167" s="8" t="inlineStr">
        <is>
          <t>ADVANCED MICRO DEVICES INC</t>
        </is>
      </c>
      <c r="C167" s="8" t="n">
        <v>2022</v>
      </c>
      <c r="D167" s="8" t="inlineStr">
        <is>
          <t>2022-12-31</t>
        </is>
      </c>
      <c r="E167" s="8" t="inlineStr">
        <is>
          <t>일반</t>
        </is>
      </c>
      <c r="F167" s="8" t="inlineStr">
        <is>
          <t>0000002488-25-000012</t>
        </is>
      </c>
      <c r="G167" s="15" t="n">
        <v>23.601</v>
      </c>
      <c r="H167" s="15" t="n">
        <v>1.198</v>
      </c>
      <c r="I167" s="15" t="n">
        <v>0.08799999999999999</v>
      </c>
      <c r="J167" s="15" t="n">
        <v>-0.122</v>
      </c>
      <c r="K167" s="15" t="n">
        <v>1.264</v>
      </c>
      <c r="L167" s="15" t="n">
        <v>1.32</v>
      </c>
      <c r="M167" s="15" t="n"/>
      <c r="N167" s="15" t="n">
        <v>0.439</v>
      </c>
      <c r="O167" s="15" t="n">
        <v>0.45</v>
      </c>
      <c r="P167" s="15" t="n">
        <v>3.565</v>
      </c>
      <c r="Q167" s="15" t="n">
        <v>1.081</v>
      </c>
      <c r="R167" s="15" t="n">
        <v>54.75</v>
      </c>
      <c r="S167" s="15" t="n">
        <v>7.497</v>
      </c>
      <c r="T167" s="15" t="n">
        <v>5.855</v>
      </c>
      <c r="U167" s="15" t="n">
        <v>3.608</v>
      </c>
      <c r="V167" s="15" t="n">
        <v>0</v>
      </c>
      <c r="W167" s="15" t="n">
        <v>0.312</v>
      </c>
      <c r="X167" s="15" t="n">
        <v>2.467</v>
      </c>
      <c r="Y167" s="15" t="n">
        <v>15.019</v>
      </c>
      <c r="Z167" s="15" t="n">
        <v>8.583</v>
      </c>
      <c r="AA167" s="15" t="n">
        <v>6.369</v>
      </c>
      <c r="AB167" s="15" t="n">
        <v>4.24</v>
      </c>
      <c r="AC167" s="15" t="n">
        <v>4.202</v>
      </c>
      <c r="AD167" s="16" t="n">
        <v>1612</v>
      </c>
      <c r="AE167" s="17">
        <f>IF(ISNUMBER(K167),K167,IF(AND(ISNUMBER(H167),ISNUMBER(I167)),H167+I167,IF(ISNUMBER(H167),H167,"")))</f>
        <v/>
      </c>
      <c r="AF167" s="18">
        <f>IF(OR(NOT(ISNUMBER(J167)),NOT(ISNUMBER(H167)),H167&lt;=0),기준표!$B$8,MIN(MAX(J167/H167,기준표!$B$6),기준표!$B$7))</f>
        <v/>
      </c>
      <c r="AG167" s="17">
        <f>IF(ISNUMBER(AE167),AE167*(1-AF167),"")</f>
        <v/>
      </c>
      <c r="AH167" s="17">
        <f>IF(AND(NOT(ISNUMBER(V167)),NOT(ISNUMBER(X167))),"",IF(ISNUMBER(V167),V167,0)+IF(ISNUMBER(X167),X167,0))</f>
        <v/>
      </c>
      <c r="AI167" s="17">
        <f>IF(E167="금융","",IF(AND(ISNUMBER(R167),ISNUMBER(AH167),ISNUMBER(T167)),R167+AH167-T167,""))</f>
        <v/>
      </c>
      <c r="AJ167" s="17">
        <f>IF(E167="금융","",IF(NOT(ISNUMBER(AI167)),"",IF(ISNUMBER(AC167),(AI167+AC167)/2,AI167)))</f>
        <v/>
      </c>
      <c r="AK167" s="19">
        <f>IF(AND(ISNUMBER(AG167),ISNUMBER(AJ167),AJ167&gt;0),AG167/AJ167,"")</f>
        <v/>
      </c>
      <c r="AL167" s="17">
        <f>IF(E167="금융","",IF(AND(ISNUMBER(R167),ISNUMBER(AH167)),R167+AH167,""))</f>
        <v/>
      </c>
      <c r="AM167" s="19">
        <f>IF(OR(NOT(ISNUMBER(AG167)),NOT(ISNUMBER(AL167)),AL167&lt;=0),"",IF(AND(ISNUMBER(G167),AL167&lt;0.1*G167),"",AG167/AL167))</f>
        <v/>
      </c>
      <c r="AN167" s="17">
        <f>IF(NOT(ISNUMBER(R167)),"",IF(ISNUMBER(S167),(R167+S167)/2,R167))</f>
        <v/>
      </c>
      <c r="AO167" s="19">
        <f>IF(AND(ISNUMBER(L167),ISNUMBER(AN167),AN167&gt;0),L167/AN167,"")</f>
        <v/>
      </c>
      <c r="AP167" s="19">
        <f>IF(AND(ISNUMBER(AO167),ISNUMBER({ROIC})),AO167-{ROIC},"")</f>
        <v/>
      </c>
      <c r="AQ167" s="17">
        <f>IF(AND(ISNUMBER(AE167),ISNUMBER(N167)),AE167+N167,"")</f>
        <v/>
      </c>
      <c r="AR167" s="20">
        <f>IF(AND(ISNUMBER(AH167),ISNUMBER(T167),ISNUMBER(AQ167),AQ167&gt;0),(AH167-T167)/AQ167,"")</f>
        <v/>
      </c>
      <c r="AS167" s="20">
        <f>IF(AND(ISNUMBER(AE167),ISNUMBER(I167),I167&lt;&gt;0,AE167&gt;0),AE167/I167,"")</f>
        <v/>
      </c>
      <c r="AT167" s="17">
        <f>IF(AND(ISNUMBER(Y167),ISNUMBER(AA167)),Y167-IF(ISNUMBER(T167),T167,0)-(AA167-IF(ISNUMBER(V167),V167,0)),"")</f>
        <v/>
      </c>
      <c r="AU167" s="17">
        <f>IF(AND(ISNUMBER(Z167),ISNUMBER(AB167)),Z167-IF(ISNUMBER(U167),U167,0)-(AB167-IF(ISNUMBER(W167),W167,0)),"")</f>
        <v/>
      </c>
      <c r="AV167" s="17">
        <f>IF(AND(ISNUMBER(AT167),ISNUMBER(AU167)),AT167-AU167,"")</f>
        <v/>
      </c>
      <c r="AW167" s="17">
        <f>IF(AND(ISNUMBER(L167),ISNUMBER(M167),ISNUMBER(AF167)),L167-M167*(1-AF167),IF(ISNUMBER(L167),L167,""))</f>
        <v/>
      </c>
      <c r="AX167" s="17">
        <f>IF(E167="금융","",IF(AND(ISNUMBER(AW167),ISNUMBER(N167),ISNUMBER(O167),ISNUMBER(AV167)),AW167+N167-O167-AV167,IF(AND(ISNUMBER(P167),ISNUMBER(O167)),P167-O167-IF(ISNUMBER(Q167),Q167,0),"")))</f>
        <v/>
      </c>
      <c r="AY167" s="8">
        <f>IF(E167="금융","금융업 - 정의되지 않음",IF(AND(ISNUMBER(AW167),ISNUMBER(N167),ISNUMBER(O167),ISNUMBER(AV167)),"영업순이익+감가상각-설비투자-운전자본증감",IF(AND(ISNUMBER(P167),ISNUMBER(O167)),IF(ISNUMBER(Q167),"영업현금흐름-설비투자-주식보상비용","영업현금흐름-설비투자(주식보상비용 미태깅)"),"산출불가")))</f>
        <v/>
      </c>
      <c r="AZ167" s="19">
        <f>IF(AND(ISNUMBER(AX167),ISNUMBER(G167),G167&lt;&gt;0),AX167/G167,"")</f>
        <v/>
      </c>
      <c r="BA167" s="19">
        <f>IF(AND(ISNUMBER(AE167),ISNUMBER(G167),G167&lt;&gt;0),AE167/G167,"")</f>
        <v/>
      </c>
    </row>
    <row r="168">
      <c r="A168" s="8" t="inlineStr">
        <is>
          <t>AMD</t>
        </is>
      </c>
      <c r="B168" s="8" t="inlineStr">
        <is>
          <t>ADVANCED MICRO DEVICES INC</t>
        </is>
      </c>
      <c r="C168" s="8" t="n">
        <v>2023</v>
      </c>
      <c r="D168" s="8" t="inlineStr">
        <is>
          <t>2023-12-30</t>
        </is>
      </c>
      <c r="E168" s="8" t="inlineStr">
        <is>
          <t>일반</t>
        </is>
      </c>
      <c r="F168" s="8" t="inlineStr">
        <is>
          <t>0000002488-26-000018</t>
        </is>
      </c>
      <c r="G168" s="15" t="n">
        <v>22.68</v>
      </c>
      <c r="H168" s="15" t="n">
        <v>0.508</v>
      </c>
      <c r="I168" s="15" t="n">
        <v>0.106</v>
      </c>
      <c r="J168" s="15" t="n">
        <v>-0.346</v>
      </c>
      <c r="K168" s="15" t="n">
        <v>0.401</v>
      </c>
      <c r="L168" s="15" t="n">
        <v>0.854</v>
      </c>
      <c r="M168" s="15" t="n">
        <v>0.001</v>
      </c>
      <c r="N168" s="15" t="n">
        <v>0.441</v>
      </c>
      <c r="O168" s="15" t="n">
        <v>0.546</v>
      </c>
      <c r="P168" s="15" t="n">
        <v>1.667</v>
      </c>
      <c r="Q168" s="15" t="n">
        <v>1.384</v>
      </c>
      <c r="R168" s="15" t="n">
        <v>55.892</v>
      </c>
      <c r="S168" s="15" t="n">
        <v>54.75</v>
      </c>
      <c r="T168" s="15" t="n">
        <v>5.773</v>
      </c>
      <c r="U168" s="15" t="n">
        <v>5.855</v>
      </c>
      <c r="V168" s="15" t="n">
        <v>0.751</v>
      </c>
      <c r="W168" s="15" t="n">
        <v>0</v>
      </c>
      <c r="X168" s="15" t="n">
        <v>1.717</v>
      </c>
      <c r="Y168" s="15" t="n">
        <v>16.768</v>
      </c>
      <c r="Z168" s="15" t="n">
        <v>15.019</v>
      </c>
      <c r="AA168" s="15" t="n">
        <v>6.689</v>
      </c>
      <c r="AB168" s="15" t="n">
        <v>6.369</v>
      </c>
      <c r="AC168" s="15" t="n">
        <v>51.362</v>
      </c>
      <c r="AD168" s="16" t="n">
        <v>1616</v>
      </c>
      <c r="AE168" s="17">
        <f>IF(ISNUMBER(K168),K168,IF(AND(ISNUMBER(H168),ISNUMBER(I168)),H168+I168,IF(ISNUMBER(H168),H168,"")))</f>
        <v/>
      </c>
      <c r="AF168" s="18">
        <f>IF(OR(NOT(ISNUMBER(J168)),NOT(ISNUMBER(H168)),H168&lt;=0),기준표!$B$8,MIN(MAX(J168/H168,기준표!$B$6),기준표!$B$7))</f>
        <v/>
      </c>
      <c r="AG168" s="17">
        <f>IF(ISNUMBER(AE168),AE168*(1-AF168),"")</f>
        <v/>
      </c>
      <c r="AH168" s="17">
        <f>IF(AND(NOT(ISNUMBER(V168)),NOT(ISNUMBER(X168))),"",IF(ISNUMBER(V168),V168,0)+IF(ISNUMBER(X168),X168,0))</f>
        <v/>
      </c>
      <c r="AI168" s="17">
        <f>IF(E168="금융","",IF(AND(ISNUMBER(R168),ISNUMBER(AH168),ISNUMBER(T168)),R168+AH168-T168,""))</f>
        <v/>
      </c>
      <c r="AJ168" s="17">
        <f>IF(E168="금융","",IF(NOT(ISNUMBER(AI168)),"",IF(ISNUMBER(AC168),(AI168+AC168)/2,AI168)))</f>
        <v/>
      </c>
      <c r="AK168" s="19">
        <f>IF(AND(ISNUMBER(AG168),ISNUMBER(AJ168),AJ168&gt;0),AG168/AJ168,"")</f>
        <v/>
      </c>
      <c r="AL168" s="17">
        <f>IF(E168="금융","",IF(AND(ISNUMBER(R168),ISNUMBER(AH168)),R168+AH168,""))</f>
        <v/>
      </c>
      <c r="AM168" s="19">
        <f>IF(OR(NOT(ISNUMBER(AG168)),NOT(ISNUMBER(AL168)),AL168&lt;=0),"",IF(AND(ISNUMBER(G168),AL168&lt;0.1*G168),"",AG168/AL168))</f>
        <v/>
      </c>
      <c r="AN168" s="17">
        <f>IF(NOT(ISNUMBER(R168)),"",IF(ISNUMBER(S168),(R168+S168)/2,R168))</f>
        <v/>
      </c>
      <c r="AO168" s="19">
        <f>IF(AND(ISNUMBER(L168),ISNUMBER(AN168),AN168&gt;0),L168/AN168,"")</f>
        <v/>
      </c>
      <c r="AP168" s="19">
        <f>IF(AND(ISNUMBER(AO168),ISNUMBER({ROIC})),AO168-{ROIC},"")</f>
        <v/>
      </c>
      <c r="AQ168" s="17">
        <f>IF(AND(ISNUMBER(AE168),ISNUMBER(N168)),AE168+N168,"")</f>
        <v/>
      </c>
      <c r="AR168" s="20">
        <f>IF(AND(ISNUMBER(AH168),ISNUMBER(T168),ISNUMBER(AQ168),AQ168&gt;0),(AH168-T168)/AQ168,"")</f>
        <v/>
      </c>
      <c r="AS168" s="20">
        <f>IF(AND(ISNUMBER(AE168),ISNUMBER(I168),I168&lt;&gt;0,AE168&gt;0),AE168/I168,"")</f>
        <v/>
      </c>
      <c r="AT168" s="17">
        <f>IF(AND(ISNUMBER(Y168),ISNUMBER(AA168)),Y168-IF(ISNUMBER(T168),T168,0)-(AA168-IF(ISNUMBER(V168),V168,0)),"")</f>
        <v/>
      </c>
      <c r="AU168" s="17">
        <f>IF(AND(ISNUMBER(Z168),ISNUMBER(AB168)),Z168-IF(ISNUMBER(U168),U168,0)-(AB168-IF(ISNUMBER(W168),W168,0)),"")</f>
        <v/>
      </c>
      <c r="AV168" s="17">
        <f>IF(AND(ISNUMBER(AT168),ISNUMBER(AU168)),AT168-AU168,"")</f>
        <v/>
      </c>
      <c r="AW168" s="17">
        <f>IF(AND(ISNUMBER(L168),ISNUMBER(M168),ISNUMBER(AF168)),L168-M168*(1-AF168),IF(ISNUMBER(L168),L168,""))</f>
        <v/>
      </c>
      <c r="AX168" s="17">
        <f>IF(E168="금융","",IF(AND(ISNUMBER(AW168),ISNUMBER(N168),ISNUMBER(O168),ISNUMBER(AV168)),AW168+N168-O168-AV168,IF(AND(ISNUMBER(P168),ISNUMBER(O168)),P168-O168-IF(ISNUMBER(Q168),Q168,0),"")))</f>
        <v/>
      </c>
      <c r="AY168" s="8">
        <f>IF(E168="금융","금융업 - 정의되지 않음",IF(AND(ISNUMBER(AW168),ISNUMBER(N168),ISNUMBER(O168),ISNUMBER(AV168)),"영업순이익+감가상각-설비투자-운전자본증감",IF(AND(ISNUMBER(P168),ISNUMBER(O168)),IF(ISNUMBER(Q168),"영업현금흐름-설비투자-주식보상비용","영업현금흐름-설비투자(주식보상비용 미태깅)"),"산출불가")))</f>
        <v/>
      </c>
      <c r="AZ168" s="19">
        <f>IF(AND(ISNUMBER(AX168),ISNUMBER(G168),G168&lt;&gt;0),AX168/G168,"")</f>
        <v/>
      </c>
      <c r="BA168" s="19">
        <f>IF(AND(ISNUMBER(AE168),ISNUMBER(G168),G168&lt;&gt;0),AE168/G168,"")</f>
        <v/>
      </c>
    </row>
    <row r="169">
      <c r="A169" s="8" t="inlineStr">
        <is>
          <t>AMD</t>
        </is>
      </c>
      <c r="B169" s="8" t="inlineStr">
        <is>
          <t>ADVANCED MICRO DEVICES INC</t>
        </is>
      </c>
      <c r="C169" s="8" t="n">
        <v>2024</v>
      </c>
      <c r="D169" s="8" t="inlineStr">
        <is>
          <t>2024-12-28</t>
        </is>
      </c>
      <c r="E169" s="8" t="inlineStr">
        <is>
          <t>일반</t>
        </is>
      </c>
      <c r="F169" s="8" t="inlineStr">
        <is>
          <t>0000002488-26-000018</t>
        </is>
      </c>
      <c r="G169" s="15" t="n">
        <v>25.785</v>
      </c>
      <c r="H169" s="15" t="n">
        <v>2.022</v>
      </c>
      <c r="I169" s="15" t="n">
        <v>0.092</v>
      </c>
      <c r="J169" s="15" t="n">
        <v>0.381</v>
      </c>
      <c r="K169" s="15" t="n">
        <v>1.9</v>
      </c>
      <c r="L169" s="15" t="n">
        <v>1.641</v>
      </c>
      <c r="M169" s="15" t="n">
        <v>0</v>
      </c>
      <c r="N169" s="15" t="n">
        <v>0.454</v>
      </c>
      <c r="O169" s="15" t="n">
        <v>0.636</v>
      </c>
      <c r="P169" s="15" t="n">
        <v>3.041</v>
      </c>
      <c r="Q169" s="15" t="n">
        <v>1.407</v>
      </c>
      <c r="R169" s="15" t="n">
        <v>57.568</v>
      </c>
      <c r="S169" s="15" t="n">
        <v>55.892</v>
      </c>
      <c r="T169" s="15" t="n">
        <v>5.132</v>
      </c>
      <c r="U169" s="15" t="n">
        <v>5.773</v>
      </c>
      <c r="V169" s="15" t="n">
        <v>0</v>
      </c>
      <c r="W169" s="15" t="n">
        <v>0.751</v>
      </c>
      <c r="X169" s="15" t="n">
        <v>1.721</v>
      </c>
      <c r="Y169" s="15" t="n">
        <v>19.049</v>
      </c>
      <c r="Z169" s="15" t="n">
        <v>16.768</v>
      </c>
      <c r="AA169" s="15" t="n">
        <v>7.281</v>
      </c>
      <c r="AB169" s="15" t="n">
        <v>6.689</v>
      </c>
      <c r="AC169" s="15" t="n">
        <v>52.587</v>
      </c>
      <c r="AD169" s="16" t="n">
        <v>1622</v>
      </c>
      <c r="AE169" s="17">
        <f>IF(ISNUMBER(K169),K169,IF(AND(ISNUMBER(H169),ISNUMBER(I169)),H169+I169,IF(ISNUMBER(H169),H169,"")))</f>
        <v/>
      </c>
      <c r="AF169" s="18">
        <f>IF(OR(NOT(ISNUMBER(J169)),NOT(ISNUMBER(H169)),H169&lt;=0),기준표!$B$8,MIN(MAX(J169/H169,기준표!$B$6),기준표!$B$7))</f>
        <v/>
      </c>
      <c r="AG169" s="17">
        <f>IF(ISNUMBER(AE169),AE169*(1-AF169),"")</f>
        <v/>
      </c>
      <c r="AH169" s="17">
        <f>IF(AND(NOT(ISNUMBER(V169)),NOT(ISNUMBER(X169))),"",IF(ISNUMBER(V169),V169,0)+IF(ISNUMBER(X169),X169,0))</f>
        <v/>
      </c>
      <c r="AI169" s="17">
        <f>IF(E169="금융","",IF(AND(ISNUMBER(R169),ISNUMBER(AH169),ISNUMBER(T169)),R169+AH169-T169,""))</f>
        <v/>
      </c>
      <c r="AJ169" s="17">
        <f>IF(E169="금융","",IF(NOT(ISNUMBER(AI169)),"",IF(ISNUMBER(AC169),(AI169+AC169)/2,AI169)))</f>
        <v/>
      </c>
      <c r="AK169" s="19">
        <f>IF(AND(ISNUMBER(AG169),ISNUMBER(AJ169),AJ169&gt;0),AG169/AJ169,"")</f>
        <v/>
      </c>
      <c r="AL169" s="17">
        <f>IF(E169="금융","",IF(AND(ISNUMBER(R169),ISNUMBER(AH169)),R169+AH169,""))</f>
        <v/>
      </c>
      <c r="AM169" s="19">
        <f>IF(OR(NOT(ISNUMBER(AG169)),NOT(ISNUMBER(AL169)),AL169&lt;=0),"",IF(AND(ISNUMBER(G169),AL169&lt;0.1*G169),"",AG169/AL169))</f>
        <v/>
      </c>
      <c r="AN169" s="17">
        <f>IF(NOT(ISNUMBER(R169)),"",IF(ISNUMBER(S169),(R169+S169)/2,R169))</f>
        <v/>
      </c>
      <c r="AO169" s="19">
        <f>IF(AND(ISNUMBER(L169),ISNUMBER(AN169),AN169&gt;0),L169/AN169,"")</f>
        <v/>
      </c>
      <c r="AP169" s="19">
        <f>IF(AND(ISNUMBER(AO169),ISNUMBER({ROIC})),AO169-{ROIC},"")</f>
        <v/>
      </c>
      <c r="AQ169" s="17">
        <f>IF(AND(ISNUMBER(AE169),ISNUMBER(N169)),AE169+N169,"")</f>
        <v/>
      </c>
      <c r="AR169" s="20">
        <f>IF(AND(ISNUMBER(AH169),ISNUMBER(T169),ISNUMBER(AQ169),AQ169&gt;0),(AH169-T169)/AQ169,"")</f>
        <v/>
      </c>
      <c r="AS169" s="20">
        <f>IF(AND(ISNUMBER(AE169),ISNUMBER(I169),I169&lt;&gt;0,AE169&gt;0),AE169/I169,"")</f>
        <v/>
      </c>
      <c r="AT169" s="17">
        <f>IF(AND(ISNUMBER(Y169),ISNUMBER(AA169)),Y169-IF(ISNUMBER(T169),T169,0)-(AA169-IF(ISNUMBER(V169),V169,0)),"")</f>
        <v/>
      </c>
      <c r="AU169" s="17">
        <f>IF(AND(ISNUMBER(Z169),ISNUMBER(AB169)),Z169-IF(ISNUMBER(U169),U169,0)-(AB169-IF(ISNUMBER(W169),W169,0)),"")</f>
        <v/>
      </c>
      <c r="AV169" s="17">
        <f>IF(AND(ISNUMBER(AT169),ISNUMBER(AU169)),AT169-AU169,"")</f>
        <v/>
      </c>
      <c r="AW169" s="17">
        <f>IF(AND(ISNUMBER(L169),ISNUMBER(M169),ISNUMBER(AF169)),L169-M169*(1-AF169),IF(ISNUMBER(L169),L169,""))</f>
        <v/>
      </c>
      <c r="AX169" s="17">
        <f>IF(E169="금융","",IF(AND(ISNUMBER(AW169),ISNUMBER(N169),ISNUMBER(O169),ISNUMBER(AV169)),AW169+N169-O169-AV169,IF(AND(ISNUMBER(P169),ISNUMBER(O169)),P169-O169-IF(ISNUMBER(Q169),Q169,0),"")))</f>
        <v/>
      </c>
      <c r="AY169" s="8">
        <f>IF(E169="금융","금융업 - 정의되지 않음",IF(AND(ISNUMBER(AW169),ISNUMBER(N169),ISNUMBER(O169),ISNUMBER(AV169)),"영업순이익+감가상각-설비투자-운전자본증감",IF(AND(ISNUMBER(P169),ISNUMBER(O169)),IF(ISNUMBER(Q169),"영업현금흐름-설비투자-주식보상비용","영업현금흐름-설비투자(주식보상비용 미태깅)"),"산출불가")))</f>
        <v/>
      </c>
      <c r="AZ169" s="19">
        <f>IF(AND(ISNUMBER(AX169),ISNUMBER(G169),G169&lt;&gt;0),AX169/G169,"")</f>
        <v/>
      </c>
      <c r="BA169" s="19">
        <f>IF(AND(ISNUMBER(AE169),ISNUMBER(G169),G169&lt;&gt;0),AE169/G169,"")</f>
        <v/>
      </c>
    </row>
    <row r="170">
      <c r="A170" s="8" t="inlineStr">
        <is>
          <t>AMD</t>
        </is>
      </c>
      <c r="B170" s="8" t="inlineStr">
        <is>
          <t>ADVANCED MICRO DEVICES INC</t>
        </is>
      </c>
      <c r="C170" s="8" t="n">
        <v>2025</v>
      </c>
      <c r="D170" s="8" t="inlineStr">
        <is>
          <t>2025-12-27</t>
        </is>
      </c>
      <c r="E170" s="8" t="inlineStr">
        <is>
          <t>일반</t>
        </is>
      </c>
      <c r="F170" s="8" t="inlineStr">
        <is>
          <t>0000002488-26-000018</t>
        </is>
      </c>
      <c r="G170" s="15" t="n">
        <v>34.639</v>
      </c>
      <c r="H170" s="15" t="n">
        <v>4.166</v>
      </c>
      <c r="I170" s="15" t="n">
        <v>0.131</v>
      </c>
      <c r="J170" s="15" t="n">
        <v>-0.103</v>
      </c>
      <c r="K170" s="15" t="n">
        <v>3.694</v>
      </c>
      <c r="L170" s="15" t="n">
        <v>4.335</v>
      </c>
      <c r="M170" s="15" t="n">
        <v>0.341</v>
      </c>
      <c r="N170" s="15" t="n">
        <v>0.521</v>
      </c>
      <c r="O170" s="15" t="n">
        <v>0.974</v>
      </c>
      <c r="P170" s="15" t="n">
        <v>7.709</v>
      </c>
      <c r="Q170" s="15" t="n">
        <v>1.638</v>
      </c>
      <c r="R170" s="15" t="n">
        <v>62.999</v>
      </c>
      <c r="S170" s="15" t="n">
        <v>57.568</v>
      </c>
      <c r="T170" s="15" t="n">
        <v>10.552</v>
      </c>
      <c r="U170" s="15" t="n">
        <v>5.132</v>
      </c>
      <c r="V170" s="15" t="n">
        <v>0.874</v>
      </c>
      <c r="W170" s="15" t="n">
        <v>0</v>
      </c>
      <c r="X170" s="15" t="n">
        <v>2.348</v>
      </c>
      <c r="Y170" s="15" t="n">
        <v>26.947</v>
      </c>
      <c r="Z170" s="15" t="n">
        <v>19.049</v>
      </c>
      <c r="AA170" s="15" t="n">
        <v>9.455</v>
      </c>
      <c r="AB170" s="15" t="n">
        <v>7.281</v>
      </c>
      <c r="AC170" s="15" t="n">
        <v>54.157</v>
      </c>
      <c r="AD170" s="16" t="n">
        <v>1630</v>
      </c>
      <c r="AE170" s="17">
        <f>IF(ISNUMBER(K170),K170,IF(AND(ISNUMBER(H170),ISNUMBER(I170)),H170+I170,IF(ISNUMBER(H170),H170,"")))</f>
        <v/>
      </c>
      <c r="AF170" s="18">
        <f>IF(OR(NOT(ISNUMBER(J170)),NOT(ISNUMBER(H170)),H170&lt;=0),기준표!$B$8,MIN(MAX(J170/H170,기준표!$B$6),기준표!$B$7))</f>
        <v/>
      </c>
      <c r="AG170" s="17">
        <f>IF(ISNUMBER(AE170),AE170*(1-AF170),"")</f>
        <v/>
      </c>
      <c r="AH170" s="17">
        <f>IF(AND(NOT(ISNUMBER(V170)),NOT(ISNUMBER(X170))),"",IF(ISNUMBER(V170),V170,0)+IF(ISNUMBER(X170),X170,0))</f>
        <v/>
      </c>
      <c r="AI170" s="17">
        <f>IF(E170="금융","",IF(AND(ISNUMBER(R170),ISNUMBER(AH170),ISNUMBER(T170)),R170+AH170-T170,""))</f>
        <v/>
      </c>
      <c r="AJ170" s="17">
        <f>IF(E170="금융","",IF(NOT(ISNUMBER(AI170)),"",IF(ISNUMBER(AC170),(AI170+AC170)/2,AI170)))</f>
        <v/>
      </c>
      <c r="AK170" s="19">
        <f>IF(AND(ISNUMBER(AG170),ISNUMBER(AJ170),AJ170&gt;0),AG170/AJ170,"")</f>
        <v/>
      </c>
      <c r="AL170" s="17">
        <f>IF(E170="금융","",IF(AND(ISNUMBER(R170),ISNUMBER(AH170)),R170+AH170,""))</f>
        <v/>
      </c>
      <c r="AM170" s="19">
        <f>IF(OR(NOT(ISNUMBER(AG170)),NOT(ISNUMBER(AL170)),AL170&lt;=0),"",IF(AND(ISNUMBER(G170),AL170&lt;0.1*G170),"",AG170/AL170))</f>
        <v/>
      </c>
      <c r="AN170" s="17">
        <f>IF(NOT(ISNUMBER(R170)),"",IF(ISNUMBER(S170),(R170+S170)/2,R170))</f>
        <v/>
      </c>
      <c r="AO170" s="19">
        <f>IF(AND(ISNUMBER(L170),ISNUMBER(AN170),AN170&gt;0),L170/AN170,"")</f>
        <v/>
      </c>
      <c r="AP170" s="19">
        <f>IF(AND(ISNUMBER(AO170),ISNUMBER({ROIC})),AO170-{ROIC},"")</f>
        <v/>
      </c>
      <c r="AQ170" s="17">
        <f>IF(AND(ISNUMBER(AE170),ISNUMBER(N170)),AE170+N170,"")</f>
        <v/>
      </c>
      <c r="AR170" s="20">
        <f>IF(AND(ISNUMBER(AH170),ISNUMBER(T170),ISNUMBER(AQ170),AQ170&gt;0),(AH170-T170)/AQ170,"")</f>
        <v/>
      </c>
      <c r="AS170" s="20">
        <f>IF(AND(ISNUMBER(AE170),ISNUMBER(I170),I170&lt;&gt;0,AE170&gt;0),AE170/I170,"")</f>
        <v/>
      </c>
      <c r="AT170" s="17">
        <f>IF(AND(ISNUMBER(Y170),ISNUMBER(AA170)),Y170-IF(ISNUMBER(T170),T170,0)-(AA170-IF(ISNUMBER(V170),V170,0)),"")</f>
        <v/>
      </c>
      <c r="AU170" s="17">
        <f>IF(AND(ISNUMBER(Z170),ISNUMBER(AB170)),Z170-IF(ISNUMBER(U170),U170,0)-(AB170-IF(ISNUMBER(W170),W170,0)),"")</f>
        <v/>
      </c>
      <c r="AV170" s="17">
        <f>IF(AND(ISNUMBER(AT170),ISNUMBER(AU170)),AT170-AU170,"")</f>
        <v/>
      </c>
      <c r="AW170" s="17">
        <f>IF(AND(ISNUMBER(L170),ISNUMBER(M170),ISNUMBER(AF170)),L170-M170*(1-AF170),IF(ISNUMBER(L170),L170,""))</f>
        <v/>
      </c>
      <c r="AX170" s="17">
        <f>IF(E170="금융","",IF(AND(ISNUMBER(AW170),ISNUMBER(N170),ISNUMBER(O170),ISNUMBER(AV170)),AW170+N170-O170-AV170,IF(AND(ISNUMBER(P170),ISNUMBER(O170)),P170-O170-IF(ISNUMBER(Q170),Q170,0),"")))</f>
        <v/>
      </c>
      <c r="AY170" s="8">
        <f>IF(E170="금융","금융업 - 정의되지 않음",IF(AND(ISNUMBER(AW170),ISNUMBER(N170),ISNUMBER(O170),ISNUMBER(AV170)),"영업순이익+감가상각-설비투자-운전자본증감",IF(AND(ISNUMBER(P170),ISNUMBER(O170)),IF(ISNUMBER(Q170),"영업현금흐름-설비투자-주식보상비용","영업현금흐름-설비투자(주식보상비용 미태깅)"),"산출불가")))</f>
        <v/>
      </c>
      <c r="AZ170" s="19">
        <f>IF(AND(ISNUMBER(AX170),ISNUMBER(G170),G170&lt;&gt;0),AX170/G170,"")</f>
        <v/>
      </c>
      <c r="BA170" s="19">
        <f>IF(AND(ISNUMBER(AE170),ISNUMBER(G170),G170&lt;&gt;0),AE170/G170,"")</f>
        <v/>
      </c>
    </row>
    <row r="171">
      <c r="A171" s="8" t="inlineStr">
        <is>
          <t>V</t>
        </is>
      </c>
      <c r="B171" s="8" t="inlineStr">
        <is>
          <t>VISA INC.</t>
        </is>
      </c>
      <c r="C171" s="8" t="n">
        <v>2014</v>
      </c>
      <c r="D171" s="8" t="inlineStr">
        <is>
          <t>2014-09-30</t>
        </is>
      </c>
      <c r="E171" s="8" t="inlineStr">
        <is>
          <t>일반</t>
        </is>
      </c>
      <c r="F171" s="8" t="inlineStr">
        <is>
          <t>0001403161-16-000058</t>
        </is>
      </c>
      <c r="G171" s="15" t="n"/>
      <c r="H171" s="15" t="n">
        <v>7.724</v>
      </c>
      <c r="I171" s="15" t="n"/>
      <c r="J171" s="15" t="n">
        <v>2.286</v>
      </c>
      <c r="K171" s="15" t="n">
        <v>7.697</v>
      </c>
      <c r="L171" s="15" t="n">
        <v>5.438</v>
      </c>
      <c r="M171" s="15" t="n"/>
      <c r="N171" s="15" t="n">
        <v>0.435</v>
      </c>
      <c r="O171" s="15" t="n">
        <v>0.553</v>
      </c>
      <c r="P171" s="15" t="n">
        <v>7.205</v>
      </c>
      <c r="Q171" s="15" t="n">
        <v>0.172</v>
      </c>
      <c r="R171" s="15" t="n">
        <v>27.413</v>
      </c>
      <c r="S171" s="15" t="n"/>
      <c r="T171" s="15" t="n">
        <v>1.971</v>
      </c>
      <c r="U171" s="15" t="n"/>
      <c r="V171" s="15" t="n"/>
      <c r="W171" s="15" t="n"/>
      <c r="X171" s="15" t="n"/>
      <c r="Y171" s="15" t="n">
        <v>9.561999999999999</v>
      </c>
      <c r="Z171" s="15" t="n"/>
      <c r="AA171" s="15" t="n">
        <v>6.006</v>
      </c>
      <c r="AB171" s="15" t="n"/>
      <c r="AC171" s="15" t="n"/>
      <c r="AD171" s="16" t="n"/>
      <c r="AE171" s="17">
        <f>IF(ISNUMBER(K171),K171,IF(AND(ISNUMBER(H171),ISNUMBER(I171)),H171+I171,IF(ISNUMBER(H171),H171,"")))</f>
        <v/>
      </c>
      <c r="AF171" s="18">
        <f>IF(OR(NOT(ISNUMBER(J171)),NOT(ISNUMBER(H171)),H171&lt;=0),기준표!$B$8,MIN(MAX(J171/H171,기준표!$B$6),기준표!$B$7))</f>
        <v/>
      </c>
      <c r="AG171" s="17">
        <f>IF(ISNUMBER(AE171),AE171*(1-AF171),"")</f>
        <v/>
      </c>
      <c r="AH171" s="17">
        <f>IF(AND(NOT(ISNUMBER(V171)),NOT(ISNUMBER(X171))),"",IF(ISNUMBER(V171),V171,0)+IF(ISNUMBER(X171),X171,0))</f>
        <v/>
      </c>
      <c r="AI171" s="17">
        <f>IF(E171="금융","",IF(AND(ISNUMBER(R171),ISNUMBER(AH171),ISNUMBER(T171)),R171+AH171-T171,""))</f>
        <v/>
      </c>
      <c r="AJ171" s="17">
        <f>IF(E171="금융","",IF(NOT(ISNUMBER(AI171)),"",IF(ISNUMBER(AC171),(AI171+AC171)/2,AI171)))</f>
        <v/>
      </c>
      <c r="AK171" s="19">
        <f>IF(AND(ISNUMBER(AG171),ISNUMBER(AJ171),AJ171&gt;0),AG171/AJ171,"")</f>
        <v/>
      </c>
      <c r="AL171" s="17">
        <f>IF(E171="금융","",IF(AND(ISNUMBER(R171),ISNUMBER(AH171)),R171+AH171,""))</f>
        <v/>
      </c>
      <c r="AM171" s="19">
        <f>IF(OR(NOT(ISNUMBER(AG171)),NOT(ISNUMBER(AL171)),AL171&lt;=0),"",IF(AND(ISNUMBER(G171),AL171&lt;0.1*G171),"",AG171/AL171))</f>
        <v/>
      </c>
      <c r="AN171" s="17">
        <f>IF(NOT(ISNUMBER(R171)),"",IF(ISNUMBER(S171),(R171+S171)/2,R171))</f>
        <v/>
      </c>
      <c r="AO171" s="19">
        <f>IF(AND(ISNUMBER(L171),ISNUMBER(AN171),AN171&gt;0),L171/AN171,"")</f>
        <v/>
      </c>
      <c r="AP171" s="19">
        <f>IF(AND(ISNUMBER(AO171),ISNUMBER({ROIC})),AO171-{ROIC},"")</f>
        <v/>
      </c>
      <c r="AQ171" s="17">
        <f>IF(AND(ISNUMBER(AE171),ISNUMBER(N171)),AE171+N171,"")</f>
        <v/>
      </c>
      <c r="AR171" s="20">
        <f>IF(AND(ISNUMBER(AH171),ISNUMBER(T171),ISNUMBER(AQ171),AQ171&gt;0),(AH171-T171)/AQ171,"")</f>
        <v/>
      </c>
      <c r="AS171" s="20">
        <f>IF(AND(ISNUMBER(AE171),ISNUMBER(I171),I171&lt;&gt;0,AE171&gt;0),AE171/I171,"")</f>
        <v/>
      </c>
      <c r="AT171" s="17">
        <f>IF(AND(ISNUMBER(Y171),ISNUMBER(AA171)),Y171-IF(ISNUMBER(T171),T171,0)-(AA171-IF(ISNUMBER(V171),V171,0)),"")</f>
        <v/>
      </c>
      <c r="AU171" s="17">
        <f>IF(AND(ISNUMBER(Z171),ISNUMBER(AB171)),Z171-IF(ISNUMBER(U171),U171,0)-(AB171-IF(ISNUMBER(W171),W171,0)),"")</f>
        <v/>
      </c>
      <c r="AV171" s="17">
        <f>IF(AND(ISNUMBER(AT171),ISNUMBER(AU171)),AT171-AU171,"")</f>
        <v/>
      </c>
      <c r="AW171" s="17">
        <f>IF(AND(ISNUMBER(L171),ISNUMBER(M171),ISNUMBER(AF171)),L171-M171*(1-AF171),IF(ISNUMBER(L171),L171,""))</f>
        <v/>
      </c>
      <c r="AX171" s="17">
        <f>IF(E171="금융","",IF(AND(ISNUMBER(AW171),ISNUMBER(N171),ISNUMBER(O171),ISNUMBER(AV171)),AW171+N171-O171-AV171,IF(AND(ISNUMBER(P171),ISNUMBER(O171)),P171-O171-IF(ISNUMBER(Q171),Q171,0),"")))</f>
        <v/>
      </c>
      <c r="AY171" s="8">
        <f>IF(E171="금융","금융업 - 정의되지 않음",IF(AND(ISNUMBER(AW171),ISNUMBER(N171),ISNUMBER(O171),ISNUMBER(AV171)),"영업순이익+감가상각-설비투자-운전자본증감",IF(AND(ISNUMBER(P171),ISNUMBER(O171)),IF(ISNUMBER(Q171),"영업현금흐름-설비투자-주식보상비용","영업현금흐름-설비투자(주식보상비용 미태깅)"),"산출불가")))</f>
        <v/>
      </c>
      <c r="AZ171" s="19">
        <f>IF(AND(ISNUMBER(AX171),ISNUMBER(G171),G171&lt;&gt;0),AX171/G171,"")</f>
        <v/>
      </c>
      <c r="BA171" s="19">
        <f>IF(AND(ISNUMBER(AE171),ISNUMBER(G171),G171&lt;&gt;0),AE171/G171,"")</f>
        <v/>
      </c>
    </row>
    <row r="172">
      <c r="A172" s="8" t="inlineStr">
        <is>
          <t>V</t>
        </is>
      </c>
      <c r="B172" s="8" t="inlineStr">
        <is>
          <t>VISA INC.</t>
        </is>
      </c>
      <c r="C172" s="8" t="n">
        <v>2015</v>
      </c>
      <c r="D172" s="8" t="inlineStr">
        <is>
          <t>2015-09-30</t>
        </is>
      </c>
      <c r="E172" s="8" t="inlineStr">
        <is>
          <t>일반</t>
        </is>
      </c>
      <c r="F172" s="8" t="inlineStr">
        <is>
          <t>0001403161-17-000044</t>
        </is>
      </c>
      <c r="G172" s="15" t="n"/>
      <c r="H172" s="15" t="n">
        <v>8.994999999999999</v>
      </c>
      <c r="I172" s="15" t="n"/>
      <c r="J172" s="15" t="n">
        <v>2.667</v>
      </c>
      <c r="K172" s="15" t="n">
        <v>9.064</v>
      </c>
      <c r="L172" s="15" t="n">
        <v>6.328</v>
      </c>
      <c r="M172" s="15" t="n"/>
      <c r="N172" s="15" t="n">
        <v>0.494</v>
      </c>
      <c r="O172" s="15" t="n">
        <v>0.414</v>
      </c>
      <c r="P172" s="15" t="n">
        <v>6.584</v>
      </c>
      <c r="Q172" s="15" t="n">
        <v>0.187</v>
      </c>
      <c r="R172" s="15" t="n">
        <v>29.842</v>
      </c>
      <c r="S172" s="15" t="n">
        <v>27.413</v>
      </c>
      <c r="T172" s="15" t="n">
        <v>3.518</v>
      </c>
      <c r="U172" s="15" t="n">
        <v>1.971</v>
      </c>
      <c r="V172" s="15" t="n"/>
      <c r="W172" s="15" t="n"/>
      <c r="X172" s="15" t="n"/>
      <c r="Y172" s="15" t="n">
        <v>10.021</v>
      </c>
      <c r="Z172" s="15" t="n">
        <v>9.561999999999999</v>
      </c>
      <c r="AA172" s="15" t="n">
        <v>5.355</v>
      </c>
      <c r="AB172" s="15" t="n">
        <v>6.006</v>
      </c>
      <c r="AC172" s="15" t="n"/>
      <c r="AD172" s="16" t="n"/>
      <c r="AE172" s="17">
        <f>IF(ISNUMBER(K172),K172,IF(AND(ISNUMBER(H172),ISNUMBER(I172)),H172+I172,IF(ISNUMBER(H172),H172,"")))</f>
        <v/>
      </c>
      <c r="AF172" s="18">
        <f>IF(OR(NOT(ISNUMBER(J172)),NOT(ISNUMBER(H172)),H172&lt;=0),기준표!$B$8,MIN(MAX(J172/H172,기준표!$B$6),기준표!$B$7))</f>
        <v/>
      </c>
      <c r="AG172" s="17">
        <f>IF(ISNUMBER(AE172),AE172*(1-AF172),"")</f>
        <v/>
      </c>
      <c r="AH172" s="17">
        <f>IF(AND(NOT(ISNUMBER(V172)),NOT(ISNUMBER(X172))),"",IF(ISNUMBER(V172),V172,0)+IF(ISNUMBER(X172),X172,0))</f>
        <v/>
      </c>
      <c r="AI172" s="17">
        <f>IF(E172="금융","",IF(AND(ISNUMBER(R172),ISNUMBER(AH172),ISNUMBER(T172)),R172+AH172-T172,""))</f>
        <v/>
      </c>
      <c r="AJ172" s="17">
        <f>IF(E172="금융","",IF(NOT(ISNUMBER(AI172)),"",IF(ISNUMBER(AC172),(AI172+AC172)/2,AI172)))</f>
        <v/>
      </c>
      <c r="AK172" s="19">
        <f>IF(AND(ISNUMBER(AG172),ISNUMBER(AJ172),AJ172&gt;0),AG172/AJ172,"")</f>
        <v/>
      </c>
      <c r="AL172" s="17">
        <f>IF(E172="금융","",IF(AND(ISNUMBER(R172),ISNUMBER(AH172)),R172+AH172,""))</f>
        <v/>
      </c>
      <c r="AM172" s="19">
        <f>IF(OR(NOT(ISNUMBER(AG172)),NOT(ISNUMBER(AL172)),AL172&lt;=0),"",IF(AND(ISNUMBER(G172),AL172&lt;0.1*G172),"",AG172/AL172))</f>
        <v/>
      </c>
      <c r="AN172" s="17">
        <f>IF(NOT(ISNUMBER(R172)),"",IF(ISNUMBER(S172),(R172+S172)/2,R172))</f>
        <v/>
      </c>
      <c r="AO172" s="19">
        <f>IF(AND(ISNUMBER(L172),ISNUMBER(AN172),AN172&gt;0),L172/AN172,"")</f>
        <v/>
      </c>
      <c r="AP172" s="19">
        <f>IF(AND(ISNUMBER(AO172),ISNUMBER({ROIC})),AO172-{ROIC},"")</f>
        <v/>
      </c>
      <c r="AQ172" s="17">
        <f>IF(AND(ISNUMBER(AE172),ISNUMBER(N172)),AE172+N172,"")</f>
        <v/>
      </c>
      <c r="AR172" s="20">
        <f>IF(AND(ISNUMBER(AH172),ISNUMBER(T172),ISNUMBER(AQ172),AQ172&gt;0),(AH172-T172)/AQ172,"")</f>
        <v/>
      </c>
      <c r="AS172" s="20">
        <f>IF(AND(ISNUMBER(AE172),ISNUMBER(I172),I172&lt;&gt;0,AE172&gt;0),AE172/I172,"")</f>
        <v/>
      </c>
      <c r="AT172" s="17">
        <f>IF(AND(ISNUMBER(Y172),ISNUMBER(AA172)),Y172-IF(ISNUMBER(T172),T172,0)-(AA172-IF(ISNUMBER(V172),V172,0)),"")</f>
        <v/>
      </c>
      <c r="AU172" s="17">
        <f>IF(AND(ISNUMBER(Z172),ISNUMBER(AB172)),Z172-IF(ISNUMBER(U172),U172,0)-(AB172-IF(ISNUMBER(W172),W172,0)),"")</f>
        <v/>
      </c>
      <c r="AV172" s="17">
        <f>IF(AND(ISNUMBER(AT172),ISNUMBER(AU172)),AT172-AU172,"")</f>
        <v/>
      </c>
      <c r="AW172" s="17">
        <f>IF(AND(ISNUMBER(L172),ISNUMBER(M172),ISNUMBER(AF172)),L172-M172*(1-AF172),IF(ISNUMBER(L172),L172,""))</f>
        <v/>
      </c>
      <c r="AX172" s="17">
        <f>IF(E172="금융","",IF(AND(ISNUMBER(AW172),ISNUMBER(N172),ISNUMBER(O172),ISNUMBER(AV172)),AW172+N172-O172-AV172,IF(AND(ISNUMBER(P172),ISNUMBER(O172)),P172-O172-IF(ISNUMBER(Q172),Q172,0),"")))</f>
        <v/>
      </c>
      <c r="AY172" s="8">
        <f>IF(E172="금융","금융업 - 정의되지 않음",IF(AND(ISNUMBER(AW172),ISNUMBER(N172),ISNUMBER(O172),ISNUMBER(AV172)),"영업순이익+감가상각-설비투자-운전자본증감",IF(AND(ISNUMBER(P172),ISNUMBER(O172)),IF(ISNUMBER(Q172),"영업현금흐름-설비투자-주식보상비용","영업현금흐름-설비투자(주식보상비용 미태깅)"),"산출불가")))</f>
        <v/>
      </c>
      <c r="AZ172" s="19">
        <f>IF(AND(ISNUMBER(AX172),ISNUMBER(G172),G172&lt;&gt;0),AX172/G172,"")</f>
        <v/>
      </c>
      <c r="BA172" s="19">
        <f>IF(AND(ISNUMBER(AE172),ISNUMBER(G172),G172&lt;&gt;0),AE172/G172,"")</f>
        <v/>
      </c>
    </row>
    <row r="173">
      <c r="A173" s="8" t="inlineStr">
        <is>
          <t>V</t>
        </is>
      </c>
      <c r="B173" s="8" t="inlineStr">
        <is>
          <t>VISA INC.</t>
        </is>
      </c>
      <c r="C173" s="8" t="n">
        <v>2016</v>
      </c>
      <c r="D173" s="8" t="inlineStr">
        <is>
          <t>2016-09-30</t>
        </is>
      </c>
      <c r="E173" s="8" t="inlineStr">
        <is>
          <t>일반</t>
        </is>
      </c>
      <c r="F173" s="8" t="inlineStr">
        <is>
          <t>0001403161-18-000055</t>
        </is>
      </c>
      <c r="G173" s="15" t="n"/>
      <c r="H173" s="15" t="n">
        <v>8.012</v>
      </c>
      <c r="I173" s="15" t="n"/>
      <c r="J173" s="15" t="n">
        <v>2.021</v>
      </c>
      <c r="K173" s="15" t="n">
        <v>7.883</v>
      </c>
      <c r="L173" s="15" t="n">
        <v>5.991</v>
      </c>
      <c r="M173" s="15" t="n"/>
      <c r="N173" s="15" t="n">
        <v>0.502</v>
      </c>
      <c r="O173" s="15" t="n">
        <v>0.523</v>
      </c>
      <c r="P173" s="15" t="n">
        <v>5.574</v>
      </c>
      <c r="Q173" s="15" t="n">
        <v>0.221</v>
      </c>
      <c r="R173" s="15" t="n">
        <v>32.912</v>
      </c>
      <c r="S173" s="15" t="n">
        <v>29.842</v>
      </c>
      <c r="T173" s="15" t="n">
        <v>5.619</v>
      </c>
      <c r="U173" s="15" t="n">
        <v>3.518</v>
      </c>
      <c r="V173" s="15" t="n">
        <v>0</v>
      </c>
      <c r="W173" s="15" t="n"/>
      <c r="X173" s="15" t="n"/>
      <c r="Y173" s="15" t="n">
        <v>14.313</v>
      </c>
      <c r="Z173" s="15" t="n">
        <v>10.021</v>
      </c>
      <c r="AA173" s="15" t="n">
        <v>8.045999999999999</v>
      </c>
      <c r="AB173" s="15" t="n">
        <v>5.355</v>
      </c>
      <c r="AC173" s="15" t="n"/>
      <c r="AD173" s="16" t="n"/>
      <c r="AE173" s="17">
        <f>IF(ISNUMBER(K173),K173,IF(AND(ISNUMBER(H173),ISNUMBER(I173)),H173+I173,IF(ISNUMBER(H173),H173,"")))</f>
        <v/>
      </c>
      <c r="AF173" s="18">
        <f>IF(OR(NOT(ISNUMBER(J173)),NOT(ISNUMBER(H173)),H173&lt;=0),기준표!$B$8,MIN(MAX(J173/H173,기준표!$B$6),기준표!$B$7))</f>
        <v/>
      </c>
      <c r="AG173" s="17">
        <f>IF(ISNUMBER(AE173),AE173*(1-AF173),"")</f>
        <v/>
      </c>
      <c r="AH173" s="17">
        <f>IF(AND(NOT(ISNUMBER(V173)),NOT(ISNUMBER(X173))),"",IF(ISNUMBER(V173),V173,0)+IF(ISNUMBER(X173),X173,0))</f>
        <v/>
      </c>
      <c r="AI173" s="17">
        <f>IF(E173="금융","",IF(AND(ISNUMBER(R173),ISNUMBER(AH173),ISNUMBER(T173)),R173+AH173-T173,""))</f>
        <v/>
      </c>
      <c r="AJ173" s="17">
        <f>IF(E173="금융","",IF(NOT(ISNUMBER(AI173)),"",IF(ISNUMBER(AC173),(AI173+AC173)/2,AI173)))</f>
        <v/>
      </c>
      <c r="AK173" s="19">
        <f>IF(AND(ISNUMBER(AG173),ISNUMBER(AJ173),AJ173&gt;0),AG173/AJ173,"")</f>
        <v/>
      </c>
      <c r="AL173" s="17">
        <f>IF(E173="금융","",IF(AND(ISNUMBER(R173),ISNUMBER(AH173)),R173+AH173,""))</f>
        <v/>
      </c>
      <c r="AM173" s="19">
        <f>IF(OR(NOT(ISNUMBER(AG173)),NOT(ISNUMBER(AL173)),AL173&lt;=0),"",IF(AND(ISNUMBER(G173),AL173&lt;0.1*G173),"",AG173/AL173))</f>
        <v/>
      </c>
      <c r="AN173" s="17">
        <f>IF(NOT(ISNUMBER(R173)),"",IF(ISNUMBER(S173),(R173+S173)/2,R173))</f>
        <v/>
      </c>
      <c r="AO173" s="19">
        <f>IF(AND(ISNUMBER(L173),ISNUMBER(AN173),AN173&gt;0),L173/AN173,"")</f>
        <v/>
      </c>
      <c r="AP173" s="19">
        <f>IF(AND(ISNUMBER(AO173),ISNUMBER({ROIC})),AO173-{ROIC},"")</f>
        <v/>
      </c>
      <c r="AQ173" s="17">
        <f>IF(AND(ISNUMBER(AE173),ISNUMBER(N173)),AE173+N173,"")</f>
        <v/>
      </c>
      <c r="AR173" s="20">
        <f>IF(AND(ISNUMBER(AH173),ISNUMBER(T173),ISNUMBER(AQ173),AQ173&gt;0),(AH173-T173)/AQ173,"")</f>
        <v/>
      </c>
      <c r="AS173" s="20">
        <f>IF(AND(ISNUMBER(AE173),ISNUMBER(I173),I173&lt;&gt;0,AE173&gt;0),AE173/I173,"")</f>
        <v/>
      </c>
      <c r="AT173" s="17">
        <f>IF(AND(ISNUMBER(Y173),ISNUMBER(AA173)),Y173-IF(ISNUMBER(T173),T173,0)-(AA173-IF(ISNUMBER(V173),V173,0)),"")</f>
        <v/>
      </c>
      <c r="AU173" s="17">
        <f>IF(AND(ISNUMBER(Z173),ISNUMBER(AB173)),Z173-IF(ISNUMBER(U173),U173,0)-(AB173-IF(ISNUMBER(W173),W173,0)),"")</f>
        <v/>
      </c>
      <c r="AV173" s="17">
        <f>IF(AND(ISNUMBER(AT173),ISNUMBER(AU173)),AT173-AU173,"")</f>
        <v/>
      </c>
      <c r="AW173" s="17">
        <f>IF(AND(ISNUMBER(L173),ISNUMBER(M173),ISNUMBER(AF173)),L173-M173*(1-AF173),IF(ISNUMBER(L173),L173,""))</f>
        <v/>
      </c>
      <c r="AX173" s="17">
        <f>IF(E173="금융","",IF(AND(ISNUMBER(AW173),ISNUMBER(N173),ISNUMBER(O173),ISNUMBER(AV173)),AW173+N173-O173-AV173,IF(AND(ISNUMBER(P173),ISNUMBER(O173)),P173-O173-IF(ISNUMBER(Q173),Q173,0),"")))</f>
        <v/>
      </c>
      <c r="AY173" s="8">
        <f>IF(E173="금융","금융업 - 정의되지 않음",IF(AND(ISNUMBER(AW173),ISNUMBER(N173),ISNUMBER(O173),ISNUMBER(AV173)),"영업순이익+감가상각-설비투자-운전자본증감",IF(AND(ISNUMBER(P173),ISNUMBER(O173)),IF(ISNUMBER(Q173),"영업현금흐름-설비투자-주식보상비용","영업현금흐름-설비투자(주식보상비용 미태깅)"),"산출불가")))</f>
        <v/>
      </c>
      <c r="AZ173" s="19">
        <f>IF(AND(ISNUMBER(AX173),ISNUMBER(G173),G173&lt;&gt;0),AX173/G173,"")</f>
        <v/>
      </c>
      <c r="BA173" s="19">
        <f>IF(AND(ISNUMBER(AE173),ISNUMBER(G173),G173&lt;&gt;0),AE173/G173,"")</f>
        <v/>
      </c>
    </row>
    <row r="174">
      <c r="A174" s="8" t="inlineStr">
        <is>
          <t>V</t>
        </is>
      </c>
      <c r="B174" s="8" t="inlineStr">
        <is>
          <t>VISA INC.</t>
        </is>
      </c>
      <c r="C174" s="8" t="n">
        <v>2017</v>
      </c>
      <c r="D174" s="8" t="inlineStr">
        <is>
          <t>2017-09-30</t>
        </is>
      </c>
      <c r="E174" s="8" t="inlineStr">
        <is>
          <t>일반</t>
        </is>
      </c>
      <c r="F174" s="8" t="inlineStr">
        <is>
          <t>0001403161-19-000050</t>
        </is>
      </c>
      <c r="G174" s="15" t="n"/>
      <c r="H174" s="15" t="n">
        <v>11.694</v>
      </c>
      <c r="I174" s="15" t="n"/>
      <c r="J174" s="15" t="n">
        <v>4.995</v>
      </c>
      <c r="K174" s="15" t="n">
        <v>12.144</v>
      </c>
      <c r="L174" s="15" t="n">
        <v>6.699</v>
      </c>
      <c r="M174" s="15" t="n"/>
      <c r="N174" s="15" t="n">
        <v>0.556</v>
      </c>
      <c r="O174" s="15" t="n">
        <v>0.707</v>
      </c>
      <c r="P174" s="15" t="n">
        <v>9.317</v>
      </c>
      <c r="Q174" s="15" t="n">
        <v>0.235</v>
      </c>
      <c r="R174" s="15" t="n">
        <v>32.76</v>
      </c>
      <c r="S174" s="15" t="n">
        <v>32.912</v>
      </c>
      <c r="T174" s="15" t="n">
        <v>9.874000000000001</v>
      </c>
      <c r="U174" s="15" t="n">
        <v>5.619</v>
      </c>
      <c r="V174" s="15" t="n">
        <v>1.749</v>
      </c>
      <c r="W174" s="15" t="n">
        <v>0</v>
      </c>
      <c r="X174" s="15" t="n"/>
      <c r="Y174" s="15" t="n">
        <v>19.023</v>
      </c>
      <c r="Z174" s="15" t="n">
        <v>14.313</v>
      </c>
      <c r="AA174" s="15" t="n">
        <v>9.994</v>
      </c>
      <c r="AB174" s="15" t="n">
        <v>8.045999999999999</v>
      </c>
      <c r="AC174" s="15" t="n">
        <v>27.293</v>
      </c>
      <c r="AD174" s="16" t="n"/>
      <c r="AE174" s="17">
        <f>IF(ISNUMBER(K174),K174,IF(AND(ISNUMBER(H174),ISNUMBER(I174)),H174+I174,IF(ISNUMBER(H174),H174,"")))</f>
        <v/>
      </c>
      <c r="AF174" s="18">
        <f>IF(OR(NOT(ISNUMBER(J174)),NOT(ISNUMBER(H174)),H174&lt;=0),기준표!$B$8,MIN(MAX(J174/H174,기준표!$B$6),기준표!$B$7))</f>
        <v/>
      </c>
      <c r="AG174" s="17">
        <f>IF(ISNUMBER(AE174),AE174*(1-AF174),"")</f>
        <v/>
      </c>
      <c r="AH174" s="17">
        <f>IF(AND(NOT(ISNUMBER(V174)),NOT(ISNUMBER(X174))),"",IF(ISNUMBER(V174),V174,0)+IF(ISNUMBER(X174),X174,0))</f>
        <v/>
      </c>
      <c r="AI174" s="17">
        <f>IF(E174="금융","",IF(AND(ISNUMBER(R174),ISNUMBER(AH174),ISNUMBER(T174)),R174+AH174-T174,""))</f>
        <v/>
      </c>
      <c r="AJ174" s="17">
        <f>IF(E174="금융","",IF(NOT(ISNUMBER(AI174)),"",IF(ISNUMBER(AC174),(AI174+AC174)/2,AI174)))</f>
        <v/>
      </c>
      <c r="AK174" s="19">
        <f>IF(AND(ISNUMBER(AG174),ISNUMBER(AJ174),AJ174&gt;0),AG174/AJ174,"")</f>
        <v/>
      </c>
      <c r="AL174" s="17">
        <f>IF(E174="금융","",IF(AND(ISNUMBER(R174),ISNUMBER(AH174)),R174+AH174,""))</f>
        <v/>
      </c>
      <c r="AM174" s="19">
        <f>IF(OR(NOT(ISNUMBER(AG174)),NOT(ISNUMBER(AL174)),AL174&lt;=0),"",IF(AND(ISNUMBER(G174),AL174&lt;0.1*G174),"",AG174/AL174))</f>
        <v/>
      </c>
      <c r="AN174" s="17">
        <f>IF(NOT(ISNUMBER(R174)),"",IF(ISNUMBER(S174),(R174+S174)/2,R174))</f>
        <v/>
      </c>
      <c r="AO174" s="19">
        <f>IF(AND(ISNUMBER(L174),ISNUMBER(AN174),AN174&gt;0),L174/AN174,"")</f>
        <v/>
      </c>
      <c r="AP174" s="19">
        <f>IF(AND(ISNUMBER(AO174),ISNUMBER({ROIC})),AO174-{ROIC},"")</f>
        <v/>
      </c>
      <c r="AQ174" s="17">
        <f>IF(AND(ISNUMBER(AE174),ISNUMBER(N174)),AE174+N174,"")</f>
        <v/>
      </c>
      <c r="AR174" s="20">
        <f>IF(AND(ISNUMBER(AH174),ISNUMBER(T174),ISNUMBER(AQ174),AQ174&gt;0),(AH174-T174)/AQ174,"")</f>
        <v/>
      </c>
      <c r="AS174" s="20">
        <f>IF(AND(ISNUMBER(AE174),ISNUMBER(I174),I174&lt;&gt;0,AE174&gt;0),AE174/I174,"")</f>
        <v/>
      </c>
      <c r="AT174" s="17">
        <f>IF(AND(ISNUMBER(Y174),ISNUMBER(AA174)),Y174-IF(ISNUMBER(T174),T174,0)-(AA174-IF(ISNUMBER(V174),V174,0)),"")</f>
        <v/>
      </c>
      <c r="AU174" s="17">
        <f>IF(AND(ISNUMBER(Z174),ISNUMBER(AB174)),Z174-IF(ISNUMBER(U174),U174,0)-(AB174-IF(ISNUMBER(W174),W174,0)),"")</f>
        <v/>
      </c>
      <c r="AV174" s="17">
        <f>IF(AND(ISNUMBER(AT174),ISNUMBER(AU174)),AT174-AU174,"")</f>
        <v/>
      </c>
      <c r="AW174" s="17">
        <f>IF(AND(ISNUMBER(L174),ISNUMBER(M174),ISNUMBER(AF174)),L174-M174*(1-AF174),IF(ISNUMBER(L174),L174,""))</f>
        <v/>
      </c>
      <c r="AX174" s="17">
        <f>IF(E174="금융","",IF(AND(ISNUMBER(AW174),ISNUMBER(N174),ISNUMBER(O174),ISNUMBER(AV174)),AW174+N174-O174-AV174,IF(AND(ISNUMBER(P174),ISNUMBER(O174)),P174-O174-IF(ISNUMBER(Q174),Q174,0),"")))</f>
        <v/>
      </c>
      <c r="AY174" s="8">
        <f>IF(E174="금융","금융업 - 정의되지 않음",IF(AND(ISNUMBER(AW174),ISNUMBER(N174),ISNUMBER(O174),ISNUMBER(AV174)),"영업순이익+감가상각-설비투자-운전자본증감",IF(AND(ISNUMBER(P174),ISNUMBER(O174)),IF(ISNUMBER(Q174),"영업현금흐름-설비투자-주식보상비용","영업현금흐름-설비투자(주식보상비용 미태깅)"),"산출불가")))</f>
        <v/>
      </c>
      <c r="AZ174" s="19">
        <f>IF(AND(ISNUMBER(AX174),ISNUMBER(G174),G174&lt;&gt;0),AX174/G174,"")</f>
        <v/>
      </c>
      <c r="BA174" s="19">
        <f>IF(AND(ISNUMBER(AE174),ISNUMBER(G174),G174&lt;&gt;0),AE174/G174,"")</f>
        <v/>
      </c>
    </row>
    <row r="175">
      <c r="A175" s="8" t="inlineStr">
        <is>
          <t>V</t>
        </is>
      </c>
      <c r="B175" s="8" t="inlineStr">
        <is>
          <t>VISA INC.</t>
        </is>
      </c>
      <c r="C175" s="8" t="n">
        <v>2018</v>
      </c>
      <c r="D175" s="8" t="inlineStr">
        <is>
          <t>2018-09-30</t>
        </is>
      </c>
      <c r="E175" s="8" t="inlineStr">
        <is>
          <t>일반</t>
        </is>
      </c>
      <c r="F175" s="8" t="inlineStr">
        <is>
          <t>0001403161-20-000070</t>
        </is>
      </c>
      <c r="G175" s="15" t="n"/>
      <c r="H175" s="15" t="n">
        <v>12.806</v>
      </c>
      <c r="I175" s="15" t="n"/>
      <c r="J175" s="15" t="n">
        <v>2.505</v>
      </c>
      <c r="K175" s="15" t="n">
        <v>12.954</v>
      </c>
      <c r="L175" s="15" t="n">
        <v>10.301</v>
      </c>
      <c r="M175" s="15" t="n"/>
      <c r="N175" s="15" t="n">
        <v>0.613</v>
      </c>
      <c r="O175" s="15" t="n">
        <v>0.718</v>
      </c>
      <c r="P175" s="15" t="n">
        <v>12.941</v>
      </c>
      <c r="Q175" s="15" t="n">
        <v>0.327</v>
      </c>
      <c r="R175" s="15" t="n">
        <v>34.006</v>
      </c>
      <c r="S175" s="15" t="n">
        <v>32.76</v>
      </c>
      <c r="T175" s="15" t="n">
        <v>11.596</v>
      </c>
      <c r="U175" s="15" t="n">
        <v>9.874000000000001</v>
      </c>
      <c r="V175" s="15" t="n">
        <v>0</v>
      </c>
      <c r="W175" s="15" t="n">
        <v>1.749</v>
      </c>
      <c r="X175" s="15" t="n"/>
      <c r="Y175" s="15" t="n">
        <v>18.216</v>
      </c>
      <c r="Z175" s="15" t="n">
        <v>19.023</v>
      </c>
      <c r="AA175" s="15" t="n">
        <v>11.305</v>
      </c>
      <c r="AB175" s="15" t="n">
        <v>9.994</v>
      </c>
      <c r="AC175" s="15" t="n">
        <v>24.635</v>
      </c>
      <c r="AD175" s="16" t="n"/>
      <c r="AE175" s="17">
        <f>IF(ISNUMBER(K175),K175,IF(AND(ISNUMBER(H175),ISNUMBER(I175)),H175+I175,IF(ISNUMBER(H175),H175,"")))</f>
        <v/>
      </c>
      <c r="AF175" s="18">
        <f>IF(OR(NOT(ISNUMBER(J175)),NOT(ISNUMBER(H175)),H175&lt;=0),기준표!$B$8,MIN(MAX(J175/H175,기준표!$B$6),기준표!$B$7))</f>
        <v/>
      </c>
      <c r="AG175" s="17">
        <f>IF(ISNUMBER(AE175),AE175*(1-AF175),"")</f>
        <v/>
      </c>
      <c r="AH175" s="17">
        <f>IF(AND(NOT(ISNUMBER(V175)),NOT(ISNUMBER(X175))),"",IF(ISNUMBER(V175),V175,0)+IF(ISNUMBER(X175),X175,0))</f>
        <v/>
      </c>
      <c r="AI175" s="17">
        <f>IF(E175="금융","",IF(AND(ISNUMBER(R175),ISNUMBER(AH175),ISNUMBER(T175)),R175+AH175-T175,""))</f>
        <v/>
      </c>
      <c r="AJ175" s="17">
        <f>IF(E175="금융","",IF(NOT(ISNUMBER(AI175)),"",IF(ISNUMBER(AC175),(AI175+AC175)/2,AI175)))</f>
        <v/>
      </c>
      <c r="AK175" s="19">
        <f>IF(AND(ISNUMBER(AG175),ISNUMBER(AJ175),AJ175&gt;0),AG175/AJ175,"")</f>
        <v/>
      </c>
      <c r="AL175" s="17">
        <f>IF(E175="금융","",IF(AND(ISNUMBER(R175),ISNUMBER(AH175)),R175+AH175,""))</f>
        <v/>
      </c>
      <c r="AM175" s="19">
        <f>IF(OR(NOT(ISNUMBER(AG175)),NOT(ISNUMBER(AL175)),AL175&lt;=0),"",IF(AND(ISNUMBER(G175),AL175&lt;0.1*G175),"",AG175/AL175))</f>
        <v/>
      </c>
      <c r="AN175" s="17">
        <f>IF(NOT(ISNUMBER(R175)),"",IF(ISNUMBER(S175),(R175+S175)/2,R175))</f>
        <v/>
      </c>
      <c r="AO175" s="19">
        <f>IF(AND(ISNUMBER(L175),ISNUMBER(AN175),AN175&gt;0),L175/AN175,"")</f>
        <v/>
      </c>
      <c r="AP175" s="19">
        <f>IF(AND(ISNUMBER(AO175),ISNUMBER({ROIC})),AO175-{ROIC},"")</f>
        <v/>
      </c>
      <c r="AQ175" s="17">
        <f>IF(AND(ISNUMBER(AE175),ISNUMBER(N175)),AE175+N175,"")</f>
        <v/>
      </c>
      <c r="AR175" s="20">
        <f>IF(AND(ISNUMBER(AH175),ISNUMBER(T175),ISNUMBER(AQ175),AQ175&gt;0),(AH175-T175)/AQ175,"")</f>
        <v/>
      </c>
      <c r="AS175" s="20">
        <f>IF(AND(ISNUMBER(AE175),ISNUMBER(I175),I175&lt;&gt;0,AE175&gt;0),AE175/I175,"")</f>
        <v/>
      </c>
      <c r="AT175" s="17">
        <f>IF(AND(ISNUMBER(Y175),ISNUMBER(AA175)),Y175-IF(ISNUMBER(T175),T175,0)-(AA175-IF(ISNUMBER(V175),V175,0)),"")</f>
        <v/>
      </c>
      <c r="AU175" s="17">
        <f>IF(AND(ISNUMBER(Z175),ISNUMBER(AB175)),Z175-IF(ISNUMBER(U175),U175,0)-(AB175-IF(ISNUMBER(W175),W175,0)),"")</f>
        <v/>
      </c>
      <c r="AV175" s="17">
        <f>IF(AND(ISNUMBER(AT175),ISNUMBER(AU175)),AT175-AU175,"")</f>
        <v/>
      </c>
      <c r="AW175" s="17">
        <f>IF(AND(ISNUMBER(L175),ISNUMBER(M175),ISNUMBER(AF175)),L175-M175*(1-AF175),IF(ISNUMBER(L175),L175,""))</f>
        <v/>
      </c>
      <c r="AX175" s="17">
        <f>IF(E175="금융","",IF(AND(ISNUMBER(AW175),ISNUMBER(N175),ISNUMBER(O175),ISNUMBER(AV175)),AW175+N175-O175-AV175,IF(AND(ISNUMBER(P175),ISNUMBER(O175)),P175-O175-IF(ISNUMBER(Q175),Q175,0),"")))</f>
        <v/>
      </c>
      <c r="AY175" s="8">
        <f>IF(E175="금융","금융업 - 정의되지 않음",IF(AND(ISNUMBER(AW175),ISNUMBER(N175),ISNUMBER(O175),ISNUMBER(AV175)),"영업순이익+감가상각-설비투자-운전자본증감",IF(AND(ISNUMBER(P175),ISNUMBER(O175)),IF(ISNUMBER(Q175),"영업현금흐름-설비투자-주식보상비용","영업현금흐름-설비투자(주식보상비용 미태깅)"),"산출불가")))</f>
        <v/>
      </c>
      <c r="AZ175" s="19">
        <f>IF(AND(ISNUMBER(AX175),ISNUMBER(G175),G175&lt;&gt;0),AX175/G175,"")</f>
        <v/>
      </c>
      <c r="BA175" s="19">
        <f>IF(AND(ISNUMBER(AE175),ISNUMBER(G175),G175&lt;&gt;0),AE175/G175,"")</f>
        <v/>
      </c>
    </row>
    <row r="176">
      <c r="A176" s="8" t="inlineStr">
        <is>
          <t>V</t>
        </is>
      </c>
      <c r="B176" s="8" t="inlineStr">
        <is>
          <t>VISA INC.</t>
        </is>
      </c>
      <c r="C176" s="8" t="n">
        <v>2019</v>
      </c>
      <c r="D176" s="8" t="inlineStr">
        <is>
          <t>2019-09-30</t>
        </is>
      </c>
      <c r="E176" s="8" t="inlineStr">
        <is>
          <t>일반</t>
        </is>
      </c>
      <c r="F176" s="8" t="inlineStr">
        <is>
          <t>0001403161-21-000060</t>
        </is>
      </c>
      <c r="G176" s="15" t="n">
        <v>22.977</v>
      </c>
      <c r="H176" s="15" t="n">
        <v>14.884</v>
      </c>
      <c r="I176" s="15" t="n"/>
      <c r="J176" s="15" t="n">
        <v>2.804</v>
      </c>
      <c r="K176" s="15" t="n">
        <v>15.001</v>
      </c>
      <c r="L176" s="15" t="n">
        <v>12.08</v>
      </c>
      <c r="M176" s="15" t="n"/>
      <c r="N176" s="15" t="n">
        <v>0.656</v>
      </c>
      <c r="O176" s="15" t="n">
        <v>0.756</v>
      </c>
      <c r="P176" s="15" t="n">
        <v>12.784</v>
      </c>
      <c r="Q176" s="15" t="n">
        <v>0.407</v>
      </c>
      <c r="R176" s="15" t="n">
        <v>34.684</v>
      </c>
      <c r="S176" s="15" t="n">
        <v>34.006</v>
      </c>
      <c r="T176" s="15" t="n">
        <v>11.948</v>
      </c>
      <c r="U176" s="15" t="n">
        <v>11.596</v>
      </c>
      <c r="V176" s="15" t="n">
        <v>0</v>
      </c>
      <c r="W176" s="15" t="n">
        <v>0</v>
      </c>
      <c r="X176" s="15" t="n">
        <v>16.729</v>
      </c>
      <c r="Y176" s="15" t="n">
        <v>20.97</v>
      </c>
      <c r="Z176" s="15" t="n">
        <v>18.216</v>
      </c>
      <c r="AA176" s="15" t="n">
        <v>13.415</v>
      </c>
      <c r="AB176" s="15" t="n">
        <v>11.305</v>
      </c>
      <c r="AC176" s="15" t="n">
        <v>22.41</v>
      </c>
      <c r="AD176" s="16" t="n"/>
      <c r="AE176" s="17">
        <f>IF(ISNUMBER(K176),K176,IF(AND(ISNUMBER(H176),ISNUMBER(I176)),H176+I176,IF(ISNUMBER(H176),H176,"")))</f>
        <v/>
      </c>
      <c r="AF176" s="18">
        <f>IF(OR(NOT(ISNUMBER(J176)),NOT(ISNUMBER(H176)),H176&lt;=0),기준표!$B$8,MIN(MAX(J176/H176,기준표!$B$6),기준표!$B$7))</f>
        <v/>
      </c>
      <c r="AG176" s="17">
        <f>IF(ISNUMBER(AE176),AE176*(1-AF176),"")</f>
        <v/>
      </c>
      <c r="AH176" s="17">
        <f>IF(AND(NOT(ISNUMBER(V176)),NOT(ISNUMBER(X176))),"",IF(ISNUMBER(V176),V176,0)+IF(ISNUMBER(X176),X176,0))</f>
        <v/>
      </c>
      <c r="AI176" s="17">
        <f>IF(E176="금융","",IF(AND(ISNUMBER(R176),ISNUMBER(AH176),ISNUMBER(T176)),R176+AH176-T176,""))</f>
        <v/>
      </c>
      <c r="AJ176" s="17">
        <f>IF(E176="금융","",IF(NOT(ISNUMBER(AI176)),"",IF(ISNUMBER(AC176),(AI176+AC176)/2,AI176)))</f>
        <v/>
      </c>
      <c r="AK176" s="19">
        <f>IF(AND(ISNUMBER(AG176),ISNUMBER(AJ176),AJ176&gt;0),AG176/AJ176,"")</f>
        <v/>
      </c>
      <c r="AL176" s="17">
        <f>IF(E176="금융","",IF(AND(ISNUMBER(R176),ISNUMBER(AH176)),R176+AH176,""))</f>
        <v/>
      </c>
      <c r="AM176" s="19">
        <f>IF(OR(NOT(ISNUMBER(AG176)),NOT(ISNUMBER(AL176)),AL176&lt;=0),"",IF(AND(ISNUMBER(G176),AL176&lt;0.1*G176),"",AG176/AL176))</f>
        <v/>
      </c>
      <c r="AN176" s="17">
        <f>IF(NOT(ISNUMBER(R176)),"",IF(ISNUMBER(S176),(R176+S176)/2,R176))</f>
        <v/>
      </c>
      <c r="AO176" s="19">
        <f>IF(AND(ISNUMBER(L176),ISNUMBER(AN176),AN176&gt;0),L176/AN176,"")</f>
        <v/>
      </c>
      <c r="AP176" s="19">
        <f>IF(AND(ISNUMBER(AO176),ISNUMBER({ROIC})),AO176-{ROIC},"")</f>
        <v/>
      </c>
      <c r="AQ176" s="17">
        <f>IF(AND(ISNUMBER(AE176),ISNUMBER(N176)),AE176+N176,"")</f>
        <v/>
      </c>
      <c r="AR176" s="20">
        <f>IF(AND(ISNUMBER(AH176),ISNUMBER(T176),ISNUMBER(AQ176),AQ176&gt;0),(AH176-T176)/AQ176,"")</f>
        <v/>
      </c>
      <c r="AS176" s="20">
        <f>IF(AND(ISNUMBER(AE176),ISNUMBER(I176),I176&lt;&gt;0,AE176&gt;0),AE176/I176,"")</f>
        <v/>
      </c>
      <c r="AT176" s="17">
        <f>IF(AND(ISNUMBER(Y176),ISNUMBER(AA176)),Y176-IF(ISNUMBER(T176),T176,0)-(AA176-IF(ISNUMBER(V176),V176,0)),"")</f>
        <v/>
      </c>
      <c r="AU176" s="17">
        <f>IF(AND(ISNUMBER(Z176),ISNUMBER(AB176)),Z176-IF(ISNUMBER(U176),U176,0)-(AB176-IF(ISNUMBER(W176),W176,0)),"")</f>
        <v/>
      </c>
      <c r="AV176" s="17">
        <f>IF(AND(ISNUMBER(AT176),ISNUMBER(AU176)),AT176-AU176,"")</f>
        <v/>
      </c>
      <c r="AW176" s="17">
        <f>IF(AND(ISNUMBER(L176),ISNUMBER(M176),ISNUMBER(AF176)),L176-M176*(1-AF176),IF(ISNUMBER(L176),L176,""))</f>
        <v/>
      </c>
      <c r="AX176" s="17">
        <f>IF(E176="금융","",IF(AND(ISNUMBER(AW176),ISNUMBER(N176),ISNUMBER(O176),ISNUMBER(AV176)),AW176+N176-O176-AV176,IF(AND(ISNUMBER(P176),ISNUMBER(O176)),P176-O176-IF(ISNUMBER(Q176),Q176,0),"")))</f>
        <v/>
      </c>
      <c r="AY176" s="8">
        <f>IF(E176="금융","금융업 - 정의되지 않음",IF(AND(ISNUMBER(AW176),ISNUMBER(N176),ISNUMBER(O176),ISNUMBER(AV176)),"영업순이익+감가상각-설비투자-운전자본증감",IF(AND(ISNUMBER(P176),ISNUMBER(O176)),IF(ISNUMBER(Q176),"영업현금흐름-설비투자-주식보상비용","영업현금흐름-설비투자(주식보상비용 미태깅)"),"산출불가")))</f>
        <v/>
      </c>
      <c r="AZ176" s="19">
        <f>IF(AND(ISNUMBER(AX176),ISNUMBER(G176),G176&lt;&gt;0),AX176/G176,"")</f>
        <v/>
      </c>
      <c r="BA176" s="19">
        <f>IF(AND(ISNUMBER(AE176),ISNUMBER(G176),G176&lt;&gt;0),AE176/G176,"")</f>
        <v/>
      </c>
    </row>
    <row r="177">
      <c r="A177" s="8" t="inlineStr">
        <is>
          <t>V</t>
        </is>
      </c>
      <c r="B177" s="8" t="inlineStr">
        <is>
          <t>VISA INC.</t>
        </is>
      </c>
      <c r="C177" s="8" t="n">
        <v>2020</v>
      </c>
      <c r="D177" s="8" t="inlineStr">
        <is>
          <t>2020-09-30</t>
        </is>
      </c>
      <c r="E177" s="8" t="inlineStr">
        <is>
          <t>일반</t>
        </is>
      </c>
      <c r="F177" s="8" t="inlineStr">
        <is>
          <t>0001403161-22-000081</t>
        </is>
      </c>
      <c r="G177" s="15" t="n">
        <v>21.846</v>
      </c>
      <c r="H177" s="15" t="n">
        <v>13.79</v>
      </c>
      <c r="I177" s="15" t="n"/>
      <c r="J177" s="15" t="n">
        <v>2.924</v>
      </c>
      <c r="K177" s="15" t="n">
        <v>14.081</v>
      </c>
      <c r="L177" s="15" t="n">
        <v>10.866</v>
      </c>
      <c r="M177" s="15" t="n"/>
      <c r="N177" s="15" t="n">
        <v>0.767</v>
      </c>
      <c r="O177" s="15" t="n">
        <v>0.736</v>
      </c>
      <c r="P177" s="15" t="n">
        <v>10.44</v>
      </c>
      <c r="Q177" s="15" t="n">
        <v>0.416</v>
      </c>
      <c r="R177" s="15" t="n">
        <v>36.21</v>
      </c>
      <c r="S177" s="15" t="n">
        <v>34.684</v>
      </c>
      <c r="T177" s="15" t="n">
        <v>19.893</v>
      </c>
      <c r="U177" s="15" t="n">
        <v>11.948</v>
      </c>
      <c r="V177" s="15" t="n">
        <v>2.999</v>
      </c>
      <c r="W177" s="15" t="n">
        <v>0</v>
      </c>
      <c r="X177" s="15" t="n">
        <v>21.071</v>
      </c>
      <c r="Y177" s="15" t="n">
        <v>27.645</v>
      </c>
      <c r="Z177" s="15" t="n">
        <v>20.97</v>
      </c>
      <c r="AA177" s="15" t="n">
        <v>14.51</v>
      </c>
      <c r="AB177" s="15" t="n">
        <v>13.415</v>
      </c>
      <c r="AC177" s="15" t="n">
        <v>39.465</v>
      </c>
      <c r="AD177" s="16" t="n"/>
      <c r="AE177" s="17">
        <f>IF(ISNUMBER(K177),K177,IF(AND(ISNUMBER(H177),ISNUMBER(I177)),H177+I177,IF(ISNUMBER(H177),H177,"")))</f>
        <v/>
      </c>
      <c r="AF177" s="18">
        <f>IF(OR(NOT(ISNUMBER(J177)),NOT(ISNUMBER(H177)),H177&lt;=0),기준표!$B$8,MIN(MAX(J177/H177,기준표!$B$6),기준표!$B$7))</f>
        <v/>
      </c>
      <c r="AG177" s="17">
        <f>IF(ISNUMBER(AE177),AE177*(1-AF177),"")</f>
        <v/>
      </c>
      <c r="AH177" s="17">
        <f>IF(AND(NOT(ISNUMBER(V177)),NOT(ISNUMBER(X177))),"",IF(ISNUMBER(V177),V177,0)+IF(ISNUMBER(X177),X177,0))</f>
        <v/>
      </c>
      <c r="AI177" s="17">
        <f>IF(E177="금융","",IF(AND(ISNUMBER(R177),ISNUMBER(AH177),ISNUMBER(T177)),R177+AH177-T177,""))</f>
        <v/>
      </c>
      <c r="AJ177" s="17">
        <f>IF(E177="금융","",IF(NOT(ISNUMBER(AI177)),"",IF(ISNUMBER(AC177),(AI177+AC177)/2,AI177)))</f>
        <v/>
      </c>
      <c r="AK177" s="19">
        <f>IF(AND(ISNUMBER(AG177),ISNUMBER(AJ177),AJ177&gt;0),AG177/AJ177,"")</f>
        <v/>
      </c>
      <c r="AL177" s="17">
        <f>IF(E177="금융","",IF(AND(ISNUMBER(R177),ISNUMBER(AH177)),R177+AH177,""))</f>
        <v/>
      </c>
      <c r="AM177" s="19">
        <f>IF(OR(NOT(ISNUMBER(AG177)),NOT(ISNUMBER(AL177)),AL177&lt;=0),"",IF(AND(ISNUMBER(G177),AL177&lt;0.1*G177),"",AG177/AL177))</f>
        <v/>
      </c>
      <c r="AN177" s="17">
        <f>IF(NOT(ISNUMBER(R177)),"",IF(ISNUMBER(S177),(R177+S177)/2,R177))</f>
        <v/>
      </c>
      <c r="AO177" s="19">
        <f>IF(AND(ISNUMBER(L177),ISNUMBER(AN177),AN177&gt;0),L177/AN177,"")</f>
        <v/>
      </c>
      <c r="AP177" s="19">
        <f>IF(AND(ISNUMBER(AO177),ISNUMBER({ROIC})),AO177-{ROIC},"")</f>
        <v/>
      </c>
      <c r="AQ177" s="17">
        <f>IF(AND(ISNUMBER(AE177),ISNUMBER(N177)),AE177+N177,"")</f>
        <v/>
      </c>
      <c r="AR177" s="20">
        <f>IF(AND(ISNUMBER(AH177),ISNUMBER(T177),ISNUMBER(AQ177),AQ177&gt;0),(AH177-T177)/AQ177,"")</f>
        <v/>
      </c>
      <c r="AS177" s="20">
        <f>IF(AND(ISNUMBER(AE177),ISNUMBER(I177),I177&lt;&gt;0,AE177&gt;0),AE177/I177,"")</f>
        <v/>
      </c>
      <c r="AT177" s="17">
        <f>IF(AND(ISNUMBER(Y177),ISNUMBER(AA177)),Y177-IF(ISNUMBER(T177),T177,0)-(AA177-IF(ISNUMBER(V177),V177,0)),"")</f>
        <v/>
      </c>
      <c r="AU177" s="17">
        <f>IF(AND(ISNUMBER(Z177),ISNUMBER(AB177)),Z177-IF(ISNUMBER(U177),U177,0)-(AB177-IF(ISNUMBER(W177),W177,0)),"")</f>
        <v/>
      </c>
      <c r="AV177" s="17">
        <f>IF(AND(ISNUMBER(AT177),ISNUMBER(AU177)),AT177-AU177,"")</f>
        <v/>
      </c>
      <c r="AW177" s="17">
        <f>IF(AND(ISNUMBER(L177),ISNUMBER(M177),ISNUMBER(AF177)),L177-M177*(1-AF177),IF(ISNUMBER(L177),L177,""))</f>
        <v/>
      </c>
      <c r="AX177" s="17">
        <f>IF(E177="금융","",IF(AND(ISNUMBER(AW177),ISNUMBER(N177),ISNUMBER(O177),ISNUMBER(AV177)),AW177+N177-O177-AV177,IF(AND(ISNUMBER(P177),ISNUMBER(O177)),P177-O177-IF(ISNUMBER(Q177),Q177,0),"")))</f>
        <v/>
      </c>
      <c r="AY177" s="8">
        <f>IF(E177="금융","금융업 - 정의되지 않음",IF(AND(ISNUMBER(AW177),ISNUMBER(N177),ISNUMBER(O177),ISNUMBER(AV177)),"영업순이익+감가상각-설비투자-운전자본증감",IF(AND(ISNUMBER(P177),ISNUMBER(O177)),IF(ISNUMBER(Q177),"영업현금흐름-설비투자-주식보상비용","영업현금흐름-설비투자(주식보상비용 미태깅)"),"산출불가")))</f>
        <v/>
      </c>
      <c r="AZ177" s="19">
        <f>IF(AND(ISNUMBER(AX177),ISNUMBER(G177),G177&lt;&gt;0),AX177/G177,"")</f>
        <v/>
      </c>
      <c r="BA177" s="19">
        <f>IF(AND(ISNUMBER(AE177),ISNUMBER(G177),G177&lt;&gt;0),AE177/G177,"")</f>
        <v/>
      </c>
    </row>
    <row r="178">
      <c r="A178" s="8" t="inlineStr">
        <is>
          <t>V</t>
        </is>
      </c>
      <c r="B178" s="8" t="inlineStr">
        <is>
          <t>VISA INC.</t>
        </is>
      </c>
      <c r="C178" s="8" t="n">
        <v>2021</v>
      </c>
      <c r="D178" s="8" t="inlineStr">
        <is>
          <t>2021-09-30</t>
        </is>
      </c>
      <c r="E178" s="8" t="inlineStr">
        <is>
          <t>일반</t>
        </is>
      </c>
      <c r="F178" s="8" t="inlineStr">
        <is>
          <t>0001403161-23-000099</t>
        </is>
      </c>
      <c r="G178" s="15" t="n">
        <v>24.105</v>
      </c>
      <c r="H178" s="15" t="n">
        <v>16.063</v>
      </c>
      <c r="I178" s="15" t="n"/>
      <c r="J178" s="15" t="n">
        <v>3.752</v>
      </c>
      <c r="K178" s="15" t="n">
        <v>15.804</v>
      </c>
      <c r="L178" s="15" t="n">
        <v>12.311</v>
      </c>
      <c r="M178" s="15" t="n"/>
      <c r="N178" s="15" t="n">
        <v>0.804</v>
      </c>
      <c r="O178" s="15" t="n">
        <v>0.705</v>
      </c>
      <c r="P178" s="15" t="n">
        <v>15.227</v>
      </c>
      <c r="Q178" s="15" t="n">
        <v>0.542</v>
      </c>
      <c r="R178" s="15" t="n">
        <v>37.589</v>
      </c>
      <c r="S178" s="15" t="n">
        <v>36.21</v>
      </c>
      <c r="T178" s="15" t="n">
        <v>16.487</v>
      </c>
      <c r="U178" s="15" t="n">
        <v>19.893</v>
      </c>
      <c r="V178" s="15" t="n">
        <v>0.999</v>
      </c>
      <c r="W178" s="15" t="n">
        <v>2.999</v>
      </c>
      <c r="X178" s="15" t="n">
        <v>19.978</v>
      </c>
      <c r="Y178" s="15" t="n">
        <v>27.607</v>
      </c>
      <c r="Z178" s="15" t="n">
        <v>27.645</v>
      </c>
      <c r="AA178" s="15" t="n">
        <v>15.739</v>
      </c>
      <c r="AB178" s="15" t="n">
        <v>14.51</v>
      </c>
      <c r="AC178" s="15" t="n">
        <v>40.387</v>
      </c>
      <c r="AD178" s="16" t="n"/>
      <c r="AE178" s="17">
        <f>IF(ISNUMBER(K178),K178,IF(AND(ISNUMBER(H178),ISNUMBER(I178)),H178+I178,IF(ISNUMBER(H178),H178,"")))</f>
        <v/>
      </c>
      <c r="AF178" s="18">
        <f>IF(OR(NOT(ISNUMBER(J178)),NOT(ISNUMBER(H178)),H178&lt;=0),기준표!$B$8,MIN(MAX(J178/H178,기준표!$B$6),기준표!$B$7))</f>
        <v/>
      </c>
      <c r="AG178" s="17">
        <f>IF(ISNUMBER(AE178),AE178*(1-AF178),"")</f>
        <v/>
      </c>
      <c r="AH178" s="17">
        <f>IF(AND(NOT(ISNUMBER(V178)),NOT(ISNUMBER(X178))),"",IF(ISNUMBER(V178),V178,0)+IF(ISNUMBER(X178),X178,0))</f>
        <v/>
      </c>
      <c r="AI178" s="17">
        <f>IF(E178="금융","",IF(AND(ISNUMBER(R178),ISNUMBER(AH178),ISNUMBER(T178)),R178+AH178-T178,""))</f>
        <v/>
      </c>
      <c r="AJ178" s="17">
        <f>IF(E178="금융","",IF(NOT(ISNUMBER(AI178)),"",IF(ISNUMBER(AC178),(AI178+AC178)/2,AI178)))</f>
        <v/>
      </c>
      <c r="AK178" s="19">
        <f>IF(AND(ISNUMBER(AG178),ISNUMBER(AJ178),AJ178&gt;0),AG178/AJ178,"")</f>
        <v/>
      </c>
      <c r="AL178" s="17">
        <f>IF(E178="금융","",IF(AND(ISNUMBER(R178),ISNUMBER(AH178)),R178+AH178,""))</f>
        <v/>
      </c>
      <c r="AM178" s="19">
        <f>IF(OR(NOT(ISNUMBER(AG178)),NOT(ISNUMBER(AL178)),AL178&lt;=0),"",IF(AND(ISNUMBER(G178),AL178&lt;0.1*G178),"",AG178/AL178))</f>
        <v/>
      </c>
      <c r="AN178" s="17">
        <f>IF(NOT(ISNUMBER(R178)),"",IF(ISNUMBER(S178),(R178+S178)/2,R178))</f>
        <v/>
      </c>
      <c r="AO178" s="19">
        <f>IF(AND(ISNUMBER(L178),ISNUMBER(AN178),AN178&gt;0),L178/AN178,"")</f>
        <v/>
      </c>
      <c r="AP178" s="19">
        <f>IF(AND(ISNUMBER(AO178),ISNUMBER({ROIC})),AO178-{ROIC},"")</f>
        <v/>
      </c>
      <c r="AQ178" s="17">
        <f>IF(AND(ISNUMBER(AE178),ISNUMBER(N178)),AE178+N178,"")</f>
        <v/>
      </c>
      <c r="AR178" s="20">
        <f>IF(AND(ISNUMBER(AH178),ISNUMBER(T178),ISNUMBER(AQ178),AQ178&gt;0),(AH178-T178)/AQ178,"")</f>
        <v/>
      </c>
      <c r="AS178" s="20">
        <f>IF(AND(ISNUMBER(AE178),ISNUMBER(I178),I178&lt;&gt;0,AE178&gt;0),AE178/I178,"")</f>
        <v/>
      </c>
      <c r="AT178" s="17">
        <f>IF(AND(ISNUMBER(Y178),ISNUMBER(AA178)),Y178-IF(ISNUMBER(T178),T178,0)-(AA178-IF(ISNUMBER(V178),V178,0)),"")</f>
        <v/>
      </c>
      <c r="AU178" s="17">
        <f>IF(AND(ISNUMBER(Z178),ISNUMBER(AB178)),Z178-IF(ISNUMBER(U178),U178,0)-(AB178-IF(ISNUMBER(W178),W178,0)),"")</f>
        <v/>
      </c>
      <c r="AV178" s="17">
        <f>IF(AND(ISNUMBER(AT178),ISNUMBER(AU178)),AT178-AU178,"")</f>
        <v/>
      </c>
      <c r="AW178" s="17">
        <f>IF(AND(ISNUMBER(L178),ISNUMBER(M178),ISNUMBER(AF178)),L178-M178*(1-AF178),IF(ISNUMBER(L178),L178,""))</f>
        <v/>
      </c>
      <c r="AX178" s="17">
        <f>IF(E178="금융","",IF(AND(ISNUMBER(AW178),ISNUMBER(N178),ISNUMBER(O178),ISNUMBER(AV178)),AW178+N178-O178-AV178,IF(AND(ISNUMBER(P178),ISNUMBER(O178)),P178-O178-IF(ISNUMBER(Q178),Q178,0),"")))</f>
        <v/>
      </c>
      <c r="AY178" s="8">
        <f>IF(E178="금융","금융업 - 정의되지 않음",IF(AND(ISNUMBER(AW178),ISNUMBER(N178),ISNUMBER(O178),ISNUMBER(AV178)),"영업순이익+감가상각-설비투자-운전자본증감",IF(AND(ISNUMBER(P178),ISNUMBER(O178)),IF(ISNUMBER(Q178),"영업현금흐름-설비투자-주식보상비용","영업현금흐름-설비투자(주식보상비용 미태깅)"),"산출불가")))</f>
        <v/>
      </c>
      <c r="AZ178" s="19">
        <f>IF(AND(ISNUMBER(AX178),ISNUMBER(G178),G178&lt;&gt;0),AX178/G178,"")</f>
        <v/>
      </c>
      <c r="BA178" s="19">
        <f>IF(AND(ISNUMBER(AE178),ISNUMBER(G178),G178&lt;&gt;0),AE178/G178,"")</f>
        <v/>
      </c>
    </row>
    <row r="179">
      <c r="A179" s="8" t="inlineStr">
        <is>
          <t>V</t>
        </is>
      </c>
      <c r="B179" s="8" t="inlineStr">
        <is>
          <t>VISA INC.</t>
        </is>
      </c>
      <c r="C179" s="8" t="n">
        <v>2022</v>
      </c>
      <c r="D179" s="8" t="inlineStr">
        <is>
          <t>2022-09-30</t>
        </is>
      </c>
      <c r="E179" s="8" t="inlineStr">
        <is>
          <t>일반</t>
        </is>
      </c>
      <c r="F179" s="8" t="inlineStr">
        <is>
          <t>0001403161-24-000058</t>
        </is>
      </c>
      <c r="G179" s="15" t="n">
        <v>29.31</v>
      </c>
      <c r="H179" s="15" t="n">
        <v>18.136</v>
      </c>
      <c r="I179" s="15" t="n">
        <v>0.538</v>
      </c>
      <c r="J179" s="15" t="n">
        <v>3.179</v>
      </c>
      <c r="K179" s="15" t="n">
        <v>18.813</v>
      </c>
      <c r="L179" s="15" t="n">
        <v>14.957</v>
      </c>
      <c r="M179" s="15" t="n">
        <v>-0.296</v>
      </c>
      <c r="N179" s="15" t="n">
        <v>0.861</v>
      </c>
      <c r="O179" s="15" t="n">
        <v>0.97</v>
      </c>
      <c r="P179" s="15" t="n">
        <v>18.849</v>
      </c>
      <c r="Q179" s="15" t="n">
        <v>0.602</v>
      </c>
      <c r="R179" s="15" t="n">
        <v>35.581</v>
      </c>
      <c r="S179" s="15" t="n">
        <v>37.589</v>
      </c>
      <c r="T179" s="15" t="n">
        <v>15.689</v>
      </c>
      <c r="U179" s="15" t="n">
        <v>16.487</v>
      </c>
      <c r="V179" s="15" t="n">
        <v>2.25</v>
      </c>
      <c r="W179" s="15" t="n">
        <v>0.999</v>
      </c>
      <c r="X179" s="15" t="n">
        <v>20.2</v>
      </c>
      <c r="Y179" s="15" t="n">
        <v>30.205</v>
      </c>
      <c r="Z179" s="15" t="n">
        <v>27.607</v>
      </c>
      <c r="AA179" s="15" t="n">
        <v>20.853</v>
      </c>
      <c r="AB179" s="15" t="n">
        <v>15.739</v>
      </c>
      <c r="AC179" s="15" t="n">
        <v>42.079</v>
      </c>
      <c r="AD179" s="16" t="n"/>
      <c r="AE179" s="17">
        <f>IF(ISNUMBER(K179),K179,IF(AND(ISNUMBER(H179),ISNUMBER(I179)),H179+I179,IF(ISNUMBER(H179),H179,"")))</f>
        <v/>
      </c>
      <c r="AF179" s="18">
        <f>IF(OR(NOT(ISNUMBER(J179)),NOT(ISNUMBER(H179)),H179&lt;=0),기준표!$B$8,MIN(MAX(J179/H179,기준표!$B$6),기준표!$B$7))</f>
        <v/>
      </c>
      <c r="AG179" s="17">
        <f>IF(ISNUMBER(AE179),AE179*(1-AF179),"")</f>
        <v/>
      </c>
      <c r="AH179" s="17">
        <f>IF(AND(NOT(ISNUMBER(V179)),NOT(ISNUMBER(X179))),"",IF(ISNUMBER(V179),V179,0)+IF(ISNUMBER(X179),X179,0))</f>
        <v/>
      </c>
      <c r="AI179" s="17">
        <f>IF(E179="금융","",IF(AND(ISNUMBER(R179),ISNUMBER(AH179),ISNUMBER(T179)),R179+AH179-T179,""))</f>
        <v/>
      </c>
      <c r="AJ179" s="17">
        <f>IF(E179="금융","",IF(NOT(ISNUMBER(AI179)),"",IF(ISNUMBER(AC179),(AI179+AC179)/2,AI179)))</f>
        <v/>
      </c>
      <c r="AK179" s="19">
        <f>IF(AND(ISNUMBER(AG179),ISNUMBER(AJ179),AJ179&gt;0),AG179/AJ179,"")</f>
        <v/>
      </c>
      <c r="AL179" s="17">
        <f>IF(E179="금융","",IF(AND(ISNUMBER(R179),ISNUMBER(AH179)),R179+AH179,""))</f>
        <v/>
      </c>
      <c r="AM179" s="19">
        <f>IF(OR(NOT(ISNUMBER(AG179)),NOT(ISNUMBER(AL179)),AL179&lt;=0),"",IF(AND(ISNUMBER(G179),AL179&lt;0.1*G179),"",AG179/AL179))</f>
        <v/>
      </c>
      <c r="AN179" s="17">
        <f>IF(NOT(ISNUMBER(R179)),"",IF(ISNUMBER(S179),(R179+S179)/2,R179))</f>
        <v/>
      </c>
      <c r="AO179" s="19">
        <f>IF(AND(ISNUMBER(L179),ISNUMBER(AN179),AN179&gt;0),L179/AN179,"")</f>
        <v/>
      </c>
      <c r="AP179" s="19">
        <f>IF(AND(ISNUMBER(AO179),ISNUMBER({ROIC})),AO179-{ROIC},"")</f>
        <v/>
      </c>
      <c r="AQ179" s="17">
        <f>IF(AND(ISNUMBER(AE179),ISNUMBER(N179)),AE179+N179,"")</f>
        <v/>
      </c>
      <c r="AR179" s="20">
        <f>IF(AND(ISNUMBER(AH179),ISNUMBER(T179),ISNUMBER(AQ179),AQ179&gt;0),(AH179-T179)/AQ179,"")</f>
        <v/>
      </c>
      <c r="AS179" s="20">
        <f>IF(AND(ISNUMBER(AE179),ISNUMBER(I179),I179&lt;&gt;0,AE179&gt;0),AE179/I179,"")</f>
        <v/>
      </c>
      <c r="AT179" s="17">
        <f>IF(AND(ISNUMBER(Y179),ISNUMBER(AA179)),Y179-IF(ISNUMBER(T179),T179,0)-(AA179-IF(ISNUMBER(V179),V179,0)),"")</f>
        <v/>
      </c>
      <c r="AU179" s="17">
        <f>IF(AND(ISNUMBER(Z179),ISNUMBER(AB179)),Z179-IF(ISNUMBER(U179),U179,0)-(AB179-IF(ISNUMBER(W179),W179,0)),"")</f>
        <v/>
      </c>
      <c r="AV179" s="17">
        <f>IF(AND(ISNUMBER(AT179),ISNUMBER(AU179)),AT179-AU179,"")</f>
        <v/>
      </c>
      <c r="AW179" s="17">
        <f>IF(AND(ISNUMBER(L179),ISNUMBER(M179),ISNUMBER(AF179)),L179-M179*(1-AF179),IF(ISNUMBER(L179),L179,""))</f>
        <v/>
      </c>
      <c r="AX179" s="17">
        <f>IF(E179="금융","",IF(AND(ISNUMBER(AW179),ISNUMBER(N179),ISNUMBER(O179),ISNUMBER(AV179)),AW179+N179-O179-AV179,IF(AND(ISNUMBER(P179),ISNUMBER(O179)),P179-O179-IF(ISNUMBER(Q179),Q179,0),"")))</f>
        <v/>
      </c>
      <c r="AY179" s="8">
        <f>IF(E179="금융","금융업 - 정의되지 않음",IF(AND(ISNUMBER(AW179),ISNUMBER(N179),ISNUMBER(O179),ISNUMBER(AV179)),"영업순이익+감가상각-설비투자-운전자본증감",IF(AND(ISNUMBER(P179),ISNUMBER(O179)),IF(ISNUMBER(Q179),"영업현금흐름-설비투자-주식보상비용","영업현금흐름-설비투자(주식보상비용 미태깅)"),"산출불가")))</f>
        <v/>
      </c>
      <c r="AZ179" s="19">
        <f>IF(AND(ISNUMBER(AX179),ISNUMBER(G179),G179&lt;&gt;0),AX179/G179,"")</f>
        <v/>
      </c>
      <c r="BA179" s="19">
        <f>IF(AND(ISNUMBER(AE179),ISNUMBER(G179),G179&lt;&gt;0),AE179/G179,"")</f>
        <v/>
      </c>
    </row>
    <row r="180">
      <c r="A180" s="8" t="inlineStr">
        <is>
          <t>V</t>
        </is>
      </c>
      <c r="B180" s="8" t="inlineStr">
        <is>
          <t>VISA INC.</t>
        </is>
      </c>
      <c r="C180" s="8" t="n">
        <v>2023</v>
      </c>
      <c r="D180" s="8" t="inlineStr">
        <is>
          <t>2023-09-30</t>
        </is>
      </c>
      <c r="E180" s="8" t="inlineStr">
        <is>
          <t>일반</t>
        </is>
      </c>
      <c r="F180" s="8" t="inlineStr">
        <is>
          <t>0001403161-25-000089</t>
        </is>
      </c>
      <c r="G180" s="15" t="n">
        <v>32.653</v>
      </c>
      <c r="H180" s="15" t="n">
        <v>21.037</v>
      </c>
      <c r="I180" s="15" t="n">
        <v>0.644</v>
      </c>
      <c r="J180" s="15" t="n">
        <v>3.764</v>
      </c>
      <c r="K180" s="15" t="n">
        <v>21</v>
      </c>
      <c r="L180" s="15" t="n">
        <v>17.273</v>
      </c>
      <c r="M180" s="15" t="n">
        <v>-0.082</v>
      </c>
      <c r="N180" s="15" t="n">
        <v>0.9429999999999999</v>
      </c>
      <c r="O180" s="15" t="n">
        <v>1.059</v>
      </c>
      <c r="P180" s="15" t="n">
        <v>20.755</v>
      </c>
      <c r="Q180" s="15" t="n">
        <v>0.765</v>
      </c>
      <c r="R180" s="15" t="n">
        <v>38.733</v>
      </c>
      <c r="S180" s="15" t="n">
        <v>35.581</v>
      </c>
      <c r="T180" s="15" t="n">
        <v>16.286</v>
      </c>
      <c r="U180" s="15" t="n">
        <v>15.689</v>
      </c>
      <c r="V180" s="15" t="n">
        <v>0</v>
      </c>
      <c r="W180" s="15" t="n">
        <v>2.25</v>
      </c>
      <c r="X180" s="15" t="n">
        <v>20.463</v>
      </c>
      <c r="Y180" s="15" t="n">
        <v>33.532</v>
      </c>
      <c r="Z180" s="15" t="n">
        <v>30.205</v>
      </c>
      <c r="AA180" s="15" t="n">
        <v>23.098</v>
      </c>
      <c r="AB180" s="15" t="n">
        <v>20.853</v>
      </c>
      <c r="AC180" s="15" t="n">
        <v>42.342</v>
      </c>
      <c r="AD180" s="16" t="n"/>
      <c r="AE180" s="17">
        <f>IF(ISNUMBER(K180),K180,IF(AND(ISNUMBER(H180),ISNUMBER(I180)),H180+I180,IF(ISNUMBER(H180),H180,"")))</f>
        <v/>
      </c>
      <c r="AF180" s="18">
        <f>IF(OR(NOT(ISNUMBER(J180)),NOT(ISNUMBER(H180)),H180&lt;=0),기준표!$B$8,MIN(MAX(J180/H180,기준표!$B$6),기준표!$B$7))</f>
        <v/>
      </c>
      <c r="AG180" s="17">
        <f>IF(ISNUMBER(AE180),AE180*(1-AF180),"")</f>
        <v/>
      </c>
      <c r="AH180" s="17">
        <f>IF(AND(NOT(ISNUMBER(V180)),NOT(ISNUMBER(X180))),"",IF(ISNUMBER(V180),V180,0)+IF(ISNUMBER(X180),X180,0))</f>
        <v/>
      </c>
      <c r="AI180" s="17">
        <f>IF(E180="금융","",IF(AND(ISNUMBER(R180),ISNUMBER(AH180),ISNUMBER(T180)),R180+AH180-T180,""))</f>
        <v/>
      </c>
      <c r="AJ180" s="17">
        <f>IF(E180="금융","",IF(NOT(ISNUMBER(AI180)),"",IF(ISNUMBER(AC180),(AI180+AC180)/2,AI180)))</f>
        <v/>
      </c>
      <c r="AK180" s="19">
        <f>IF(AND(ISNUMBER(AG180),ISNUMBER(AJ180),AJ180&gt;0),AG180/AJ180,"")</f>
        <v/>
      </c>
      <c r="AL180" s="17">
        <f>IF(E180="금융","",IF(AND(ISNUMBER(R180),ISNUMBER(AH180)),R180+AH180,""))</f>
        <v/>
      </c>
      <c r="AM180" s="19">
        <f>IF(OR(NOT(ISNUMBER(AG180)),NOT(ISNUMBER(AL180)),AL180&lt;=0),"",IF(AND(ISNUMBER(G180),AL180&lt;0.1*G180),"",AG180/AL180))</f>
        <v/>
      </c>
      <c r="AN180" s="17">
        <f>IF(NOT(ISNUMBER(R180)),"",IF(ISNUMBER(S180),(R180+S180)/2,R180))</f>
        <v/>
      </c>
      <c r="AO180" s="19">
        <f>IF(AND(ISNUMBER(L180),ISNUMBER(AN180),AN180&gt;0),L180/AN180,"")</f>
        <v/>
      </c>
      <c r="AP180" s="19">
        <f>IF(AND(ISNUMBER(AO180),ISNUMBER({ROIC})),AO180-{ROIC},"")</f>
        <v/>
      </c>
      <c r="AQ180" s="17">
        <f>IF(AND(ISNUMBER(AE180),ISNUMBER(N180)),AE180+N180,"")</f>
        <v/>
      </c>
      <c r="AR180" s="20">
        <f>IF(AND(ISNUMBER(AH180),ISNUMBER(T180),ISNUMBER(AQ180),AQ180&gt;0),(AH180-T180)/AQ180,"")</f>
        <v/>
      </c>
      <c r="AS180" s="20">
        <f>IF(AND(ISNUMBER(AE180),ISNUMBER(I180),I180&lt;&gt;0,AE180&gt;0),AE180/I180,"")</f>
        <v/>
      </c>
      <c r="AT180" s="17">
        <f>IF(AND(ISNUMBER(Y180),ISNUMBER(AA180)),Y180-IF(ISNUMBER(T180),T180,0)-(AA180-IF(ISNUMBER(V180),V180,0)),"")</f>
        <v/>
      </c>
      <c r="AU180" s="17">
        <f>IF(AND(ISNUMBER(Z180),ISNUMBER(AB180)),Z180-IF(ISNUMBER(U180),U180,0)-(AB180-IF(ISNUMBER(W180),W180,0)),"")</f>
        <v/>
      </c>
      <c r="AV180" s="17">
        <f>IF(AND(ISNUMBER(AT180),ISNUMBER(AU180)),AT180-AU180,"")</f>
        <v/>
      </c>
      <c r="AW180" s="17">
        <f>IF(AND(ISNUMBER(L180),ISNUMBER(M180),ISNUMBER(AF180)),L180-M180*(1-AF180),IF(ISNUMBER(L180),L180,""))</f>
        <v/>
      </c>
      <c r="AX180" s="17">
        <f>IF(E180="금융","",IF(AND(ISNUMBER(AW180),ISNUMBER(N180),ISNUMBER(O180),ISNUMBER(AV180)),AW180+N180-O180-AV180,IF(AND(ISNUMBER(P180),ISNUMBER(O180)),P180-O180-IF(ISNUMBER(Q180),Q180,0),"")))</f>
        <v/>
      </c>
      <c r="AY180" s="8">
        <f>IF(E180="금융","금융업 - 정의되지 않음",IF(AND(ISNUMBER(AW180),ISNUMBER(N180),ISNUMBER(O180),ISNUMBER(AV180)),"영업순이익+감가상각-설비투자-운전자본증감",IF(AND(ISNUMBER(P180),ISNUMBER(O180)),IF(ISNUMBER(Q180),"영업현금흐름-설비투자-주식보상비용","영업현금흐름-설비투자(주식보상비용 미태깅)"),"산출불가")))</f>
        <v/>
      </c>
      <c r="AZ180" s="19">
        <f>IF(AND(ISNUMBER(AX180),ISNUMBER(G180),G180&lt;&gt;0),AX180/G180,"")</f>
        <v/>
      </c>
      <c r="BA180" s="19">
        <f>IF(AND(ISNUMBER(AE180),ISNUMBER(G180),G180&lt;&gt;0),AE180/G180,"")</f>
        <v/>
      </c>
    </row>
    <row r="181">
      <c r="A181" s="8" t="inlineStr">
        <is>
          <t>V</t>
        </is>
      </c>
      <c r="B181" s="8" t="inlineStr">
        <is>
          <t>VISA INC.</t>
        </is>
      </c>
      <c r="C181" s="8" t="n">
        <v>2024</v>
      </c>
      <c r="D181" s="8" t="inlineStr">
        <is>
          <t>2024-09-30</t>
        </is>
      </c>
      <c r="E181" s="8" t="inlineStr">
        <is>
          <t>일반</t>
        </is>
      </c>
      <c r="F181" s="8" t="inlineStr">
        <is>
          <t>0001403161-25-000089</t>
        </is>
      </c>
      <c r="G181" s="15" t="n">
        <v>35.926</v>
      </c>
      <c r="H181" s="15" t="n">
        <v>23.916</v>
      </c>
      <c r="I181" s="15" t="n">
        <v>0.641</v>
      </c>
      <c r="J181" s="15" t="n">
        <v>4.173</v>
      </c>
      <c r="K181" s="15" t="n">
        <v>23.595</v>
      </c>
      <c r="L181" s="15" t="n">
        <v>19.743</v>
      </c>
      <c r="M181" s="15" t="n">
        <v>-0.044</v>
      </c>
      <c r="N181" s="15" t="n">
        <v>1.034</v>
      </c>
      <c r="O181" s="15" t="n">
        <v>1.257</v>
      </c>
      <c r="P181" s="15" t="n">
        <v>19.95</v>
      </c>
      <c r="Q181" s="15" t="n">
        <v>0.85</v>
      </c>
      <c r="R181" s="15" t="n">
        <v>39.137</v>
      </c>
      <c r="S181" s="15" t="n">
        <v>38.733</v>
      </c>
      <c r="T181" s="15" t="n">
        <v>11.975</v>
      </c>
      <c r="U181" s="15" t="n">
        <v>16.286</v>
      </c>
      <c r="V181" s="15" t="n">
        <v>0</v>
      </c>
      <c r="W181" s="15" t="n">
        <v>0</v>
      </c>
      <c r="X181" s="15" t="n">
        <v>20.836</v>
      </c>
      <c r="Y181" s="15" t="n">
        <v>34.033</v>
      </c>
      <c r="Z181" s="15" t="n">
        <v>33.532</v>
      </c>
      <c r="AA181" s="15" t="n">
        <v>26.517</v>
      </c>
      <c r="AB181" s="15" t="n">
        <v>23.098</v>
      </c>
      <c r="AC181" s="15" t="n">
        <v>42.91</v>
      </c>
      <c r="AD181" s="16" t="n"/>
      <c r="AE181" s="17">
        <f>IF(ISNUMBER(K181),K181,IF(AND(ISNUMBER(H181),ISNUMBER(I181)),H181+I181,IF(ISNUMBER(H181),H181,"")))</f>
        <v/>
      </c>
      <c r="AF181" s="18">
        <f>IF(OR(NOT(ISNUMBER(J181)),NOT(ISNUMBER(H181)),H181&lt;=0),기준표!$B$8,MIN(MAX(J181/H181,기준표!$B$6),기준표!$B$7))</f>
        <v/>
      </c>
      <c r="AG181" s="17">
        <f>IF(ISNUMBER(AE181),AE181*(1-AF181),"")</f>
        <v/>
      </c>
      <c r="AH181" s="17">
        <f>IF(AND(NOT(ISNUMBER(V181)),NOT(ISNUMBER(X181))),"",IF(ISNUMBER(V181),V181,0)+IF(ISNUMBER(X181),X181,0))</f>
        <v/>
      </c>
      <c r="AI181" s="17">
        <f>IF(E181="금융","",IF(AND(ISNUMBER(R181),ISNUMBER(AH181),ISNUMBER(T181)),R181+AH181-T181,""))</f>
        <v/>
      </c>
      <c r="AJ181" s="17">
        <f>IF(E181="금융","",IF(NOT(ISNUMBER(AI181)),"",IF(ISNUMBER(AC181),(AI181+AC181)/2,AI181)))</f>
        <v/>
      </c>
      <c r="AK181" s="19">
        <f>IF(AND(ISNUMBER(AG181),ISNUMBER(AJ181),AJ181&gt;0),AG181/AJ181,"")</f>
        <v/>
      </c>
      <c r="AL181" s="17">
        <f>IF(E181="금융","",IF(AND(ISNUMBER(R181),ISNUMBER(AH181)),R181+AH181,""))</f>
        <v/>
      </c>
      <c r="AM181" s="19">
        <f>IF(OR(NOT(ISNUMBER(AG181)),NOT(ISNUMBER(AL181)),AL181&lt;=0),"",IF(AND(ISNUMBER(G181),AL181&lt;0.1*G181),"",AG181/AL181))</f>
        <v/>
      </c>
      <c r="AN181" s="17">
        <f>IF(NOT(ISNUMBER(R181)),"",IF(ISNUMBER(S181),(R181+S181)/2,R181))</f>
        <v/>
      </c>
      <c r="AO181" s="19">
        <f>IF(AND(ISNUMBER(L181),ISNUMBER(AN181),AN181&gt;0),L181/AN181,"")</f>
        <v/>
      </c>
      <c r="AP181" s="19">
        <f>IF(AND(ISNUMBER(AO181),ISNUMBER({ROIC})),AO181-{ROIC},"")</f>
        <v/>
      </c>
      <c r="AQ181" s="17">
        <f>IF(AND(ISNUMBER(AE181),ISNUMBER(N181)),AE181+N181,"")</f>
        <v/>
      </c>
      <c r="AR181" s="20">
        <f>IF(AND(ISNUMBER(AH181),ISNUMBER(T181),ISNUMBER(AQ181),AQ181&gt;0),(AH181-T181)/AQ181,"")</f>
        <v/>
      </c>
      <c r="AS181" s="20">
        <f>IF(AND(ISNUMBER(AE181),ISNUMBER(I181),I181&lt;&gt;0,AE181&gt;0),AE181/I181,"")</f>
        <v/>
      </c>
      <c r="AT181" s="17">
        <f>IF(AND(ISNUMBER(Y181),ISNUMBER(AA181)),Y181-IF(ISNUMBER(T181),T181,0)-(AA181-IF(ISNUMBER(V181),V181,0)),"")</f>
        <v/>
      </c>
      <c r="AU181" s="17">
        <f>IF(AND(ISNUMBER(Z181),ISNUMBER(AB181)),Z181-IF(ISNUMBER(U181),U181,0)-(AB181-IF(ISNUMBER(W181),W181,0)),"")</f>
        <v/>
      </c>
      <c r="AV181" s="17">
        <f>IF(AND(ISNUMBER(AT181),ISNUMBER(AU181)),AT181-AU181,"")</f>
        <v/>
      </c>
      <c r="AW181" s="17">
        <f>IF(AND(ISNUMBER(L181),ISNUMBER(M181),ISNUMBER(AF181)),L181-M181*(1-AF181),IF(ISNUMBER(L181),L181,""))</f>
        <v/>
      </c>
      <c r="AX181" s="17">
        <f>IF(E181="금융","",IF(AND(ISNUMBER(AW181),ISNUMBER(N181),ISNUMBER(O181),ISNUMBER(AV181)),AW181+N181-O181-AV181,IF(AND(ISNUMBER(P181),ISNUMBER(O181)),P181-O181-IF(ISNUMBER(Q181),Q181,0),"")))</f>
        <v/>
      </c>
      <c r="AY181" s="8">
        <f>IF(E181="금융","금융업 - 정의되지 않음",IF(AND(ISNUMBER(AW181),ISNUMBER(N181),ISNUMBER(O181),ISNUMBER(AV181)),"영업순이익+감가상각-설비투자-운전자본증감",IF(AND(ISNUMBER(P181),ISNUMBER(O181)),IF(ISNUMBER(Q181),"영업현금흐름-설비투자-주식보상비용","영업현금흐름-설비투자(주식보상비용 미태깅)"),"산출불가")))</f>
        <v/>
      </c>
      <c r="AZ181" s="19">
        <f>IF(AND(ISNUMBER(AX181),ISNUMBER(G181),G181&lt;&gt;0),AX181/G181,"")</f>
        <v/>
      </c>
      <c r="BA181" s="19">
        <f>IF(AND(ISNUMBER(AE181),ISNUMBER(G181),G181&lt;&gt;0),AE181/G181,"")</f>
        <v/>
      </c>
    </row>
    <row r="182">
      <c r="A182" s="8" t="inlineStr">
        <is>
          <t>V</t>
        </is>
      </c>
      <c r="B182" s="8" t="inlineStr">
        <is>
          <t>VISA INC.</t>
        </is>
      </c>
      <c r="C182" s="8" t="n">
        <v>2025</v>
      </c>
      <c r="D182" s="8" t="inlineStr">
        <is>
          <t>2025-09-30</t>
        </is>
      </c>
      <c r="E182" s="8" t="inlineStr">
        <is>
          <t>일반</t>
        </is>
      </c>
      <c r="F182" s="8" t="inlineStr">
        <is>
          <t>0001403161-25-000089</t>
        </is>
      </c>
      <c r="G182" s="15" t="n">
        <v>40</v>
      </c>
      <c r="H182" s="15" t="n">
        <v>24.194</v>
      </c>
      <c r="I182" s="15" t="n">
        <v>0.589</v>
      </c>
      <c r="J182" s="15" t="n">
        <v>4.136</v>
      </c>
      <c r="K182" s="15" t="n">
        <v>23.994</v>
      </c>
      <c r="L182" s="15" t="n">
        <v>20.058</v>
      </c>
      <c r="M182" s="15" t="n">
        <v>-0.051</v>
      </c>
      <c r="N182" s="15" t="n">
        <v>1.22</v>
      </c>
      <c r="O182" s="15" t="n">
        <v>1.482</v>
      </c>
      <c r="P182" s="15" t="n">
        <v>23.059</v>
      </c>
      <c r="Q182" s="15" t="n">
        <v>0.897</v>
      </c>
      <c r="R182" s="15" t="n">
        <v>37.909</v>
      </c>
      <c r="S182" s="15" t="n">
        <v>39.137</v>
      </c>
      <c r="T182" s="15" t="n">
        <v>17.164</v>
      </c>
      <c r="U182" s="15" t="n">
        <v>11.975</v>
      </c>
      <c r="V182" s="15" t="n">
        <v>5.569</v>
      </c>
      <c r="W182" s="15" t="n">
        <v>0</v>
      </c>
      <c r="X182" s="15" t="n">
        <v>19.602</v>
      </c>
      <c r="Y182" s="15" t="n">
        <v>37.766</v>
      </c>
      <c r="Z182" s="15" t="n">
        <v>34.033</v>
      </c>
      <c r="AA182" s="15" t="n">
        <v>35.048</v>
      </c>
      <c r="AB182" s="15" t="n">
        <v>26.517</v>
      </c>
      <c r="AC182" s="15" t="n">
        <v>47.998</v>
      </c>
      <c r="AD182" s="16" t="n"/>
      <c r="AE182" s="17">
        <f>IF(ISNUMBER(K182),K182,IF(AND(ISNUMBER(H182),ISNUMBER(I182)),H182+I182,IF(ISNUMBER(H182),H182,"")))</f>
        <v/>
      </c>
      <c r="AF182" s="18">
        <f>IF(OR(NOT(ISNUMBER(J182)),NOT(ISNUMBER(H182)),H182&lt;=0),기준표!$B$8,MIN(MAX(J182/H182,기준표!$B$6),기준표!$B$7))</f>
        <v/>
      </c>
      <c r="AG182" s="17">
        <f>IF(ISNUMBER(AE182),AE182*(1-AF182),"")</f>
        <v/>
      </c>
      <c r="AH182" s="17">
        <f>IF(AND(NOT(ISNUMBER(V182)),NOT(ISNUMBER(X182))),"",IF(ISNUMBER(V182),V182,0)+IF(ISNUMBER(X182),X182,0))</f>
        <v/>
      </c>
      <c r="AI182" s="17">
        <f>IF(E182="금융","",IF(AND(ISNUMBER(R182),ISNUMBER(AH182),ISNUMBER(T182)),R182+AH182-T182,""))</f>
        <v/>
      </c>
      <c r="AJ182" s="17">
        <f>IF(E182="금융","",IF(NOT(ISNUMBER(AI182)),"",IF(ISNUMBER(AC182),(AI182+AC182)/2,AI182)))</f>
        <v/>
      </c>
      <c r="AK182" s="19">
        <f>IF(AND(ISNUMBER(AG182),ISNUMBER(AJ182),AJ182&gt;0),AG182/AJ182,"")</f>
        <v/>
      </c>
      <c r="AL182" s="17">
        <f>IF(E182="금융","",IF(AND(ISNUMBER(R182),ISNUMBER(AH182)),R182+AH182,""))</f>
        <v/>
      </c>
      <c r="AM182" s="19">
        <f>IF(OR(NOT(ISNUMBER(AG182)),NOT(ISNUMBER(AL182)),AL182&lt;=0),"",IF(AND(ISNUMBER(G182),AL182&lt;0.1*G182),"",AG182/AL182))</f>
        <v/>
      </c>
      <c r="AN182" s="17">
        <f>IF(NOT(ISNUMBER(R182)),"",IF(ISNUMBER(S182),(R182+S182)/2,R182))</f>
        <v/>
      </c>
      <c r="AO182" s="19">
        <f>IF(AND(ISNUMBER(L182),ISNUMBER(AN182),AN182&gt;0),L182/AN182,"")</f>
        <v/>
      </c>
      <c r="AP182" s="19">
        <f>IF(AND(ISNUMBER(AO182),ISNUMBER({ROIC})),AO182-{ROIC},"")</f>
        <v/>
      </c>
      <c r="AQ182" s="17">
        <f>IF(AND(ISNUMBER(AE182),ISNUMBER(N182)),AE182+N182,"")</f>
        <v/>
      </c>
      <c r="AR182" s="20">
        <f>IF(AND(ISNUMBER(AH182),ISNUMBER(T182),ISNUMBER(AQ182),AQ182&gt;0),(AH182-T182)/AQ182,"")</f>
        <v/>
      </c>
      <c r="AS182" s="20">
        <f>IF(AND(ISNUMBER(AE182),ISNUMBER(I182),I182&lt;&gt;0,AE182&gt;0),AE182/I182,"")</f>
        <v/>
      </c>
      <c r="AT182" s="17">
        <f>IF(AND(ISNUMBER(Y182),ISNUMBER(AA182)),Y182-IF(ISNUMBER(T182),T182,0)-(AA182-IF(ISNUMBER(V182),V182,0)),"")</f>
        <v/>
      </c>
      <c r="AU182" s="17">
        <f>IF(AND(ISNUMBER(Z182),ISNUMBER(AB182)),Z182-IF(ISNUMBER(U182),U182,0)-(AB182-IF(ISNUMBER(W182),W182,0)),"")</f>
        <v/>
      </c>
      <c r="AV182" s="17">
        <f>IF(AND(ISNUMBER(AT182),ISNUMBER(AU182)),AT182-AU182,"")</f>
        <v/>
      </c>
      <c r="AW182" s="17">
        <f>IF(AND(ISNUMBER(L182),ISNUMBER(M182),ISNUMBER(AF182)),L182-M182*(1-AF182),IF(ISNUMBER(L182),L182,""))</f>
        <v/>
      </c>
      <c r="AX182" s="17">
        <f>IF(E182="금융","",IF(AND(ISNUMBER(AW182),ISNUMBER(N182),ISNUMBER(O182),ISNUMBER(AV182)),AW182+N182-O182-AV182,IF(AND(ISNUMBER(P182),ISNUMBER(O182)),P182-O182-IF(ISNUMBER(Q182),Q182,0),"")))</f>
        <v/>
      </c>
      <c r="AY182" s="8">
        <f>IF(E182="금융","금융업 - 정의되지 않음",IF(AND(ISNUMBER(AW182),ISNUMBER(N182),ISNUMBER(O182),ISNUMBER(AV182)),"영업순이익+감가상각-설비투자-운전자본증감",IF(AND(ISNUMBER(P182),ISNUMBER(O182)),IF(ISNUMBER(Q182),"영업현금흐름-설비투자-주식보상비용","영업현금흐름-설비투자(주식보상비용 미태깅)"),"산출불가")))</f>
        <v/>
      </c>
      <c r="AZ182" s="19">
        <f>IF(AND(ISNUMBER(AX182),ISNUMBER(G182),G182&lt;&gt;0),AX182/G182,"")</f>
        <v/>
      </c>
      <c r="BA182" s="19">
        <f>IF(AND(ISNUMBER(AE182),ISNUMBER(G182),G182&lt;&gt;0),AE182/G182,"")</f>
        <v/>
      </c>
    </row>
    <row r="183">
      <c r="A183" s="8" t="inlineStr">
        <is>
          <t>XOM</t>
        </is>
      </c>
      <c r="B183" s="8" t="inlineStr">
        <is>
          <t>EXXON MOBIL CORP</t>
        </is>
      </c>
      <c r="C183" s="8" t="n">
        <v>2014</v>
      </c>
      <c r="D183" s="8" t="inlineStr">
        <is>
          <t>2014-12-31</t>
        </is>
      </c>
      <c r="E183" s="8" t="inlineStr">
        <is>
          <t>일반</t>
        </is>
      </c>
      <c r="F183" s="8" t="inlineStr">
        <is>
          <t>0000034088-17-000017</t>
        </is>
      </c>
      <c r="G183" s="15" t="n">
        <v>394.105</v>
      </c>
      <c r="H183" s="15" t="n">
        <v>51.63</v>
      </c>
      <c r="I183" s="15" t="n">
        <v>0.286</v>
      </c>
      <c r="J183" s="15" t="n">
        <v>18.015</v>
      </c>
      <c r="K183" s="15" t="n"/>
      <c r="L183" s="15" t="n">
        <v>32.52</v>
      </c>
      <c r="M183" s="15" t="n"/>
      <c r="N183" s="15" t="n">
        <v>17.297</v>
      </c>
      <c r="O183" s="15" t="n">
        <v>32.952</v>
      </c>
      <c r="P183" s="15" t="n">
        <v>45.116</v>
      </c>
      <c r="Q183" s="15" t="n"/>
      <c r="R183" s="15" t="n">
        <v>174.399</v>
      </c>
      <c r="S183" s="15" t="n"/>
      <c r="T183" s="15" t="n">
        <v>4.616</v>
      </c>
      <c r="U183" s="15" t="n"/>
      <c r="V183" s="15" t="n">
        <v>17.468</v>
      </c>
      <c r="W183" s="15" t="n"/>
      <c r="X183" s="15" t="n">
        <v>11.653</v>
      </c>
      <c r="Y183" s="15" t="n">
        <v>52.91</v>
      </c>
      <c r="Z183" s="15" t="n"/>
      <c r="AA183" s="15" t="n">
        <v>64.633</v>
      </c>
      <c r="AB183" s="15" t="n"/>
      <c r="AC183" s="15" t="n"/>
      <c r="AD183" s="16" t="n">
        <v>4201</v>
      </c>
      <c r="AE183" s="17">
        <f>IF(ISNUMBER(K183),K183,IF(AND(ISNUMBER(H183),ISNUMBER(I183)),H183+I183,IF(ISNUMBER(H183),H183,"")))</f>
        <v/>
      </c>
      <c r="AF183" s="18">
        <f>IF(OR(NOT(ISNUMBER(J183)),NOT(ISNUMBER(H183)),H183&lt;=0),기준표!$B$8,MIN(MAX(J183/H183,기준표!$B$6),기준표!$B$7))</f>
        <v/>
      </c>
      <c r="AG183" s="17">
        <f>IF(ISNUMBER(AE183),AE183*(1-AF183),"")</f>
        <v/>
      </c>
      <c r="AH183" s="17">
        <f>IF(AND(NOT(ISNUMBER(V183)),NOT(ISNUMBER(X183))),"",IF(ISNUMBER(V183),V183,0)+IF(ISNUMBER(X183),X183,0))</f>
        <v/>
      </c>
      <c r="AI183" s="17">
        <f>IF(E183="금융","",IF(AND(ISNUMBER(R183),ISNUMBER(AH183),ISNUMBER(T183)),R183+AH183-T183,""))</f>
        <v/>
      </c>
      <c r="AJ183" s="17">
        <f>IF(E183="금융","",IF(NOT(ISNUMBER(AI183)),"",IF(ISNUMBER(AC183),(AI183+AC183)/2,AI183)))</f>
        <v/>
      </c>
      <c r="AK183" s="19">
        <f>IF(AND(ISNUMBER(AG183),ISNUMBER(AJ183),AJ183&gt;0),AG183/AJ183,"")</f>
        <v/>
      </c>
      <c r="AL183" s="17">
        <f>IF(E183="금융","",IF(AND(ISNUMBER(R183),ISNUMBER(AH183)),R183+AH183,""))</f>
        <v/>
      </c>
      <c r="AM183" s="19">
        <f>IF(OR(NOT(ISNUMBER(AG183)),NOT(ISNUMBER(AL183)),AL183&lt;=0),"",IF(AND(ISNUMBER(G183),AL183&lt;0.1*G183),"",AG183/AL183))</f>
        <v/>
      </c>
      <c r="AN183" s="17">
        <f>IF(NOT(ISNUMBER(R183)),"",IF(ISNUMBER(S183),(R183+S183)/2,R183))</f>
        <v/>
      </c>
      <c r="AO183" s="19">
        <f>IF(AND(ISNUMBER(L183),ISNUMBER(AN183),AN183&gt;0),L183/AN183,"")</f>
        <v/>
      </c>
      <c r="AP183" s="19">
        <f>IF(AND(ISNUMBER(AO183),ISNUMBER({ROIC})),AO183-{ROIC},"")</f>
        <v/>
      </c>
      <c r="AQ183" s="17">
        <f>IF(AND(ISNUMBER(AE183),ISNUMBER(N183)),AE183+N183,"")</f>
        <v/>
      </c>
      <c r="AR183" s="20">
        <f>IF(AND(ISNUMBER(AH183),ISNUMBER(T183),ISNUMBER(AQ183),AQ183&gt;0),(AH183-T183)/AQ183,"")</f>
        <v/>
      </c>
      <c r="AS183" s="20">
        <f>IF(AND(ISNUMBER(AE183),ISNUMBER(I183),I183&lt;&gt;0,AE183&gt;0),AE183/I183,"")</f>
        <v/>
      </c>
      <c r="AT183" s="17">
        <f>IF(AND(ISNUMBER(Y183),ISNUMBER(AA183)),Y183-IF(ISNUMBER(T183),T183,0)-(AA183-IF(ISNUMBER(V183),V183,0)),"")</f>
        <v/>
      </c>
      <c r="AU183" s="17">
        <f>IF(AND(ISNUMBER(Z183),ISNUMBER(AB183)),Z183-IF(ISNUMBER(U183),U183,0)-(AB183-IF(ISNUMBER(W183),W183,0)),"")</f>
        <v/>
      </c>
      <c r="AV183" s="17">
        <f>IF(AND(ISNUMBER(AT183),ISNUMBER(AU183)),AT183-AU183,"")</f>
        <v/>
      </c>
      <c r="AW183" s="17">
        <f>IF(AND(ISNUMBER(L183),ISNUMBER(M183),ISNUMBER(AF183)),L183-M183*(1-AF183),IF(ISNUMBER(L183),L183,""))</f>
        <v/>
      </c>
      <c r="AX183" s="17">
        <f>IF(E183="금융","",IF(AND(ISNUMBER(AW183),ISNUMBER(N183),ISNUMBER(O183),ISNUMBER(AV183)),AW183+N183-O183-AV183,IF(AND(ISNUMBER(P183),ISNUMBER(O183)),P183-O183-IF(ISNUMBER(Q183),Q183,0),"")))</f>
        <v/>
      </c>
      <c r="AY183" s="8">
        <f>IF(E183="금융","금융업 - 정의되지 않음",IF(AND(ISNUMBER(AW183),ISNUMBER(N183),ISNUMBER(O183),ISNUMBER(AV183)),"영업순이익+감가상각-설비투자-운전자본증감",IF(AND(ISNUMBER(P183),ISNUMBER(O183)),IF(ISNUMBER(Q183),"영업현금흐름-설비투자-주식보상비용","영업현금흐름-설비투자(주식보상비용 미태깅)"),"산출불가")))</f>
        <v/>
      </c>
      <c r="AZ183" s="19">
        <f>IF(AND(ISNUMBER(AX183),ISNUMBER(G183),G183&lt;&gt;0),AX183/G183,"")</f>
        <v/>
      </c>
      <c r="BA183" s="19">
        <f>IF(AND(ISNUMBER(AE183),ISNUMBER(G183),G183&lt;&gt;0),AE183/G183,"")</f>
        <v/>
      </c>
    </row>
    <row r="184">
      <c r="A184" s="8" t="inlineStr">
        <is>
          <t>XOM</t>
        </is>
      </c>
      <c r="B184" s="8" t="inlineStr">
        <is>
          <t>EXXON MOBIL CORP</t>
        </is>
      </c>
      <c r="C184" s="8" t="n">
        <v>2015</v>
      </c>
      <c r="D184" s="8" t="inlineStr">
        <is>
          <t>2015-12-31</t>
        </is>
      </c>
      <c r="E184" s="8" t="inlineStr">
        <is>
          <t>일반</t>
        </is>
      </c>
      <c r="F184" s="8" t="inlineStr">
        <is>
          <t>0000034088-18-000015</t>
        </is>
      </c>
      <c r="G184" s="15" t="n">
        <v>239.854</v>
      </c>
      <c r="H184" s="15" t="n">
        <v>21.966</v>
      </c>
      <c r="I184" s="15" t="n">
        <v>0.311</v>
      </c>
      <c r="J184" s="15" t="n">
        <v>5.415</v>
      </c>
      <c r="K184" s="15" t="n"/>
      <c r="L184" s="15" t="n">
        <v>16.15</v>
      </c>
      <c r="M184" s="15" t="n"/>
      <c r="N184" s="15" t="n">
        <v>18.048</v>
      </c>
      <c r="O184" s="15" t="n">
        <v>26.49</v>
      </c>
      <c r="P184" s="15" t="n">
        <v>30.344</v>
      </c>
      <c r="Q184" s="15" t="n"/>
      <c r="R184" s="15" t="n">
        <v>170.811</v>
      </c>
      <c r="S184" s="15" t="n">
        <v>174.399</v>
      </c>
      <c r="T184" s="15" t="n">
        <v>3.705</v>
      </c>
      <c r="U184" s="15" t="n">
        <v>4.616</v>
      </c>
      <c r="V184" s="15" t="n">
        <v>18.762</v>
      </c>
      <c r="W184" s="15" t="n">
        <v>17.468</v>
      </c>
      <c r="X184" s="15" t="n">
        <v>19.925</v>
      </c>
      <c r="Y184" s="15" t="n">
        <v>42.623</v>
      </c>
      <c r="Z184" s="15" t="n">
        <v>52.91</v>
      </c>
      <c r="AA184" s="15" t="n">
        <v>53.976</v>
      </c>
      <c r="AB184" s="15" t="n">
        <v>64.633</v>
      </c>
      <c r="AC184" s="15" t="n">
        <v>198.904</v>
      </c>
      <c r="AD184" s="16" t="n">
        <v>4156</v>
      </c>
      <c r="AE184" s="17">
        <f>IF(ISNUMBER(K184),K184,IF(AND(ISNUMBER(H184),ISNUMBER(I184)),H184+I184,IF(ISNUMBER(H184),H184,"")))</f>
        <v/>
      </c>
      <c r="AF184" s="18">
        <f>IF(OR(NOT(ISNUMBER(J184)),NOT(ISNUMBER(H184)),H184&lt;=0),기준표!$B$8,MIN(MAX(J184/H184,기준표!$B$6),기준표!$B$7))</f>
        <v/>
      </c>
      <c r="AG184" s="17">
        <f>IF(ISNUMBER(AE184),AE184*(1-AF184),"")</f>
        <v/>
      </c>
      <c r="AH184" s="17">
        <f>IF(AND(NOT(ISNUMBER(V184)),NOT(ISNUMBER(X184))),"",IF(ISNUMBER(V184),V184,0)+IF(ISNUMBER(X184),X184,0))</f>
        <v/>
      </c>
      <c r="AI184" s="17">
        <f>IF(E184="금융","",IF(AND(ISNUMBER(R184),ISNUMBER(AH184),ISNUMBER(T184)),R184+AH184-T184,""))</f>
        <v/>
      </c>
      <c r="AJ184" s="17">
        <f>IF(E184="금융","",IF(NOT(ISNUMBER(AI184)),"",IF(ISNUMBER(AC184),(AI184+AC184)/2,AI184)))</f>
        <v/>
      </c>
      <c r="AK184" s="19">
        <f>IF(AND(ISNUMBER(AG184),ISNUMBER(AJ184),AJ184&gt;0),AG184/AJ184,"")</f>
        <v/>
      </c>
      <c r="AL184" s="17">
        <f>IF(E184="금융","",IF(AND(ISNUMBER(R184),ISNUMBER(AH184)),R184+AH184,""))</f>
        <v/>
      </c>
      <c r="AM184" s="19">
        <f>IF(OR(NOT(ISNUMBER(AG184)),NOT(ISNUMBER(AL184)),AL184&lt;=0),"",IF(AND(ISNUMBER(G184),AL184&lt;0.1*G184),"",AG184/AL184))</f>
        <v/>
      </c>
      <c r="AN184" s="17">
        <f>IF(NOT(ISNUMBER(R184)),"",IF(ISNUMBER(S184),(R184+S184)/2,R184))</f>
        <v/>
      </c>
      <c r="AO184" s="19">
        <f>IF(AND(ISNUMBER(L184),ISNUMBER(AN184),AN184&gt;0),L184/AN184,"")</f>
        <v/>
      </c>
      <c r="AP184" s="19">
        <f>IF(AND(ISNUMBER(AO184),ISNUMBER({ROIC})),AO184-{ROIC},"")</f>
        <v/>
      </c>
      <c r="AQ184" s="17">
        <f>IF(AND(ISNUMBER(AE184),ISNUMBER(N184)),AE184+N184,"")</f>
        <v/>
      </c>
      <c r="AR184" s="20">
        <f>IF(AND(ISNUMBER(AH184),ISNUMBER(T184),ISNUMBER(AQ184),AQ184&gt;0),(AH184-T184)/AQ184,"")</f>
        <v/>
      </c>
      <c r="AS184" s="20">
        <f>IF(AND(ISNUMBER(AE184),ISNUMBER(I184),I184&lt;&gt;0,AE184&gt;0),AE184/I184,"")</f>
        <v/>
      </c>
      <c r="AT184" s="17">
        <f>IF(AND(ISNUMBER(Y184),ISNUMBER(AA184)),Y184-IF(ISNUMBER(T184),T184,0)-(AA184-IF(ISNUMBER(V184),V184,0)),"")</f>
        <v/>
      </c>
      <c r="AU184" s="17">
        <f>IF(AND(ISNUMBER(Z184),ISNUMBER(AB184)),Z184-IF(ISNUMBER(U184),U184,0)-(AB184-IF(ISNUMBER(W184),W184,0)),"")</f>
        <v/>
      </c>
      <c r="AV184" s="17">
        <f>IF(AND(ISNUMBER(AT184),ISNUMBER(AU184)),AT184-AU184,"")</f>
        <v/>
      </c>
      <c r="AW184" s="17">
        <f>IF(AND(ISNUMBER(L184),ISNUMBER(M184),ISNUMBER(AF184)),L184-M184*(1-AF184),IF(ISNUMBER(L184),L184,""))</f>
        <v/>
      </c>
      <c r="AX184" s="17">
        <f>IF(E184="금융","",IF(AND(ISNUMBER(AW184),ISNUMBER(N184),ISNUMBER(O184),ISNUMBER(AV184)),AW184+N184-O184-AV184,IF(AND(ISNUMBER(P184),ISNUMBER(O184)),P184-O184-IF(ISNUMBER(Q184),Q184,0),"")))</f>
        <v/>
      </c>
      <c r="AY184" s="8">
        <f>IF(E184="금융","금융업 - 정의되지 않음",IF(AND(ISNUMBER(AW184),ISNUMBER(N184),ISNUMBER(O184),ISNUMBER(AV184)),"영업순이익+감가상각-설비투자-운전자본증감",IF(AND(ISNUMBER(P184),ISNUMBER(O184)),IF(ISNUMBER(Q184),"영업현금흐름-설비투자-주식보상비용","영업현금흐름-설비투자(주식보상비용 미태깅)"),"산출불가")))</f>
        <v/>
      </c>
      <c r="AZ184" s="19">
        <f>IF(AND(ISNUMBER(AX184),ISNUMBER(G184),G184&lt;&gt;0),AX184/G184,"")</f>
        <v/>
      </c>
      <c r="BA184" s="19">
        <f>IF(AND(ISNUMBER(AE184),ISNUMBER(G184),G184&lt;&gt;0),AE184/G184,"")</f>
        <v/>
      </c>
    </row>
    <row r="185">
      <c r="A185" s="8" t="inlineStr">
        <is>
          <t>XOM</t>
        </is>
      </c>
      <c r="B185" s="8" t="inlineStr">
        <is>
          <t>EXXON MOBIL CORP</t>
        </is>
      </c>
      <c r="C185" s="8" t="n">
        <v>2016</v>
      </c>
      <c r="D185" s="8" t="inlineStr">
        <is>
          <t>2016-12-31</t>
        </is>
      </c>
      <c r="E185" s="8" t="inlineStr">
        <is>
          <t>일반</t>
        </is>
      </c>
      <c r="F185" s="8" t="inlineStr">
        <is>
          <t>0000034088-19-000010</t>
        </is>
      </c>
      <c r="G185" s="15" t="n">
        <v>200.628</v>
      </c>
      <c r="H185" s="15" t="n">
        <v>7.969</v>
      </c>
      <c r="I185" s="15" t="n">
        <v>0.453</v>
      </c>
      <c r="J185" s="15" t="n">
        <v>-0.406</v>
      </c>
      <c r="K185" s="15" t="n"/>
      <c r="L185" s="15" t="n">
        <v>7.84</v>
      </c>
      <c r="M185" s="15" t="n"/>
      <c r="N185" s="15" t="n">
        <v>22.308</v>
      </c>
      <c r="O185" s="15" t="n">
        <v>16.163</v>
      </c>
      <c r="P185" s="15" t="n">
        <v>22.082</v>
      </c>
      <c r="Q185" s="15" t="n"/>
      <c r="R185" s="15" t="n">
        <v>167.325</v>
      </c>
      <c r="S185" s="15" t="n">
        <v>170.811</v>
      </c>
      <c r="T185" s="15" t="n">
        <v>3.657</v>
      </c>
      <c r="U185" s="15" t="n">
        <v>3.705</v>
      </c>
      <c r="V185" s="15" t="n">
        <v>13.83</v>
      </c>
      <c r="W185" s="15" t="n">
        <v>18.762</v>
      </c>
      <c r="X185" s="15" t="n">
        <v>28.932</v>
      </c>
      <c r="Y185" s="15" t="n">
        <v>41.416</v>
      </c>
      <c r="Z185" s="15" t="n">
        <v>42.623</v>
      </c>
      <c r="AA185" s="15" t="n">
        <v>47.638</v>
      </c>
      <c r="AB185" s="15" t="n">
        <v>53.976</v>
      </c>
      <c r="AC185" s="15" t="n">
        <v>205.793</v>
      </c>
      <c r="AD185" s="16" t="n">
        <v>4148</v>
      </c>
      <c r="AE185" s="17">
        <f>IF(ISNUMBER(K185),K185,IF(AND(ISNUMBER(H185),ISNUMBER(I185)),H185+I185,IF(ISNUMBER(H185),H185,"")))</f>
        <v/>
      </c>
      <c r="AF185" s="18">
        <f>IF(OR(NOT(ISNUMBER(J185)),NOT(ISNUMBER(H185)),H185&lt;=0),기준표!$B$8,MIN(MAX(J185/H185,기준표!$B$6),기준표!$B$7))</f>
        <v/>
      </c>
      <c r="AG185" s="17">
        <f>IF(ISNUMBER(AE185),AE185*(1-AF185),"")</f>
        <v/>
      </c>
      <c r="AH185" s="17">
        <f>IF(AND(NOT(ISNUMBER(V185)),NOT(ISNUMBER(X185))),"",IF(ISNUMBER(V185),V185,0)+IF(ISNUMBER(X185),X185,0))</f>
        <v/>
      </c>
      <c r="AI185" s="17">
        <f>IF(E185="금융","",IF(AND(ISNUMBER(R185),ISNUMBER(AH185),ISNUMBER(T185)),R185+AH185-T185,""))</f>
        <v/>
      </c>
      <c r="AJ185" s="17">
        <f>IF(E185="금융","",IF(NOT(ISNUMBER(AI185)),"",IF(ISNUMBER(AC185),(AI185+AC185)/2,AI185)))</f>
        <v/>
      </c>
      <c r="AK185" s="19">
        <f>IF(AND(ISNUMBER(AG185),ISNUMBER(AJ185),AJ185&gt;0),AG185/AJ185,"")</f>
        <v/>
      </c>
      <c r="AL185" s="17">
        <f>IF(E185="금융","",IF(AND(ISNUMBER(R185),ISNUMBER(AH185)),R185+AH185,""))</f>
        <v/>
      </c>
      <c r="AM185" s="19">
        <f>IF(OR(NOT(ISNUMBER(AG185)),NOT(ISNUMBER(AL185)),AL185&lt;=0),"",IF(AND(ISNUMBER(G185),AL185&lt;0.1*G185),"",AG185/AL185))</f>
        <v/>
      </c>
      <c r="AN185" s="17">
        <f>IF(NOT(ISNUMBER(R185)),"",IF(ISNUMBER(S185),(R185+S185)/2,R185))</f>
        <v/>
      </c>
      <c r="AO185" s="19">
        <f>IF(AND(ISNUMBER(L185),ISNUMBER(AN185),AN185&gt;0),L185/AN185,"")</f>
        <v/>
      </c>
      <c r="AP185" s="19">
        <f>IF(AND(ISNUMBER(AO185),ISNUMBER({ROIC})),AO185-{ROIC},"")</f>
        <v/>
      </c>
      <c r="AQ185" s="17">
        <f>IF(AND(ISNUMBER(AE185),ISNUMBER(N185)),AE185+N185,"")</f>
        <v/>
      </c>
      <c r="AR185" s="20">
        <f>IF(AND(ISNUMBER(AH185),ISNUMBER(T185),ISNUMBER(AQ185),AQ185&gt;0),(AH185-T185)/AQ185,"")</f>
        <v/>
      </c>
      <c r="AS185" s="20">
        <f>IF(AND(ISNUMBER(AE185),ISNUMBER(I185),I185&lt;&gt;0,AE185&gt;0),AE185/I185,"")</f>
        <v/>
      </c>
      <c r="AT185" s="17">
        <f>IF(AND(ISNUMBER(Y185),ISNUMBER(AA185)),Y185-IF(ISNUMBER(T185),T185,0)-(AA185-IF(ISNUMBER(V185),V185,0)),"")</f>
        <v/>
      </c>
      <c r="AU185" s="17">
        <f>IF(AND(ISNUMBER(Z185),ISNUMBER(AB185)),Z185-IF(ISNUMBER(U185),U185,0)-(AB185-IF(ISNUMBER(W185),W185,0)),"")</f>
        <v/>
      </c>
      <c r="AV185" s="17">
        <f>IF(AND(ISNUMBER(AT185),ISNUMBER(AU185)),AT185-AU185,"")</f>
        <v/>
      </c>
      <c r="AW185" s="17">
        <f>IF(AND(ISNUMBER(L185),ISNUMBER(M185),ISNUMBER(AF185)),L185-M185*(1-AF185),IF(ISNUMBER(L185),L185,""))</f>
        <v/>
      </c>
      <c r="AX185" s="17">
        <f>IF(E185="금융","",IF(AND(ISNUMBER(AW185),ISNUMBER(N185),ISNUMBER(O185),ISNUMBER(AV185)),AW185+N185-O185-AV185,IF(AND(ISNUMBER(P185),ISNUMBER(O185)),P185-O185-IF(ISNUMBER(Q185),Q185,0),"")))</f>
        <v/>
      </c>
      <c r="AY185" s="8">
        <f>IF(E185="금융","금융업 - 정의되지 않음",IF(AND(ISNUMBER(AW185),ISNUMBER(N185),ISNUMBER(O185),ISNUMBER(AV185)),"영업순이익+감가상각-설비투자-운전자본증감",IF(AND(ISNUMBER(P185),ISNUMBER(O185)),IF(ISNUMBER(Q185),"영업현금흐름-설비투자-주식보상비용","영업현금흐름-설비투자(주식보상비용 미태깅)"),"산출불가")))</f>
        <v/>
      </c>
      <c r="AZ185" s="19">
        <f>IF(AND(ISNUMBER(AX185),ISNUMBER(G185),G185&lt;&gt;0),AX185/G185,"")</f>
        <v/>
      </c>
      <c r="BA185" s="19">
        <f>IF(AND(ISNUMBER(AE185),ISNUMBER(G185),G185&lt;&gt;0),AE185/G185,"")</f>
        <v/>
      </c>
    </row>
    <row r="186">
      <c r="A186" s="8" t="inlineStr">
        <is>
          <t>XOM</t>
        </is>
      </c>
      <c r="B186" s="8" t="inlineStr">
        <is>
          <t>EXXON MOBIL CORP</t>
        </is>
      </c>
      <c r="C186" s="8" t="n">
        <v>2017</v>
      </c>
      <c r="D186" s="8" t="inlineStr">
        <is>
          <t>2017-12-31</t>
        </is>
      </c>
      <c r="E186" s="8" t="inlineStr">
        <is>
          <t>일반</t>
        </is>
      </c>
      <c r="F186" s="8" t="inlineStr">
        <is>
          <t>0000034088-20-000016</t>
        </is>
      </c>
      <c r="G186" s="15" t="n">
        <v>244.363</v>
      </c>
      <c r="H186" s="15" t="n">
        <v>18.674</v>
      </c>
      <c r="I186" s="15" t="n">
        <v>0.601</v>
      </c>
      <c r="J186" s="15" t="n">
        <v>-1.174</v>
      </c>
      <c r="K186" s="15" t="n"/>
      <c r="L186" s="15" t="n">
        <v>19.71</v>
      </c>
      <c r="M186" s="15" t="n"/>
      <c r="N186" s="15" t="n">
        <v>19.893</v>
      </c>
      <c r="O186" s="15" t="n">
        <v>15.402</v>
      </c>
      <c r="P186" s="15" t="n">
        <v>30.066</v>
      </c>
      <c r="Q186" s="15" t="n"/>
      <c r="R186" s="15" t="n">
        <v>187.688</v>
      </c>
      <c r="S186" s="15" t="n">
        <v>167.325</v>
      </c>
      <c r="T186" s="15" t="n">
        <v>3.177</v>
      </c>
      <c r="U186" s="15" t="n">
        <v>3.657</v>
      </c>
      <c r="V186" s="15" t="n">
        <v>17.93</v>
      </c>
      <c r="W186" s="15" t="n">
        <v>13.83</v>
      </c>
      <c r="X186" s="15" t="n">
        <v>24.406</v>
      </c>
      <c r="Y186" s="15" t="n">
        <v>47.134</v>
      </c>
      <c r="Z186" s="15" t="n">
        <v>41.416</v>
      </c>
      <c r="AA186" s="15" t="n">
        <v>57.771</v>
      </c>
      <c r="AB186" s="15" t="n">
        <v>47.638</v>
      </c>
      <c r="AC186" s="15" t="n">
        <v>206.43</v>
      </c>
      <c r="AD186" s="16" t="n">
        <v>4239</v>
      </c>
      <c r="AE186" s="17">
        <f>IF(ISNUMBER(K186),K186,IF(AND(ISNUMBER(H186),ISNUMBER(I186)),H186+I186,IF(ISNUMBER(H186),H186,"")))</f>
        <v/>
      </c>
      <c r="AF186" s="18">
        <f>IF(OR(NOT(ISNUMBER(J186)),NOT(ISNUMBER(H186)),H186&lt;=0),기준표!$B$8,MIN(MAX(J186/H186,기준표!$B$6),기준표!$B$7))</f>
        <v/>
      </c>
      <c r="AG186" s="17">
        <f>IF(ISNUMBER(AE186),AE186*(1-AF186),"")</f>
        <v/>
      </c>
      <c r="AH186" s="17">
        <f>IF(AND(NOT(ISNUMBER(V186)),NOT(ISNUMBER(X186))),"",IF(ISNUMBER(V186),V186,0)+IF(ISNUMBER(X186),X186,0))</f>
        <v/>
      </c>
      <c r="AI186" s="17">
        <f>IF(E186="금융","",IF(AND(ISNUMBER(R186),ISNUMBER(AH186),ISNUMBER(T186)),R186+AH186-T186,""))</f>
        <v/>
      </c>
      <c r="AJ186" s="17">
        <f>IF(E186="금융","",IF(NOT(ISNUMBER(AI186)),"",IF(ISNUMBER(AC186),(AI186+AC186)/2,AI186)))</f>
        <v/>
      </c>
      <c r="AK186" s="19">
        <f>IF(AND(ISNUMBER(AG186),ISNUMBER(AJ186),AJ186&gt;0),AG186/AJ186,"")</f>
        <v/>
      </c>
      <c r="AL186" s="17">
        <f>IF(E186="금융","",IF(AND(ISNUMBER(R186),ISNUMBER(AH186)),R186+AH186,""))</f>
        <v/>
      </c>
      <c r="AM186" s="19">
        <f>IF(OR(NOT(ISNUMBER(AG186)),NOT(ISNUMBER(AL186)),AL186&lt;=0),"",IF(AND(ISNUMBER(G186),AL186&lt;0.1*G186),"",AG186/AL186))</f>
        <v/>
      </c>
      <c r="AN186" s="17">
        <f>IF(NOT(ISNUMBER(R186)),"",IF(ISNUMBER(S186),(R186+S186)/2,R186))</f>
        <v/>
      </c>
      <c r="AO186" s="19">
        <f>IF(AND(ISNUMBER(L186),ISNUMBER(AN186),AN186&gt;0),L186/AN186,"")</f>
        <v/>
      </c>
      <c r="AP186" s="19">
        <f>IF(AND(ISNUMBER(AO186),ISNUMBER({ROIC})),AO186-{ROIC},"")</f>
        <v/>
      </c>
      <c r="AQ186" s="17">
        <f>IF(AND(ISNUMBER(AE186),ISNUMBER(N186)),AE186+N186,"")</f>
        <v/>
      </c>
      <c r="AR186" s="20">
        <f>IF(AND(ISNUMBER(AH186),ISNUMBER(T186),ISNUMBER(AQ186),AQ186&gt;0),(AH186-T186)/AQ186,"")</f>
        <v/>
      </c>
      <c r="AS186" s="20">
        <f>IF(AND(ISNUMBER(AE186),ISNUMBER(I186),I186&lt;&gt;0,AE186&gt;0),AE186/I186,"")</f>
        <v/>
      </c>
      <c r="AT186" s="17">
        <f>IF(AND(ISNUMBER(Y186),ISNUMBER(AA186)),Y186-IF(ISNUMBER(T186),T186,0)-(AA186-IF(ISNUMBER(V186),V186,0)),"")</f>
        <v/>
      </c>
      <c r="AU186" s="17">
        <f>IF(AND(ISNUMBER(Z186),ISNUMBER(AB186)),Z186-IF(ISNUMBER(U186),U186,0)-(AB186-IF(ISNUMBER(W186),W186,0)),"")</f>
        <v/>
      </c>
      <c r="AV186" s="17">
        <f>IF(AND(ISNUMBER(AT186),ISNUMBER(AU186)),AT186-AU186,"")</f>
        <v/>
      </c>
      <c r="AW186" s="17">
        <f>IF(AND(ISNUMBER(L186),ISNUMBER(M186),ISNUMBER(AF186)),L186-M186*(1-AF186),IF(ISNUMBER(L186),L186,""))</f>
        <v/>
      </c>
      <c r="AX186" s="17">
        <f>IF(E186="금융","",IF(AND(ISNUMBER(AW186),ISNUMBER(N186),ISNUMBER(O186),ISNUMBER(AV186)),AW186+N186-O186-AV186,IF(AND(ISNUMBER(P186),ISNUMBER(O186)),P186-O186-IF(ISNUMBER(Q186),Q186,0),"")))</f>
        <v/>
      </c>
      <c r="AY186" s="8">
        <f>IF(E186="금융","금융업 - 정의되지 않음",IF(AND(ISNUMBER(AW186),ISNUMBER(N186),ISNUMBER(O186),ISNUMBER(AV186)),"영업순이익+감가상각-설비투자-운전자본증감",IF(AND(ISNUMBER(P186),ISNUMBER(O186)),IF(ISNUMBER(Q186),"영업현금흐름-설비투자-주식보상비용","영업현금흐름-설비투자(주식보상비용 미태깅)"),"산출불가")))</f>
        <v/>
      </c>
      <c r="AZ186" s="19">
        <f>IF(AND(ISNUMBER(AX186),ISNUMBER(G186),G186&lt;&gt;0),AX186/G186,"")</f>
        <v/>
      </c>
      <c r="BA186" s="19">
        <f>IF(AND(ISNUMBER(AE186),ISNUMBER(G186),G186&lt;&gt;0),AE186/G186,"")</f>
        <v/>
      </c>
    </row>
    <row r="187">
      <c r="A187" s="8" t="inlineStr">
        <is>
          <t>XOM</t>
        </is>
      </c>
      <c r="B187" s="8" t="inlineStr">
        <is>
          <t>EXXON MOBIL CORP</t>
        </is>
      </c>
      <c r="C187" s="8" t="n">
        <v>2018</v>
      </c>
      <c r="D187" s="8" t="inlineStr">
        <is>
          <t>2018-12-31</t>
        </is>
      </c>
      <c r="E187" s="8" t="inlineStr">
        <is>
          <t>일반</t>
        </is>
      </c>
      <c r="F187" s="8" t="inlineStr">
        <is>
          <t>0000034088-21-000012</t>
        </is>
      </c>
      <c r="G187" s="15" t="n">
        <v>290.212</v>
      </c>
      <c r="H187" s="15" t="n">
        <v>30.953</v>
      </c>
      <c r="I187" s="15" t="n">
        <v>0.766</v>
      </c>
      <c r="J187" s="15" t="n">
        <v>9.532</v>
      </c>
      <c r="K187" s="15" t="n"/>
      <c r="L187" s="15" t="n">
        <v>20.84</v>
      </c>
      <c r="M187" s="15" t="n"/>
      <c r="N187" s="15" t="n">
        <v>18.745</v>
      </c>
      <c r="O187" s="15" t="n">
        <v>19.574</v>
      </c>
      <c r="P187" s="15" t="n">
        <v>36.014</v>
      </c>
      <c r="Q187" s="15" t="n"/>
      <c r="R187" s="15" t="n">
        <v>191.794</v>
      </c>
      <c r="S187" s="15" t="n">
        <v>187.688</v>
      </c>
      <c r="T187" s="15" t="n">
        <v>3.042</v>
      </c>
      <c r="U187" s="15" t="n">
        <v>3.177</v>
      </c>
      <c r="V187" s="15" t="n">
        <v>17.258</v>
      </c>
      <c r="W187" s="15" t="n">
        <v>17.93</v>
      </c>
      <c r="X187" s="15" t="n">
        <v>20.538</v>
      </c>
      <c r="Y187" s="15" t="n">
        <v>47.973</v>
      </c>
      <c r="Z187" s="15" t="n">
        <v>47.134</v>
      </c>
      <c r="AA187" s="15" t="n">
        <v>57.138</v>
      </c>
      <c r="AB187" s="15" t="n">
        <v>57.771</v>
      </c>
      <c r="AC187" s="15" t="n">
        <v>226.847</v>
      </c>
      <c r="AD187" s="16" t="n">
        <v>4237</v>
      </c>
      <c r="AE187" s="17">
        <f>IF(ISNUMBER(K187),K187,IF(AND(ISNUMBER(H187),ISNUMBER(I187)),H187+I187,IF(ISNUMBER(H187),H187,"")))</f>
        <v/>
      </c>
      <c r="AF187" s="18">
        <f>IF(OR(NOT(ISNUMBER(J187)),NOT(ISNUMBER(H187)),H187&lt;=0),기준표!$B$8,MIN(MAX(J187/H187,기준표!$B$6),기준표!$B$7))</f>
        <v/>
      </c>
      <c r="AG187" s="17">
        <f>IF(ISNUMBER(AE187),AE187*(1-AF187),"")</f>
        <v/>
      </c>
      <c r="AH187" s="17">
        <f>IF(AND(NOT(ISNUMBER(V187)),NOT(ISNUMBER(X187))),"",IF(ISNUMBER(V187),V187,0)+IF(ISNUMBER(X187),X187,0))</f>
        <v/>
      </c>
      <c r="AI187" s="17">
        <f>IF(E187="금융","",IF(AND(ISNUMBER(R187),ISNUMBER(AH187),ISNUMBER(T187)),R187+AH187-T187,""))</f>
        <v/>
      </c>
      <c r="AJ187" s="17">
        <f>IF(E187="금융","",IF(NOT(ISNUMBER(AI187)),"",IF(ISNUMBER(AC187),(AI187+AC187)/2,AI187)))</f>
        <v/>
      </c>
      <c r="AK187" s="19">
        <f>IF(AND(ISNUMBER(AG187),ISNUMBER(AJ187),AJ187&gt;0),AG187/AJ187,"")</f>
        <v/>
      </c>
      <c r="AL187" s="17">
        <f>IF(E187="금융","",IF(AND(ISNUMBER(R187),ISNUMBER(AH187)),R187+AH187,""))</f>
        <v/>
      </c>
      <c r="AM187" s="19">
        <f>IF(OR(NOT(ISNUMBER(AG187)),NOT(ISNUMBER(AL187)),AL187&lt;=0),"",IF(AND(ISNUMBER(G187),AL187&lt;0.1*G187),"",AG187/AL187))</f>
        <v/>
      </c>
      <c r="AN187" s="17">
        <f>IF(NOT(ISNUMBER(R187)),"",IF(ISNUMBER(S187),(R187+S187)/2,R187))</f>
        <v/>
      </c>
      <c r="AO187" s="19">
        <f>IF(AND(ISNUMBER(L187),ISNUMBER(AN187),AN187&gt;0),L187/AN187,"")</f>
        <v/>
      </c>
      <c r="AP187" s="19">
        <f>IF(AND(ISNUMBER(AO187),ISNUMBER({ROIC})),AO187-{ROIC},"")</f>
        <v/>
      </c>
      <c r="AQ187" s="17">
        <f>IF(AND(ISNUMBER(AE187),ISNUMBER(N187)),AE187+N187,"")</f>
        <v/>
      </c>
      <c r="AR187" s="20">
        <f>IF(AND(ISNUMBER(AH187),ISNUMBER(T187),ISNUMBER(AQ187),AQ187&gt;0),(AH187-T187)/AQ187,"")</f>
        <v/>
      </c>
      <c r="AS187" s="20">
        <f>IF(AND(ISNUMBER(AE187),ISNUMBER(I187),I187&lt;&gt;0,AE187&gt;0),AE187/I187,"")</f>
        <v/>
      </c>
      <c r="AT187" s="17">
        <f>IF(AND(ISNUMBER(Y187),ISNUMBER(AA187)),Y187-IF(ISNUMBER(T187),T187,0)-(AA187-IF(ISNUMBER(V187),V187,0)),"")</f>
        <v/>
      </c>
      <c r="AU187" s="17">
        <f>IF(AND(ISNUMBER(Z187),ISNUMBER(AB187)),Z187-IF(ISNUMBER(U187),U187,0)-(AB187-IF(ISNUMBER(W187),W187,0)),"")</f>
        <v/>
      </c>
      <c r="AV187" s="17">
        <f>IF(AND(ISNUMBER(AT187),ISNUMBER(AU187)),AT187-AU187,"")</f>
        <v/>
      </c>
      <c r="AW187" s="17">
        <f>IF(AND(ISNUMBER(L187),ISNUMBER(M187),ISNUMBER(AF187)),L187-M187*(1-AF187),IF(ISNUMBER(L187),L187,""))</f>
        <v/>
      </c>
      <c r="AX187" s="17">
        <f>IF(E187="금융","",IF(AND(ISNUMBER(AW187),ISNUMBER(N187),ISNUMBER(O187),ISNUMBER(AV187)),AW187+N187-O187-AV187,IF(AND(ISNUMBER(P187),ISNUMBER(O187)),P187-O187-IF(ISNUMBER(Q187),Q187,0),"")))</f>
        <v/>
      </c>
      <c r="AY187" s="8">
        <f>IF(E187="금융","금융업 - 정의되지 않음",IF(AND(ISNUMBER(AW187),ISNUMBER(N187),ISNUMBER(O187),ISNUMBER(AV187)),"영업순이익+감가상각-설비투자-운전자본증감",IF(AND(ISNUMBER(P187),ISNUMBER(O187)),IF(ISNUMBER(Q187),"영업현금흐름-설비투자-주식보상비용","영업현금흐름-설비투자(주식보상비용 미태깅)"),"산출불가")))</f>
        <v/>
      </c>
      <c r="AZ187" s="19">
        <f>IF(AND(ISNUMBER(AX187),ISNUMBER(G187),G187&lt;&gt;0),AX187/G187,"")</f>
        <v/>
      </c>
      <c r="BA187" s="19">
        <f>IF(AND(ISNUMBER(AE187),ISNUMBER(G187),G187&lt;&gt;0),AE187/G187,"")</f>
        <v/>
      </c>
    </row>
    <row r="188">
      <c r="A188" s="8" t="inlineStr">
        <is>
          <t>XOM</t>
        </is>
      </c>
      <c r="B188" s="8" t="inlineStr">
        <is>
          <t>EXXON MOBIL CORP</t>
        </is>
      </c>
      <c r="C188" s="8" t="n">
        <v>2019</v>
      </c>
      <c r="D188" s="8" t="inlineStr">
        <is>
          <t>2019-12-31</t>
        </is>
      </c>
      <c r="E188" s="8" t="inlineStr">
        <is>
          <t>일반</t>
        </is>
      </c>
      <c r="F188" s="8" t="inlineStr">
        <is>
          <t>0000034088-22-000011</t>
        </is>
      </c>
      <c r="G188" s="15" t="n">
        <v>264.938</v>
      </c>
      <c r="H188" s="15" t="n">
        <v>20.056</v>
      </c>
      <c r="I188" s="15" t="n">
        <v>0.83</v>
      </c>
      <c r="J188" s="15" t="n">
        <v>5.282</v>
      </c>
      <c r="K188" s="15" t="n"/>
      <c r="L188" s="15" t="n">
        <v>14.34</v>
      </c>
      <c r="M188" s="15" t="n"/>
      <c r="N188" s="15" t="n">
        <v>18.998</v>
      </c>
      <c r="O188" s="15" t="n">
        <v>24.361</v>
      </c>
      <c r="P188" s="15" t="n">
        <v>29.716</v>
      </c>
      <c r="Q188" s="15" t="n"/>
      <c r="R188" s="15" t="n">
        <v>191.65</v>
      </c>
      <c r="S188" s="15" t="n">
        <v>191.794</v>
      </c>
      <c r="T188" s="15" t="n">
        <v>3.089</v>
      </c>
      <c r="U188" s="15" t="n">
        <v>3.042</v>
      </c>
      <c r="V188" s="15" t="n">
        <v>20.578</v>
      </c>
      <c r="W188" s="15" t="n">
        <v>17.258</v>
      </c>
      <c r="X188" s="15" t="n">
        <v>26.342</v>
      </c>
      <c r="Y188" s="15" t="n">
        <v>50.052</v>
      </c>
      <c r="Z188" s="15" t="n">
        <v>47.973</v>
      </c>
      <c r="AA188" s="15" t="n">
        <v>63.989</v>
      </c>
      <c r="AB188" s="15" t="n">
        <v>57.138</v>
      </c>
      <c r="AC188" s="15" t="n">
        <v>226.548</v>
      </c>
      <c r="AD188" s="16" t="n">
        <v>4234</v>
      </c>
      <c r="AE188" s="17">
        <f>IF(ISNUMBER(K188),K188,IF(AND(ISNUMBER(H188),ISNUMBER(I188)),H188+I188,IF(ISNUMBER(H188),H188,"")))</f>
        <v/>
      </c>
      <c r="AF188" s="18">
        <f>IF(OR(NOT(ISNUMBER(J188)),NOT(ISNUMBER(H188)),H188&lt;=0),기준표!$B$8,MIN(MAX(J188/H188,기준표!$B$6),기준표!$B$7))</f>
        <v/>
      </c>
      <c r="AG188" s="17">
        <f>IF(ISNUMBER(AE188),AE188*(1-AF188),"")</f>
        <v/>
      </c>
      <c r="AH188" s="17">
        <f>IF(AND(NOT(ISNUMBER(V188)),NOT(ISNUMBER(X188))),"",IF(ISNUMBER(V188),V188,0)+IF(ISNUMBER(X188),X188,0))</f>
        <v/>
      </c>
      <c r="AI188" s="17">
        <f>IF(E188="금융","",IF(AND(ISNUMBER(R188),ISNUMBER(AH188),ISNUMBER(T188)),R188+AH188-T188,""))</f>
        <v/>
      </c>
      <c r="AJ188" s="17">
        <f>IF(E188="금융","",IF(NOT(ISNUMBER(AI188)),"",IF(ISNUMBER(AC188),(AI188+AC188)/2,AI188)))</f>
        <v/>
      </c>
      <c r="AK188" s="19">
        <f>IF(AND(ISNUMBER(AG188),ISNUMBER(AJ188),AJ188&gt;0),AG188/AJ188,"")</f>
        <v/>
      </c>
      <c r="AL188" s="17">
        <f>IF(E188="금융","",IF(AND(ISNUMBER(R188),ISNUMBER(AH188)),R188+AH188,""))</f>
        <v/>
      </c>
      <c r="AM188" s="19">
        <f>IF(OR(NOT(ISNUMBER(AG188)),NOT(ISNUMBER(AL188)),AL188&lt;=0),"",IF(AND(ISNUMBER(G188),AL188&lt;0.1*G188),"",AG188/AL188))</f>
        <v/>
      </c>
      <c r="AN188" s="17">
        <f>IF(NOT(ISNUMBER(R188)),"",IF(ISNUMBER(S188),(R188+S188)/2,R188))</f>
        <v/>
      </c>
      <c r="AO188" s="19">
        <f>IF(AND(ISNUMBER(L188),ISNUMBER(AN188),AN188&gt;0),L188/AN188,"")</f>
        <v/>
      </c>
      <c r="AP188" s="19">
        <f>IF(AND(ISNUMBER(AO188),ISNUMBER({ROIC})),AO188-{ROIC},"")</f>
        <v/>
      </c>
      <c r="AQ188" s="17">
        <f>IF(AND(ISNUMBER(AE188),ISNUMBER(N188)),AE188+N188,"")</f>
        <v/>
      </c>
      <c r="AR188" s="20">
        <f>IF(AND(ISNUMBER(AH188),ISNUMBER(T188),ISNUMBER(AQ188),AQ188&gt;0),(AH188-T188)/AQ188,"")</f>
        <v/>
      </c>
      <c r="AS188" s="20">
        <f>IF(AND(ISNUMBER(AE188),ISNUMBER(I188),I188&lt;&gt;0,AE188&gt;0),AE188/I188,"")</f>
        <v/>
      </c>
      <c r="AT188" s="17">
        <f>IF(AND(ISNUMBER(Y188),ISNUMBER(AA188)),Y188-IF(ISNUMBER(T188),T188,0)-(AA188-IF(ISNUMBER(V188),V188,0)),"")</f>
        <v/>
      </c>
      <c r="AU188" s="17">
        <f>IF(AND(ISNUMBER(Z188),ISNUMBER(AB188)),Z188-IF(ISNUMBER(U188),U188,0)-(AB188-IF(ISNUMBER(W188),W188,0)),"")</f>
        <v/>
      </c>
      <c r="AV188" s="17">
        <f>IF(AND(ISNUMBER(AT188),ISNUMBER(AU188)),AT188-AU188,"")</f>
        <v/>
      </c>
      <c r="AW188" s="17">
        <f>IF(AND(ISNUMBER(L188),ISNUMBER(M188),ISNUMBER(AF188)),L188-M188*(1-AF188),IF(ISNUMBER(L188),L188,""))</f>
        <v/>
      </c>
      <c r="AX188" s="17">
        <f>IF(E188="금융","",IF(AND(ISNUMBER(AW188),ISNUMBER(N188),ISNUMBER(O188),ISNUMBER(AV188)),AW188+N188-O188-AV188,IF(AND(ISNUMBER(P188),ISNUMBER(O188)),P188-O188-IF(ISNUMBER(Q188),Q188,0),"")))</f>
        <v/>
      </c>
      <c r="AY188" s="8">
        <f>IF(E188="금융","금융업 - 정의되지 않음",IF(AND(ISNUMBER(AW188),ISNUMBER(N188),ISNUMBER(O188),ISNUMBER(AV188)),"영업순이익+감가상각-설비투자-운전자본증감",IF(AND(ISNUMBER(P188),ISNUMBER(O188)),IF(ISNUMBER(Q188),"영업현금흐름-설비투자-주식보상비용","영업현금흐름-설비투자(주식보상비용 미태깅)"),"산출불가")))</f>
        <v/>
      </c>
      <c r="AZ188" s="19">
        <f>IF(AND(ISNUMBER(AX188),ISNUMBER(G188),G188&lt;&gt;0),AX188/G188,"")</f>
        <v/>
      </c>
      <c r="BA188" s="19">
        <f>IF(AND(ISNUMBER(AE188),ISNUMBER(G188),G188&lt;&gt;0),AE188/G188,"")</f>
        <v/>
      </c>
    </row>
    <row r="189">
      <c r="A189" s="8" t="inlineStr">
        <is>
          <t>XOM</t>
        </is>
      </c>
      <c r="B189" s="8" t="inlineStr">
        <is>
          <t>EXXON MOBIL CORP</t>
        </is>
      </c>
      <c r="C189" s="8" t="n">
        <v>2020</v>
      </c>
      <c r="D189" s="8" t="inlineStr">
        <is>
          <t>2020-12-31</t>
        </is>
      </c>
      <c r="E189" s="8" t="inlineStr">
        <is>
          <t>일반</t>
        </is>
      </c>
      <c r="F189" s="8" t="inlineStr">
        <is>
          <t>0000034088-23-000020</t>
        </is>
      </c>
      <c r="G189" s="15" t="n">
        <v>181.502</v>
      </c>
      <c r="H189" s="15" t="n">
        <v>-28.883</v>
      </c>
      <c r="I189" s="15" t="n">
        <v>1.158</v>
      </c>
      <c r="J189" s="15" t="n">
        <v>-5.632</v>
      </c>
      <c r="K189" s="15" t="n"/>
      <c r="L189" s="15" t="n">
        <v>-22.44</v>
      </c>
      <c r="M189" s="15" t="n"/>
      <c r="N189" s="15" t="n">
        <v>46.009</v>
      </c>
      <c r="O189" s="15" t="n">
        <v>17.282</v>
      </c>
      <c r="P189" s="15" t="n">
        <v>14.668</v>
      </c>
      <c r="Q189" s="15" t="n"/>
      <c r="R189" s="15" t="n">
        <v>157.15</v>
      </c>
      <c r="S189" s="15" t="n">
        <v>191.65</v>
      </c>
      <c r="T189" s="15" t="n">
        <v>4.364</v>
      </c>
      <c r="U189" s="15" t="n">
        <v>3.089</v>
      </c>
      <c r="V189" s="15" t="n">
        <v>20.458</v>
      </c>
      <c r="W189" s="15" t="n">
        <v>20.578</v>
      </c>
      <c r="X189" s="15" t="n">
        <v>47.182</v>
      </c>
      <c r="Y189" s="15" t="n">
        <v>44.893</v>
      </c>
      <c r="Z189" s="15" t="n">
        <v>50.052</v>
      </c>
      <c r="AA189" s="15" t="n">
        <v>56.363</v>
      </c>
      <c r="AB189" s="15" t="n">
        <v>63.989</v>
      </c>
      <c r="AC189" s="15" t="n">
        <v>235.481</v>
      </c>
      <c r="AD189" s="16" t="n">
        <v>4233</v>
      </c>
      <c r="AE189" s="17">
        <f>IF(ISNUMBER(K189),K189,IF(AND(ISNUMBER(H189),ISNUMBER(I189)),H189+I189,IF(ISNUMBER(H189),H189,"")))</f>
        <v/>
      </c>
      <c r="AF189" s="18">
        <f>IF(OR(NOT(ISNUMBER(J189)),NOT(ISNUMBER(H189)),H189&lt;=0),기준표!$B$8,MIN(MAX(J189/H189,기준표!$B$6),기준표!$B$7))</f>
        <v/>
      </c>
      <c r="AG189" s="17">
        <f>IF(ISNUMBER(AE189),AE189*(1-AF189),"")</f>
        <v/>
      </c>
      <c r="AH189" s="17">
        <f>IF(AND(NOT(ISNUMBER(V189)),NOT(ISNUMBER(X189))),"",IF(ISNUMBER(V189),V189,0)+IF(ISNUMBER(X189),X189,0))</f>
        <v/>
      </c>
      <c r="AI189" s="17">
        <f>IF(E189="금융","",IF(AND(ISNUMBER(R189),ISNUMBER(AH189),ISNUMBER(T189)),R189+AH189-T189,""))</f>
        <v/>
      </c>
      <c r="AJ189" s="17">
        <f>IF(E189="금융","",IF(NOT(ISNUMBER(AI189)),"",IF(ISNUMBER(AC189),(AI189+AC189)/2,AI189)))</f>
        <v/>
      </c>
      <c r="AK189" s="19">
        <f>IF(AND(ISNUMBER(AG189),ISNUMBER(AJ189),AJ189&gt;0),AG189/AJ189,"")</f>
        <v/>
      </c>
      <c r="AL189" s="17">
        <f>IF(E189="금융","",IF(AND(ISNUMBER(R189),ISNUMBER(AH189)),R189+AH189,""))</f>
        <v/>
      </c>
      <c r="AM189" s="19">
        <f>IF(OR(NOT(ISNUMBER(AG189)),NOT(ISNUMBER(AL189)),AL189&lt;=0),"",IF(AND(ISNUMBER(G189),AL189&lt;0.1*G189),"",AG189/AL189))</f>
        <v/>
      </c>
      <c r="AN189" s="17">
        <f>IF(NOT(ISNUMBER(R189)),"",IF(ISNUMBER(S189),(R189+S189)/2,R189))</f>
        <v/>
      </c>
      <c r="AO189" s="19">
        <f>IF(AND(ISNUMBER(L189),ISNUMBER(AN189),AN189&gt;0),L189/AN189,"")</f>
        <v/>
      </c>
      <c r="AP189" s="19">
        <f>IF(AND(ISNUMBER(AO189),ISNUMBER({ROIC})),AO189-{ROIC},"")</f>
        <v/>
      </c>
      <c r="AQ189" s="17">
        <f>IF(AND(ISNUMBER(AE189),ISNUMBER(N189)),AE189+N189,"")</f>
        <v/>
      </c>
      <c r="AR189" s="20">
        <f>IF(AND(ISNUMBER(AH189),ISNUMBER(T189),ISNUMBER(AQ189),AQ189&gt;0),(AH189-T189)/AQ189,"")</f>
        <v/>
      </c>
      <c r="AS189" s="20">
        <f>IF(AND(ISNUMBER(AE189),ISNUMBER(I189),I189&lt;&gt;0,AE189&gt;0),AE189/I189,"")</f>
        <v/>
      </c>
      <c r="AT189" s="17">
        <f>IF(AND(ISNUMBER(Y189),ISNUMBER(AA189)),Y189-IF(ISNUMBER(T189),T189,0)-(AA189-IF(ISNUMBER(V189),V189,0)),"")</f>
        <v/>
      </c>
      <c r="AU189" s="17">
        <f>IF(AND(ISNUMBER(Z189),ISNUMBER(AB189)),Z189-IF(ISNUMBER(U189),U189,0)-(AB189-IF(ISNUMBER(W189),W189,0)),"")</f>
        <v/>
      </c>
      <c r="AV189" s="17">
        <f>IF(AND(ISNUMBER(AT189),ISNUMBER(AU189)),AT189-AU189,"")</f>
        <v/>
      </c>
      <c r="AW189" s="17">
        <f>IF(AND(ISNUMBER(L189),ISNUMBER(M189),ISNUMBER(AF189)),L189-M189*(1-AF189),IF(ISNUMBER(L189),L189,""))</f>
        <v/>
      </c>
      <c r="AX189" s="17">
        <f>IF(E189="금융","",IF(AND(ISNUMBER(AW189),ISNUMBER(N189),ISNUMBER(O189),ISNUMBER(AV189)),AW189+N189-O189-AV189,IF(AND(ISNUMBER(P189),ISNUMBER(O189)),P189-O189-IF(ISNUMBER(Q189),Q189,0),"")))</f>
        <v/>
      </c>
      <c r="AY189" s="8">
        <f>IF(E189="금융","금융업 - 정의되지 않음",IF(AND(ISNUMBER(AW189),ISNUMBER(N189),ISNUMBER(O189),ISNUMBER(AV189)),"영업순이익+감가상각-설비투자-운전자본증감",IF(AND(ISNUMBER(P189),ISNUMBER(O189)),IF(ISNUMBER(Q189),"영업현금흐름-설비투자-주식보상비용","영업현금흐름-설비투자(주식보상비용 미태깅)"),"산출불가")))</f>
        <v/>
      </c>
      <c r="AZ189" s="19">
        <f>IF(AND(ISNUMBER(AX189),ISNUMBER(G189),G189&lt;&gt;0),AX189/G189,"")</f>
        <v/>
      </c>
      <c r="BA189" s="19">
        <f>IF(AND(ISNUMBER(AE189),ISNUMBER(G189),G189&lt;&gt;0),AE189/G189,"")</f>
        <v/>
      </c>
    </row>
    <row r="190">
      <c r="A190" s="8" t="inlineStr">
        <is>
          <t>XOM</t>
        </is>
      </c>
      <c r="B190" s="8" t="inlineStr">
        <is>
          <t>EXXON MOBIL CORP</t>
        </is>
      </c>
      <c r="C190" s="8" t="n">
        <v>2021</v>
      </c>
      <c r="D190" s="8" t="inlineStr">
        <is>
          <t>2021-12-31</t>
        </is>
      </c>
      <c r="E190" s="8" t="inlineStr">
        <is>
          <t>일반</t>
        </is>
      </c>
      <c r="F190" s="8" t="inlineStr">
        <is>
          <t>0000034088-24-000018</t>
        </is>
      </c>
      <c r="G190" s="15" t="n">
        <v>285.64</v>
      </c>
      <c r="H190" s="15" t="n">
        <v>31.234</v>
      </c>
      <c r="I190" s="15" t="n">
        <v>0.947</v>
      </c>
      <c r="J190" s="15" t="n">
        <v>7.636</v>
      </c>
      <c r="K190" s="15" t="n"/>
      <c r="L190" s="15" t="n">
        <v>23.04</v>
      </c>
      <c r="M190" s="15" t="n"/>
      <c r="N190" s="15" t="n">
        <v>20.607</v>
      </c>
      <c r="O190" s="15" t="n">
        <v>12.076</v>
      </c>
      <c r="P190" s="15" t="n">
        <v>48.129</v>
      </c>
      <c r="Q190" s="15" t="n"/>
      <c r="R190" s="15" t="n">
        <v>168.577</v>
      </c>
      <c r="S190" s="15" t="n">
        <v>157.15</v>
      </c>
      <c r="T190" s="15" t="n">
        <v>6.802</v>
      </c>
      <c r="U190" s="15" t="n">
        <v>4.364</v>
      </c>
      <c r="V190" s="15" t="n">
        <v>4.276</v>
      </c>
      <c r="W190" s="15" t="n">
        <v>20.458</v>
      </c>
      <c r="X190" s="15" t="n">
        <v>43.428</v>
      </c>
      <c r="Y190" s="15" t="n">
        <v>59.154</v>
      </c>
      <c r="Z190" s="15" t="n">
        <v>44.893</v>
      </c>
      <c r="AA190" s="15" t="n">
        <v>56.643</v>
      </c>
      <c r="AB190" s="15" t="n">
        <v>56.363</v>
      </c>
      <c r="AC190" s="15" t="n">
        <v>220.426</v>
      </c>
      <c r="AD190" s="16" t="n">
        <v>4239</v>
      </c>
      <c r="AE190" s="17">
        <f>IF(ISNUMBER(K190),K190,IF(AND(ISNUMBER(H190),ISNUMBER(I190)),H190+I190,IF(ISNUMBER(H190),H190,"")))</f>
        <v/>
      </c>
      <c r="AF190" s="18">
        <f>IF(OR(NOT(ISNUMBER(J190)),NOT(ISNUMBER(H190)),H190&lt;=0),기준표!$B$8,MIN(MAX(J190/H190,기준표!$B$6),기준표!$B$7))</f>
        <v/>
      </c>
      <c r="AG190" s="17">
        <f>IF(ISNUMBER(AE190),AE190*(1-AF190),"")</f>
        <v/>
      </c>
      <c r="AH190" s="17">
        <f>IF(AND(NOT(ISNUMBER(V190)),NOT(ISNUMBER(X190))),"",IF(ISNUMBER(V190),V190,0)+IF(ISNUMBER(X190),X190,0))</f>
        <v/>
      </c>
      <c r="AI190" s="17">
        <f>IF(E190="금융","",IF(AND(ISNUMBER(R190),ISNUMBER(AH190),ISNUMBER(T190)),R190+AH190-T190,""))</f>
        <v/>
      </c>
      <c r="AJ190" s="17">
        <f>IF(E190="금융","",IF(NOT(ISNUMBER(AI190)),"",IF(ISNUMBER(AC190),(AI190+AC190)/2,AI190)))</f>
        <v/>
      </c>
      <c r="AK190" s="19">
        <f>IF(AND(ISNUMBER(AG190),ISNUMBER(AJ190),AJ190&gt;0),AG190/AJ190,"")</f>
        <v/>
      </c>
      <c r="AL190" s="17">
        <f>IF(E190="금융","",IF(AND(ISNUMBER(R190),ISNUMBER(AH190)),R190+AH190,""))</f>
        <v/>
      </c>
      <c r="AM190" s="19">
        <f>IF(OR(NOT(ISNUMBER(AG190)),NOT(ISNUMBER(AL190)),AL190&lt;=0),"",IF(AND(ISNUMBER(G190),AL190&lt;0.1*G190),"",AG190/AL190))</f>
        <v/>
      </c>
      <c r="AN190" s="17">
        <f>IF(NOT(ISNUMBER(R190)),"",IF(ISNUMBER(S190),(R190+S190)/2,R190))</f>
        <v/>
      </c>
      <c r="AO190" s="19">
        <f>IF(AND(ISNUMBER(L190),ISNUMBER(AN190),AN190&gt;0),L190/AN190,"")</f>
        <v/>
      </c>
      <c r="AP190" s="19">
        <f>IF(AND(ISNUMBER(AO190),ISNUMBER({ROIC})),AO190-{ROIC},"")</f>
        <v/>
      </c>
      <c r="AQ190" s="17">
        <f>IF(AND(ISNUMBER(AE190),ISNUMBER(N190)),AE190+N190,"")</f>
        <v/>
      </c>
      <c r="AR190" s="20">
        <f>IF(AND(ISNUMBER(AH190),ISNUMBER(T190),ISNUMBER(AQ190),AQ190&gt;0),(AH190-T190)/AQ190,"")</f>
        <v/>
      </c>
      <c r="AS190" s="20">
        <f>IF(AND(ISNUMBER(AE190),ISNUMBER(I190),I190&lt;&gt;0,AE190&gt;0),AE190/I190,"")</f>
        <v/>
      </c>
      <c r="AT190" s="17">
        <f>IF(AND(ISNUMBER(Y190),ISNUMBER(AA190)),Y190-IF(ISNUMBER(T190),T190,0)-(AA190-IF(ISNUMBER(V190),V190,0)),"")</f>
        <v/>
      </c>
      <c r="AU190" s="17">
        <f>IF(AND(ISNUMBER(Z190),ISNUMBER(AB190)),Z190-IF(ISNUMBER(U190),U190,0)-(AB190-IF(ISNUMBER(W190),W190,0)),"")</f>
        <v/>
      </c>
      <c r="AV190" s="17">
        <f>IF(AND(ISNUMBER(AT190),ISNUMBER(AU190)),AT190-AU190,"")</f>
        <v/>
      </c>
      <c r="AW190" s="17">
        <f>IF(AND(ISNUMBER(L190),ISNUMBER(M190),ISNUMBER(AF190)),L190-M190*(1-AF190),IF(ISNUMBER(L190),L190,""))</f>
        <v/>
      </c>
      <c r="AX190" s="17">
        <f>IF(E190="금융","",IF(AND(ISNUMBER(AW190),ISNUMBER(N190),ISNUMBER(O190),ISNUMBER(AV190)),AW190+N190-O190-AV190,IF(AND(ISNUMBER(P190),ISNUMBER(O190)),P190-O190-IF(ISNUMBER(Q190),Q190,0),"")))</f>
        <v/>
      </c>
      <c r="AY190" s="8">
        <f>IF(E190="금융","금융업 - 정의되지 않음",IF(AND(ISNUMBER(AW190),ISNUMBER(N190),ISNUMBER(O190),ISNUMBER(AV190)),"영업순이익+감가상각-설비투자-운전자본증감",IF(AND(ISNUMBER(P190),ISNUMBER(O190)),IF(ISNUMBER(Q190),"영업현금흐름-설비투자-주식보상비용","영업현금흐름-설비투자(주식보상비용 미태깅)"),"산출불가")))</f>
        <v/>
      </c>
      <c r="AZ190" s="19">
        <f>IF(AND(ISNUMBER(AX190),ISNUMBER(G190),G190&lt;&gt;0),AX190/G190,"")</f>
        <v/>
      </c>
      <c r="BA190" s="19">
        <f>IF(AND(ISNUMBER(AE190),ISNUMBER(G190),G190&lt;&gt;0),AE190/G190,"")</f>
        <v/>
      </c>
    </row>
    <row r="191">
      <c r="A191" s="8" t="inlineStr">
        <is>
          <t>XOM</t>
        </is>
      </c>
      <c r="B191" s="8" t="inlineStr">
        <is>
          <t>EXXON MOBIL CORP</t>
        </is>
      </c>
      <c r="C191" s="8" t="n">
        <v>2022</v>
      </c>
      <c r="D191" s="8" t="inlineStr">
        <is>
          <t>2022-12-31</t>
        </is>
      </c>
      <c r="E191" s="8" t="inlineStr">
        <is>
          <t>일반</t>
        </is>
      </c>
      <c r="F191" s="8" t="inlineStr">
        <is>
          <t>0000034088-25-000010</t>
        </is>
      </c>
      <c r="G191" s="15" t="n">
        <v>413.68</v>
      </c>
      <c r="H191" s="15" t="n">
        <v>77.753</v>
      </c>
      <c r="I191" s="15" t="n">
        <v>0.798</v>
      </c>
      <c r="J191" s="15" t="n">
        <v>20.176</v>
      </c>
      <c r="K191" s="15" t="n"/>
      <c r="L191" s="15" t="n">
        <v>55.74</v>
      </c>
      <c r="M191" s="15" t="n"/>
      <c r="N191" s="15" t="n">
        <v>24.04</v>
      </c>
      <c r="O191" s="15" t="n">
        <v>18.407</v>
      </c>
      <c r="P191" s="15" t="n">
        <v>76.797</v>
      </c>
      <c r="Q191" s="15" t="n"/>
      <c r="R191" s="15" t="n">
        <v>195.049</v>
      </c>
      <c r="S191" s="15" t="n">
        <v>168.577</v>
      </c>
      <c r="T191" s="15" t="n">
        <v>29.64</v>
      </c>
      <c r="U191" s="15" t="n">
        <v>6.802</v>
      </c>
      <c r="V191" s="15" t="n">
        <v>0.634</v>
      </c>
      <c r="W191" s="15" t="n">
        <v>4.276</v>
      </c>
      <c r="X191" s="15" t="n">
        <v>40.559</v>
      </c>
      <c r="Y191" s="15" t="n">
        <v>97.631</v>
      </c>
      <c r="Z191" s="15" t="n">
        <v>59.154</v>
      </c>
      <c r="AA191" s="15" t="n">
        <v>69.045</v>
      </c>
      <c r="AB191" s="15" t="n">
        <v>56.643</v>
      </c>
      <c r="AC191" s="15" t="n">
        <v>209.479</v>
      </c>
      <c r="AD191" s="16" t="n">
        <v>4082</v>
      </c>
      <c r="AE191" s="17">
        <f>IF(ISNUMBER(K191),K191,IF(AND(ISNUMBER(H191),ISNUMBER(I191)),H191+I191,IF(ISNUMBER(H191),H191,"")))</f>
        <v/>
      </c>
      <c r="AF191" s="18">
        <f>IF(OR(NOT(ISNUMBER(J191)),NOT(ISNUMBER(H191)),H191&lt;=0),기준표!$B$8,MIN(MAX(J191/H191,기준표!$B$6),기준표!$B$7))</f>
        <v/>
      </c>
      <c r="AG191" s="17">
        <f>IF(ISNUMBER(AE191),AE191*(1-AF191),"")</f>
        <v/>
      </c>
      <c r="AH191" s="17">
        <f>IF(AND(NOT(ISNUMBER(V191)),NOT(ISNUMBER(X191))),"",IF(ISNUMBER(V191),V191,0)+IF(ISNUMBER(X191),X191,0))</f>
        <v/>
      </c>
      <c r="AI191" s="17">
        <f>IF(E191="금융","",IF(AND(ISNUMBER(R191),ISNUMBER(AH191),ISNUMBER(T191)),R191+AH191-T191,""))</f>
        <v/>
      </c>
      <c r="AJ191" s="17">
        <f>IF(E191="금융","",IF(NOT(ISNUMBER(AI191)),"",IF(ISNUMBER(AC191),(AI191+AC191)/2,AI191)))</f>
        <v/>
      </c>
      <c r="AK191" s="19">
        <f>IF(AND(ISNUMBER(AG191),ISNUMBER(AJ191),AJ191&gt;0),AG191/AJ191,"")</f>
        <v/>
      </c>
      <c r="AL191" s="17">
        <f>IF(E191="금융","",IF(AND(ISNUMBER(R191),ISNUMBER(AH191)),R191+AH191,""))</f>
        <v/>
      </c>
      <c r="AM191" s="19">
        <f>IF(OR(NOT(ISNUMBER(AG191)),NOT(ISNUMBER(AL191)),AL191&lt;=0),"",IF(AND(ISNUMBER(G191),AL191&lt;0.1*G191),"",AG191/AL191))</f>
        <v/>
      </c>
      <c r="AN191" s="17">
        <f>IF(NOT(ISNUMBER(R191)),"",IF(ISNUMBER(S191),(R191+S191)/2,R191))</f>
        <v/>
      </c>
      <c r="AO191" s="19">
        <f>IF(AND(ISNUMBER(L191),ISNUMBER(AN191),AN191&gt;0),L191/AN191,"")</f>
        <v/>
      </c>
      <c r="AP191" s="19">
        <f>IF(AND(ISNUMBER(AO191),ISNUMBER({ROIC})),AO191-{ROIC},"")</f>
        <v/>
      </c>
      <c r="AQ191" s="17">
        <f>IF(AND(ISNUMBER(AE191),ISNUMBER(N191)),AE191+N191,"")</f>
        <v/>
      </c>
      <c r="AR191" s="20">
        <f>IF(AND(ISNUMBER(AH191),ISNUMBER(T191),ISNUMBER(AQ191),AQ191&gt;0),(AH191-T191)/AQ191,"")</f>
        <v/>
      </c>
      <c r="AS191" s="20">
        <f>IF(AND(ISNUMBER(AE191),ISNUMBER(I191),I191&lt;&gt;0,AE191&gt;0),AE191/I191,"")</f>
        <v/>
      </c>
      <c r="AT191" s="17">
        <f>IF(AND(ISNUMBER(Y191),ISNUMBER(AA191)),Y191-IF(ISNUMBER(T191),T191,0)-(AA191-IF(ISNUMBER(V191),V191,0)),"")</f>
        <v/>
      </c>
      <c r="AU191" s="17">
        <f>IF(AND(ISNUMBER(Z191),ISNUMBER(AB191)),Z191-IF(ISNUMBER(U191),U191,0)-(AB191-IF(ISNUMBER(W191),W191,0)),"")</f>
        <v/>
      </c>
      <c r="AV191" s="17">
        <f>IF(AND(ISNUMBER(AT191),ISNUMBER(AU191)),AT191-AU191,"")</f>
        <v/>
      </c>
      <c r="AW191" s="17">
        <f>IF(AND(ISNUMBER(L191),ISNUMBER(M191),ISNUMBER(AF191)),L191-M191*(1-AF191),IF(ISNUMBER(L191),L191,""))</f>
        <v/>
      </c>
      <c r="AX191" s="17">
        <f>IF(E191="금융","",IF(AND(ISNUMBER(AW191),ISNUMBER(N191),ISNUMBER(O191),ISNUMBER(AV191)),AW191+N191-O191-AV191,IF(AND(ISNUMBER(P191),ISNUMBER(O191)),P191-O191-IF(ISNUMBER(Q191),Q191,0),"")))</f>
        <v/>
      </c>
      <c r="AY191" s="8">
        <f>IF(E191="금융","금융업 - 정의되지 않음",IF(AND(ISNUMBER(AW191),ISNUMBER(N191),ISNUMBER(O191),ISNUMBER(AV191)),"영업순이익+감가상각-설비투자-운전자본증감",IF(AND(ISNUMBER(P191),ISNUMBER(O191)),IF(ISNUMBER(Q191),"영업현금흐름-설비투자-주식보상비용","영업현금흐름-설비투자(주식보상비용 미태깅)"),"산출불가")))</f>
        <v/>
      </c>
      <c r="AZ191" s="19">
        <f>IF(AND(ISNUMBER(AX191),ISNUMBER(G191),G191&lt;&gt;0),AX191/G191,"")</f>
        <v/>
      </c>
      <c r="BA191" s="19">
        <f>IF(AND(ISNUMBER(AE191),ISNUMBER(G191),G191&lt;&gt;0),AE191/G191,"")</f>
        <v/>
      </c>
    </row>
    <row r="192">
      <c r="A192" s="8" t="inlineStr">
        <is>
          <t>XOM</t>
        </is>
      </c>
      <c r="B192" s="8" t="inlineStr">
        <is>
          <t>EXXON MOBIL CORP</t>
        </is>
      </c>
      <c r="C192" s="8" t="n">
        <v>2023</v>
      </c>
      <c r="D192" s="8" t="inlineStr">
        <is>
          <t>2023-12-31</t>
        </is>
      </c>
      <c r="E192" s="8" t="inlineStr">
        <is>
          <t>일반</t>
        </is>
      </c>
      <c r="F192" s="8" t="inlineStr">
        <is>
          <t>0000034088-26-000045</t>
        </is>
      </c>
      <c r="G192" s="15" t="n">
        <v>344.582</v>
      </c>
      <c r="H192" s="15" t="n">
        <v>52.783</v>
      </c>
      <c r="I192" s="15" t="n">
        <v>0.849</v>
      </c>
      <c r="J192" s="15" t="n">
        <v>15.429</v>
      </c>
      <c r="K192" s="15" t="n"/>
      <c r="L192" s="15" t="n">
        <v>36.01</v>
      </c>
      <c r="M192" s="15" t="n"/>
      <c r="N192" s="15" t="n">
        <v>20.641</v>
      </c>
      <c r="O192" s="15" t="n">
        <v>21.919</v>
      </c>
      <c r="P192" s="15" t="n">
        <v>55.369</v>
      </c>
      <c r="Q192" s="15" t="n"/>
      <c r="R192" s="15" t="n">
        <v>204.802</v>
      </c>
      <c r="S192" s="15" t="n">
        <v>195.049</v>
      </c>
      <c r="T192" s="15" t="n">
        <v>31.539</v>
      </c>
      <c r="U192" s="15" t="n">
        <v>29.64</v>
      </c>
      <c r="V192" s="15" t="n">
        <v>4.09</v>
      </c>
      <c r="W192" s="15" t="n">
        <v>0.634</v>
      </c>
      <c r="X192" s="15" t="n">
        <v>37.483</v>
      </c>
      <c r="Y192" s="15" t="n">
        <v>96.60899999999999</v>
      </c>
      <c r="Z192" s="15" t="n">
        <v>97.631</v>
      </c>
      <c r="AA192" s="15" t="n">
        <v>65.316</v>
      </c>
      <c r="AB192" s="15" t="n">
        <v>69.045</v>
      </c>
      <c r="AC192" s="15" t="n">
        <v>206.602</v>
      </c>
      <c r="AD192" s="16" t="n">
        <v>3971</v>
      </c>
      <c r="AE192" s="17">
        <f>IF(ISNUMBER(K192),K192,IF(AND(ISNUMBER(H192),ISNUMBER(I192)),H192+I192,IF(ISNUMBER(H192),H192,"")))</f>
        <v/>
      </c>
      <c r="AF192" s="18">
        <f>IF(OR(NOT(ISNUMBER(J192)),NOT(ISNUMBER(H192)),H192&lt;=0),기준표!$B$8,MIN(MAX(J192/H192,기준표!$B$6),기준표!$B$7))</f>
        <v/>
      </c>
      <c r="AG192" s="17">
        <f>IF(ISNUMBER(AE192),AE192*(1-AF192),"")</f>
        <v/>
      </c>
      <c r="AH192" s="17">
        <f>IF(AND(NOT(ISNUMBER(V192)),NOT(ISNUMBER(X192))),"",IF(ISNUMBER(V192),V192,0)+IF(ISNUMBER(X192),X192,0))</f>
        <v/>
      </c>
      <c r="AI192" s="17">
        <f>IF(E192="금융","",IF(AND(ISNUMBER(R192),ISNUMBER(AH192),ISNUMBER(T192)),R192+AH192-T192,""))</f>
        <v/>
      </c>
      <c r="AJ192" s="17">
        <f>IF(E192="금융","",IF(NOT(ISNUMBER(AI192)),"",IF(ISNUMBER(AC192),(AI192+AC192)/2,AI192)))</f>
        <v/>
      </c>
      <c r="AK192" s="19">
        <f>IF(AND(ISNUMBER(AG192),ISNUMBER(AJ192),AJ192&gt;0),AG192/AJ192,"")</f>
        <v/>
      </c>
      <c r="AL192" s="17">
        <f>IF(E192="금융","",IF(AND(ISNUMBER(R192),ISNUMBER(AH192)),R192+AH192,""))</f>
        <v/>
      </c>
      <c r="AM192" s="19">
        <f>IF(OR(NOT(ISNUMBER(AG192)),NOT(ISNUMBER(AL192)),AL192&lt;=0),"",IF(AND(ISNUMBER(G192),AL192&lt;0.1*G192),"",AG192/AL192))</f>
        <v/>
      </c>
      <c r="AN192" s="17">
        <f>IF(NOT(ISNUMBER(R192)),"",IF(ISNUMBER(S192),(R192+S192)/2,R192))</f>
        <v/>
      </c>
      <c r="AO192" s="19">
        <f>IF(AND(ISNUMBER(L192),ISNUMBER(AN192),AN192&gt;0),L192/AN192,"")</f>
        <v/>
      </c>
      <c r="AP192" s="19">
        <f>IF(AND(ISNUMBER(AO192),ISNUMBER({ROIC})),AO192-{ROIC},"")</f>
        <v/>
      </c>
      <c r="AQ192" s="17">
        <f>IF(AND(ISNUMBER(AE192),ISNUMBER(N192)),AE192+N192,"")</f>
        <v/>
      </c>
      <c r="AR192" s="20">
        <f>IF(AND(ISNUMBER(AH192),ISNUMBER(T192),ISNUMBER(AQ192),AQ192&gt;0),(AH192-T192)/AQ192,"")</f>
        <v/>
      </c>
      <c r="AS192" s="20">
        <f>IF(AND(ISNUMBER(AE192),ISNUMBER(I192),I192&lt;&gt;0,AE192&gt;0),AE192/I192,"")</f>
        <v/>
      </c>
      <c r="AT192" s="17">
        <f>IF(AND(ISNUMBER(Y192),ISNUMBER(AA192)),Y192-IF(ISNUMBER(T192),T192,0)-(AA192-IF(ISNUMBER(V192),V192,0)),"")</f>
        <v/>
      </c>
      <c r="AU192" s="17">
        <f>IF(AND(ISNUMBER(Z192),ISNUMBER(AB192)),Z192-IF(ISNUMBER(U192),U192,0)-(AB192-IF(ISNUMBER(W192),W192,0)),"")</f>
        <v/>
      </c>
      <c r="AV192" s="17">
        <f>IF(AND(ISNUMBER(AT192),ISNUMBER(AU192)),AT192-AU192,"")</f>
        <v/>
      </c>
      <c r="AW192" s="17">
        <f>IF(AND(ISNUMBER(L192),ISNUMBER(M192),ISNUMBER(AF192)),L192-M192*(1-AF192),IF(ISNUMBER(L192),L192,""))</f>
        <v/>
      </c>
      <c r="AX192" s="17">
        <f>IF(E192="금융","",IF(AND(ISNUMBER(AW192),ISNUMBER(N192),ISNUMBER(O192),ISNUMBER(AV192)),AW192+N192-O192-AV192,IF(AND(ISNUMBER(P192),ISNUMBER(O192)),P192-O192-IF(ISNUMBER(Q192),Q192,0),"")))</f>
        <v/>
      </c>
      <c r="AY192" s="8">
        <f>IF(E192="금융","금융업 - 정의되지 않음",IF(AND(ISNUMBER(AW192),ISNUMBER(N192),ISNUMBER(O192),ISNUMBER(AV192)),"영업순이익+감가상각-설비투자-운전자본증감",IF(AND(ISNUMBER(P192),ISNUMBER(O192)),IF(ISNUMBER(Q192),"영업현금흐름-설비투자-주식보상비용","영업현금흐름-설비투자(주식보상비용 미태깅)"),"산출불가")))</f>
        <v/>
      </c>
      <c r="AZ192" s="19">
        <f>IF(AND(ISNUMBER(AX192),ISNUMBER(G192),G192&lt;&gt;0),AX192/G192,"")</f>
        <v/>
      </c>
      <c r="BA192" s="19">
        <f>IF(AND(ISNUMBER(AE192),ISNUMBER(G192),G192&lt;&gt;0),AE192/G192,"")</f>
        <v/>
      </c>
    </row>
    <row r="193">
      <c r="A193" s="8" t="inlineStr">
        <is>
          <t>XOM</t>
        </is>
      </c>
      <c r="B193" s="8" t="inlineStr">
        <is>
          <t>EXXON MOBIL CORP</t>
        </is>
      </c>
      <c r="C193" s="8" t="n">
        <v>2024</v>
      </c>
      <c r="D193" s="8" t="inlineStr">
        <is>
          <t>2024-12-31</t>
        </is>
      </c>
      <c r="E193" s="8" t="inlineStr">
        <is>
          <t>일반</t>
        </is>
      </c>
      <c r="F193" s="8" t="inlineStr">
        <is>
          <t>0000034088-26-000045</t>
        </is>
      </c>
      <c r="G193" s="15" t="n">
        <v>349.585</v>
      </c>
      <c r="H193" s="15" t="n">
        <v>48.873</v>
      </c>
      <c r="I193" s="15" t="n">
        <v>0.996</v>
      </c>
      <c r="J193" s="15" t="n">
        <v>13.81</v>
      </c>
      <c r="K193" s="15" t="n"/>
      <c r="L193" s="15" t="n">
        <v>33.68</v>
      </c>
      <c r="M193" s="15" t="n"/>
      <c r="N193" s="15" t="n">
        <v>23.442</v>
      </c>
      <c r="O193" s="15" t="n">
        <v>24.306</v>
      </c>
      <c r="P193" s="15" t="n">
        <v>55.022</v>
      </c>
      <c r="Q193" s="15" t="n"/>
      <c r="R193" s="15" t="n">
        <v>263.705</v>
      </c>
      <c r="S193" s="15" t="n">
        <v>204.802</v>
      </c>
      <c r="T193" s="15" t="n">
        <v>23.029</v>
      </c>
      <c r="U193" s="15" t="n">
        <v>31.539</v>
      </c>
      <c r="V193" s="15" t="n">
        <v>4.955</v>
      </c>
      <c r="W193" s="15" t="n">
        <v>4.09</v>
      </c>
      <c r="X193" s="15" t="n">
        <v>36.755</v>
      </c>
      <c r="Y193" s="15" t="n">
        <v>91.98999999999999</v>
      </c>
      <c r="Z193" s="15" t="n">
        <v>96.60899999999999</v>
      </c>
      <c r="AA193" s="15" t="n">
        <v>70.307</v>
      </c>
      <c r="AB193" s="15" t="n">
        <v>65.316</v>
      </c>
      <c r="AC193" s="15" t="n">
        <v>214.836</v>
      </c>
      <c r="AD193" s="16" t="n">
        <v>4353</v>
      </c>
      <c r="AE193" s="17">
        <f>IF(ISNUMBER(K193),K193,IF(AND(ISNUMBER(H193),ISNUMBER(I193)),H193+I193,IF(ISNUMBER(H193),H193,"")))</f>
        <v/>
      </c>
      <c r="AF193" s="18">
        <f>IF(OR(NOT(ISNUMBER(J193)),NOT(ISNUMBER(H193)),H193&lt;=0),기준표!$B$8,MIN(MAX(J193/H193,기준표!$B$6),기준표!$B$7))</f>
        <v/>
      </c>
      <c r="AG193" s="17">
        <f>IF(ISNUMBER(AE193),AE193*(1-AF193),"")</f>
        <v/>
      </c>
      <c r="AH193" s="17">
        <f>IF(AND(NOT(ISNUMBER(V193)),NOT(ISNUMBER(X193))),"",IF(ISNUMBER(V193),V193,0)+IF(ISNUMBER(X193),X193,0))</f>
        <v/>
      </c>
      <c r="AI193" s="17">
        <f>IF(E193="금융","",IF(AND(ISNUMBER(R193),ISNUMBER(AH193),ISNUMBER(T193)),R193+AH193-T193,""))</f>
        <v/>
      </c>
      <c r="AJ193" s="17">
        <f>IF(E193="금융","",IF(NOT(ISNUMBER(AI193)),"",IF(ISNUMBER(AC193),(AI193+AC193)/2,AI193)))</f>
        <v/>
      </c>
      <c r="AK193" s="19">
        <f>IF(AND(ISNUMBER(AG193),ISNUMBER(AJ193),AJ193&gt;0),AG193/AJ193,"")</f>
        <v/>
      </c>
      <c r="AL193" s="17">
        <f>IF(E193="금융","",IF(AND(ISNUMBER(R193),ISNUMBER(AH193)),R193+AH193,""))</f>
        <v/>
      </c>
      <c r="AM193" s="19">
        <f>IF(OR(NOT(ISNUMBER(AG193)),NOT(ISNUMBER(AL193)),AL193&lt;=0),"",IF(AND(ISNUMBER(G193),AL193&lt;0.1*G193),"",AG193/AL193))</f>
        <v/>
      </c>
      <c r="AN193" s="17">
        <f>IF(NOT(ISNUMBER(R193)),"",IF(ISNUMBER(S193),(R193+S193)/2,R193))</f>
        <v/>
      </c>
      <c r="AO193" s="19">
        <f>IF(AND(ISNUMBER(L193),ISNUMBER(AN193),AN193&gt;0),L193/AN193,"")</f>
        <v/>
      </c>
      <c r="AP193" s="19">
        <f>IF(AND(ISNUMBER(AO193),ISNUMBER({ROIC})),AO193-{ROIC},"")</f>
        <v/>
      </c>
      <c r="AQ193" s="17">
        <f>IF(AND(ISNUMBER(AE193),ISNUMBER(N193)),AE193+N193,"")</f>
        <v/>
      </c>
      <c r="AR193" s="20">
        <f>IF(AND(ISNUMBER(AH193),ISNUMBER(T193),ISNUMBER(AQ193),AQ193&gt;0),(AH193-T193)/AQ193,"")</f>
        <v/>
      </c>
      <c r="AS193" s="20">
        <f>IF(AND(ISNUMBER(AE193),ISNUMBER(I193),I193&lt;&gt;0,AE193&gt;0),AE193/I193,"")</f>
        <v/>
      </c>
      <c r="AT193" s="17">
        <f>IF(AND(ISNUMBER(Y193),ISNUMBER(AA193)),Y193-IF(ISNUMBER(T193),T193,0)-(AA193-IF(ISNUMBER(V193),V193,0)),"")</f>
        <v/>
      </c>
      <c r="AU193" s="17">
        <f>IF(AND(ISNUMBER(Z193),ISNUMBER(AB193)),Z193-IF(ISNUMBER(U193),U193,0)-(AB193-IF(ISNUMBER(W193),W193,0)),"")</f>
        <v/>
      </c>
      <c r="AV193" s="17">
        <f>IF(AND(ISNUMBER(AT193),ISNUMBER(AU193)),AT193-AU193,"")</f>
        <v/>
      </c>
      <c r="AW193" s="17">
        <f>IF(AND(ISNUMBER(L193),ISNUMBER(M193),ISNUMBER(AF193)),L193-M193*(1-AF193),IF(ISNUMBER(L193),L193,""))</f>
        <v/>
      </c>
      <c r="AX193" s="17">
        <f>IF(E193="금융","",IF(AND(ISNUMBER(AW193),ISNUMBER(N193),ISNUMBER(O193),ISNUMBER(AV193)),AW193+N193-O193-AV193,IF(AND(ISNUMBER(P193),ISNUMBER(O193)),P193-O193-IF(ISNUMBER(Q193),Q193,0),"")))</f>
        <v/>
      </c>
      <c r="AY193" s="8">
        <f>IF(E193="금융","금융업 - 정의되지 않음",IF(AND(ISNUMBER(AW193),ISNUMBER(N193),ISNUMBER(O193),ISNUMBER(AV193)),"영업순이익+감가상각-설비투자-운전자본증감",IF(AND(ISNUMBER(P193),ISNUMBER(O193)),IF(ISNUMBER(Q193),"영업현금흐름-설비투자-주식보상비용","영업현금흐름-설비투자(주식보상비용 미태깅)"),"산출불가")))</f>
        <v/>
      </c>
      <c r="AZ193" s="19">
        <f>IF(AND(ISNUMBER(AX193),ISNUMBER(G193),G193&lt;&gt;0),AX193/G193,"")</f>
        <v/>
      </c>
      <c r="BA193" s="19">
        <f>IF(AND(ISNUMBER(AE193),ISNUMBER(G193),G193&lt;&gt;0),AE193/G193,"")</f>
        <v/>
      </c>
    </row>
    <row r="194">
      <c r="A194" s="8" t="inlineStr">
        <is>
          <t>XOM</t>
        </is>
      </c>
      <c r="B194" s="8" t="inlineStr">
        <is>
          <t>EXXON MOBIL CORP</t>
        </is>
      </c>
      <c r="C194" s="8" t="n">
        <v>2025</v>
      </c>
      <c r="D194" s="8" t="inlineStr">
        <is>
          <t>2025-12-31</t>
        </is>
      </c>
      <c r="E194" s="8" t="inlineStr">
        <is>
          <t>일반</t>
        </is>
      </c>
      <c r="F194" s="8" t="inlineStr">
        <is>
          <t>0000034088-26-000045</t>
        </is>
      </c>
      <c r="G194" s="15" t="n">
        <v>332.238</v>
      </c>
      <c r="H194" s="15" t="n">
        <v>41.268</v>
      </c>
      <c r="I194" s="15" t="n">
        <v>0.603</v>
      </c>
      <c r="J194" s="15" t="n">
        <v>11.504</v>
      </c>
      <c r="K194" s="15" t="n"/>
      <c r="L194" s="15" t="n">
        <v>28.844</v>
      </c>
      <c r="M194" s="15" t="n"/>
      <c r="N194" s="15" t="n">
        <v>25.993</v>
      </c>
      <c r="O194" s="15" t="n">
        <v>28.358</v>
      </c>
      <c r="P194" s="15" t="n">
        <v>51.97</v>
      </c>
      <c r="Q194" s="15" t="n"/>
      <c r="R194" s="15" t="n">
        <v>259.386</v>
      </c>
      <c r="S194" s="15" t="n">
        <v>263.705</v>
      </c>
      <c r="T194" s="15" t="n">
        <v>10.681</v>
      </c>
      <c r="U194" s="15" t="n">
        <v>23.029</v>
      </c>
      <c r="V194" s="15" t="n">
        <v>9.295999999999999</v>
      </c>
      <c r="W194" s="15" t="n">
        <v>4.955</v>
      </c>
      <c r="X194" s="15" t="n">
        <v>34.241</v>
      </c>
      <c r="Y194" s="15" t="n">
        <v>83.38200000000001</v>
      </c>
      <c r="Z194" s="15" t="n">
        <v>91.98999999999999</v>
      </c>
      <c r="AA194" s="15" t="n">
        <v>72.33</v>
      </c>
      <c r="AB194" s="15" t="n">
        <v>70.307</v>
      </c>
      <c r="AC194" s="15" t="n">
        <v>282.386</v>
      </c>
      <c r="AD194" s="16" t="n">
        <v>4179</v>
      </c>
      <c r="AE194" s="17">
        <f>IF(ISNUMBER(K194),K194,IF(AND(ISNUMBER(H194),ISNUMBER(I194)),H194+I194,IF(ISNUMBER(H194),H194,"")))</f>
        <v/>
      </c>
      <c r="AF194" s="18">
        <f>IF(OR(NOT(ISNUMBER(J194)),NOT(ISNUMBER(H194)),H194&lt;=0),기준표!$B$8,MIN(MAX(J194/H194,기준표!$B$6),기준표!$B$7))</f>
        <v/>
      </c>
      <c r="AG194" s="17">
        <f>IF(ISNUMBER(AE194),AE194*(1-AF194),"")</f>
        <v/>
      </c>
      <c r="AH194" s="17">
        <f>IF(AND(NOT(ISNUMBER(V194)),NOT(ISNUMBER(X194))),"",IF(ISNUMBER(V194),V194,0)+IF(ISNUMBER(X194),X194,0))</f>
        <v/>
      </c>
      <c r="AI194" s="17">
        <f>IF(E194="금융","",IF(AND(ISNUMBER(R194),ISNUMBER(AH194),ISNUMBER(T194)),R194+AH194-T194,""))</f>
        <v/>
      </c>
      <c r="AJ194" s="17">
        <f>IF(E194="금융","",IF(NOT(ISNUMBER(AI194)),"",IF(ISNUMBER(AC194),(AI194+AC194)/2,AI194)))</f>
        <v/>
      </c>
      <c r="AK194" s="19">
        <f>IF(AND(ISNUMBER(AG194),ISNUMBER(AJ194),AJ194&gt;0),AG194/AJ194,"")</f>
        <v/>
      </c>
      <c r="AL194" s="17">
        <f>IF(E194="금융","",IF(AND(ISNUMBER(R194),ISNUMBER(AH194)),R194+AH194,""))</f>
        <v/>
      </c>
      <c r="AM194" s="19">
        <f>IF(OR(NOT(ISNUMBER(AG194)),NOT(ISNUMBER(AL194)),AL194&lt;=0),"",IF(AND(ISNUMBER(G194),AL194&lt;0.1*G194),"",AG194/AL194))</f>
        <v/>
      </c>
      <c r="AN194" s="17">
        <f>IF(NOT(ISNUMBER(R194)),"",IF(ISNUMBER(S194),(R194+S194)/2,R194))</f>
        <v/>
      </c>
      <c r="AO194" s="19">
        <f>IF(AND(ISNUMBER(L194),ISNUMBER(AN194),AN194&gt;0),L194/AN194,"")</f>
        <v/>
      </c>
      <c r="AP194" s="19">
        <f>IF(AND(ISNUMBER(AO194),ISNUMBER({ROIC})),AO194-{ROIC},"")</f>
        <v/>
      </c>
      <c r="AQ194" s="17">
        <f>IF(AND(ISNUMBER(AE194),ISNUMBER(N194)),AE194+N194,"")</f>
        <v/>
      </c>
      <c r="AR194" s="20">
        <f>IF(AND(ISNUMBER(AH194),ISNUMBER(T194),ISNUMBER(AQ194),AQ194&gt;0),(AH194-T194)/AQ194,"")</f>
        <v/>
      </c>
      <c r="AS194" s="20">
        <f>IF(AND(ISNUMBER(AE194),ISNUMBER(I194),I194&lt;&gt;0,AE194&gt;0),AE194/I194,"")</f>
        <v/>
      </c>
      <c r="AT194" s="17">
        <f>IF(AND(ISNUMBER(Y194),ISNUMBER(AA194)),Y194-IF(ISNUMBER(T194),T194,0)-(AA194-IF(ISNUMBER(V194),V194,0)),"")</f>
        <v/>
      </c>
      <c r="AU194" s="17">
        <f>IF(AND(ISNUMBER(Z194),ISNUMBER(AB194)),Z194-IF(ISNUMBER(U194),U194,0)-(AB194-IF(ISNUMBER(W194),W194,0)),"")</f>
        <v/>
      </c>
      <c r="AV194" s="17">
        <f>IF(AND(ISNUMBER(AT194),ISNUMBER(AU194)),AT194-AU194,"")</f>
        <v/>
      </c>
      <c r="AW194" s="17">
        <f>IF(AND(ISNUMBER(L194),ISNUMBER(M194),ISNUMBER(AF194)),L194-M194*(1-AF194),IF(ISNUMBER(L194),L194,""))</f>
        <v/>
      </c>
      <c r="AX194" s="17">
        <f>IF(E194="금융","",IF(AND(ISNUMBER(AW194),ISNUMBER(N194),ISNUMBER(O194),ISNUMBER(AV194)),AW194+N194-O194-AV194,IF(AND(ISNUMBER(P194),ISNUMBER(O194)),P194-O194-IF(ISNUMBER(Q194),Q194,0),"")))</f>
        <v/>
      </c>
      <c r="AY194" s="8">
        <f>IF(E194="금융","금융업 - 정의되지 않음",IF(AND(ISNUMBER(AW194),ISNUMBER(N194),ISNUMBER(O194),ISNUMBER(AV194)),"영업순이익+감가상각-설비투자-운전자본증감",IF(AND(ISNUMBER(P194),ISNUMBER(O194)),IF(ISNUMBER(Q194),"영업현금흐름-설비투자-주식보상비용","영업현금흐름-설비투자(주식보상비용 미태깅)"),"산출불가")))</f>
        <v/>
      </c>
      <c r="AZ194" s="19">
        <f>IF(AND(ISNUMBER(AX194),ISNUMBER(G194),G194&lt;&gt;0),AX194/G194,"")</f>
        <v/>
      </c>
      <c r="BA194" s="19">
        <f>IF(AND(ISNUMBER(AE194),ISNUMBER(G194),G194&lt;&gt;0),AE194/G194,"")</f>
        <v/>
      </c>
    </row>
    <row r="195">
      <c r="A195" s="8" t="inlineStr">
        <is>
          <t>JNJ</t>
        </is>
      </c>
      <c r="B195" s="8" t="inlineStr">
        <is>
          <t>JOHNSON &amp; JOHNSON</t>
        </is>
      </c>
      <c r="C195" s="8" t="n">
        <v>2014</v>
      </c>
      <c r="D195" s="8" t="inlineStr">
        <is>
          <t>2014-12-28</t>
        </is>
      </c>
      <c r="E195" s="8" t="inlineStr">
        <is>
          <t>일반</t>
        </is>
      </c>
      <c r="F195" s="8" t="inlineStr">
        <is>
          <t>0000200406-17-000006</t>
        </is>
      </c>
      <c r="G195" s="15" t="n"/>
      <c r="H195" s="15" t="n">
        <v>20.563</v>
      </c>
      <c r="I195" s="15" t="n"/>
      <c r="J195" s="15" t="n">
        <v>4.24</v>
      </c>
      <c r="K195" s="15" t="n">
        <v>21.59</v>
      </c>
      <c r="L195" s="15" t="n">
        <v>16.323</v>
      </c>
      <c r="M195" s="15" t="n"/>
      <c r="N195" s="15" t="n">
        <v>3.895</v>
      </c>
      <c r="O195" s="15" t="n">
        <v>3.714</v>
      </c>
      <c r="P195" s="15" t="n">
        <v>18.71</v>
      </c>
      <c r="Q195" s="15" t="n">
        <v>0.792</v>
      </c>
      <c r="R195" s="15" t="n">
        <v>69.752</v>
      </c>
      <c r="S195" s="15" t="n"/>
      <c r="T195" s="15" t="n">
        <v>33.089</v>
      </c>
      <c r="U195" s="15" t="n"/>
      <c r="V195" s="15" t="n">
        <v>3.6</v>
      </c>
      <c r="W195" s="15" t="n"/>
      <c r="X195" s="15" t="n">
        <v>15.122</v>
      </c>
      <c r="Y195" s="15" t="n">
        <v>55.744</v>
      </c>
      <c r="Z195" s="15" t="n"/>
      <c r="AA195" s="15" t="n">
        <v>25.031</v>
      </c>
      <c r="AB195" s="15" t="n"/>
      <c r="AC195" s="15" t="n"/>
      <c r="AD195" s="16" t="n">
        <v>2863.9</v>
      </c>
      <c r="AE195" s="17">
        <f>IF(ISNUMBER(K195),K195,IF(AND(ISNUMBER(H195),ISNUMBER(I195)),H195+I195,IF(ISNUMBER(H195),H195,"")))</f>
        <v/>
      </c>
      <c r="AF195" s="18">
        <f>IF(OR(NOT(ISNUMBER(J195)),NOT(ISNUMBER(H195)),H195&lt;=0),기준표!$B$8,MIN(MAX(J195/H195,기준표!$B$6),기준표!$B$7))</f>
        <v/>
      </c>
      <c r="AG195" s="17">
        <f>IF(ISNUMBER(AE195),AE195*(1-AF195),"")</f>
        <v/>
      </c>
      <c r="AH195" s="17">
        <f>IF(AND(NOT(ISNUMBER(V195)),NOT(ISNUMBER(X195))),"",IF(ISNUMBER(V195),V195,0)+IF(ISNUMBER(X195),X195,0))</f>
        <v/>
      </c>
      <c r="AI195" s="17">
        <f>IF(E195="금융","",IF(AND(ISNUMBER(R195),ISNUMBER(AH195),ISNUMBER(T195)),R195+AH195-T195,""))</f>
        <v/>
      </c>
      <c r="AJ195" s="17">
        <f>IF(E195="금융","",IF(NOT(ISNUMBER(AI195)),"",IF(ISNUMBER(AC195),(AI195+AC195)/2,AI195)))</f>
        <v/>
      </c>
      <c r="AK195" s="19">
        <f>IF(AND(ISNUMBER(AG195),ISNUMBER(AJ195),AJ195&gt;0),AG195/AJ195,"")</f>
        <v/>
      </c>
      <c r="AL195" s="17">
        <f>IF(E195="금융","",IF(AND(ISNUMBER(R195),ISNUMBER(AH195)),R195+AH195,""))</f>
        <v/>
      </c>
      <c r="AM195" s="19">
        <f>IF(OR(NOT(ISNUMBER(AG195)),NOT(ISNUMBER(AL195)),AL195&lt;=0),"",IF(AND(ISNUMBER(G195),AL195&lt;0.1*G195),"",AG195/AL195))</f>
        <v/>
      </c>
      <c r="AN195" s="17">
        <f>IF(NOT(ISNUMBER(R195)),"",IF(ISNUMBER(S195),(R195+S195)/2,R195))</f>
        <v/>
      </c>
      <c r="AO195" s="19">
        <f>IF(AND(ISNUMBER(L195),ISNUMBER(AN195),AN195&gt;0),L195/AN195,"")</f>
        <v/>
      </c>
      <c r="AP195" s="19">
        <f>IF(AND(ISNUMBER(AO195),ISNUMBER({ROIC})),AO195-{ROIC},"")</f>
        <v/>
      </c>
      <c r="AQ195" s="17">
        <f>IF(AND(ISNUMBER(AE195),ISNUMBER(N195)),AE195+N195,"")</f>
        <v/>
      </c>
      <c r="AR195" s="20">
        <f>IF(AND(ISNUMBER(AH195),ISNUMBER(T195),ISNUMBER(AQ195),AQ195&gt;0),(AH195-T195)/AQ195,"")</f>
        <v/>
      </c>
      <c r="AS195" s="20">
        <f>IF(AND(ISNUMBER(AE195),ISNUMBER(I195),I195&lt;&gt;0,AE195&gt;0),AE195/I195,"")</f>
        <v/>
      </c>
      <c r="AT195" s="17">
        <f>IF(AND(ISNUMBER(Y195),ISNUMBER(AA195)),Y195-IF(ISNUMBER(T195),T195,0)-(AA195-IF(ISNUMBER(V195),V195,0)),"")</f>
        <v/>
      </c>
      <c r="AU195" s="17">
        <f>IF(AND(ISNUMBER(Z195),ISNUMBER(AB195)),Z195-IF(ISNUMBER(U195),U195,0)-(AB195-IF(ISNUMBER(W195),W195,0)),"")</f>
        <v/>
      </c>
      <c r="AV195" s="17">
        <f>IF(AND(ISNUMBER(AT195),ISNUMBER(AU195)),AT195-AU195,"")</f>
        <v/>
      </c>
      <c r="AW195" s="17">
        <f>IF(AND(ISNUMBER(L195),ISNUMBER(M195),ISNUMBER(AF195)),L195-M195*(1-AF195),IF(ISNUMBER(L195),L195,""))</f>
        <v/>
      </c>
      <c r="AX195" s="17">
        <f>IF(E195="금융","",IF(AND(ISNUMBER(AW195),ISNUMBER(N195),ISNUMBER(O195),ISNUMBER(AV195)),AW195+N195-O195-AV195,IF(AND(ISNUMBER(P195),ISNUMBER(O195)),P195-O195-IF(ISNUMBER(Q195),Q195,0),"")))</f>
        <v/>
      </c>
      <c r="AY195" s="8">
        <f>IF(E195="금융","금융업 - 정의되지 않음",IF(AND(ISNUMBER(AW195),ISNUMBER(N195),ISNUMBER(O195),ISNUMBER(AV195)),"영업순이익+감가상각-설비투자-운전자본증감",IF(AND(ISNUMBER(P195),ISNUMBER(O195)),IF(ISNUMBER(Q195),"영업현금흐름-설비투자-주식보상비용","영업현금흐름-설비투자(주식보상비용 미태깅)"),"산출불가")))</f>
        <v/>
      </c>
      <c r="AZ195" s="19">
        <f>IF(AND(ISNUMBER(AX195),ISNUMBER(G195),G195&lt;&gt;0),AX195/G195,"")</f>
        <v/>
      </c>
      <c r="BA195" s="19">
        <f>IF(AND(ISNUMBER(AE195),ISNUMBER(G195),G195&lt;&gt;0),AE195/G195,"")</f>
        <v/>
      </c>
    </row>
    <row r="196">
      <c r="A196" s="8" t="inlineStr">
        <is>
          <t>JNJ</t>
        </is>
      </c>
      <c r="B196" s="8" t="inlineStr">
        <is>
          <t>JOHNSON &amp; JOHNSON</t>
        </is>
      </c>
      <c r="C196" s="8" t="n">
        <v>2015</v>
      </c>
      <c r="D196" s="8" t="inlineStr">
        <is>
          <t>2016-01-03</t>
        </is>
      </c>
      <c r="E196" s="8" t="inlineStr">
        <is>
          <t>일반</t>
        </is>
      </c>
      <c r="F196" s="8" t="inlineStr">
        <is>
          <t>0000200406-18-000005</t>
        </is>
      </c>
      <c r="G196" s="15" t="n"/>
      <c r="H196" s="15" t="n">
        <v>19.196</v>
      </c>
      <c r="I196" s="15" t="n"/>
      <c r="J196" s="15" t="n">
        <v>3.787</v>
      </c>
      <c r="K196" s="15" t="n"/>
      <c r="L196" s="15" t="n">
        <v>15.409</v>
      </c>
      <c r="M196" s="15" t="n"/>
      <c r="N196" s="15" t="n">
        <v>3.746</v>
      </c>
      <c r="O196" s="15" t="n">
        <v>3.463</v>
      </c>
      <c r="P196" s="15" t="n">
        <v>19.569</v>
      </c>
      <c r="Q196" s="15" t="n">
        <v>0.874</v>
      </c>
      <c r="R196" s="15" t="n">
        <v>71.15000000000001</v>
      </c>
      <c r="S196" s="15" t="n">
        <v>69.752</v>
      </c>
      <c r="T196" s="15" t="n">
        <v>38.376</v>
      </c>
      <c r="U196" s="15" t="n">
        <v>33.089</v>
      </c>
      <c r="V196" s="15" t="n">
        <v>7</v>
      </c>
      <c r="W196" s="15" t="n">
        <v>3.6</v>
      </c>
      <c r="X196" s="15" t="n">
        <v>12.857</v>
      </c>
      <c r="Y196" s="15" t="n">
        <v>60.21</v>
      </c>
      <c r="Z196" s="15" t="n">
        <v>55.744</v>
      </c>
      <c r="AA196" s="15" t="n">
        <v>27.747</v>
      </c>
      <c r="AB196" s="15" t="n">
        <v>25.031</v>
      </c>
      <c r="AC196" s="15" t="n">
        <v>55.385</v>
      </c>
      <c r="AD196" s="16" t="n">
        <v>2812.9</v>
      </c>
      <c r="AE196" s="17">
        <f>IF(ISNUMBER(K196),K196,IF(AND(ISNUMBER(H196),ISNUMBER(I196)),H196+I196,IF(ISNUMBER(H196),H196,"")))</f>
        <v/>
      </c>
      <c r="AF196" s="18">
        <f>IF(OR(NOT(ISNUMBER(J196)),NOT(ISNUMBER(H196)),H196&lt;=0),기준표!$B$8,MIN(MAX(J196/H196,기준표!$B$6),기준표!$B$7))</f>
        <v/>
      </c>
      <c r="AG196" s="17">
        <f>IF(ISNUMBER(AE196),AE196*(1-AF196),"")</f>
        <v/>
      </c>
      <c r="AH196" s="17">
        <f>IF(AND(NOT(ISNUMBER(V196)),NOT(ISNUMBER(X196))),"",IF(ISNUMBER(V196),V196,0)+IF(ISNUMBER(X196),X196,0))</f>
        <v/>
      </c>
      <c r="AI196" s="17">
        <f>IF(E196="금융","",IF(AND(ISNUMBER(R196),ISNUMBER(AH196),ISNUMBER(T196)),R196+AH196-T196,""))</f>
        <v/>
      </c>
      <c r="AJ196" s="17">
        <f>IF(E196="금융","",IF(NOT(ISNUMBER(AI196)),"",IF(ISNUMBER(AC196),(AI196+AC196)/2,AI196)))</f>
        <v/>
      </c>
      <c r="AK196" s="19">
        <f>IF(AND(ISNUMBER(AG196),ISNUMBER(AJ196),AJ196&gt;0),AG196/AJ196,"")</f>
        <v/>
      </c>
      <c r="AL196" s="17">
        <f>IF(E196="금융","",IF(AND(ISNUMBER(R196),ISNUMBER(AH196)),R196+AH196,""))</f>
        <v/>
      </c>
      <c r="AM196" s="19">
        <f>IF(OR(NOT(ISNUMBER(AG196)),NOT(ISNUMBER(AL196)),AL196&lt;=0),"",IF(AND(ISNUMBER(G196),AL196&lt;0.1*G196),"",AG196/AL196))</f>
        <v/>
      </c>
      <c r="AN196" s="17">
        <f>IF(NOT(ISNUMBER(R196)),"",IF(ISNUMBER(S196),(R196+S196)/2,R196))</f>
        <v/>
      </c>
      <c r="AO196" s="19">
        <f>IF(AND(ISNUMBER(L196),ISNUMBER(AN196),AN196&gt;0),L196/AN196,"")</f>
        <v/>
      </c>
      <c r="AP196" s="19">
        <f>IF(AND(ISNUMBER(AO196),ISNUMBER({ROIC})),AO196-{ROIC},"")</f>
        <v/>
      </c>
      <c r="AQ196" s="17">
        <f>IF(AND(ISNUMBER(AE196),ISNUMBER(N196)),AE196+N196,"")</f>
        <v/>
      </c>
      <c r="AR196" s="20">
        <f>IF(AND(ISNUMBER(AH196),ISNUMBER(T196),ISNUMBER(AQ196),AQ196&gt;0),(AH196-T196)/AQ196,"")</f>
        <v/>
      </c>
      <c r="AS196" s="20">
        <f>IF(AND(ISNUMBER(AE196),ISNUMBER(I196),I196&lt;&gt;0,AE196&gt;0),AE196/I196,"")</f>
        <v/>
      </c>
      <c r="AT196" s="17">
        <f>IF(AND(ISNUMBER(Y196),ISNUMBER(AA196)),Y196-IF(ISNUMBER(T196),T196,0)-(AA196-IF(ISNUMBER(V196),V196,0)),"")</f>
        <v/>
      </c>
      <c r="AU196" s="17">
        <f>IF(AND(ISNUMBER(Z196),ISNUMBER(AB196)),Z196-IF(ISNUMBER(U196),U196,0)-(AB196-IF(ISNUMBER(W196),W196,0)),"")</f>
        <v/>
      </c>
      <c r="AV196" s="17">
        <f>IF(AND(ISNUMBER(AT196),ISNUMBER(AU196)),AT196-AU196,"")</f>
        <v/>
      </c>
      <c r="AW196" s="17">
        <f>IF(AND(ISNUMBER(L196),ISNUMBER(M196),ISNUMBER(AF196)),L196-M196*(1-AF196),IF(ISNUMBER(L196),L196,""))</f>
        <v/>
      </c>
      <c r="AX196" s="17">
        <f>IF(E196="금융","",IF(AND(ISNUMBER(AW196),ISNUMBER(N196),ISNUMBER(O196),ISNUMBER(AV196)),AW196+N196-O196-AV196,IF(AND(ISNUMBER(P196),ISNUMBER(O196)),P196-O196-IF(ISNUMBER(Q196),Q196,0),"")))</f>
        <v/>
      </c>
      <c r="AY196" s="8">
        <f>IF(E196="금융","금융업 - 정의되지 않음",IF(AND(ISNUMBER(AW196),ISNUMBER(N196),ISNUMBER(O196),ISNUMBER(AV196)),"영업순이익+감가상각-설비투자-운전자본증감",IF(AND(ISNUMBER(P196),ISNUMBER(O196)),IF(ISNUMBER(Q196),"영업현금흐름-설비투자-주식보상비용","영업현금흐름-설비투자(주식보상비용 미태깅)"),"산출불가")))</f>
        <v/>
      </c>
      <c r="AZ196" s="19">
        <f>IF(AND(ISNUMBER(AX196),ISNUMBER(G196),G196&lt;&gt;0),AX196/G196,"")</f>
        <v/>
      </c>
      <c r="BA196" s="19">
        <f>IF(AND(ISNUMBER(AE196),ISNUMBER(G196),G196&lt;&gt;0),AE196/G196,"")</f>
        <v/>
      </c>
    </row>
    <row r="197">
      <c r="A197" s="8" t="inlineStr">
        <is>
          <t>JNJ</t>
        </is>
      </c>
      <c r="B197" s="8" t="inlineStr">
        <is>
          <t>JOHNSON &amp; JOHNSON</t>
        </is>
      </c>
      <c r="C197" s="8" t="n">
        <v>2016</v>
      </c>
      <c r="D197" s="8" t="inlineStr">
        <is>
          <t>2017-01-01</t>
        </is>
      </c>
      <c r="E197" s="8" t="inlineStr">
        <is>
          <t>일반</t>
        </is>
      </c>
      <c r="F197" s="8" t="inlineStr">
        <is>
          <t>0000200406-19-000009</t>
        </is>
      </c>
      <c r="G197" s="15" t="n">
        <v>71.89</v>
      </c>
      <c r="H197" s="15" t="n">
        <v>19.803</v>
      </c>
      <c r="I197" s="15" t="n"/>
      <c r="J197" s="15" t="n">
        <v>3.263</v>
      </c>
      <c r="K197" s="15" t="n"/>
      <c r="L197" s="15" t="n">
        <v>16.54</v>
      </c>
      <c r="M197" s="15" t="n"/>
      <c r="N197" s="15" t="n">
        <v>3.754</v>
      </c>
      <c r="O197" s="15" t="n">
        <v>3.226</v>
      </c>
      <c r="P197" s="15" t="n">
        <v>18.767</v>
      </c>
      <c r="Q197" s="15" t="n">
        <v>0.878</v>
      </c>
      <c r="R197" s="15" t="n">
        <v>70.41800000000001</v>
      </c>
      <c r="S197" s="15" t="n">
        <v>71.15000000000001</v>
      </c>
      <c r="T197" s="15" t="n">
        <v>41.907</v>
      </c>
      <c r="U197" s="15" t="n">
        <v>38.376</v>
      </c>
      <c r="V197" s="15" t="n">
        <v>4.7</v>
      </c>
      <c r="W197" s="15" t="n">
        <v>7</v>
      </c>
      <c r="X197" s="15" t="n">
        <v>22.442</v>
      </c>
      <c r="Y197" s="15" t="n">
        <v>65.032</v>
      </c>
      <c r="Z197" s="15" t="n">
        <v>60.21</v>
      </c>
      <c r="AA197" s="15" t="n">
        <v>26.287</v>
      </c>
      <c r="AB197" s="15" t="n">
        <v>27.747</v>
      </c>
      <c r="AC197" s="15" t="n">
        <v>52.631</v>
      </c>
      <c r="AD197" s="16" t="n">
        <v>2788.9</v>
      </c>
      <c r="AE197" s="17">
        <f>IF(ISNUMBER(K197),K197,IF(AND(ISNUMBER(H197),ISNUMBER(I197)),H197+I197,IF(ISNUMBER(H197),H197,"")))</f>
        <v/>
      </c>
      <c r="AF197" s="18">
        <f>IF(OR(NOT(ISNUMBER(J197)),NOT(ISNUMBER(H197)),H197&lt;=0),기준표!$B$8,MIN(MAX(J197/H197,기준표!$B$6),기준표!$B$7))</f>
        <v/>
      </c>
      <c r="AG197" s="17">
        <f>IF(ISNUMBER(AE197),AE197*(1-AF197),"")</f>
        <v/>
      </c>
      <c r="AH197" s="17">
        <f>IF(AND(NOT(ISNUMBER(V197)),NOT(ISNUMBER(X197))),"",IF(ISNUMBER(V197),V197,0)+IF(ISNUMBER(X197),X197,0))</f>
        <v/>
      </c>
      <c r="AI197" s="17">
        <f>IF(E197="금융","",IF(AND(ISNUMBER(R197),ISNUMBER(AH197),ISNUMBER(T197)),R197+AH197-T197,""))</f>
        <v/>
      </c>
      <c r="AJ197" s="17">
        <f>IF(E197="금융","",IF(NOT(ISNUMBER(AI197)),"",IF(ISNUMBER(AC197),(AI197+AC197)/2,AI197)))</f>
        <v/>
      </c>
      <c r="AK197" s="19">
        <f>IF(AND(ISNUMBER(AG197),ISNUMBER(AJ197),AJ197&gt;0),AG197/AJ197,"")</f>
        <v/>
      </c>
      <c r="AL197" s="17">
        <f>IF(E197="금융","",IF(AND(ISNUMBER(R197),ISNUMBER(AH197)),R197+AH197,""))</f>
        <v/>
      </c>
      <c r="AM197" s="19">
        <f>IF(OR(NOT(ISNUMBER(AG197)),NOT(ISNUMBER(AL197)),AL197&lt;=0),"",IF(AND(ISNUMBER(G197),AL197&lt;0.1*G197),"",AG197/AL197))</f>
        <v/>
      </c>
      <c r="AN197" s="17">
        <f>IF(NOT(ISNUMBER(R197)),"",IF(ISNUMBER(S197),(R197+S197)/2,R197))</f>
        <v/>
      </c>
      <c r="AO197" s="19">
        <f>IF(AND(ISNUMBER(L197),ISNUMBER(AN197),AN197&gt;0),L197/AN197,"")</f>
        <v/>
      </c>
      <c r="AP197" s="19">
        <f>IF(AND(ISNUMBER(AO197),ISNUMBER({ROIC})),AO197-{ROIC},"")</f>
        <v/>
      </c>
      <c r="AQ197" s="17">
        <f>IF(AND(ISNUMBER(AE197),ISNUMBER(N197)),AE197+N197,"")</f>
        <v/>
      </c>
      <c r="AR197" s="20">
        <f>IF(AND(ISNUMBER(AH197),ISNUMBER(T197),ISNUMBER(AQ197),AQ197&gt;0),(AH197-T197)/AQ197,"")</f>
        <v/>
      </c>
      <c r="AS197" s="20">
        <f>IF(AND(ISNUMBER(AE197),ISNUMBER(I197),I197&lt;&gt;0,AE197&gt;0),AE197/I197,"")</f>
        <v/>
      </c>
      <c r="AT197" s="17">
        <f>IF(AND(ISNUMBER(Y197),ISNUMBER(AA197)),Y197-IF(ISNUMBER(T197),T197,0)-(AA197-IF(ISNUMBER(V197),V197,0)),"")</f>
        <v/>
      </c>
      <c r="AU197" s="17">
        <f>IF(AND(ISNUMBER(Z197),ISNUMBER(AB197)),Z197-IF(ISNUMBER(U197),U197,0)-(AB197-IF(ISNUMBER(W197),W197,0)),"")</f>
        <v/>
      </c>
      <c r="AV197" s="17">
        <f>IF(AND(ISNUMBER(AT197),ISNUMBER(AU197)),AT197-AU197,"")</f>
        <v/>
      </c>
      <c r="AW197" s="17">
        <f>IF(AND(ISNUMBER(L197),ISNUMBER(M197),ISNUMBER(AF197)),L197-M197*(1-AF197),IF(ISNUMBER(L197),L197,""))</f>
        <v/>
      </c>
      <c r="AX197" s="17">
        <f>IF(E197="금융","",IF(AND(ISNUMBER(AW197),ISNUMBER(N197),ISNUMBER(O197),ISNUMBER(AV197)),AW197+N197-O197-AV197,IF(AND(ISNUMBER(P197),ISNUMBER(O197)),P197-O197-IF(ISNUMBER(Q197),Q197,0),"")))</f>
        <v/>
      </c>
      <c r="AY197" s="8">
        <f>IF(E197="금융","금융업 - 정의되지 않음",IF(AND(ISNUMBER(AW197),ISNUMBER(N197),ISNUMBER(O197),ISNUMBER(AV197)),"영업순이익+감가상각-설비투자-운전자본증감",IF(AND(ISNUMBER(P197),ISNUMBER(O197)),IF(ISNUMBER(Q197),"영업현금흐름-설비투자-주식보상비용","영업현금흐름-설비투자(주식보상비용 미태깅)"),"산출불가")))</f>
        <v/>
      </c>
      <c r="AZ197" s="19">
        <f>IF(AND(ISNUMBER(AX197),ISNUMBER(G197),G197&lt;&gt;0),AX197/G197,"")</f>
        <v/>
      </c>
      <c r="BA197" s="19">
        <f>IF(AND(ISNUMBER(AE197),ISNUMBER(G197),G197&lt;&gt;0),AE197/G197,"")</f>
        <v/>
      </c>
    </row>
    <row r="198">
      <c r="A198" s="8" t="inlineStr">
        <is>
          <t>JNJ</t>
        </is>
      </c>
      <c r="B198" s="8" t="inlineStr">
        <is>
          <t>JOHNSON &amp; JOHNSON</t>
        </is>
      </c>
      <c r="C198" s="8" t="n">
        <v>2017</v>
      </c>
      <c r="D198" s="8" t="inlineStr">
        <is>
          <t>2017-12-31</t>
        </is>
      </c>
      <c r="E198" s="8" t="inlineStr">
        <is>
          <t>일반</t>
        </is>
      </c>
      <c r="F198" s="8" t="inlineStr">
        <is>
          <t>0000200406-20-000010</t>
        </is>
      </c>
      <c r="G198" s="15" t="n">
        <v>76.45</v>
      </c>
      <c r="H198" s="15" t="n">
        <v>17.673</v>
      </c>
      <c r="I198" s="15" t="n"/>
      <c r="J198" s="15" t="n">
        <v>16.373</v>
      </c>
      <c r="K198" s="15" t="n"/>
      <c r="L198" s="15" t="n">
        <v>1.3</v>
      </c>
      <c r="M198" s="15" t="n"/>
      <c r="N198" s="15" t="n">
        <v>5.642</v>
      </c>
      <c r="O198" s="15" t="n">
        <v>3.279</v>
      </c>
      <c r="P198" s="15" t="n">
        <v>21.056</v>
      </c>
      <c r="Q198" s="15" t="n">
        <v>0.962</v>
      </c>
      <c r="R198" s="15" t="n">
        <v>60.16</v>
      </c>
      <c r="S198" s="15" t="n">
        <v>70.41800000000001</v>
      </c>
      <c r="T198" s="15" t="n">
        <v>18.296</v>
      </c>
      <c r="U198" s="15" t="n">
        <v>41.907</v>
      </c>
      <c r="V198" s="15" t="n">
        <v>3.9</v>
      </c>
      <c r="W198" s="15" t="n">
        <v>4.7</v>
      </c>
      <c r="X198" s="15" t="n">
        <v>30.675</v>
      </c>
      <c r="Y198" s="15" t="n">
        <v>43.088</v>
      </c>
      <c r="Z198" s="15" t="n">
        <v>65.032</v>
      </c>
      <c r="AA198" s="15" t="n">
        <v>30.537</v>
      </c>
      <c r="AB198" s="15" t="n">
        <v>26.287</v>
      </c>
      <c r="AC198" s="15" t="n">
        <v>55.653</v>
      </c>
      <c r="AD198" s="16" t="n">
        <v>2745.3</v>
      </c>
      <c r="AE198" s="17">
        <f>IF(ISNUMBER(K198),K198,IF(AND(ISNUMBER(H198),ISNUMBER(I198)),H198+I198,IF(ISNUMBER(H198),H198,"")))</f>
        <v/>
      </c>
      <c r="AF198" s="18">
        <f>IF(OR(NOT(ISNUMBER(J198)),NOT(ISNUMBER(H198)),H198&lt;=0),기준표!$B$8,MIN(MAX(J198/H198,기준표!$B$6),기준표!$B$7))</f>
        <v/>
      </c>
      <c r="AG198" s="17">
        <f>IF(ISNUMBER(AE198),AE198*(1-AF198),"")</f>
        <v/>
      </c>
      <c r="AH198" s="17">
        <f>IF(AND(NOT(ISNUMBER(V198)),NOT(ISNUMBER(X198))),"",IF(ISNUMBER(V198),V198,0)+IF(ISNUMBER(X198),X198,0))</f>
        <v/>
      </c>
      <c r="AI198" s="17">
        <f>IF(E198="금융","",IF(AND(ISNUMBER(R198),ISNUMBER(AH198),ISNUMBER(T198)),R198+AH198-T198,""))</f>
        <v/>
      </c>
      <c r="AJ198" s="17">
        <f>IF(E198="금융","",IF(NOT(ISNUMBER(AI198)),"",IF(ISNUMBER(AC198),(AI198+AC198)/2,AI198)))</f>
        <v/>
      </c>
      <c r="AK198" s="19">
        <f>IF(AND(ISNUMBER(AG198),ISNUMBER(AJ198),AJ198&gt;0),AG198/AJ198,"")</f>
        <v/>
      </c>
      <c r="AL198" s="17">
        <f>IF(E198="금융","",IF(AND(ISNUMBER(R198),ISNUMBER(AH198)),R198+AH198,""))</f>
        <v/>
      </c>
      <c r="AM198" s="19">
        <f>IF(OR(NOT(ISNUMBER(AG198)),NOT(ISNUMBER(AL198)),AL198&lt;=0),"",IF(AND(ISNUMBER(G198),AL198&lt;0.1*G198),"",AG198/AL198))</f>
        <v/>
      </c>
      <c r="AN198" s="17">
        <f>IF(NOT(ISNUMBER(R198)),"",IF(ISNUMBER(S198),(R198+S198)/2,R198))</f>
        <v/>
      </c>
      <c r="AO198" s="19">
        <f>IF(AND(ISNUMBER(L198),ISNUMBER(AN198),AN198&gt;0),L198/AN198,"")</f>
        <v/>
      </c>
      <c r="AP198" s="19">
        <f>IF(AND(ISNUMBER(AO198),ISNUMBER({ROIC})),AO198-{ROIC},"")</f>
        <v/>
      </c>
      <c r="AQ198" s="17">
        <f>IF(AND(ISNUMBER(AE198),ISNUMBER(N198)),AE198+N198,"")</f>
        <v/>
      </c>
      <c r="AR198" s="20">
        <f>IF(AND(ISNUMBER(AH198),ISNUMBER(T198),ISNUMBER(AQ198),AQ198&gt;0),(AH198-T198)/AQ198,"")</f>
        <v/>
      </c>
      <c r="AS198" s="20">
        <f>IF(AND(ISNUMBER(AE198),ISNUMBER(I198),I198&lt;&gt;0,AE198&gt;0),AE198/I198,"")</f>
        <v/>
      </c>
      <c r="AT198" s="17">
        <f>IF(AND(ISNUMBER(Y198),ISNUMBER(AA198)),Y198-IF(ISNUMBER(T198),T198,0)-(AA198-IF(ISNUMBER(V198),V198,0)),"")</f>
        <v/>
      </c>
      <c r="AU198" s="17">
        <f>IF(AND(ISNUMBER(Z198),ISNUMBER(AB198)),Z198-IF(ISNUMBER(U198),U198,0)-(AB198-IF(ISNUMBER(W198),W198,0)),"")</f>
        <v/>
      </c>
      <c r="AV198" s="17">
        <f>IF(AND(ISNUMBER(AT198),ISNUMBER(AU198)),AT198-AU198,"")</f>
        <v/>
      </c>
      <c r="AW198" s="17">
        <f>IF(AND(ISNUMBER(L198),ISNUMBER(M198),ISNUMBER(AF198)),L198-M198*(1-AF198),IF(ISNUMBER(L198),L198,""))</f>
        <v/>
      </c>
      <c r="AX198" s="17">
        <f>IF(E198="금융","",IF(AND(ISNUMBER(AW198),ISNUMBER(N198),ISNUMBER(O198),ISNUMBER(AV198)),AW198+N198-O198-AV198,IF(AND(ISNUMBER(P198),ISNUMBER(O198)),P198-O198-IF(ISNUMBER(Q198),Q198,0),"")))</f>
        <v/>
      </c>
      <c r="AY198" s="8">
        <f>IF(E198="금융","금융업 - 정의되지 않음",IF(AND(ISNUMBER(AW198),ISNUMBER(N198),ISNUMBER(O198),ISNUMBER(AV198)),"영업순이익+감가상각-설비투자-운전자본증감",IF(AND(ISNUMBER(P198),ISNUMBER(O198)),IF(ISNUMBER(Q198),"영업현금흐름-설비투자-주식보상비용","영업현금흐름-설비투자(주식보상비용 미태깅)"),"산출불가")))</f>
        <v/>
      </c>
      <c r="AZ198" s="19">
        <f>IF(AND(ISNUMBER(AX198),ISNUMBER(G198),G198&lt;&gt;0),AX198/G198,"")</f>
        <v/>
      </c>
      <c r="BA198" s="19">
        <f>IF(AND(ISNUMBER(AE198),ISNUMBER(G198),G198&lt;&gt;0),AE198/G198,"")</f>
        <v/>
      </c>
    </row>
    <row r="199">
      <c r="A199" s="8" t="inlineStr">
        <is>
          <t>JNJ</t>
        </is>
      </c>
      <c r="B199" s="8" t="inlineStr">
        <is>
          <t>JOHNSON &amp; JOHNSON</t>
        </is>
      </c>
      <c r="C199" s="8" t="n">
        <v>2018</v>
      </c>
      <c r="D199" s="8" t="inlineStr">
        <is>
          <t>2018-12-30</t>
        </is>
      </c>
      <c r="E199" s="8" t="inlineStr">
        <is>
          <t>일반</t>
        </is>
      </c>
      <c r="F199" s="8" t="inlineStr">
        <is>
          <t>0000200406-21-000008</t>
        </is>
      </c>
      <c r="G199" s="15" t="n">
        <v>81.581</v>
      </c>
      <c r="H199" s="15" t="n">
        <v>17.999</v>
      </c>
      <c r="I199" s="15" t="n"/>
      <c r="J199" s="15" t="n">
        <v>2.702</v>
      </c>
      <c r="K199" s="15" t="n"/>
      <c r="L199" s="15" t="n">
        <v>15.297</v>
      </c>
      <c r="M199" s="15" t="n"/>
      <c r="N199" s="15" t="n">
        <v>6.929</v>
      </c>
      <c r="O199" s="15" t="n">
        <v>3.67</v>
      </c>
      <c r="P199" s="15" t="n">
        <v>22.201</v>
      </c>
      <c r="Q199" s="15" t="n">
        <v>0.978</v>
      </c>
      <c r="R199" s="15" t="n">
        <v>59.752</v>
      </c>
      <c r="S199" s="15" t="n">
        <v>60.16</v>
      </c>
      <c r="T199" s="15" t="n">
        <v>19.687</v>
      </c>
      <c r="U199" s="15" t="n">
        <v>18.296</v>
      </c>
      <c r="V199" s="15" t="n">
        <v>2.8</v>
      </c>
      <c r="W199" s="15" t="n">
        <v>3.9</v>
      </c>
      <c r="X199" s="15" t="n">
        <v>27.684</v>
      </c>
      <c r="Y199" s="15" t="n">
        <v>46.033</v>
      </c>
      <c r="Z199" s="15" t="n">
        <v>43.088</v>
      </c>
      <c r="AA199" s="15" t="n">
        <v>31.23</v>
      </c>
      <c r="AB199" s="15" t="n">
        <v>30.537</v>
      </c>
      <c r="AC199" s="15" t="n">
        <v>76.43899999999999</v>
      </c>
      <c r="AD199" s="16" t="n">
        <v>2728.7</v>
      </c>
      <c r="AE199" s="17">
        <f>IF(ISNUMBER(K199),K199,IF(AND(ISNUMBER(H199),ISNUMBER(I199)),H199+I199,IF(ISNUMBER(H199),H199,"")))</f>
        <v/>
      </c>
      <c r="AF199" s="18">
        <f>IF(OR(NOT(ISNUMBER(J199)),NOT(ISNUMBER(H199)),H199&lt;=0),기준표!$B$8,MIN(MAX(J199/H199,기준표!$B$6),기준표!$B$7))</f>
        <v/>
      </c>
      <c r="AG199" s="17">
        <f>IF(ISNUMBER(AE199),AE199*(1-AF199),"")</f>
        <v/>
      </c>
      <c r="AH199" s="17">
        <f>IF(AND(NOT(ISNUMBER(V199)),NOT(ISNUMBER(X199))),"",IF(ISNUMBER(V199),V199,0)+IF(ISNUMBER(X199),X199,0))</f>
        <v/>
      </c>
      <c r="AI199" s="17">
        <f>IF(E199="금융","",IF(AND(ISNUMBER(R199),ISNUMBER(AH199),ISNUMBER(T199)),R199+AH199-T199,""))</f>
        <v/>
      </c>
      <c r="AJ199" s="17">
        <f>IF(E199="금융","",IF(NOT(ISNUMBER(AI199)),"",IF(ISNUMBER(AC199),(AI199+AC199)/2,AI199)))</f>
        <v/>
      </c>
      <c r="AK199" s="19">
        <f>IF(AND(ISNUMBER(AG199),ISNUMBER(AJ199),AJ199&gt;0),AG199/AJ199,"")</f>
        <v/>
      </c>
      <c r="AL199" s="17">
        <f>IF(E199="금융","",IF(AND(ISNUMBER(R199),ISNUMBER(AH199)),R199+AH199,""))</f>
        <v/>
      </c>
      <c r="AM199" s="19">
        <f>IF(OR(NOT(ISNUMBER(AG199)),NOT(ISNUMBER(AL199)),AL199&lt;=0),"",IF(AND(ISNUMBER(G199),AL199&lt;0.1*G199),"",AG199/AL199))</f>
        <v/>
      </c>
      <c r="AN199" s="17">
        <f>IF(NOT(ISNUMBER(R199)),"",IF(ISNUMBER(S199),(R199+S199)/2,R199))</f>
        <v/>
      </c>
      <c r="AO199" s="19">
        <f>IF(AND(ISNUMBER(L199),ISNUMBER(AN199),AN199&gt;0),L199/AN199,"")</f>
        <v/>
      </c>
      <c r="AP199" s="19">
        <f>IF(AND(ISNUMBER(AO199),ISNUMBER({ROIC})),AO199-{ROIC},"")</f>
        <v/>
      </c>
      <c r="AQ199" s="17">
        <f>IF(AND(ISNUMBER(AE199),ISNUMBER(N199)),AE199+N199,"")</f>
        <v/>
      </c>
      <c r="AR199" s="20">
        <f>IF(AND(ISNUMBER(AH199),ISNUMBER(T199),ISNUMBER(AQ199),AQ199&gt;0),(AH199-T199)/AQ199,"")</f>
        <v/>
      </c>
      <c r="AS199" s="20">
        <f>IF(AND(ISNUMBER(AE199),ISNUMBER(I199),I199&lt;&gt;0,AE199&gt;0),AE199/I199,"")</f>
        <v/>
      </c>
      <c r="AT199" s="17">
        <f>IF(AND(ISNUMBER(Y199),ISNUMBER(AA199)),Y199-IF(ISNUMBER(T199),T199,0)-(AA199-IF(ISNUMBER(V199),V199,0)),"")</f>
        <v/>
      </c>
      <c r="AU199" s="17">
        <f>IF(AND(ISNUMBER(Z199),ISNUMBER(AB199)),Z199-IF(ISNUMBER(U199),U199,0)-(AB199-IF(ISNUMBER(W199),W199,0)),"")</f>
        <v/>
      </c>
      <c r="AV199" s="17">
        <f>IF(AND(ISNUMBER(AT199),ISNUMBER(AU199)),AT199-AU199,"")</f>
        <v/>
      </c>
      <c r="AW199" s="17">
        <f>IF(AND(ISNUMBER(L199),ISNUMBER(M199),ISNUMBER(AF199)),L199-M199*(1-AF199),IF(ISNUMBER(L199),L199,""))</f>
        <v/>
      </c>
      <c r="AX199" s="17">
        <f>IF(E199="금융","",IF(AND(ISNUMBER(AW199),ISNUMBER(N199),ISNUMBER(O199),ISNUMBER(AV199)),AW199+N199-O199-AV199,IF(AND(ISNUMBER(P199),ISNUMBER(O199)),P199-O199-IF(ISNUMBER(Q199),Q199,0),"")))</f>
        <v/>
      </c>
      <c r="AY199" s="8">
        <f>IF(E199="금융","금융업 - 정의되지 않음",IF(AND(ISNUMBER(AW199),ISNUMBER(N199),ISNUMBER(O199),ISNUMBER(AV199)),"영업순이익+감가상각-설비투자-운전자본증감",IF(AND(ISNUMBER(P199),ISNUMBER(O199)),IF(ISNUMBER(Q199),"영업현금흐름-설비투자-주식보상비용","영업현금흐름-설비투자(주식보상비용 미태깅)"),"산출불가")))</f>
        <v/>
      </c>
      <c r="AZ199" s="19">
        <f>IF(AND(ISNUMBER(AX199),ISNUMBER(G199),G199&lt;&gt;0),AX199/G199,"")</f>
        <v/>
      </c>
      <c r="BA199" s="19">
        <f>IF(AND(ISNUMBER(AE199),ISNUMBER(G199),G199&lt;&gt;0),AE199/G199,"")</f>
        <v/>
      </c>
    </row>
    <row r="200">
      <c r="A200" s="8" t="inlineStr">
        <is>
          <t>JNJ</t>
        </is>
      </c>
      <c r="B200" s="8" t="inlineStr">
        <is>
          <t>JOHNSON &amp; JOHNSON</t>
        </is>
      </c>
      <c r="C200" s="8" t="n">
        <v>2019</v>
      </c>
      <c r="D200" s="8" t="inlineStr">
        <is>
          <t>2019-12-29</t>
        </is>
      </c>
      <c r="E200" s="8" t="inlineStr">
        <is>
          <t>일반</t>
        </is>
      </c>
      <c r="F200" s="8" t="inlineStr">
        <is>
          <t>0000200406-22-000022</t>
        </is>
      </c>
      <c r="G200" s="15" t="n">
        <v>82.059</v>
      </c>
      <c r="H200" s="15" t="n">
        <v>17.328</v>
      </c>
      <c r="I200" s="15" t="n"/>
      <c r="J200" s="15" t="n">
        <v>2.209</v>
      </c>
      <c r="K200" s="15" t="n"/>
      <c r="L200" s="15" t="n">
        <v>15.119</v>
      </c>
      <c r="M200" s="15" t="n"/>
      <c r="N200" s="15" t="n">
        <v>7.009</v>
      </c>
      <c r="O200" s="15" t="n">
        <v>3.498</v>
      </c>
      <c r="P200" s="15" t="n">
        <v>23.416</v>
      </c>
      <c r="Q200" s="15" t="n">
        <v>0.977</v>
      </c>
      <c r="R200" s="15" t="n">
        <v>59.471</v>
      </c>
      <c r="S200" s="15" t="n">
        <v>59.752</v>
      </c>
      <c r="T200" s="15" t="n">
        <v>19.287</v>
      </c>
      <c r="U200" s="15" t="n">
        <v>19.687</v>
      </c>
      <c r="V200" s="15" t="n">
        <v>1.2</v>
      </c>
      <c r="W200" s="15" t="n">
        <v>2.8</v>
      </c>
      <c r="X200" s="15" t="n">
        <v>26.494</v>
      </c>
      <c r="Y200" s="15" t="n">
        <v>45.274</v>
      </c>
      <c r="Z200" s="15" t="n">
        <v>46.033</v>
      </c>
      <c r="AA200" s="15" t="n">
        <v>35.964</v>
      </c>
      <c r="AB200" s="15" t="n">
        <v>31.23</v>
      </c>
      <c r="AC200" s="15" t="n">
        <v>70.54900000000001</v>
      </c>
      <c r="AD200" s="16" t="n">
        <v>2684.3</v>
      </c>
      <c r="AE200" s="17">
        <f>IF(ISNUMBER(K200),K200,IF(AND(ISNUMBER(H200),ISNUMBER(I200)),H200+I200,IF(ISNUMBER(H200),H200,"")))</f>
        <v/>
      </c>
      <c r="AF200" s="18">
        <f>IF(OR(NOT(ISNUMBER(J200)),NOT(ISNUMBER(H200)),H200&lt;=0),기준표!$B$8,MIN(MAX(J200/H200,기준표!$B$6),기준표!$B$7))</f>
        <v/>
      </c>
      <c r="AG200" s="17">
        <f>IF(ISNUMBER(AE200),AE200*(1-AF200),"")</f>
        <v/>
      </c>
      <c r="AH200" s="17">
        <f>IF(AND(NOT(ISNUMBER(V200)),NOT(ISNUMBER(X200))),"",IF(ISNUMBER(V200),V200,0)+IF(ISNUMBER(X200),X200,0))</f>
        <v/>
      </c>
      <c r="AI200" s="17">
        <f>IF(E200="금융","",IF(AND(ISNUMBER(R200),ISNUMBER(AH200),ISNUMBER(T200)),R200+AH200-T200,""))</f>
        <v/>
      </c>
      <c r="AJ200" s="17">
        <f>IF(E200="금융","",IF(NOT(ISNUMBER(AI200)),"",IF(ISNUMBER(AC200),(AI200+AC200)/2,AI200)))</f>
        <v/>
      </c>
      <c r="AK200" s="19">
        <f>IF(AND(ISNUMBER(AG200),ISNUMBER(AJ200),AJ200&gt;0),AG200/AJ200,"")</f>
        <v/>
      </c>
      <c r="AL200" s="17">
        <f>IF(E200="금융","",IF(AND(ISNUMBER(R200),ISNUMBER(AH200)),R200+AH200,""))</f>
        <v/>
      </c>
      <c r="AM200" s="19">
        <f>IF(OR(NOT(ISNUMBER(AG200)),NOT(ISNUMBER(AL200)),AL200&lt;=0),"",IF(AND(ISNUMBER(G200),AL200&lt;0.1*G200),"",AG200/AL200))</f>
        <v/>
      </c>
      <c r="AN200" s="17">
        <f>IF(NOT(ISNUMBER(R200)),"",IF(ISNUMBER(S200),(R200+S200)/2,R200))</f>
        <v/>
      </c>
      <c r="AO200" s="19">
        <f>IF(AND(ISNUMBER(L200),ISNUMBER(AN200),AN200&gt;0),L200/AN200,"")</f>
        <v/>
      </c>
      <c r="AP200" s="19">
        <f>IF(AND(ISNUMBER(AO200),ISNUMBER({ROIC})),AO200-{ROIC},"")</f>
        <v/>
      </c>
      <c r="AQ200" s="17">
        <f>IF(AND(ISNUMBER(AE200),ISNUMBER(N200)),AE200+N200,"")</f>
        <v/>
      </c>
      <c r="AR200" s="20">
        <f>IF(AND(ISNUMBER(AH200),ISNUMBER(T200),ISNUMBER(AQ200),AQ200&gt;0),(AH200-T200)/AQ200,"")</f>
        <v/>
      </c>
      <c r="AS200" s="20">
        <f>IF(AND(ISNUMBER(AE200),ISNUMBER(I200),I200&lt;&gt;0,AE200&gt;0),AE200/I200,"")</f>
        <v/>
      </c>
      <c r="AT200" s="17">
        <f>IF(AND(ISNUMBER(Y200),ISNUMBER(AA200)),Y200-IF(ISNUMBER(T200),T200,0)-(AA200-IF(ISNUMBER(V200),V200,0)),"")</f>
        <v/>
      </c>
      <c r="AU200" s="17">
        <f>IF(AND(ISNUMBER(Z200),ISNUMBER(AB200)),Z200-IF(ISNUMBER(U200),U200,0)-(AB200-IF(ISNUMBER(W200),W200,0)),"")</f>
        <v/>
      </c>
      <c r="AV200" s="17">
        <f>IF(AND(ISNUMBER(AT200),ISNUMBER(AU200)),AT200-AU200,"")</f>
        <v/>
      </c>
      <c r="AW200" s="17">
        <f>IF(AND(ISNUMBER(L200),ISNUMBER(M200),ISNUMBER(AF200)),L200-M200*(1-AF200),IF(ISNUMBER(L200),L200,""))</f>
        <v/>
      </c>
      <c r="AX200" s="17">
        <f>IF(E200="금융","",IF(AND(ISNUMBER(AW200),ISNUMBER(N200),ISNUMBER(O200),ISNUMBER(AV200)),AW200+N200-O200-AV200,IF(AND(ISNUMBER(P200),ISNUMBER(O200)),P200-O200-IF(ISNUMBER(Q200),Q200,0),"")))</f>
        <v/>
      </c>
      <c r="AY200" s="8">
        <f>IF(E200="금융","금융업 - 정의되지 않음",IF(AND(ISNUMBER(AW200),ISNUMBER(N200),ISNUMBER(O200),ISNUMBER(AV200)),"영업순이익+감가상각-설비투자-운전자본증감",IF(AND(ISNUMBER(P200),ISNUMBER(O200)),IF(ISNUMBER(Q200),"영업현금흐름-설비투자-주식보상비용","영업현금흐름-설비투자(주식보상비용 미태깅)"),"산출불가")))</f>
        <v/>
      </c>
      <c r="AZ200" s="19">
        <f>IF(AND(ISNUMBER(AX200),ISNUMBER(G200),G200&lt;&gt;0),AX200/G200,"")</f>
        <v/>
      </c>
      <c r="BA200" s="19">
        <f>IF(AND(ISNUMBER(AE200),ISNUMBER(G200),G200&lt;&gt;0),AE200/G200,"")</f>
        <v/>
      </c>
    </row>
    <row r="201">
      <c r="A201" s="8" t="inlineStr">
        <is>
          <t>JNJ</t>
        </is>
      </c>
      <c r="B201" s="8" t="inlineStr">
        <is>
          <t>JOHNSON &amp; JOHNSON</t>
        </is>
      </c>
      <c r="C201" s="8" t="n">
        <v>2020</v>
      </c>
      <c r="D201" s="8" t="inlineStr">
        <is>
          <t>2021-01-03</t>
        </is>
      </c>
      <c r="E201" s="8" t="inlineStr">
        <is>
          <t>일반</t>
        </is>
      </c>
      <c r="F201" s="8" t="inlineStr">
        <is>
          <t>0000200406-23-000016</t>
        </is>
      </c>
      <c r="G201" s="15" t="n">
        <v>82.584</v>
      </c>
      <c r="H201" s="15" t="n">
        <v>16.497</v>
      </c>
      <c r="I201" s="15" t="n"/>
      <c r="J201" s="15" t="n">
        <v>1.783</v>
      </c>
      <c r="K201" s="15" t="n"/>
      <c r="L201" s="15" t="n">
        <v>14.714</v>
      </c>
      <c r="M201" s="15" t="n"/>
      <c r="N201" s="15" t="n">
        <v>7.231</v>
      </c>
      <c r="O201" s="15" t="n">
        <v>3.347</v>
      </c>
      <c r="P201" s="15" t="n">
        <v>23.536</v>
      </c>
      <c r="Q201" s="15" t="n">
        <v>1.005</v>
      </c>
      <c r="R201" s="15" t="n">
        <v>63.278</v>
      </c>
      <c r="S201" s="15" t="n">
        <v>59.471</v>
      </c>
      <c r="T201" s="15" t="n">
        <v>25.185</v>
      </c>
      <c r="U201" s="15" t="n">
        <v>19.287</v>
      </c>
      <c r="V201" s="15" t="n">
        <v>2.6</v>
      </c>
      <c r="W201" s="15" t="n">
        <v>1.2</v>
      </c>
      <c r="X201" s="15" t="n">
        <v>32.635</v>
      </c>
      <c r="Y201" s="15" t="n">
        <v>51.237</v>
      </c>
      <c r="Z201" s="15" t="n">
        <v>45.274</v>
      </c>
      <c r="AA201" s="15" t="n">
        <v>42.493</v>
      </c>
      <c r="AB201" s="15" t="n">
        <v>35.964</v>
      </c>
      <c r="AC201" s="15" t="n">
        <v>67.878</v>
      </c>
      <c r="AD201" s="16" t="n">
        <v>2670.7</v>
      </c>
      <c r="AE201" s="17">
        <f>IF(ISNUMBER(K201),K201,IF(AND(ISNUMBER(H201),ISNUMBER(I201)),H201+I201,IF(ISNUMBER(H201),H201,"")))</f>
        <v/>
      </c>
      <c r="AF201" s="18">
        <f>IF(OR(NOT(ISNUMBER(J201)),NOT(ISNUMBER(H201)),H201&lt;=0),기준표!$B$8,MIN(MAX(J201/H201,기준표!$B$6),기준표!$B$7))</f>
        <v/>
      </c>
      <c r="AG201" s="17">
        <f>IF(ISNUMBER(AE201),AE201*(1-AF201),"")</f>
        <v/>
      </c>
      <c r="AH201" s="17">
        <f>IF(AND(NOT(ISNUMBER(V201)),NOT(ISNUMBER(X201))),"",IF(ISNUMBER(V201),V201,0)+IF(ISNUMBER(X201),X201,0))</f>
        <v/>
      </c>
      <c r="AI201" s="17">
        <f>IF(E201="금융","",IF(AND(ISNUMBER(R201),ISNUMBER(AH201),ISNUMBER(T201)),R201+AH201-T201,""))</f>
        <v/>
      </c>
      <c r="AJ201" s="17">
        <f>IF(E201="금융","",IF(NOT(ISNUMBER(AI201)),"",IF(ISNUMBER(AC201),(AI201+AC201)/2,AI201)))</f>
        <v/>
      </c>
      <c r="AK201" s="19">
        <f>IF(AND(ISNUMBER(AG201),ISNUMBER(AJ201),AJ201&gt;0),AG201/AJ201,"")</f>
        <v/>
      </c>
      <c r="AL201" s="17">
        <f>IF(E201="금융","",IF(AND(ISNUMBER(R201),ISNUMBER(AH201)),R201+AH201,""))</f>
        <v/>
      </c>
      <c r="AM201" s="19">
        <f>IF(OR(NOT(ISNUMBER(AG201)),NOT(ISNUMBER(AL201)),AL201&lt;=0),"",IF(AND(ISNUMBER(G201),AL201&lt;0.1*G201),"",AG201/AL201))</f>
        <v/>
      </c>
      <c r="AN201" s="17">
        <f>IF(NOT(ISNUMBER(R201)),"",IF(ISNUMBER(S201),(R201+S201)/2,R201))</f>
        <v/>
      </c>
      <c r="AO201" s="19">
        <f>IF(AND(ISNUMBER(L201),ISNUMBER(AN201),AN201&gt;0),L201/AN201,"")</f>
        <v/>
      </c>
      <c r="AP201" s="19">
        <f>IF(AND(ISNUMBER(AO201),ISNUMBER({ROIC})),AO201-{ROIC},"")</f>
        <v/>
      </c>
      <c r="AQ201" s="17">
        <f>IF(AND(ISNUMBER(AE201),ISNUMBER(N201)),AE201+N201,"")</f>
        <v/>
      </c>
      <c r="AR201" s="20">
        <f>IF(AND(ISNUMBER(AH201),ISNUMBER(T201),ISNUMBER(AQ201),AQ201&gt;0),(AH201-T201)/AQ201,"")</f>
        <v/>
      </c>
      <c r="AS201" s="20">
        <f>IF(AND(ISNUMBER(AE201),ISNUMBER(I201),I201&lt;&gt;0,AE201&gt;0),AE201/I201,"")</f>
        <v/>
      </c>
      <c r="AT201" s="17">
        <f>IF(AND(ISNUMBER(Y201),ISNUMBER(AA201)),Y201-IF(ISNUMBER(T201),T201,0)-(AA201-IF(ISNUMBER(V201),V201,0)),"")</f>
        <v/>
      </c>
      <c r="AU201" s="17">
        <f>IF(AND(ISNUMBER(Z201),ISNUMBER(AB201)),Z201-IF(ISNUMBER(U201),U201,0)-(AB201-IF(ISNUMBER(W201),W201,0)),"")</f>
        <v/>
      </c>
      <c r="AV201" s="17">
        <f>IF(AND(ISNUMBER(AT201),ISNUMBER(AU201)),AT201-AU201,"")</f>
        <v/>
      </c>
      <c r="AW201" s="17">
        <f>IF(AND(ISNUMBER(L201),ISNUMBER(M201),ISNUMBER(AF201)),L201-M201*(1-AF201),IF(ISNUMBER(L201),L201,""))</f>
        <v/>
      </c>
      <c r="AX201" s="17">
        <f>IF(E201="금융","",IF(AND(ISNUMBER(AW201),ISNUMBER(N201),ISNUMBER(O201),ISNUMBER(AV201)),AW201+N201-O201-AV201,IF(AND(ISNUMBER(P201),ISNUMBER(O201)),P201-O201-IF(ISNUMBER(Q201),Q201,0),"")))</f>
        <v/>
      </c>
      <c r="AY201" s="8">
        <f>IF(E201="금융","금융업 - 정의되지 않음",IF(AND(ISNUMBER(AW201),ISNUMBER(N201),ISNUMBER(O201),ISNUMBER(AV201)),"영업순이익+감가상각-설비투자-운전자본증감",IF(AND(ISNUMBER(P201),ISNUMBER(O201)),IF(ISNUMBER(Q201),"영업현금흐름-설비투자-주식보상비용","영업현금흐름-설비투자(주식보상비용 미태깅)"),"산출불가")))</f>
        <v/>
      </c>
      <c r="AZ201" s="19">
        <f>IF(AND(ISNUMBER(AX201),ISNUMBER(G201),G201&lt;&gt;0),AX201/G201,"")</f>
        <v/>
      </c>
      <c r="BA201" s="19">
        <f>IF(AND(ISNUMBER(AE201),ISNUMBER(G201),G201&lt;&gt;0),AE201/G201,"")</f>
        <v/>
      </c>
    </row>
    <row r="202">
      <c r="A202" s="8" t="inlineStr">
        <is>
          <t>JNJ</t>
        </is>
      </c>
      <c r="B202" s="8" t="inlineStr">
        <is>
          <t>JOHNSON &amp; JOHNSON</t>
        </is>
      </c>
      <c r="C202" s="8" t="n">
        <v>2021</v>
      </c>
      <c r="D202" s="8" t="inlineStr">
        <is>
          <t>2022-01-02</t>
        </is>
      </c>
      <c r="E202" s="8" t="inlineStr">
        <is>
          <t>일반</t>
        </is>
      </c>
      <c r="F202" s="8" t="inlineStr">
        <is>
          <t>0000200406-24-000013</t>
        </is>
      </c>
      <c r="G202" s="15" t="n">
        <v>78.73999999999999</v>
      </c>
      <c r="H202" s="15" t="n">
        <v>19.178</v>
      </c>
      <c r="I202" s="15" t="n"/>
      <c r="J202" s="15" t="n">
        <v>1.377</v>
      </c>
      <c r="K202" s="15" t="n"/>
      <c r="L202" s="15" t="n">
        <v>20.878</v>
      </c>
      <c r="M202" s="15" t="n"/>
      <c r="N202" s="15" t="n">
        <v>7.39</v>
      </c>
      <c r="O202" s="15" t="n">
        <v>3.652</v>
      </c>
      <c r="P202" s="15" t="n">
        <v>23.41</v>
      </c>
      <c r="Q202" s="15" t="n">
        <v>1.135</v>
      </c>
      <c r="R202" s="15" t="n">
        <v>74.023</v>
      </c>
      <c r="S202" s="15" t="n">
        <v>63.278</v>
      </c>
      <c r="T202" s="15" t="n">
        <v>31.608</v>
      </c>
      <c r="U202" s="15" t="n">
        <v>25.185</v>
      </c>
      <c r="V202" s="15" t="n">
        <v>3.8</v>
      </c>
      <c r="W202" s="15" t="n">
        <v>2.6</v>
      </c>
      <c r="X202" s="15" t="n">
        <v>29.985</v>
      </c>
      <c r="Y202" s="15" t="n">
        <v>60.979</v>
      </c>
      <c r="Z202" s="15" t="n">
        <v>51.237</v>
      </c>
      <c r="AA202" s="15" t="n">
        <v>45.226</v>
      </c>
      <c r="AB202" s="15" t="n">
        <v>42.493</v>
      </c>
      <c r="AC202" s="15" t="n">
        <v>73.328</v>
      </c>
      <c r="AD202" s="16" t="n">
        <v>2674</v>
      </c>
      <c r="AE202" s="17">
        <f>IF(ISNUMBER(K202),K202,IF(AND(ISNUMBER(H202),ISNUMBER(I202)),H202+I202,IF(ISNUMBER(H202),H202,"")))</f>
        <v/>
      </c>
      <c r="AF202" s="18">
        <f>IF(OR(NOT(ISNUMBER(J202)),NOT(ISNUMBER(H202)),H202&lt;=0),기준표!$B$8,MIN(MAX(J202/H202,기준표!$B$6),기준표!$B$7))</f>
        <v/>
      </c>
      <c r="AG202" s="17">
        <f>IF(ISNUMBER(AE202),AE202*(1-AF202),"")</f>
        <v/>
      </c>
      <c r="AH202" s="17">
        <f>IF(AND(NOT(ISNUMBER(V202)),NOT(ISNUMBER(X202))),"",IF(ISNUMBER(V202),V202,0)+IF(ISNUMBER(X202),X202,0))</f>
        <v/>
      </c>
      <c r="AI202" s="17">
        <f>IF(E202="금융","",IF(AND(ISNUMBER(R202),ISNUMBER(AH202),ISNUMBER(T202)),R202+AH202-T202,""))</f>
        <v/>
      </c>
      <c r="AJ202" s="17">
        <f>IF(E202="금융","",IF(NOT(ISNUMBER(AI202)),"",IF(ISNUMBER(AC202),(AI202+AC202)/2,AI202)))</f>
        <v/>
      </c>
      <c r="AK202" s="19">
        <f>IF(AND(ISNUMBER(AG202),ISNUMBER(AJ202),AJ202&gt;0),AG202/AJ202,"")</f>
        <v/>
      </c>
      <c r="AL202" s="17">
        <f>IF(E202="금융","",IF(AND(ISNUMBER(R202),ISNUMBER(AH202)),R202+AH202,""))</f>
        <v/>
      </c>
      <c r="AM202" s="19">
        <f>IF(OR(NOT(ISNUMBER(AG202)),NOT(ISNUMBER(AL202)),AL202&lt;=0),"",IF(AND(ISNUMBER(G202),AL202&lt;0.1*G202),"",AG202/AL202))</f>
        <v/>
      </c>
      <c r="AN202" s="17">
        <f>IF(NOT(ISNUMBER(R202)),"",IF(ISNUMBER(S202),(R202+S202)/2,R202))</f>
        <v/>
      </c>
      <c r="AO202" s="19">
        <f>IF(AND(ISNUMBER(L202),ISNUMBER(AN202),AN202&gt;0),L202/AN202,"")</f>
        <v/>
      </c>
      <c r="AP202" s="19">
        <f>IF(AND(ISNUMBER(AO202),ISNUMBER({ROIC})),AO202-{ROIC},"")</f>
        <v/>
      </c>
      <c r="AQ202" s="17">
        <f>IF(AND(ISNUMBER(AE202),ISNUMBER(N202)),AE202+N202,"")</f>
        <v/>
      </c>
      <c r="AR202" s="20">
        <f>IF(AND(ISNUMBER(AH202),ISNUMBER(T202),ISNUMBER(AQ202),AQ202&gt;0),(AH202-T202)/AQ202,"")</f>
        <v/>
      </c>
      <c r="AS202" s="20">
        <f>IF(AND(ISNUMBER(AE202),ISNUMBER(I202),I202&lt;&gt;0,AE202&gt;0),AE202/I202,"")</f>
        <v/>
      </c>
      <c r="AT202" s="17">
        <f>IF(AND(ISNUMBER(Y202),ISNUMBER(AA202)),Y202-IF(ISNUMBER(T202),T202,0)-(AA202-IF(ISNUMBER(V202),V202,0)),"")</f>
        <v/>
      </c>
      <c r="AU202" s="17">
        <f>IF(AND(ISNUMBER(Z202),ISNUMBER(AB202)),Z202-IF(ISNUMBER(U202),U202,0)-(AB202-IF(ISNUMBER(W202),W202,0)),"")</f>
        <v/>
      </c>
      <c r="AV202" s="17">
        <f>IF(AND(ISNUMBER(AT202),ISNUMBER(AU202)),AT202-AU202,"")</f>
        <v/>
      </c>
      <c r="AW202" s="17">
        <f>IF(AND(ISNUMBER(L202),ISNUMBER(M202),ISNUMBER(AF202)),L202-M202*(1-AF202),IF(ISNUMBER(L202),L202,""))</f>
        <v/>
      </c>
      <c r="AX202" s="17">
        <f>IF(E202="금융","",IF(AND(ISNUMBER(AW202),ISNUMBER(N202),ISNUMBER(O202),ISNUMBER(AV202)),AW202+N202-O202-AV202,IF(AND(ISNUMBER(P202),ISNUMBER(O202)),P202-O202-IF(ISNUMBER(Q202),Q202,0),"")))</f>
        <v/>
      </c>
      <c r="AY202" s="8">
        <f>IF(E202="금융","금융업 - 정의되지 않음",IF(AND(ISNUMBER(AW202),ISNUMBER(N202),ISNUMBER(O202),ISNUMBER(AV202)),"영업순이익+감가상각-설비투자-운전자본증감",IF(AND(ISNUMBER(P202),ISNUMBER(O202)),IF(ISNUMBER(Q202),"영업현금흐름-설비투자-주식보상비용","영업현금흐름-설비투자(주식보상비용 미태깅)"),"산출불가")))</f>
        <v/>
      </c>
      <c r="AZ202" s="19">
        <f>IF(AND(ISNUMBER(AX202),ISNUMBER(G202),G202&lt;&gt;0),AX202/G202,"")</f>
        <v/>
      </c>
      <c r="BA202" s="19">
        <f>IF(AND(ISNUMBER(AE202),ISNUMBER(G202),G202&lt;&gt;0),AE202/G202,"")</f>
        <v/>
      </c>
    </row>
    <row r="203">
      <c r="A203" s="8" t="inlineStr">
        <is>
          <t>JNJ</t>
        </is>
      </c>
      <c r="B203" s="8" t="inlineStr">
        <is>
          <t>JOHNSON &amp; JOHNSON</t>
        </is>
      </c>
      <c r="C203" s="8" t="n">
        <v>2022</v>
      </c>
      <c r="D203" s="8" t="inlineStr">
        <is>
          <t>2023-01-01</t>
        </is>
      </c>
      <c r="E203" s="8" t="inlineStr">
        <is>
          <t>일반</t>
        </is>
      </c>
      <c r="F203" s="8" t="inlineStr">
        <is>
          <t>0000200406-25-000038</t>
        </is>
      </c>
      <c r="G203" s="15" t="n">
        <v>79.98999999999999</v>
      </c>
      <c r="H203" s="15" t="n">
        <v>19.359</v>
      </c>
      <c r="I203" s="15" t="n">
        <v>0.276</v>
      </c>
      <c r="J203" s="15" t="n">
        <v>2.989</v>
      </c>
      <c r="K203" s="15" t="n"/>
      <c r="L203" s="15" t="n">
        <v>17.941</v>
      </c>
      <c r="M203" s="15" t="n"/>
      <c r="N203" s="15" t="n">
        <v>6.97</v>
      </c>
      <c r="O203" s="15" t="n">
        <v>4.009</v>
      </c>
      <c r="P203" s="15" t="n">
        <v>21.194</v>
      </c>
      <c r="Q203" s="15" t="n">
        <v>1.138</v>
      </c>
      <c r="R203" s="15" t="n">
        <v>76.804</v>
      </c>
      <c r="S203" s="15" t="n">
        <v>74.023</v>
      </c>
      <c r="T203" s="15" t="n">
        <v>22.281</v>
      </c>
      <c r="U203" s="15" t="n">
        <v>31.608</v>
      </c>
      <c r="V203" s="15" t="n">
        <v>12.8</v>
      </c>
      <c r="W203" s="15" t="n">
        <v>3.8</v>
      </c>
      <c r="X203" s="15" t="n">
        <v>26.886</v>
      </c>
      <c r="Y203" s="15" t="n">
        <v>55.294</v>
      </c>
      <c r="Z203" s="15" t="n">
        <v>60.979</v>
      </c>
      <c r="AA203" s="15" t="n">
        <v>55.802</v>
      </c>
      <c r="AB203" s="15" t="n">
        <v>45.226</v>
      </c>
      <c r="AC203" s="15" t="n">
        <v>76.2</v>
      </c>
      <c r="AD203" s="16" t="n">
        <v>2663.9</v>
      </c>
      <c r="AE203" s="17">
        <f>IF(ISNUMBER(K203),K203,IF(AND(ISNUMBER(H203),ISNUMBER(I203)),H203+I203,IF(ISNUMBER(H203),H203,"")))</f>
        <v/>
      </c>
      <c r="AF203" s="18">
        <f>IF(OR(NOT(ISNUMBER(J203)),NOT(ISNUMBER(H203)),H203&lt;=0),기준표!$B$8,MIN(MAX(J203/H203,기준표!$B$6),기준표!$B$7))</f>
        <v/>
      </c>
      <c r="AG203" s="17">
        <f>IF(ISNUMBER(AE203),AE203*(1-AF203),"")</f>
        <v/>
      </c>
      <c r="AH203" s="17">
        <f>IF(AND(NOT(ISNUMBER(V203)),NOT(ISNUMBER(X203))),"",IF(ISNUMBER(V203),V203,0)+IF(ISNUMBER(X203),X203,0))</f>
        <v/>
      </c>
      <c r="AI203" s="17">
        <f>IF(E203="금융","",IF(AND(ISNUMBER(R203),ISNUMBER(AH203),ISNUMBER(T203)),R203+AH203-T203,""))</f>
        <v/>
      </c>
      <c r="AJ203" s="17">
        <f>IF(E203="금융","",IF(NOT(ISNUMBER(AI203)),"",IF(ISNUMBER(AC203),(AI203+AC203)/2,AI203)))</f>
        <v/>
      </c>
      <c r="AK203" s="19">
        <f>IF(AND(ISNUMBER(AG203),ISNUMBER(AJ203),AJ203&gt;0),AG203/AJ203,"")</f>
        <v/>
      </c>
      <c r="AL203" s="17">
        <f>IF(E203="금융","",IF(AND(ISNUMBER(R203),ISNUMBER(AH203)),R203+AH203,""))</f>
        <v/>
      </c>
      <c r="AM203" s="19">
        <f>IF(OR(NOT(ISNUMBER(AG203)),NOT(ISNUMBER(AL203)),AL203&lt;=0),"",IF(AND(ISNUMBER(G203),AL203&lt;0.1*G203),"",AG203/AL203))</f>
        <v/>
      </c>
      <c r="AN203" s="17">
        <f>IF(NOT(ISNUMBER(R203)),"",IF(ISNUMBER(S203),(R203+S203)/2,R203))</f>
        <v/>
      </c>
      <c r="AO203" s="19">
        <f>IF(AND(ISNUMBER(L203),ISNUMBER(AN203),AN203&gt;0),L203/AN203,"")</f>
        <v/>
      </c>
      <c r="AP203" s="19">
        <f>IF(AND(ISNUMBER(AO203),ISNUMBER({ROIC})),AO203-{ROIC},"")</f>
        <v/>
      </c>
      <c r="AQ203" s="17">
        <f>IF(AND(ISNUMBER(AE203),ISNUMBER(N203)),AE203+N203,"")</f>
        <v/>
      </c>
      <c r="AR203" s="20">
        <f>IF(AND(ISNUMBER(AH203),ISNUMBER(T203),ISNUMBER(AQ203),AQ203&gt;0),(AH203-T203)/AQ203,"")</f>
        <v/>
      </c>
      <c r="AS203" s="20">
        <f>IF(AND(ISNUMBER(AE203),ISNUMBER(I203),I203&lt;&gt;0,AE203&gt;0),AE203/I203,"")</f>
        <v/>
      </c>
      <c r="AT203" s="17">
        <f>IF(AND(ISNUMBER(Y203),ISNUMBER(AA203)),Y203-IF(ISNUMBER(T203),T203,0)-(AA203-IF(ISNUMBER(V203),V203,0)),"")</f>
        <v/>
      </c>
      <c r="AU203" s="17">
        <f>IF(AND(ISNUMBER(Z203),ISNUMBER(AB203)),Z203-IF(ISNUMBER(U203),U203,0)-(AB203-IF(ISNUMBER(W203),W203,0)),"")</f>
        <v/>
      </c>
      <c r="AV203" s="17">
        <f>IF(AND(ISNUMBER(AT203),ISNUMBER(AU203)),AT203-AU203,"")</f>
        <v/>
      </c>
      <c r="AW203" s="17">
        <f>IF(AND(ISNUMBER(L203),ISNUMBER(M203),ISNUMBER(AF203)),L203-M203*(1-AF203),IF(ISNUMBER(L203),L203,""))</f>
        <v/>
      </c>
      <c r="AX203" s="17">
        <f>IF(E203="금융","",IF(AND(ISNUMBER(AW203),ISNUMBER(N203),ISNUMBER(O203),ISNUMBER(AV203)),AW203+N203-O203-AV203,IF(AND(ISNUMBER(P203),ISNUMBER(O203)),P203-O203-IF(ISNUMBER(Q203),Q203,0),"")))</f>
        <v/>
      </c>
      <c r="AY203" s="8">
        <f>IF(E203="금융","금융업 - 정의되지 않음",IF(AND(ISNUMBER(AW203),ISNUMBER(N203),ISNUMBER(O203),ISNUMBER(AV203)),"영업순이익+감가상각-설비투자-운전자본증감",IF(AND(ISNUMBER(P203),ISNUMBER(O203)),IF(ISNUMBER(Q203),"영업현금흐름-설비투자-주식보상비용","영업현금흐름-설비투자(주식보상비용 미태깅)"),"산출불가")))</f>
        <v/>
      </c>
      <c r="AZ203" s="19">
        <f>IF(AND(ISNUMBER(AX203),ISNUMBER(G203),G203&lt;&gt;0),AX203/G203,"")</f>
        <v/>
      </c>
      <c r="BA203" s="19">
        <f>IF(AND(ISNUMBER(AE203),ISNUMBER(G203),G203&lt;&gt;0),AE203/G203,"")</f>
        <v/>
      </c>
    </row>
    <row r="204">
      <c r="A204" s="8" t="inlineStr">
        <is>
          <t>JNJ</t>
        </is>
      </c>
      <c r="B204" s="8" t="inlineStr">
        <is>
          <t>JOHNSON &amp; JOHNSON</t>
        </is>
      </c>
      <c r="C204" s="8" t="n">
        <v>2023</v>
      </c>
      <c r="D204" s="8" t="inlineStr">
        <is>
          <t>2023-12-31</t>
        </is>
      </c>
      <c r="E204" s="8" t="inlineStr">
        <is>
          <t>일반</t>
        </is>
      </c>
      <c r="F204" s="8" t="inlineStr">
        <is>
          <t>0000200406-26-000016</t>
        </is>
      </c>
      <c r="G204" s="15" t="n">
        <v>85.15900000000001</v>
      </c>
      <c r="H204" s="15" t="n">
        <v>15.062</v>
      </c>
      <c r="I204" s="15" t="n">
        <v>0.772</v>
      </c>
      <c r="J204" s="15" t="n">
        <v>1.736</v>
      </c>
      <c r="K204" s="15" t="n"/>
      <c r="L204" s="15" t="n">
        <v>35.153</v>
      </c>
      <c r="M204" s="15" t="n">
        <v>-0.4</v>
      </c>
      <c r="N204" s="15" t="n">
        <v>7.486</v>
      </c>
      <c r="O204" s="15" t="n">
        <v>4.543</v>
      </c>
      <c r="P204" s="15" t="n">
        <v>22.791</v>
      </c>
      <c r="Q204" s="15" t="n">
        <v>1.162</v>
      </c>
      <c r="R204" s="15" t="n">
        <v>68.774</v>
      </c>
      <c r="S204" s="15" t="n">
        <v>76.804</v>
      </c>
      <c r="T204" s="15" t="n">
        <v>22.927</v>
      </c>
      <c r="U204" s="15" t="n">
        <v>22.281</v>
      </c>
      <c r="V204" s="15" t="n">
        <v>3.5</v>
      </c>
      <c r="W204" s="15" t="n">
        <v>12.8</v>
      </c>
      <c r="X204" s="15" t="n">
        <v>25.881</v>
      </c>
      <c r="Y204" s="15" t="n">
        <v>53.495</v>
      </c>
      <c r="Z204" s="15" t="n">
        <v>55.294</v>
      </c>
      <c r="AA204" s="15" t="n">
        <v>46.282</v>
      </c>
      <c r="AB204" s="15" t="n">
        <v>55.802</v>
      </c>
      <c r="AC204" s="15" t="n">
        <v>94.209</v>
      </c>
      <c r="AD204" s="16" t="n">
        <v>2560.4</v>
      </c>
      <c r="AE204" s="17">
        <f>IF(ISNUMBER(K204),K204,IF(AND(ISNUMBER(H204),ISNUMBER(I204)),H204+I204,IF(ISNUMBER(H204),H204,"")))</f>
        <v/>
      </c>
      <c r="AF204" s="18">
        <f>IF(OR(NOT(ISNUMBER(J204)),NOT(ISNUMBER(H204)),H204&lt;=0),기준표!$B$8,MIN(MAX(J204/H204,기준표!$B$6),기준표!$B$7))</f>
        <v/>
      </c>
      <c r="AG204" s="17">
        <f>IF(ISNUMBER(AE204),AE204*(1-AF204),"")</f>
        <v/>
      </c>
      <c r="AH204" s="17">
        <f>IF(AND(NOT(ISNUMBER(V204)),NOT(ISNUMBER(X204))),"",IF(ISNUMBER(V204),V204,0)+IF(ISNUMBER(X204),X204,0))</f>
        <v/>
      </c>
      <c r="AI204" s="17">
        <f>IF(E204="금융","",IF(AND(ISNUMBER(R204),ISNUMBER(AH204),ISNUMBER(T204)),R204+AH204-T204,""))</f>
        <v/>
      </c>
      <c r="AJ204" s="17">
        <f>IF(E204="금융","",IF(NOT(ISNUMBER(AI204)),"",IF(ISNUMBER(AC204),(AI204+AC204)/2,AI204)))</f>
        <v/>
      </c>
      <c r="AK204" s="19">
        <f>IF(AND(ISNUMBER(AG204),ISNUMBER(AJ204),AJ204&gt;0),AG204/AJ204,"")</f>
        <v/>
      </c>
      <c r="AL204" s="17">
        <f>IF(E204="금융","",IF(AND(ISNUMBER(R204),ISNUMBER(AH204)),R204+AH204,""))</f>
        <v/>
      </c>
      <c r="AM204" s="19">
        <f>IF(OR(NOT(ISNUMBER(AG204)),NOT(ISNUMBER(AL204)),AL204&lt;=0),"",IF(AND(ISNUMBER(G204),AL204&lt;0.1*G204),"",AG204/AL204))</f>
        <v/>
      </c>
      <c r="AN204" s="17">
        <f>IF(NOT(ISNUMBER(R204)),"",IF(ISNUMBER(S204),(R204+S204)/2,R204))</f>
        <v/>
      </c>
      <c r="AO204" s="19">
        <f>IF(AND(ISNUMBER(L204),ISNUMBER(AN204),AN204&gt;0),L204/AN204,"")</f>
        <v/>
      </c>
      <c r="AP204" s="19">
        <f>IF(AND(ISNUMBER(AO204),ISNUMBER({ROIC})),AO204-{ROIC},"")</f>
        <v/>
      </c>
      <c r="AQ204" s="17">
        <f>IF(AND(ISNUMBER(AE204),ISNUMBER(N204)),AE204+N204,"")</f>
        <v/>
      </c>
      <c r="AR204" s="20">
        <f>IF(AND(ISNUMBER(AH204),ISNUMBER(T204),ISNUMBER(AQ204),AQ204&gt;0),(AH204-T204)/AQ204,"")</f>
        <v/>
      </c>
      <c r="AS204" s="20">
        <f>IF(AND(ISNUMBER(AE204),ISNUMBER(I204),I204&lt;&gt;0,AE204&gt;0),AE204/I204,"")</f>
        <v/>
      </c>
      <c r="AT204" s="17">
        <f>IF(AND(ISNUMBER(Y204),ISNUMBER(AA204)),Y204-IF(ISNUMBER(T204),T204,0)-(AA204-IF(ISNUMBER(V204),V204,0)),"")</f>
        <v/>
      </c>
      <c r="AU204" s="17">
        <f>IF(AND(ISNUMBER(Z204),ISNUMBER(AB204)),Z204-IF(ISNUMBER(U204),U204,0)-(AB204-IF(ISNUMBER(W204),W204,0)),"")</f>
        <v/>
      </c>
      <c r="AV204" s="17">
        <f>IF(AND(ISNUMBER(AT204),ISNUMBER(AU204)),AT204-AU204,"")</f>
        <v/>
      </c>
      <c r="AW204" s="17">
        <f>IF(AND(ISNUMBER(L204),ISNUMBER(M204),ISNUMBER(AF204)),L204-M204*(1-AF204),IF(ISNUMBER(L204),L204,""))</f>
        <v/>
      </c>
      <c r="AX204" s="17">
        <f>IF(E204="금융","",IF(AND(ISNUMBER(AW204),ISNUMBER(N204),ISNUMBER(O204),ISNUMBER(AV204)),AW204+N204-O204-AV204,IF(AND(ISNUMBER(P204),ISNUMBER(O204)),P204-O204-IF(ISNUMBER(Q204),Q204,0),"")))</f>
        <v/>
      </c>
      <c r="AY204" s="8">
        <f>IF(E204="금융","금융업 - 정의되지 않음",IF(AND(ISNUMBER(AW204),ISNUMBER(N204),ISNUMBER(O204),ISNUMBER(AV204)),"영업순이익+감가상각-설비투자-운전자본증감",IF(AND(ISNUMBER(P204),ISNUMBER(O204)),IF(ISNUMBER(Q204),"영업현금흐름-설비투자-주식보상비용","영업현금흐름-설비투자(주식보상비용 미태깅)"),"산출불가")))</f>
        <v/>
      </c>
      <c r="AZ204" s="19">
        <f>IF(AND(ISNUMBER(AX204),ISNUMBER(G204),G204&lt;&gt;0),AX204/G204,"")</f>
        <v/>
      </c>
      <c r="BA204" s="19">
        <f>IF(AND(ISNUMBER(AE204),ISNUMBER(G204),G204&lt;&gt;0),AE204/G204,"")</f>
        <v/>
      </c>
    </row>
    <row r="205">
      <c r="A205" s="8" t="inlineStr">
        <is>
          <t>JNJ</t>
        </is>
      </c>
      <c r="B205" s="8" t="inlineStr">
        <is>
          <t>JOHNSON &amp; JOHNSON</t>
        </is>
      </c>
      <c r="C205" s="8" t="n">
        <v>2024</v>
      </c>
      <c r="D205" s="8" t="inlineStr">
        <is>
          <t>2024-12-29</t>
        </is>
      </c>
      <c r="E205" s="8" t="inlineStr">
        <is>
          <t>일반</t>
        </is>
      </c>
      <c r="F205" s="8" t="inlineStr">
        <is>
          <t>0000200406-26-000016</t>
        </is>
      </c>
      <c r="G205" s="15" t="n">
        <v>88.821</v>
      </c>
      <c r="H205" s="15" t="n">
        <v>16.687</v>
      </c>
      <c r="I205" s="15" t="n">
        <v>0.755</v>
      </c>
      <c r="J205" s="15" t="n">
        <v>2.621</v>
      </c>
      <c r="K205" s="15" t="n"/>
      <c r="L205" s="15" t="n">
        <v>14.066</v>
      </c>
      <c r="M205" s="15" t="n">
        <v>-0.4</v>
      </c>
      <c r="N205" s="15" t="n">
        <v>7.339</v>
      </c>
      <c r="O205" s="15" t="n">
        <v>4.424</v>
      </c>
      <c r="P205" s="15" t="n">
        <v>24.266</v>
      </c>
      <c r="Q205" s="15" t="n">
        <v>1.176</v>
      </c>
      <c r="R205" s="15" t="n">
        <v>71.48999999999999</v>
      </c>
      <c r="S205" s="15" t="n">
        <v>68.774</v>
      </c>
      <c r="T205" s="15" t="n">
        <v>24.522</v>
      </c>
      <c r="U205" s="15" t="n">
        <v>22.927</v>
      </c>
      <c r="V205" s="15" t="n">
        <v>6</v>
      </c>
      <c r="W205" s="15" t="n">
        <v>3.5</v>
      </c>
      <c r="X205" s="15" t="n">
        <v>30.651</v>
      </c>
      <c r="Y205" s="15" t="n">
        <v>55.893</v>
      </c>
      <c r="Z205" s="15" t="n">
        <v>53.495</v>
      </c>
      <c r="AA205" s="15" t="n">
        <v>50.321</v>
      </c>
      <c r="AB205" s="15" t="n">
        <v>46.282</v>
      </c>
      <c r="AC205" s="15" t="n">
        <v>75.22799999999999</v>
      </c>
      <c r="AD205" s="16" t="n">
        <v>2429.4</v>
      </c>
      <c r="AE205" s="17">
        <f>IF(ISNUMBER(K205),K205,IF(AND(ISNUMBER(H205),ISNUMBER(I205)),H205+I205,IF(ISNUMBER(H205),H205,"")))</f>
        <v/>
      </c>
      <c r="AF205" s="18">
        <f>IF(OR(NOT(ISNUMBER(J205)),NOT(ISNUMBER(H205)),H205&lt;=0),기준표!$B$8,MIN(MAX(J205/H205,기준표!$B$6),기준표!$B$7))</f>
        <v/>
      </c>
      <c r="AG205" s="17">
        <f>IF(ISNUMBER(AE205),AE205*(1-AF205),"")</f>
        <v/>
      </c>
      <c r="AH205" s="17">
        <f>IF(AND(NOT(ISNUMBER(V205)),NOT(ISNUMBER(X205))),"",IF(ISNUMBER(V205),V205,0)+IF(ISNUMBER(X205),X205,0))</f>
        <v/>
      </c>
      <c r="AI205" s="17">
        <f>IF(E205="금융","",IF(AND(ISNUMBER(R205),ISNUMBER(AH205),ISNUMBER(T205)),R205+AH205-T205,""))</f>
        <v/>
      </c>
      <c r="AJ205" s="17">
        <f>IF(E205="금융","",IF(NOT(ISNUMBER(AI205)),"",IF(ISNUMBER(AC205),(AI205+AC205)/2,AI205)))</f>
        <v/>
      </c>
      <c r="AK205" s="19">
        <f>IF(AND(ISNUMBER(AG205),ISNUMBER(AJ205),AJ205&gt;0),AG205/AJ205,"")</f>
        <v/>
      </c>
      <c r="AL205" s="17">
        <f>IF(E205="금융","",IF(AND(ISNUMBER(R205),ISNUMBER(AH205)),R205+AH205,""))</f>
        <v/>
      </c>
      <c r="AM205" s="19">
        <f>IF(OR(NOT(ISNUMBER(AG205)),NOT(ISNUMBER(AL205)),AL205&lt;=0),"",IF(AND(ISNUMBER(G205),AL205&lt;0.1*G205),"",AG205/AL205))</f>
        <v/>
      </c>
      <c r="AN205" s="17">
        <f>IF(NOT(ISNUMBER(R205)),"",IF(ISNUMBER(S205),(R205+S205)/2,R205))</f>
        <v/>
      </c>
      <c r="AO205" s="19">
        <f>IF(AND(ISNUMBER(L205),ISNUMBER(AN205),AN205&gt;0),L205/AN205,"")</f>
        <v/>
      </c>
      <c r="AP205" s="19">
        <f>IF(AND(ISNUMBER(AO205),ISNUMBER({ROIC})),AO205-{ROIC},"")</f>
        <v/>
      </c>
      <c r="AQ205" s="17">
        <f>IF(AND(ISNUMBER(AE205),ISNUMBER(N205)),AE205+N205,"")</f>
        <v/>
      </c>
      <c r="AR205" s="20">
        <f>IF(AND(ISNUMBER(AH205),ISNUMBER(T205),ISNUMBER(AQ205),AQ205&gt;0),(AH205-T205)/AQ205,"")</f>
        <v/>
      </c>
      <c r="AS205" s="20">
        <f>IF(AND(ISNUMBER(AE205),ISNUMBER(I205),I205&lt;&gt;0,AE205&gt;0),AE205/I205,"")</f>
        <v/>
      </c>
      <c r="AT205" s="17">
        <f>IF(AND(ISNUMBER(Y205),ISNUMBER(AA205)),Y205-IF(ISNUMBER(T205),T205,0)-(AA205-IF(ISNUMBER(V205),V205,0)),"")</f>
        <v/>
      </c>
      <c r="AU205" s="17">
        <f>IF(AND(ISNUMBER(Z205),ISNUMBER(AB205)),Z205-IF(ISNUMBER(U205),U205,0)-(AB205-IF(ISNUMBER(W205),W205,0)),"")</f>
        <v/>
      </c>
      <c r="AV205" s="17">
        <f>IF(AND(ISNUMBER(AT205),ISNUMBER(AU205)),AT205-AU205,"")</f>
        <v/>
      </c>
      <c r="AW205" s="17">
        <f>IF(AND(ISNUMBER(L205),ISNUMBER(M205),ISNUMBER(AF205)),L205-M205*(1-AF205),IF(ISNUMBER(L205),L205,""))</f>
        <v/>
      </c>
      <c r="AX205" s="17">
        <f>IF(E205="금융","",IF(AND(ISNUMBER(AW205),ISNUMBER(N205),ISNUMBER(O205),ISNUMBER(AV205)),AW205+N205-O205-AV205,IF(AND(ISNUMBER(P205),ISNUMBER(O205)),P205-O205-IF(ISNUMBER(Q205),Q205,0),"")))</f>
        <v/>
      </c>
      <c r="AY205" s="8">
        <f>IF(E205="금융","금융업 - 정의되지 않음",IF(AND(ISNUMBER(AW205),ISNUMBER(N205),ISNUMBER(O205),ISNUMBER(AV205)),"영업순이익+감가상각-설비투자-운전자본증감",IF(AND(ISNUMBER(P205),ISNUMBER(O205)),IF(ISNUMBER(Q205),"영업현금흐름-설비투자-주식보상비용","영업현금흐름-설비투자(주식보상비용 미태깅)"),"산출불가")))</f>
        <v/>
      </c>
      <c r="AZ205" s="19">
        <f>IF(AND(ISNUMBER(AX205),ISNUMBER(G205),G205&lt;&gt;0),AX205/G205,"")</f>
        <v/>
      </c>
      <c r="BA205" s="19">
        <f>IF(AND(ISNUMBER(AE205),ISNUMBER(G205),G205&lt;&gt;0),AE205/G205,"")</f>
        <v/>
      </c>
    </row>
    <row r="206">
      <c r="A206" s="8" t="inlineStr">
        <is>
          <t>JNJ</t>
        </is>
      </c>
      <c r="B206" s="8" t="inlineStr">
        <is>
          <t>JOHNSON &amp; JOHNSON</t>
        </is>
      </c>
      <c r="C206" s="8" t="n">
        <v>2025</v>
      </c>
      <c r="D206" s="8" t="inlineStr">
        <is>
          <t>2025-12-28</t>
        </is>
      </c>
      <c r="E206" s="8" t="inlineStr">
        <is>
          <t>일반</t>
        </is>
      </c>
      <c r="F206" s="8" t="inlineStr">
        <is>
          <t>0000200406-26-000016</t>
        </is>
      </c>
      <c r="G206" s="15" t="n">
        <v>94.193</v>
      </c>
      <c r="H206" s="15" t="n">
        <v>32.581</v>
      </c>
      <c r="I206" s="15" t="n">
        <v>0.971</v>
      </c>
      <c r="J206" s="15" t="n">
        <v>5.777</v>
      </c>
      <c r="K206" s="15" t="n"/>
      <c r="L206" s="15" t="n">
        <v>26.804</v>
      </c>
      <c r="M206" s="15" t="n"/>
      <c r="N206" s="15" t="n">
        <v>7.503</v>
      </c>
      <c r="O206" s="15" t="n">
        <v>4.832</v>
      </c>
      <c r="P206" s="15" t="n">
        <v>24.53</v>
      </c>
      <c r="Q206" s="15" t="n">
        <v>1.354</v>
      </c>
      <c r="R206" s="15" t="n">
        <v>81.544</v>
      </c>
      <c r="S206" s="15" t="n">
        <v>71.48999999999999</v>
      </c>
      <c r="T206" s="15" t="n">
        <v>20.102</v>
      </c>
      <c r="U206" s="15" t="n">
        <v>24.522</v>
      </c>
      <c r="V206" s="15" t="n">
        <v>8.5</v>
      </c>
      <c r="W206" s="15" t="n">
        <v>6</v>
      </c>
      <c r="X206" s="15" t="n">
        <v>39.438</v>
      </c>
      <c r="Y206" s="15" t="n">
        <v>55.624</v>
      </c>
      <c r="Z206" s="15" t="n">
        <v>55.893</v>
      </c>
      <c r="AA206" s="15" t="n">
        <v>54.126</v>
      </c>
      <c r="AB206" s="15" t="n">
        <v>50.321</v>
      </c>
      <c r="AC206" s="15" t="n">
        <v>83.619</v>
      </c>
      <c r="AD206" s="16" t="n">
        <v>2429.4</v>
      </c>
      <c r="AE206" s="17">
        <f>IF(ISNUMBER(K206),K206,IF(AND(ISNUMBER(H206),ISNUMBER(I206)),H206+I206,IF(ISNUMBER(H206),H206,"")))</f>
        <v/>
      </c>
      <c r="AF206" s="18">
        <f>IF(OR(NOT(ISNUMBER(J206)),NOT(ISNUMBER(H206)),H206&lt;=0),기준표!$B$8,MIN(MAX(J206/H206,기준표!$B$6),기준표!$B$7))</f>
        <v/>
      </c>
      <c r="AG206" s="17">
        <f>IF(ISNUMBER(AE206),AE206*(1-AF206),"")</f>
        <v/>
      </c>
      <c r="AH206" s="17">
        <f>IF(AND(NOT(ISNUMBER(V206)),NOT(ISNUMBER(X206))),"",IF(ISNUMBER(V206),V206,0)+IF(ISNUMBER(X206),X206,0))</f>
        <v/>
      </c>
      <c r="AI206" s="17">
        <f>IF(E206="금융","",IF(AND(ISNUMBER(R206),ISNUMBER(AH206),ISNUMBER(T206)),R206+AH206-T206,""))</f>
        <v/>
      </c>
      <c r="AJ206" s="17">
        <f>IF(E206="금융","",IF(NOT(ISNUMBER(AI206)),"",IF(ISNUMBER(AC206),(AI206+AC206)/2,AI206)))</f>
        <v/>
      </c>
      <c r="AK206" s="19">
        <f>IF(AND(ISNUMBER(AG206),ISNUMBER(AJ206),AJ206&gt;0),AG206/AJ206,"")</f>
        <v/>
      </c>
      <c r="AL206" s="17">
        <f>IF(E206="금융","",IF(AND(ISNUMBER(R206),ISNUMBER(AH206)),R206+AH206,""))</f>
        <v/>
      </c>
      <c r="AM206" s="19">
        <f>IF(OR(NOT(ISNUMBER(AG206)),NOT(ISNUMBER(AL206)),AL206&lt;=0),"",IF(AND(ISNUMBER(G206),AL206&lt;0.1*G206),"",AG206/AL206))</f>
        <v/>
      </c>
      <c r="AN206" s="17">
        <f>IF(NOT(ISNUMBER(R206)),"",IF(ISNUMBER(S206),(R206+S206)/2,R206))</f>
        <v/>
      </c>
      <c r="AO206" s="19">
        <f>IF(AND(ISNUMBER(L206),ISNUMBER(AN206),AN206&gt;0),L206/AN206,"")</f>
        <v/>
      </c>
      <c r="AP206" s="19">
        <f>IF(AND(ISNUMBER(AO206),ISNUMBER({ROIC})),AO206-{ROIC},"")</f>
        <v/>
      </c>
      <c r="AQ206" s="17">
        <f>IF(AND(ISNUMBER(AE206),ISNUMBER(N206)),AE206+N206,"")</f>
        <v/>
      </c>
      <c r="AR206" s="20">
        <f>IF(AND(ISNUMBER(AH206),ISNUMBER(T206),ISNUMBER(AQ206),AQ206&gt;0),(AH206-T206)/AQ206,"")</f>
        <v/>
      </c>
      <c r="AS206" s="20">
        <f>IF(AND(ISNUMBER(AE206),ISNUMBER(I206),I206&lt;&gt;0,AE206&gt;0),AE206/I206,"")</f>
        <v/>
      </c>
      <c r="AT206" s="17">
        <f>IF(AND(ISNUMBER(Y206),ISNUMBER(AA206)),Y206-IF(ISNUMBER(T206),T206,0)-(AA206-IF(ISNUMBER(V206),V206,0)),"")</f>
        <v/>
      </c>
      <c r="AU206" s="17">
        <f>IF(AND(ISNUMBER(Z206),ISNUMBER(AB206)),Z206-IF(ISNUMBER(U206),U206,0)-(AB206-IF(ISNUMBER(W206),W206,0)),"")</f>
        <v/>
      </c>
      <c r="AV206" s="17">
        <f>IF(AND(ISNUMBER(AT206),ISNUMBER(AU206)),AT206-AU206,"")</f>
        <v/>
      </c>
      <c r="AW206" s="17">
        <f>IF(AND(ISNUMBER(L206),ISNUMBER(M206),ISNUMBER(AF206)),L206-M206*(1-AF206),IF(ISNUMBER(L206),L206,""))</f>
        <v/>
      </c>
      <c r="AX206" s="17">
        <f>IF(E206="금융","",IF(AND(ISNUMBER(AW206),ISNUMBER(N206),ISNUMBER(O206),ISNUMBER(AV206)),AW206+N206-O206-AV206,IF(AND(ISNUMBER(P206),ISNUMBER(O206)),P206-O206-IF(ISNUMBER(Q206),Q206,0),"")))</f>
        <v/>
      </c>
      <c r="AY206" s="8">
        <f>IF(E206="금융","금융업 - 정의되지 않음",IF(AND(ISNUMBER(AW206),ISNUMBER(N206),ISNUMBER(O206),ISNUMBER(AV206)),"영업순이익+감가상각-설비투자-운전자본증감",IF(AND(ISNUMBER(P206),ISNUMBER(O206)),IF(ISNUMBER(Q206),"영업현금흐름-설비투자-주식보상비용","영업현금흐름-설비투자(주식보상비용 미태깅)"),"산출불가")))</f>
        <v/>
      </c>
      <c r="AZ206" s="19">
        <f>IF(AND(ISNUMBER(AX206),ISNUMBER(G206),G206&lt;&gt;0),AX206/G206,"")</f>
        <v/>
      </c>
      <c r="BA206" s="19">
        <f>IF(AND(ISNUMBER(AE206),ISNUMBER(G206),G206&lt;&gt;0),AE206/G206,"")</f>
        <v/>
      </c>
    </row>
    <row r="207">
      <c r="A207" s="8" t="inlineStr">
        <is>
          <t>INTC</t>
        </is>
      </c>
      <c r="B207" s="8" t="inlineStr">
        <is>
          <t>INTEL CORP</t>
        </is>
      </c>
      <c r="C207" s="8" t="n">
        <v>2014</v>
      </c>
      <c r="D207" s="8" t="inlineStr">
        <is>
          <t>2014-12-27</t>
        </is>
      </c>
      <c r="E207" s="8" t="inlineStr">
        <is>
          <t>일반</t>
        </is>
      </c>
      <c r="F207" s="8" t="inlineStr">
        <is>
          <t>0000050863-17-000012</t>
        </is>
      </c>
      <c r="G207" s="15" t="n"/>
      <c r="H207" s="15" t="n">
        <v>15.801</v>
      </c>
      <c r="I207" s="15" t="n"/>
      <c r="J207" s="15" t="n">
        <v>4.097</v>
      </c>
      <c r="K207" s="15" t="n">
        <v>15.347</v>
      </c>
      <c r="L207" s="15" t="n">
        <v>11.704</v>
      </c>
      <c r="M207" s="15" t="n"/>
      <c r="N207" s="15" t="n">
        <v>7.38</v>
      </c>
      <c r="O207" s="15" t="n">
        <v>10.105</v>
      </c>
      <c r="P207" s="15" t="n">
        <v>20.418</v>
      </c>
      <c r="Q207" s="15" t="n">
        <v>1.148</v>
      </c>
      <c r="R207" s="15" t="n">
        <v>55.865</v>
      </c>
      <c r="S207" s="15" t="n"/>
      <c r="T207" s="15" t="n"/>
      <c r="U207" s="15" t="n"/>
      <c r="V207" s="15" t="n">
        <v>1.596</v>
      </c>
      <c r="W207" s="15" t="n"/>
      <c r="X207" s="15" t="n">
        <v>12.059</v>
      </c>
      <c r="Y207" s="15" t="n">
        <v>27.73</v>
      </c>
      <c r="Z207" s="15" t="n"/>
      <c r="AA207" s="15" t="n">
        <v>16.011</v>
      </c>
      <c r="AB207" s="15" t="n"/>
      <c r="AC207" s="15" t="n"/>
      <c r="AD207" s="16" t="n">
        <v>4748</v>
      </c>
      <c r="AE207" s="17">
        <f>IF(ISNUMBER(K207),K207,IF(AND(ISNUMBER(H207),ISNUMBER(I207)),H207+I207,IF(ISNUMBER(H207),H207,"")))</f>
        <v/>
      </c>
      <c r="AF207" s="18">
        <f>IF(OR(NOT(ISNUMBER(J207)),NOT(ISNUMBER(H207)),H207&lt;=0),기준표!$B$8,MIN(MAX(J207/H207,기준표!$B$6),기준표!$B$7))</f>
        <v/>
      </c>
      <c r="AG207" s="17">
        <f>IF(ISNUMBER(AE207),AE207*(1-AF207),"")</f>
        <v/>
      </c>
      <c r="AH207" s="17">
        <f>IF(AND(NOT(ISNUMBER(V207)),NOT(ISNUMBER(X207))),"",IF(ISNUMBER(V207),V207,0)+IF(ISNUMBER(X207),X207,0))</f>
        <v/>
      </c>
      <c r="AI207" s="17">
        <f>IF(E207="금융","",IF(AND(ISNUMBER(R207),ISNUMBER(AH207),ISNUMBER(T207)),R207+AH207-T207,""))</f>
        <v/>
      </c>
      <c r="AJ207" s="17">
        <f>IF(E207="금융","",IF(NOT(ISNUMBER(AI207)),"",IF(ISNUMBER(AC207),(AI207+AC207)/2,AI207)))</f>
        <v/>
      </c>
      <c r="AK207" s="19">
        <f>IF(AND(ISNUMBER(AG207),ISNUMBER(AJ207),AJ207&gt;0),AG207/AJ207,"")</f>
        <v/>
      </c>
      <c r="AL207" s="17">
        <f>IF(E207="금융","",IF(AND(ISNUMBER(R207),ISNUMBER(AH207)),R207+AH207,""))</f>
        <v/>
      </c>
      <c r="AM207" s="19">
        <f>IF(OR(NOT(ISNUMBER(AG207)),NOT(ISNUMBER(AL207)),AL207&lt;=0),"",IF(AND(ISNUMBER(G207),AL207&lt;0.1*G207),"",AG207/AL207))</f>
        <v/>
      </c>
      <c r="AN207" s="17">
        <f>IF(NOT(ISNUMBER(R207)),"",IF(ISNUMBER(S207),(R207+S207)/2,R207))</f>
        <v/>
      </c>
      <c r="AO207" s="19">
        <f>IF(AND(ISNUMBER(L207),ISNUMBER(AN207),AN207&gt;0),L207/AN207,"")</f>
        <v/>
      </c>
      <c r="AP207" s="19">
        <f>IF(AND(ISNUMBER(AO207),ISNUMBER({ROIC})),AO207-{ROIC},"")</f>
        <v/>
      </c>
      <c r="AQ207" s="17">
        <f>IF(AND(ISNUMBER(AE207),ISNUMBER(N207)),AE207+N207,"")</f>
        <v/>
      </c>
      <c r="AR207" s="20">
        <f>IF(AND(ISNUMBER(AH207),ISNUMBER(T207),ISNUMBER(AQ207),AQ207&gt;0),(AH207-T207)/AQ207,"")</f>
        <v/>
      </c>
      <c r="AS207" s="20">
        <f>IF(AND(ISNUMBER(AE207),ISNUMBER(I207),I207&lt;&gt;0,AE207&gt;0),AE207/I207,"")</f>
        <v/>
      </c>
      <c r="AT207" s="17">
        <f>IF(AND(ISNUMBER(Y207),ISNUMBER(AA207)),Y207-IF(ISNUMBER(T207),T207,0)-(AA207-IF(ISNUMBER(V207),V207,0)),"")</f>
        <v/>
      </c>
      <c r="AU207" s="17">
        <f>IF(AND(ISNUMBER(Z207),ISNUMBER(AB207)),Z207-IF(ISNUMBER(U207),U207,0)-(AB207-IF(ISNUMBER(W207),W207,0)),"")</f>
        <v/>
      </c>
      <c r="AV207" s="17">
        <f>IF(AND(ISNUMBER(AT207),ISNUMBER(AU207)),AT207-AU207,"")</f>
        <v/>
      </c>
      <c r="AW207" s="17">
        <f>IF(AND(ISNUMBER(L207),ISNUMBER(M207),ISNUMBER(AF207)),L207-M207*(1-AF207),IF(ISNUMBER(L207),L207,""))</f>
        <v/>
      </c>
      <c r="AX207" s="17">
        <f>IF(E207="금융","",IF(AND(ISNUMBER(AW207),ISNUMBER(N207),ISNUMBER(O207),ISNUMBER(AV207)),AW207+N207-O207-AV207,IF(AND(ISNUMBER(P207),ISNUMBER(O207)),P207-O207-IF(ISNUMBER(Q207),Q207,0),"")))</f>
        <v/>
      </c>
      <c r="AY207" s="8">
        <f>IF(E207="금융","금융업 - 정의되지 않음",IF(AND(ISNUMBER(AW207),ISNUMBER(N207),ISNUMBER(O207),ISNUMBER(AV207)),"영업순이익+감가상각-설비투자-운전자본증감",IF(AND(ISNUMBER(P207),ISNUMBER(O207)),IF(ISNUMBER(Q207),"영업현금흐름-설비투자-주식보상비용","영업현금흐름-설비투자(주식보상비용 미태깅)"),"산출불가")))</f>
        <v/>
      </c>
      <c r="AZ207" s="19">
        <f>IF(AND(ISNUMBER(AX207),ISNUMBER(G207),G207&lt;&gt;0),AX207/G207,"")</f>
        <v/>
      </c>
      <c r="BA207" s="19">
        <f>IF(AND(ISNUMBER(AE207),ISNUMBER(G207),G207&lt;&gt;0),AE207/G207,"")</f>
        <v/>
      </c>
    </row>
    <row r="208">
      <c r="A208" s="8" t="inlineStr">
        <is>
          <t>INTC</t>
        </is>
      </c>
      <c r="B208" s="8" t="inlineStr">
        <is>
          <t>INTEL CORP</t>
        </is>
      </c>
      <c r="C208" s="8" t="n">
        <v>2015</v>
      </c>
      <c r="D208" s="8" t="inlineStr">
        <is>
          <t>2015-12-26</t>
        </is>
      </c>
      <c r="E208" s="8" t="inlineStr">
        <is>
          <t>일반</t>
        </is>
      </c>
      <c r="F208" s="8" t="inlineStr">
        <is>
          <t>0000050863-18-000007</t>
        </is>
      </c>
      <c r="G208" s="15" t="n"/>
      <c r="H208" s="15" t="n">
        <v>14.212</v>
      </c>
      <c r="I208" s="15" t="n"/>
      <c r="J208" s="15" t="n">
        <v>2.792</v>
      </c>
      <c r="K208" s="15" t="n">
        <v>14.002</v>
      </c>
      <c r="L208" s="15" t="n">
        <v>11.42</v>
      </c>
      <c r="M208" s="15" t="n"/>
      <c r="N208" s="15" t="n">
        <v>7.821</v>
      </c>
      <c r="O208" s="15" t="n">
        <v>7.326</v>
      </c>
      <c r="P208" s="15" t="n">
        <v>19.018</v>
      </c>
      <c r="Q208" s="15" t="n">
        <v>1.305</v>
      </c>
      <c r="R208" s="15" t="n">
        <v>61.085</v>
      </c>
      <c r="S208" s="15" t="n">
        <v>55.865</v>
      </c>
      <c r="T208" s="15" t="n"/>
      <c r="U208" s="15" t="n"/>
      <c r="V208" s="15" t="n">
        <v>2.634</v>
      </c>
      <c r="W208" s="15" t="n">
        <v>1.596</v>
      </c>
      <c r="X208" s="15" t="n">
        <v>20.036</v>
      </c>
      <c r="Y208" s="15" t="n">
        <v>38.32</v>
      </c>
      <c r="Z208" s="15" t="n">
        <v>27.73</v>
      </c>
      <c r="AA208" s="15" t="n">
        <v>15.646</v>
      </c>
      <c r="AB208" s="15" t="n">
        <v>16.011</v>
      </c>
      <c r="AC208" s="15" t="n"/>
      <c r="AD208" s="16" t="n">
        <v>4725</v>
      </c>
      <c r="AE208" s="17">
        <f>IF(ISNUMBER(K208),K208,IF(AND(ISNUMBER(H208),ISNUMBER(I208)),H208+I208,IF(ISNUMBER(H208),H208,"")))</f>
        <v/>
      </c>
      <c r="AF208" s="18">
        <f>IF(OR(NOT(ISNUMBER(J208)),NOT(ISNUMBER(H208)),H208&lt;=0),기준표!$B$8,MIN(MAX(J208/H208,기준표!$B$6),기준표!$B$7))</f>
        <v/>
      </c>
      <c r="AG208" s="17">
        <f>IF(ISNUMBER(AE208),AE208*(1-AF208),"")</f>
        <v/>
      </c>
      <c r="AH208" s="17">
        <f>IF(AND(NOT(ISNUMBER(V208)),NOT(ISNUMBER(X208))),"",IF(ISNUMBER(V208),V208,0)+IF(ISNUMBER(X208),X208,0))</f>
        <v/>
      </c>
      <c r="AI208" s="17">
        <f>IF(E208="금융","",IF(AND(ISNUMBER(R208),ISNUMBER(AH208),ISNUMBER(T208)),R208+AH208-T208,""))</f>
        <v/>
      </c>
      <c r="AJ208" s="17">
        <f>IF(E208="금융","",IF(NOT(ISNUMBER(AI208)),"",IF(ISNUMBER(AC208),(AI208+AC208)/2,AI208)))</f>
        <v/>
      </c>
      <c r="AK208" s="19">
        <f>IF(AND(ISNUMBER(AG208),ISNUMBER(AJ208),AJ208&gt;0),AG208/AJ208,"")</f>
        <v/>
      </c>
      <c r="AL208" s="17">
        <f>IF(E208="금융","",IF(AND(ISNUMBER(R208),ISNUMBER(AH208)),R208+AH208,""))</f>
        <v/>
      </c>
      <c r="AM208" s="19">
        <f>IF(OR(NOT(ISNUMBER(AG208)),NOT(ISNUMBER(AL208)),AL208&lt;=0),"",IF(AND(ISNUMBER(G208),AL208&lt;0.1*G208),"",AG208/AL208))</f>
        <v/>
      </c>
      <c r="AN208" s="17">
        <f>IF(NOT(ISNUMBER(R208)),"",IF(ISNUMBER(S208),(R208+S208)/2,R208))</f>
        <v/>
      </c>
      <c r="AO208" s="19">
        <f>IF(AND(ISNUMBER(L208),ISNUMBER(AN208),AN208&gt;0),L208/AN208,"")</f>
        <v/>
      </c>
      <c r="AP208" s="19">
        <f>IF(AND(ISNUMBER(AO208),ISNUMBER({ROIC})),AO208-{ROIC},"")</f>
        <v/>
      </c>
      <c r="AQ208" s="17">
        <f>IF(AND(ISNUMBER(AE208),ISNUMBER(N208)),AE208+N208,"")</f>
        <v/>
      </c>
      <c r="AR208" s="20">
        <f>IF(AND(ISNUMBER(AH208),ISNUMBER(T208),ISNUMBER(AQ208),AQ208&gt;0),(AH208-T208)/AQ208,"")</f>
        <v/>
      </c>
      <c r="AS208" s="20">
        <f>IF(AND(ISNUMBER(AE208),ISNUMBER(I208),I208&lt;&gt;0,AE208&gt;0),AE208/I208,"")</f>
        <v/>
      </c>
      <c r="AT208" s="17">
        <f>IF(AND(ISNUMBER(Y208),ISNUMBER(AA208)),Y208-IF(ISNUMBER(T208),T208,0)-(AA208-IF(ISNUMBER(V208),V208,0)),"")</f>
        <v/>
      </c>
      <c r="AU208" s="17">
        <f>IF(AND(ISNUMBER(Z208),ISNUMBER(AB208)),Z208-IF(ISNUMBER(U208),U208,0)-(AB208-IF(ISNUMBER(W208),W208,0)),"")</f>
        <v/>
      </c>
      <c r="AV208" s="17">
        <f>IF(AND(ISNUMBER(AT208),ISNUMBER(AU208)),AT208-AU208,"")</f>
        <v/>
      </c>
      <c r="AW208" s="17">
        <f>IF(AND(ISNUMBER(L208),ISNUMBER(M208),ISNUMBER(AF208)),L208-M208*(1-AF208),IF(ISNUMBER(L208),L208,""))</f>
        <v/>
      </c>
      <c r="AX208" s="17">
        <f>IF(E208="금융","",IF(AND(ISNUMBER(AW208),ISNUMBER(N208),ISNUMBER(O208),ISNUMBER(AV208)),AW208+N208-O208-AV208,IF(AND(ISNUMBER(P208),ISNUMBER(O208)),P208-O208-IF(ISNUMBER(Q208),Q208,0),"")))</f>
        <v/>
      </c>
      <c r="AY208" s="8">
        <f>IF(E208="금융","금융업 - 정의되지 않음",IF(AND(ISNUMBER(AW208),ISNUMBER(N208),ISNUMBER(O208),ISNUMBER(AV208)),"영업순이익+감가상각-설비투자-운전자본증감",IF(AND(ISNUMBER(P208),ISNUMBER(O208)),IF(ISNUMBER(Q208),"영업현금흐름-설비투자-주식보상비용","영업현금흐름-설비투자(주식보상비용 미태깅)"),"산출불가")))</f>
        <v/>
      </c>
      <c r="AZ208" s="19">
        <f>IF(AND(ISNUMBER(AX208),ISNUMBER(G208),G208&lt;&gt;0),AX208/G208,"")</f>
        <v/>
      </c>
      <c r="BA208" s="19">
        <f>IF(AND(ISNUMBER(AE208),ISNUMBER(G208),G208&lt;&gt;0),AE208/G208,"")</f>
        <v/>
      </c>
    </row>
    <row r="209">
      <c r="A209" s="8" t="inlineStr">
        <is>
          <t>INTC</t>
        </is>
      </c>
      <c r="B209" s="8" t="inlineStr">
        <is>
          <t>INTEL CORP</t>
        </is>
      </c>
      <c r="C209" s="8" t="n">
        <v>2016</v>
      </c>
      <c r="D209" s="8" t="inlineStr">
        <is>
          <t>2016-12-31</t>
        </is>
      </c>
      <c r="E209" s="8" t="inlineStr">
        <is>
          <t>일반</t>
        </is>
      </c>
      <c r="F209" s="8" t="inlineStr">
        <is>
          <t>0000050863-19-000007</t>
        </is>
      </c>
      <c r="G209" s="15" t="n">
        <v>59.387</v>
      </c>
      <c r="H209" s="15" t="n">
        <v>12.936</v>
      </c>
      <c r="I209" s="15" t="n"/>
      <c r="J209" s="15" t="n">
        <v>2.62</v>
      </c>
      <c r="K209" s="15" t="n">
        <v>13.133</v>
      </c>
      <c r="L209" s="15" t="n">
        <v>10.316</v>
      </c>
      <c r="M209" s="15" t="n"/>
      <c r="N209" s="15" t="n">
        <v>6.266</v>
      </c>
      <c r="O209" s="15" t="n">
        <v>9.625</v>
      </c>
      <c r="P209" s="15" t="n">
        <v>21.808</v>
      </c>
      <c r="Q209" s="15" t="n">
        <v>1.444</v>
      </c>
      <c r="R209" s="15" t="n">
        <v>66.226</v>
      </c>
      <c r="S209" s="15" t="n">
        <v>61.085</v>
      </c>
      <c r="T209" s="15" t="n">
        <v>8.785</v>
      </c>
      <c r="U209" s="15" t="n"/>
      <c r="V209" s="15" t="n">
        <v>4.634</v>
      </c>
      <c r="W209" s="15" t="n">
        <v>2.634</v>
      </c>
      <c r="X209" s="15" t="n">
        <v>20.649</v>
      </c>
      <c r="Y209" s="15" t="n">
        <v>35.508</v>
      </c>
      <c r="Z209" s="15" t="n">
        <v>38.32</v>
      </c>
      <c r="AA209" s="15" t="n">
        <v>20.302</v>
      </c>
      <c r="AB209" s="15" t="n">
        <v>15.646</v>
      </c>
      <c r="AC209" s="15" t="n"/>
      <c r="AD209" s="16" t="n">
        <v>4730</v>
      </c>
      <c r="AE209" s="17">
        <f>IF(ISNUMBER(K209),K209,IF(AND(ISNUMBER(H209),ISNUMBER(I209)),H209+I209,IF(ISNUMBER(H209),H209,"")))</f>
        <v/>
      </c>
      <c r="AF209" s="18">
        <f>IF(OR(NOT(ISNUMBER(J209)),NOT(ISNUMBER(H209)),H209&lt;=0),기준표!$B$8,MIN(MAX(J209/H209,기준표!$B$6),기준표!$B$7))</f>
        <v/>
      </c>
      <c r="AG209" s="17">
        <f>IF(ISNUMBER(AE209),AE209*(1-AF209),"")</f>
        <v/>
      </c>
      <c r="AH209" s="17">
        <f>IF(AND(NOT(ISNUMBER(V209)),NOT(ISNUMBER(X209))),"",IF(ISNUMBER(V209),V209,0)+IF(ISNUMBER(X209),X209,0))</f>
        <v/>
      </c>
      <c r="AI209" s="17">
        <f>IF(E209="금융","",IF(AND(ISNUMBER(R209),ISNUMBER(AH209),ISNUMBER(T209)),R209+AH209-T209,""))</f>
        <v/>
      </c>
      <c r="AJ209" s="17">
        <f>IF(E209="금융","",IF(NOT(ISNUMBER(AI209)),"",IF(ISNUMBER(AC209),(AI209+AC209)/2,AI209)))</f>
        <v/>
      </c>
      <c r="AK209" s="19">
        <f>IF(AND(ISNUMBER(AG209),ISNUMBER(AJ209),AJ209&gt;0),AG209/AJ209,"")</f>
        <v/>
      </c>
      <c r="AL209" s="17">
        <f>IF(E209="금융","",IF(AND(ISNUMBER(R209),ISNUMBER(AH209)),R209+AH209,""))</f>
        <v/>
      </c>
      <c r="AM209" s="19">
        <f>IF(OR(NOT(ISNUMBER(AG209)),NOT(ISNUMBER(AL209)),AL209&lt;=0),"",IF(AND(ISNUMBER(G209),AL209&lt;0.1*G209),"",AG209/AL209))</f>
        <v/>
      </c>
      <c r="AN209" s="17">
        <f>IF(NOT(ISNUMBER(R209)),"",IF(ISNUMBER(S209),(R209+S209)/2,R209))</f>
        <v/>
      </c>
      <c r="AO209" s="19">
        <f>IF(AND(ISNUMBER(L209),ISNUMBER(AN209),AN209&gt;0),L209/AN209,"")</f>
        <v/>
      </c>
      <c r="AP209" s="19">
        <f>IF(AND(ISNUMBER(AO209),ISNUMBER({ROIC})),AO209-{ROIC},"")</f>
        <v/>
      </c>
      <c r="AQ209" s="17">
        <f>IF(AND(ISNUMBER(AE209),ISNUMBER(N209)),AE209+N209,"")</f>
        <v/>
      </c>
      <c r="AR209" s="20">
        <f>IF(AND(ISNUMBER(AH209),ISNUMBER(T209),ISNUMBER(AQ209),AQ209&gt;0),(AH209-T209)/AQ209,"")</f>
        <v/>
      </c>
      <c r="AS209" s="20">
        <f>IF(AND(ISNUMBER(AE209),ISNUMBER(I209),I209&lt;&gt;0,AE209&gt;0),AE209/I209,"")</f>
        <v/>
      </c>
      <c r="AT209" s="17">
        <f>IF(AND(ISNUMBER(Y209),ISNUMBER(AA209)),Y209-IF(ISNUMBER(T209),T209,0)-(AA209-IF(ISNUMBER(V209),V209,0)),"")</f>
        <v/>
      </c>
      <c r="AU209" s="17">
        <f>IF(AND(ISNUMBER(Z209),ISNUMBER(AB209)),Z209-IF(ISNUMBER(U209),U209,0)-(AB209-IF(ISNUMBER(W209),W209,0)),"")</f>
        <v/>
      </c>
      <c r="AV209" s="17">
        <f>IF(AND(ISNUMBER(AT209),ISNUMBER(AU209)),AT209-AU209,"")</f>
        <v/>
      </c>
      <c r="AW209" s="17">
        <f>IF(AND(ISNUMBER(L209),ISNUMBER(M209),ISNUMBER(AF209)),L209-M209*(1-AF209),IF(ISNUMBER(L209),L209,""))</f>
        <v/>
      </c>
      <c r="AX209" s="17">
        <f>IF(E209="금융","",IF(AND(ISNUMBER(AW209),ISNUMBER(N209),ISNUMBER(O209),ISNUMBER(AV209)),AW209+N209-O209-AV209,IF(AND(ISNUMBER(P209),ISNUMBER(O209)),P209-O209-IF(ISNUMBER(Q209),Q209,0),"")))</f>
        <v/>
      </c>
      <c r="AY209" s="8">
        <f>IF(E209="금융","금융업 - 정의되지 않음",IF(AND(ISNUMBER(AW209),ISNUMBER(N209),ISNUMBER(O209),ISNUMBER(AV209)),"영업순이익+감가상각-설비투자-운전자본증감",IF(AND(ISNUMBER(P209),ISNUMBER(O209)),IF(ISNUMBER(Q209),"영업현금흐름-설비투자-주식보상비용","영업현금흐름-설비투자(주식보상비용 미태깅)"),"산출불가")))</f>
        <v/>
      </c>
      <c r="AZ209" s="19">
        <f>IF(AND(ISNUMBER(AX209),ISNUMBER(G209),G209&lt;&gt;0),AX209/G209,"")</f>
        <v/>
      </c>
      <c r="BA209" s="19">
        <f>IF(AND(ISNUMBER(AE209),ISNUMBER(G209),G209&lt;&gt;0),AE209/G209,"")</f>
        <v/>
      </c>
    </row>
    <row r="210">
      <c r="A210" s="8" t="inlineStr">
        <is>
          <t>INTC</t>
        </is>
      </c>
      <c r="B210" s="8" t="inlineStr">
        <is>
          <t>INTEL CORP</t>
        </is>
      </c>
      <c r="C210" s="8" t="n">
        <v>2017</v>
      </c>
      <c r="D210" s="8" t="inlineStr">
        <is>
          <t>2017-12-30</t>
        </is>
      </c>
      <c r="E210" s="8" t="inlineStr">
        <is>
          <t>일반</t>
        </is>
      </c>
      <c r="F210" s="8" t="inlineStr">
        <is>
          <t>0000050863-20-000011</t>
        </is>
      </c>
      <c r="G210" s="15" t="n">
        <v>62.761</v>
      </c>
      <c r="H210" s="15" t="n">
        <v>20.352</v>
      </c>
      <c r="I210" s="15" t="n"/>
      <c r="J210" s="15" t="n">
        <v>10.751</v>
      </c>
      <c r="K210" s="15" t="n">
        <v>18.05</v>
      </c>
      <c r="L210" s="15" t="n">
        <v>9.601000000000001</v>
      </c>
      <c r="M210" s="15" t="n"/>
      <c r="N210" s="15" t="n">
        <v>6.752</v>
      </c>
      <c r="O210" s="15" t="n">
        <v>11.778</v>
      </c>
      <c r="P210" s="15" t="n">
        <v>22.11</v>
      </c>
      <c r="Q210" s="15" t="n">
        <v>1.358</v>
      </c>
      <c r="R210" s="15" t="n">
        <v>69.65300000000001</v>
      </c>
      <c r="S210" s="15" t="n">
        <v>66.226</v>
      </c>
      <c r="T210" s="15" t="n">
        <v>5.247</v>
      </c>
      <c r="U210" s="15" t="n">
        <v>8.785</v>
      </c>
      <c r="V210" s="15" t="n">
        <v>1.776</v>
      </c>
      <c r="W210" s="15" t="n">
        <v>4.634</v>
      </c>
      <c r="X210" s="15" t="n">
        <v>25.037</v>
      </c>
      <c r="Y210" s="15" t="n">
        <v>29.5</v>
      </c>
      <c r="Z210" s="15" t="n">
        <v>35.508</v>
      </c>
      <c r="AA210" s="15" t="n">
        <v>17.421</v>
      </c>
      <c r="AB210" s="15" t="n">
        <v>20.302</v>
      </c>
      <c r="AC210" s="15" t="n">
        <v>82.724</v>
      </c>
      <c r="AD210" s="16" t="n">
        <v>4687</v>
      </c>
      <c r="AE210" s="17">
        <f>IF(ISNUMBER(K210),K210,IF(AND(ISNUMBER(H210),ISNUMBER(I210)),H210+I210,IF(ISNUMBER(H210),H210,"")))</f>
        <v/>
      </c>
      <c r="AF210" s="18">
        <f>IF(OR(NOT(ISNUMBER(J210)),NOT(ISNUMBER(H210)),H210&lt;=0),기준표!$B$8,MIN(MAX(J210/H210,기준표!$B$6),기준표!$B$7))</f>
        <v/>
      </c>
      <c r="AG210" s="17">
        <f>IF(ISNUMBER(AE210),AE210*(1-AF210),"")</f>
        <v/>
      </c>
      <c r="AH210" s="17">
        <f>IF(AND(NOT(ISNUMBER(V210)),NOT(ISNUMBER(X210))),"",IF(ISNUMBER(V210),V210,0)+IF(ISNUMBER(X210),X210,0))</f>
        <v/>
      </c>
      <c r="AI210" s="17">
        <f>IF(E210="금융","",IF(AND(ISNUMBER(R210),ISNUMBER(AH210),ISNUMBER(T210)),R210+AH210-T210,""))</f>
        <v/>
      </c>
      <c r="AJ210" s="17">
        <f>IF(E210="금융","",IF(NOT(ISNUMBER(AI210)),"",IF(ISNUMBER(AC210),(AI210+AC210)/2,AI210)))</f>
        <v/>
      </c>
      <c r="AK210" s="19">
        <f>IF(AND(ISNUMBER(AG210),ISNUMBER(AJ210),AJ210&gt;0),AG210/AJ210,"")</f>
        <v/>
      </c>
      <c r="AL210" s="17">
        <f>IF(E210="금융","",IF(AND(ISNUMBER(R210),ISNUMBER(AH210)),R210+AH210,""))</f>
        <v/>
      </c>
      <c r="AM210" s="19">
        <f>IF(OR(NOT(ISNUMBER(AG210)),NOT(ISNUMBER(AL210)),AL210&lt;=0),"",IF(AND(ISNUMBER(G210),AL210&lt;0.1*G210),"",AG210/AL210))</f>
        <v/>
      </c>
      <c r="AN210" s="17">
        <f>IF(NOT(ISNUMBER(R210)),"",IF(ISNUMBER(S210),(R210+S210)/2,R210))</f>
        <v/>
      </c>
      <c r="AO210" s="19">
        <f>IF(AND(ISNUMBER(L210),ISNUMBER(AN210),AN210&gt;0),L210/AN210,"")</f>
        <v/>
      </c>
      <c r="AP210" s="19">
        <f>IF(AND(ISNUMBER(AO210),ISNUMBER({ROIC})),AO210-{ROIC},"")</f>
        <v/>
      </c>
      <c r="AQ210" s="17">
        <f>IF(AND(ISNUMBER(AE210),ISNUMBER(N210)),AE210+N210,"")</f>
        <v/>
      </c>
      <c r="AR210" s="20">
        <f>IF(AND(ISNUMBER(AH210),ISNUMBER(T210),ISNUMBER(AQ210),AQ210&gt;0),(AH210-T210)/AQ210,"")</f>
        <v/>
      </c>
      <c r="AS210" s="20">
        <f>IF(AND(ISNUMBER(AE210),ISNUMBER(I210),I210&lt;&gt;0,AE210&gt;0),AE210/I210,"")</f>
        <v/>
      </c>
      <c r="AT210" s="17">
        <f>IF(AND(ISNUMBER(Y210),ISNUMBER(AA210)),Y210-IF(ISNUMBER(T210),T210,0)-(AA210-IF(ISNUMBER(V210),V210,0)),"")</f>
        <v/>
      </c>
      <c r="AU210" s="17">
        <f>IF(AND(ISNUMBER(Z210),ISNUMBER(AB210)),Z210-IF(ISNUMBER(U210),U210,0)-(AB210-IF(ISNUMBER(W210),W210,0)),"")</f>
        <v/>
      </c>
      <c r="AV210" s="17">
        <f>IF(AND(ISNUMBER(AT210),ISNUMBER(AU210)),AT210-AU210,"")</f>
        <v/>
      </c>
      <c r="AW210" s="17">
        <f>IF(AND(ISNUMBER(L210),ISNUMBER(M210),ISNUMBER(AF210)),L210-M210*(1-AF210),IF(ISNUMBER(L210),L210,""))</f>
        <v/>
      </c>
      <c r="AX210" s="17">
        <f>IF(E210="금융","",IF(AND(ISNUMBER(AW210),ISNUMBER(N210),ISNUMBER(O210),ISNUMBER(AV210)),AW210+N210-O210-AV210,IF(AND(ISNUMBER(P210),ISNUMBER(O210)),P210-O210-IF(ISNUMBER(Q210),Q210,0),"")))</f>
        <v/>
      </c>
      <c r="AY210" s="8">
        <f>IF(E210="금융","금융업 - 정의되지 않음",IF(AND(ISNUMBER(AW210),ISNUMBER(N210),ISNUMBER(O210),ISNUMBER(AV210)),"영업순이익+감가상각-설비투자-운전자본증감",IF(AND(ISNUMBER(P210),ISNUMBER(O210)),IF(ISNUMBER(Q210),"영업현금흐름-설비투자-주식보상비용","영업현금흐름-설비투자(주식보상비용 미태깅)"),"산출불가")))</f>
        <v/>
      </c>
      <c r="AZ210" s="19">
        <f>IF(AND(ISNUMBER(AX210),ISNUMBER(G210),G210&lt;&gt;0),AX210/G210,"")</f>
        <v/>
      </c>
      <c r="BA210" s="19">
        <f>IF(AND(ISNUMBER(AE210),ISNUMBER(G210),G210&lt;&gt;0),AE210/G210,"")</f>
        <v/>
      </c>
    </row>
    <row r="211">
      <c r="A211" s="8" t="inlineStr">
        <is>
          <t>INTC</t>
        </is>
      </c>
      <c r="B211" s="8" t="inlineStr">
        <is>
          <t>INTEL CORP</t>
        </is>
      </c>
      <c r="C211" s="8" t="n">
        <v>2018</v>
      </c>
      <c r="D211" s="8" t="inlineStr">
        <is>
          <t>2018-12-29</t>
        </is>
      </c>
      <c r="E211" s="8" t="inlineStr">
        <is>
          <t>일반</t>
        </is>
      </c>
      <c r="F211" s="8" t="inlineStr">
        <is>
          <t>0000050863-21-000010</t>
        </is>
      </c>
      <c r="G211" s="15" t="n">
        <v>70.848</v>
      </c>
      <c r="H211" s="15" t="n">
        <v>23.317</v>
      </c>
      <c r="I211" s="15" t="n"/>
      <c r="J211" s="15" t="n">
        <v>2.264</v>
      </c>
      <c r="K211" s="15" t="n">
        <v>23.316</v>
      </c>
      <c r="L211" s="15" t="n">
        <v>21.053</v>
      </c>
      <c r="M211" s="15" t="n">
        <v>0.298</v>
      </c>
      <c r="N211" s="15" t="n">
        <v>7.52</v>
      </c>
      <c r="O211" s="15" t="n">
        <v>15.181</v>
      </c>
      <c r="P211" s="15" t="n">
        <v>29.432</v>
      </c>
      <c r="Q211" s="15" t="n">
        <v>1.546</v>
      </c>
      <c r="R211" s="15" t="n">
        <v>74.563</v>
      </c>
      <c r="S211" s="15" t="n">
        <v>69.65300000000001</v>
      </c>
      <c r="T211" s="15" t="n">
        <v>5.807</v>
      </c>
      <c r="U211" s="15" t="n">
        <v>5.247</v>
      </c>
      <c r="V211" s="15" t="n">
        <v>1.261</v>
      </c>
      <c r="W211" s="15" t="n">
        <v>1.776</v>
      </c>
      <c r="X211" s="15" t="n">
        <v>25.098</v>
      </c>
      <c r="Y211" s="15" t="n">
        <v>28.787</v>
      </c>
      <c r="Z211" s="15" t="n">
        <v>29.5</v>
      </c>
      <c r="AA211" s="15" t="n">
        <v>16.626</v>
      </c>
      <c r="AB211" s="15" t="n">
        <v>17.421</v>
      </c>
      <c r="AC211" s="15" t="n">
        <v>91.21899999999999</v>
      </c>
      <c r="AD211" s="16" t="n">
        <v>4516</v>
      </c>
      <c r="AE211" s="17">
        <f>IF(ISNUMBER(K211),K211,IF(AND(ISNUMBER(H211),ISNUMBER(I211)),H211+I211,IF(ISNUMBER(H211),H211,"")))</f>
        <v/>
      </c>
      <c r="AF211" s="18">
        <f>IF(OR(NOT(ISNUMBER(J211)),NOT(ISNUMBER(H211)),H211&lt;=0),기준표!$B$8,MIN(MAX(J211/H211,기준표!$B$6),기준표!$B$7))</f>
        <v/>
      </c>
      <c r="AG211" s="17">
        <f>IF(ISNUMBER(AE211),AE211*(1-AF211),"")</f>
        <v/>
      </c>
      <c r="AH211" s="17">
        <f>IF(AND(NOT(ISNUMBER(V211)),NOT(ISNUMBER(X211))),"",IF(ISNUMBER(V211),V211,0)+IF(ISNUMBER(X211),X211,0))</f>
        <v/>
      </c>
      <c r="AI211" s="17">
        <f>IF(E211="금융","",IF(AND(ISNUMBER(R211),ISNUMBER(AH211),ISNUMBER(T211)),R211+AH211-T211,""))</f>
        <v/>
      </c>
      <c r="AJ211" s="17">
        <f>IF(E211="금융","",IF(NOT(ISNUMBER(AI211)),"",IF(ISNUMBER(AC211),(AI211+AC211)/2,AI211)))</f>
        <v/>
      </c>
      <c r="AK211" s="19">
        <f>IF(AND(ISNUMBER(AG211),ISNUMBER(AJ211),AJ211&gt;0),AG211/AJ211,"")</f>
        <v/>
      </c>
      <c r="AL211" s="17">
        <f>IF(E211="금융","",IF(AND(ISNUMBER(R211),ISNUMBER(AH211)),R211+AH211,""))</f>
        <v/>
      </c>
      <c r="AM211" s="19">
        <f>IF(OR(NOT(ISNUMBER(AG211)),NOT(ISNUMBER(AL211)),AL211&lt;=0),"",IF(AND(ISNUMBER(G211),AL211&lt;0.1*G211),"",AG211/AL211))</f>
        <v/>
      </c>
      <c r="AN211" s="17">
        <f>IF(NOT(ISNUMBER(R211)),"",IF(ISNUMBER(S211),(R211+S211)/2,R211))</f>
        <v/>
      </c>
      <c r="AO211" s="19">
        <f>IF(AND(ISNUMBER(L211),ISNUMBER(AN211),AN211&gt;0),L211/AN211,"")</f>
        <v/>
      </c>
      <c r="AP211" s="19">
        <f>IF(AND(ISNUMBER(AO211),ISNUMBER({ROIC})),AO211-{ROIC},"")</f>
        <v/>
      </c>
      <c r="AQ211" s="17">
        <f>IF(AND(ISNUMBER(AE211),ISNUMBER(N211)),AE211+N211,"")</f>
        <v/>
      </c>
      <c r="AR211" s="20">
        <f>IF(AND(ISNUMBER(AH211),ISNUMBER(T211),ISNUMBER(AQ211),AQ211&gt;0),(AH211-T211)/AQ211,"")</f>
        <v/>
      </c>
      <c r="AS211" s="20">
        <f>IF(AND(ISNUMBER(AE211),ISNUMBER(I211),I211&lt;&gt;0,AE211&gt;0),AE211/I211,"")</f>
        <v/>
      </c>
      <c r="AT211" s="17">
        <f>IF(AND(ISNUMBER(Y211),ISNUMBER(AA211)),Y211-IF(ISNUMBER(T211),T211,0)-(AA211-IF(ISNUMBER(V211),V211,0)),"")</f>
        <v/>
      </c>
      <c r="AU211" s="17">
        <f>IF(AND(ISNUMBER(Z211),ISNUMBER(AB211)),Z211-IF(ISNUMBER(U211),U211,0)-(AB211-IF(ISNUMBER(W211),W211,0)),"")</f>
        <v/>
      </c>
      <c r="AV211" s="17">
        <f>IF(AND(ISNUMBER(AT211),ISNUMBER(AU211)),AT211-AU211,"")</f>
        <v/>
      </c>
      <c r="AW211" s="17">
        <f>IF(AND(ISNUMBER(L211),ISNUMBER(M211),ISNUMBER(AF211)),L211-M211*(1-AF211),IF(ISNUMBER(L211),L211,""))</f>
        <v/>
      </c>
      <c r="AX211" s="17">
        <f>IF(E211="금융","",IF(AND(ISNUMBER(AW211),ISNUMBER(N211),ISNUMBER(O211),ISNUMBER(AV211)),AW211+N211-O211-AV211,IF(AND(ISNUMBER(P211),ISNUMBER(O211)),P211-O211-IF(ISNUMBER(Q211),Q211,0),"")))</f>
        <v/>
      </c>
      <c r="AY211" s="8">
        <f>IF(E211="금융","금융업 - 정의되지 않음",IF(AND(ISNUMBER(AW211),ISNUMBER(N211),ISNUMBER(O211),ISNUMBER(AV211)),"영업순이익+감가상각-설비투자-운전자본증감",IF(AND(ISNUMBER(P211),ISNUMBER(O211)),IF(ISNUMBER(Q211),"영업현금흐름-설비투자-주식보상비용","영업현금흐름-설비투자(주식보상비용 미태깅)"),"산출불가")))</f>
        <v/>
      </c>
      <c r="AZ211" s="19">
        <f>IF(AND(ISNUMBER(AX211),ISNUMBER(G211),G211&lt;&gt;0),AX211/G211,"")</f>
        <v/>
      </c>
      <c r="BA211" s="19">
        <f>IF(AND(ISNUMBER(AE211),ISNUMBER(G211),G211&lt;&gt;0),AE211/G211,"")</f>
        <v/>
      </c>
    </row>
    <row r="212">
      <c r="A212" s="8" t="inlineStr">
        <is>
          <t>INTC</t>
        </is>
      </c>
      <c r="B212" s="8" t="inlineStr">
        <is>
          <t>INTEL CORP</t>
        </is>
      </c>
      <c r="C212" s="8" t="n">
        <v>2019</v>
      </c>
      <c r="D212" s="8" t="inlineStr">
        <is>
          <t>2019-12-28</t>
        </is>
      </c>
      <c r="E212" s="8" t="inlineStr">
        <is>
          <t>일반</t>
        </is>
      </c>
      <c r="F212" s="8" t="inlineStr">
        <is>
          <t>0000050863-22-000007</t>
        </is>
      </c>
      <c r="G212" s="15" t="n">
        <v>71.965</v>
      </c>
      <c r="H212" s="15" t="n">
        <v>24.058</v>
      </c>
      <c r="I212" s="15" t="n"/>
      <c r="J212" s="15" t="n">
        <v>3.01</v>
      </c>
      <c r="K212" s="15" t="n">
        <v>22.035</v>
      </c>
      <c r="L212" s="15" t="n">
        <v>21.048</v>
      </c>
      <c r="M212" s="15" t="n">
        <v>0.734</v>
      </c>
      <c r="N212" s="15" t="n">
        <v>9.204000000000001</v>
      </c>
      <c r="O212" s="15" t="n">
        <v>16.213</v>
      </c>
      <c r="P212" s="15" t="n">
        <v>33.145</v>
      </c>
      <c r="Q212" s="15" t="n">
        <v>1.705</v>
      </c>
      <c r="R212" s="15" t="n">
        <v>77.504</v>
      </c>
      <c r="S212" s="15" t="n">
        <v>74.563</v>
      </c>
      <c r="T212" s="15" t="n">
        <v>5.276</v>
      </c>
      <c r="U212" s="15" t="n">
        <v>5.807</v>
      </c>
      <c r="V212" s="15" t="n">
        <v>3.693</v>
      </c>
      <c r="W212" s="15" t="n">
        <v>1.261</v>
      </c>
      <c r="X212" s="15" t="n">
        <v>25.308</v>
      </c>
      <c r="Y212" s="15" t="n">
        <v>31.239</v>
      </c>
      <c r="Z212" s="15" t="n">
        <v>28.787</v>
      </c>
      <c r="AA212" s="15" t="n">
        <v>22.31</v>
      </c>
      <c r="AB212" s="15" t="n">
        <v>16.626</v>
      </c>
      <c r="AC212" s="15" t="n">
        <v>95.11499999999999</v>
      </c>
      <c r="AD212" s="16" t="n">
        <v>4290</v>
      </c>
      <c r="AE212" s="17">
        <f>IF(ISNUMBER(K212),K212,IF(AND(ISNUMBER(H212),ISNUMBER(I212)),H212+I212,IF(ISNUMBER(H212),H212,"")))</f>
        <v/>
      </c>
      <c r="AF212" s="18">
        <f>IF(OR(NOT(ISNUMBER(J212)),NOT(ISNUMBER(H212)),H212&lt;=0),기준표!$B$8,MIN(MAX(J212/H212,기준표!$B$6),기준표!$B$7))</f>
        <v/>
      </c>
      <c r="AG212" s="17">
        <f>IF(ISNUMBER(AE212),AE212*(1-AF212),"")</f>
        <v/>
      </c>
      <c r="AH212" s="17">
        <f>IF(AND(NOT(ISNUMBER(V212)),NOT(ISNUMBER(X212))),"",IF(ISNUMBER(V212),V212,0)+IF(ISNUMBER(X212),X212,0))</f>
        <v/>
      </c>
      <c r="AI212" s="17">
        <f>IF(E212="금융","",IF(AND(ISNUMBER(R212),ISNUMBER(AH212),ISNUMBER(T212)),R212+AH212-T212,""))</f>
        <v/>
      </c>
      <c r="AJ212" s="17">
        <f>IF(E212="금융","",IF(NOT(ISNUMBER(AI212)),"",IF(ISNUMBER(AC212),(AI212+AC212)/2,AI212)))</f>
        <v/>
      </c>
      <c r="AK212" s="19">
        <f>IF(AND(ISNUMBER(AG212),ISNUMBER(AJ212),AJ212&gt;0),AG212/AJ212,"")</f>
        <v/>
      </c>
      <c r="AL212" s="17">
        <f>IF(E212="금융","",IF(AND(ISNUMBER(R212),ISNUMBER(AH212)),R212+AH212,""))</f>
        <v/>
      </c>
      <c r="AM212" s="19">
        <f>IF(OR(NOT(ISNUMBER(AG212)),NOT(ISNUMBER(AL212)),AL212&lt;=0),"",IF(AND(ISNUMBER(G212),AL212&lt;0.1*G212),"",AG212/AL212))</f>
        <v/>
      </c>
      <c r="AN212" s="17">
        <f>IF(NOT(ISNUMBER(R212)),"",IF(ISNUMBER(S212),(R212+S212)/2,R212))</f>
        <v/>
      </c>
      <c r="AO212" s="19">
        <f>IF(AND(ISNUMBER(L212),ISNUMBER(AN212),AN212&gt;0),L212/AN212,"")</f>
        <v/>
      </c>
      <c r="AP212" s="19">
        <f>IF(AND(ISNUMBER(AO212),ISNUMBER({ROIC})),AO212-{ROIC},"")</f>
        <v/>
      </c>
      <c r="AQ212" s="17">
        <f>IF(AND(ISNUMBER(AE212),ISNUMBER(N212)),AE212+N212,"")</f>
        <v/>
      </c>
      <c r="AR212" s="20">
        <f>IF(AND(ISNUMBER(AH212),ISNUMBER(T212),ISNUMBER(AQ212),AQ212&gt;0),(AH212-T212)/AQ212,"")</f>
        <v/>
      </c>
      <c r="AS212" s="20">
        <f>IF(AND(ISNUMBER(AE212),ISNUMBER(I212),I212&lt;&gt;0,AE212&gt;0),AE212/I212,"")</f>
        <v/>
      </c>
      <c r="AT212" s="17">
        <f>IF(AND(ISNUMBER(Y212),ISNUMBER(AA212)),Y212-IF(ISNUMBER(T212),T212,0)-(AA212-IF(ISNUMBER(V212),V212,0)),"")</f>
        <v/>
      </c>
      <c r="AU212" s="17">
        <f>IF(AND(ISNUMBER(Z212),ISNUMBER(AB212)),Z212-IF(ISNUMBER(U212),U212,0)-(AB212-IF(ISNUMBER(W212),W212,0)),"")</f>
        <v/>
      </c>
      <c r="AV212" s="17">
        <f>IF(AND(ISNUMBER(AT212),ISNUMBER(AU212)),AT212-AU212,"")</f>
        <v/>
      </c>
      <c r="AW212" s="17">
        <f>IF(AND(ISNUMBER(L212),ISNUMBER(M212),ISNUMBER(AF212)),L212-M212*(1-AF212),IF(ISNUMBER(L212),L212,""))</f>
        <v/>
      </c>
      <c r="AX212" s="17">
        <f>IF(E212="금융","",IF(AND(ISNUMBER(AW212),ISNUMBER(N212),ISNUMBER(O212),ISNUMBER(AV212)),AW212+N212-O212-AV212,IF(AND(ISNUMBER(P212),ISNUMBER(O212)),P212-O212-IF(ISNUMBER(Q212),Q212,0),"")))</f>
        <v/>
      </c>
      <c r="AY212" s="8">
        <f>IF(E212="금융","금융업 - 정의되지 않음",IF(AND(ISNUMBER(AW212),ISNUMBER(N212),ISNUMBER(O212),ISNUMBER(AV212)),"영업순이익+감가상각-설비투자-운전자본증감",IF(AND(ISNUMBER(P212),ISNUMBER(O212)),IF(ISNUMBER(Q212),"영업현금흐름-설비투자-주식보상비용","영업현금흐름-설비투자(주식보상비용 미태깅)"),"산출불가")))</f>
        <v/>
      </c>
      <c r="AZ212" s="19">
        <f>IF(AND(ISNUMBER(AX212),ISNUMBER(G212),G212&lt;&gt;0),AX212/G212,"")</f>
        <v/>
      </c>
      <c r="BA212" s="19">
        <f>IF(AND(ISNUMBER(AE212),ISNUMBER(G212),G212&lt;&gt;0),AE212/G212,"")</f>
        <v/>
      </c>
    </row>
    <row r="213">
      <c r="A213" s="8" t="inlineStr">
        <is>
          <t>INTC</t>
        </is>
      </c>
      <c r="B213" s="8" t="inlineStr">
        <is>
          <t>INTEL CORP</t>
        </is>
      </c>
      <c r="C213" s="8" t="n">
        <v>2020</v>
      </c>
      <c r="D213" s="8" t="inlineStr">
        <is>
          <t>2020-12-26</t>
        </is>
      </c>
      <c r="E213" s="8" t="inlineStr">
        <is>
          <t>일반</t>
        </is>
      </c>
      <c r="F213" s="8" t="inlineStr">
        <is>
          <t>0000050863-23-000006</t>
        </is>
      </c>
      <c r="G213" s="15" t="n">
        <v>77.867</v>
      </c>
      <c r="H213" s="15" t="n">
        <v>25.078</v>
      </c>
      <c r="I213" s="15" t="n"/>
      <c r="J213" s="15" t="n">
        <v>4.179</v>
      </c>
      <c r="K213" s="15" t="n">
        <v>23.678</v>
      </c>
      <c r="L213" s="15" t="n">
        <v>20.899</v>
      </c>
      <c r="M213" s="15" t="n">
        <v>1.904</v>
      </c>
      <c r="N213" s="15" t="n">
        <v>10.482</v>
      </c>
      <c r="O213" s="15" t="n">
        <v>14.259</v>
      </c>
      <c r="P213" s="15" t="n">
        <v>35.864</v>
      </c>
      <c r="Q213" s="15" t="n">
        <v>1.854</v>
      </c>
      <c r="R213" s="15" t="n">
        <v>81.038</v>
      </c>
      <c r="S213" s="15" t="n">
        <v>77.504</v>
      </c>
      <c r="T213" s="15" t="n">
        <v>8.157</v>
      </c>
      <c r="U213" s="15" t="n">
        <v>5.276</v>
      </c>
      <c r="V213" s="15" t="n">
        <v>2.504</v>
      </c>
      <c r="W213" s="15" t="n">
        <v>3.693</v>
      </c>
      <c r="X213" s="15" t="n">
        <v>33.897</v>
      </c>
      <c r="Y213" s="15" t="n">
        <v>47.249</v>
      </c>
      <c r="Z213" s="15" t="n">
        <v>31.239</v>
      </c>
      <c r="AA213" s="15" t="n">
        <v>24.754</v>
      </c>
      <c r="AB213" s="15" t="n">
        <v>22.31</v>
      </c>
      <c r="AC213" s="15" t="n">
        <v>101.229</v>
      </c>
      <c r="AD213" s="16" t="n">
        <v>4062</v>
      </c>
      <c r="AE213" s="17">
        <f>IF(ISNUMBER(K213),K213,IF(AND(ISNUMBER(H213),ISNUMBER(I213)),H213+I213,IF(ISNUMBER(H213),H213,"")))</f>
        <v/>
      </c>
      <c r="AF213" s="18">
        <f>IF(OR(NOT(ISNUMBER(J213)),NOT(ISNUMBER(H213)),H213&lt;=0),기준표!$B$8,MIN(MAX(J213/H213,기준표!$B$6),기준표!$B$7))</f>
        <v/>
      </c>
      <c r="AG213" s="17">
        <f>IF(ISNUMBER(AE213),AE213*(1-AF213),"")</f>
        <v/>
      </c>
      <c r="AH213" s="17">
        <f>IF(AND(NOT(ISNUMBER(V213)),NOT(ISNUMBER(X213))),"",IF(ISNUMBER(V213),V213,0)+IF(ISNUMBER(X213),X213,0))</f>
        <v/>
      </c>
      <c r="AI213" s="17">
        <f>IF(E213="금융","",IF(AND(ISNUMBER(R213),ISNUMBER(AH213),ISNUMBER(T213)),R213+AH213-T213,""))</f>
        <v/>
      </c>
      <c r="AJ213" s="17">
        <f>IF(E213="금융","",IF(NOT(ISNUMBER(AI213)),"",IF(ISNUMBER(AC213),(AI213+AC213)/2,AI213)))</f>
        <v/>
      </c>
      <c r="AK213" s="19">
        <f>IF(AND(ISNUMBER(AG213),ISNUMBER(AJ213),AJ213&gt;0),AG213/AJ213,"")</f>
        <v/>
      </c>
      <c r="AL213" s="17">
        <f>IF(E213="금융","",IF(AND(ISNUMBER(R213),ISNUMBER(AH213)),R213+AH213,""))</f>
        <v/>
      </c>
      <c r="AM213" s="19">
        <f>IF(OR(NOT(ISNUMBER(AG213)),NOT(ISNUMBER(AL213)),AL213&lt;=0),"",IF(AND(ISNUMBER(G213),AL213&lt;0.1*G213),"",AG213/AL213))</f>
        <v/>
      </c>
      <c r="AN213" s="17">
        <f>IF(NOT(ISNUMBER(R213)),"",IF(ISNUMBER(S213),(R213+S213)/2,R213))</f>
        <v/>
      </c>
      <c r="AO213" s="19">
        <f>IF(AND(ISNUMBER(L213),ISNUMBER(AN213),AN213&gt;0),L213/AN213,"")</f>
        <v/>
      </c>
      <c r="AP213" s="19">
        <f>IF(AND(ISNUMBER(AO213),ISNUMBER({ROIC})),AO213-{ROIC},"")</f>
        <v/>
      </c>
      <c r="AQ213" s="17">
        <f>IF(AND(ISNUMBER(AE213),ISNUMBER(N213)),AE213+N213,"")</f>
        <v/>
      </c>
      <c r="AR213" s="20">
        <f>IF(AND(ISNUMBER(AH213),ISNUMBER(T213),ISNUMBER(AQ213),AQ213&gt;0),(AH213-T213)/AQ213,"")</f>
        <v/>
      </c>
      <c r="AS213" s="20">
        <f>IF(AND(ISNUMBER(AE213),ISNUMBER(I213),I213&lt;&gt;0,AE213&gt;0),AE213/I213,"")</f>
        <v/>
      </c>
      <c r="AT213" s="17">
        <f>IF(AND(ISNUMBER(Y213),ISNUMBER(AA213)),Y213-IF(ISNUMBER(T213),T213,0)-(AA213-IF(ISNUMBER(V213),V213,0)),"")</f>
        <v/>
      </c>
      <c r="AU213" s="17">
        <f>IF(AND(ISNUMBER(Z213),ISNUMBER(AB213)),Z213-IF(ISNUMBER(U213),U213,0)-(AB213-IF(ISNUMBER(W213),W213,0)),"")</f>
        <v/>
      </c>
      <c r="AV213" s="17">
        <f>IF(AND(ISNUMBER(AT213),ISNUMBER(AU213)),AT213-AU213,"")</f>
        <v/>
      </c>
      <c r="AW213" s="17">
        <f>IF(AND(ISNUMBER(L213),ISNUMBER(M213),ISNUMBER(AF213)),L213-M213*(1-AF213),IF(ISNUMBER(L213),L213,""))</f>
        <v/>
      </c>
      <c r="AX213" s="17">
        <f>IF(E213="금융","",IF(AND(ISNUMBER(AW213),ISNUMBER(N213),ISNUMBER(O213),ISNUMBER(AV213)),AW213+N213-O213-AV213,IF(AND(ISNUMBER(P213),ISNUMBER(O213)),P213-O213-IF(ISNUMBER(Q213),Q213,0),"")))</f>
        <v/>
      </c>
      <c r="AY213" s="8">
        <f>IF(E213="금융","금융업 - 정의되지 않음",IF(AND(ISNUMBER(AW213),ISNUMBER(N213),ISNUMBER(O213),ISNUMBER(AV213)),"영업순이익+감가상각-설비투자-운전자본증감",IF(AND(ISNUMBER(P213),ISNUMBER(O213)),IF(ISNUMBER(Q213),"영업현금흐름-설비투자-주식보상비용","영업현금흐름-설비투자(주식보상비용 미태깅)"),"산출불가")))</f>
        <v/>
      </c>
      <c r="AZ213" s="19">
        <f>IF(AND(ISNUMBER(AX213),ISNUMBER(G213),G213&lt;&gt;0),AX213/G213,"")</f>
        <v/>
      </c>
      <c r="BA213" s="19">
        <f>IF(AND(ISNUMBER(AE213),ISNUMBER(G213),G213&lt;&gt;0),AE213/G213,"")</f>
        <v/>
      </c>
    </row>
    <row r="214">
      <c r="A214" s="8" t="inlineStr">
        <is>
          <t>INTC</t>
        </is>
      </c>
      <c r="B214" s="8" t="inlineStr">
        <is>
          <t>INTEL CORP</t>
        </is>
      </c>
      <c r="C214" s="8" t="n">
        <v>2021</v>
      </c>
      <c r="D214" s="8" t="inlineStr">
        <is>
          <t>2021-12-25</t>
        </is>
      </c>
      <c r="E214" s="8" t="inlineStr">
        <is>
          <t>일반</t>
        </is>
      </c>
      <c r="F214" s="8" t="inlineStr">
        <is>
          <t>0000050863-24-000010</t>
        </is>
      </c>
      <c r="G214" s="15" t="n">
        <v>79.024</v>
      </c>
      <c r="H214" s="15" t="n">
        <v>21.703</v>
      </c>
      <c r="I214" s="15" t="n"/>
      <c r="J214" s="15" t="n">
        <v>1.835</v>
      </c>
      <c r="K214" s="15" t="n">
        <v>19.456</v>
      </c>
      <c r="L214" s="15" t="n">
        <v>19.868</v>
      </c>
      <c r="M214" s="15" t="n">
        <v>2.729</v>
      </c>
      <c r="N214" s="15" t="n">
        <v>9.952999999999999</v>
      </c>
      <c r="O214" s="15" t="n">
        <v>18.733</v>
      </c>
      <c r="P214" s="15" t="n">
        <v>29.456</v>
      </c>
      <c r="Q214" s="15" t="n">
        <v>2.036</v>
      </c>
      <c r="R214" s="15" t="n">
        <v>95.39100000000001</v>
      </c>
      <c r="S214" s="15" t="n">
        <v>81.038</v>
      </c>
      <c r="T214" s="15" t="n">
        <v>29.253</v>
      </c>
      <c r="U214" s="15" t="n">
        <v>8.157</v>
      </c>
      <c r="V214" s="15" t="n">
        <v>4.591</v>
      </c>
      <c r="W214" s="15" t="n">
        <v>2.504</v>
      </c>
      <c r="X214" s="15" t="n">
        <v>33.51</v>
      </c>
      <c r="Y214" s="15" t="n">
        <v>58.558</v>
      </c>
      <c r="Z214" s="15" t="n">
        <v>47.249</v>
      </c>
      <c r="AA214" s="15" t="n">
        <v>27.462</v>
      </c>
      <c r="AB214" s="15" t="n">
        <v>24.754</v>
      </c>
      <c r="AC214" s="15" t="n">
        <v>109.282</v>
      </c>
      <c r="AD214" s="16" t="n">
        <v>4070</v>
      </c>
      <c r="AE214" s="17">
        <f>IF(ISNUMBER(K214),K214,IF(AND(ISNUMBER(H214),ISNUMBER(I214)),H214+I214,IF(ISNUMBER(H214),H214,"")))</f>
        <v/>
      </c>
      <c r="AF214" s="18">
        <f>IF(OR(NOT(ISNUMBER(J214)),NOT(ISNUMBER(H214)),H214&lt;=0),기준표!$B$8,MIN(MAX(J214/H214,기준표!$B$6),기준표!$B$7))</f>
        <v/>
      </c>
      <c r="AG214" s="17">
        <f>IF(ISNUMBER(AE214),AE214*(1-AF214),"")</f>
        <v/>
      </c>
      <c r="AH214" s="17">
        <f>IF(AND(NOT(ISNUMBER(V214)),NOT(ISNUMBER(X214))),"",IF(ISNUMBER(V214),V214,0)+IF(ISNUMBER(X214),X214,0))</f>
        <v/>
      </c>
      <c r="AI214" s="17">
        <f>IF(E214="금융","",IF(AND(ISNUMBER(R214),ISNUMBER(AH214),ISNUMBER(T214)),R214+AH214-T214,""))</f>
        <v/>
      </c>
      <c r="AJ214" s="17">
        <f>IF(E214="금융","",IF(NOT(ISNUMBER(AI214)),"",IF(ISNUMBER(AC214),(AI214+AC214)/2,AI214)))</f>
        <v/>
      </c>
      <c r="AK214" s="19">
        <f>IF(AND(ISNUMBER(AG214),ISNUMBER(AJ214),AJ214&gt;0),AG214/AJ214,"")</f>
        <v/>
      </c>
      <c r="AL214" s="17">
        <f>IF(E214="금융","",IF(AND(ISNUMBER(R214),ISNUMBER(AH214)),R214+AH214,""))</f>
        <v/>
      </c>
      <c r="AM214" s="19">
        <f>IF(OR(NOT(ISNUMBER(AG214)),NOT(ISNUMBER(AL214)),AL214&lt;=0),"",IF(AND(ISNUMBER(G214),AL214&lt;0.1*G214),"",AG214/AL214))</f>
        <v/>
      </c>
      <c r="AN214" s="17">
        <f>IF(NOT(ISNUMBER(R214)),"",IF(ISNUMBER(S214),(R214+S214)/2,R214))</f>
        <v/>
      </c>
      <c r="AO214" s="19">
        <f>IF(AND(ISNUMBER(L214),ISNUMBER(AN214),AN214&gt;0),L214/AN214,"")</f>
        <v/>
      </c>
      <c r="AP214" s="19">
        <f>IF(AND(ISNUMBER(AO214),ISNUMBER({ROIC})),AO214-{ROIC},"")</f>
        <v/>
      </c>
      <c r="AQ214" s="17">
        <f>IF(AND(ISNUMBER(AE214),ISNUMBER(N214)),AE214+N214,"")</f>
        <v/>
      </c>
      <c r="AR214" s="20">
        <f>IF(AND(ISNUMBER(AH214),ISNUMBER(T214),ISNUMBER(AQ214),AQ214&gt;0),(AH214-T214)/AQ214,"")</f>
        <v/>
      </c>
      <c r="AS214" s="20">
        <f>IF(AND(ISNUMBER(AE214),ISNUMBER(I214),I214&lt;&gt;0,AE214&gt;0),AE214/I214,"")</f>
        <v/>
      </c>
      <c r="AT214" s="17">
        <f>IF(AND(ISNUMBER(Y214),ISNUMBER(AA214)),Y214-IF(ISNUMBER(T214),T214,0)-(AA214-IF(ISNUMBER(V214),V214,0)),"")</f>
        <v/>
      </c>
      <c r="AU214" s="17">
        <f>IF(AND(ISNUMBER(Z214),ISNUMBER(AB214)),Z214-IF(ISNUMBER(U214),U214,0)-(AB214-IF(ISNUMBER(W214),W214,0)),"")</f>
        <v/>
      </c>
      <c r="AV214" s="17">
        <f>IF(AND(ISNUMBER(AT214),ISNUMBER(AU214)),AT214-AU214,"")</f>
        <v/>
      </c>
      <c r="AW214" s="17">
        <f>IF(AND(ISNUMBER(L214),ISNUMBER(M214),ISNUMBER(AF214)),L214-M214*(1-AF214),IF(ISNUMBER(L214),L214,""))</f>
        <v/>
      </c>
      <c r="AX214" s="17">
        <f>IF(E214="금융","",IF(AND(ISNUMBER(AW214),ISNUMBER(N214),ISNUMBER(O214),ISNUMBER(AV214)),AW214+N214-O214-AV214,IF(AND(ISNUMBER(P214),ISNUMBER(O214)),P214-O214-IF(ISNUMBER(Q214),Q214,0),"")))</f>
        <v/>
      </c>
      <c r="AY214" s="8">
        <f>IF(E214="금융","금융업 - 정의되지 않음",IF(AND(ISNUMBER(AW214),ISNUMBER(N214),ISNUMBER(O214),ISNUMBER(AV214)),"영업순이익+감가상각-설비투자-운전자본증감",IF(AND(ISNUMBER(P214),ISNUMBER(O214)),IF(ISNUMBER(Q214),"영업현금흐름-설비투자-주식보상비용","영업현금흐름-설비투자(주식보상비용 미태깅)"),"산출불가")))</f>
        <v/>
      </c>
      <c r="AZ214" s="19">
        <f>IF(AND(ISNUMBER(AX214),ISNUMBER(G214),G214&lt;&gt;0),AX214/G214,"")</f>
        <v/>
      </c>
      <c r="BA214" s="19">
        <f>IF(AND(ISNUMBER(AE214),ISNUMBER(G214),G214&lt;&gt;0),AE214/G214,"")</f>
        <v/>
      </c>
    </row>
    <row r="215">
      <c r="A215" s="8" t="inlineStr">
        <is>
          <t>INTC</t>
        </is>
      </c>
      <c r="B215" s="8" t="inlineStr">
        <is>
          <t>INTEL CORP</t>
        </is>
      </c>
      <c r="C215" s="8" t="n">
        <v>2022</v>
      </c>
      <c r="D215" s="8" t="inlineStr">
        <is>
          <t>2022-12-31</t>
        </is>
      </c>
      <c r="E215" s="8" t="inlineStr">
        <is>
          <t>일반</t>
        </is>
      </c>
      <c r="F215" s="8" t="inlineStr">
        <is>
          <t>0000050863-25-000009</t>
        </is>
      </c>
      <c r="G215" s="15" t="n">
        <v>63.054</v>
      </c>
      <c r="H215" s="15" t="n">
        <v>7.768</v>
      </c>
      <c r="I215" s="15" t="n">
        <v>0.496</v>
      </c>
      <c r="J215" s="15" t="n">
        <v>-0.249</v>
      </c>
      <c r="K215" s="15" t="n">
        <v>2.334</v>
      </c>
      <c r="L215" s="15" t="n">
        <v>8.013999999999999</v>
      </c>
      <c r="M215" s="15" t="n">
        <v>4.268</v>
      </c>
      <c r="N215" s="15" t="n">
        <v>11.128</v>
      </c>
      <c r="O215" s="15" t="n">
        <v>24.844</v>
      </c>
      <c r="P215" s="15" t="n">
        <v>15.433</v>
      </c>
      <c r="Q215" s="15" t="n">
        <v>3.128</v>
      </c>
      <c r="R215" s="15" t="n">
        <v>101.423</v>
      </c>
      <c r="S215" s="15" t="n">
        <v>95.39100000000001</v>
      </c>
      <c r="T215" s="15" t="n">
        <v>28.338</v>
      </c>
      <c r="U215" s="15" t="n">
        <v>29.253</v>
      </c>
      <c r="V215" s="15" t="n">
        <v>4.367</v>
      </c>
      <c r="W215" s="15" t="n">
        <v>4.591</v>
      </c>
      <c r="X215" s="15" t="n">
        <v>37.684</v>
      </c>
      <c r="Y215" s="15" t="n">
        <v>50.407</v>
      </c>
      <c r="Z215" s="15" t="n">
        <v>58.558</v>
      </c>
      <c r="AA215" s="15" t="n">
        <v>32.155</v>
      </c>
      <c r="AB215" s="15" t="n">
        <v>27.462</v>
      </c>
      <c r="AC215" s="15" t="n">
        <v>104.239</v>
      </c>
      <c r="AD215" s="16" t="n">
        <v>4137</v>
      </c>
      <c r="AE215" s="17">
        <f>IF(ISNUMBER(K215),K215,IF(AND(ISNUMBER(H215),ISNUMBER(I215)),H215+I215,IF(ISNUMBER(H215),H215,"")))</f>
        <v/>
      </c>
      <c r="AF215" s="18">
        <f>IF(OR(NOT(ISNUMBER(J215)),NOT(ISNUMBER(H215)),H215&lt;=0),기준표!$B$8,MIN(MAX(J215/H215,기준표!$B$6),기준표!$B$7))</f>
        <v/>
      </c>
      <c r="AG215" s="17">
        <f>IF(ISNUMBER(AE215),AE215*(1-AF215),"")</f>
        <v/>
      </c>
      <c r="AH215" s="17">
        <f>IF(AND(NOT(ISNUMBER(V215)),NOT(ISNUMBER(X215))),"",IF(ISNUMBER(V215),V215,0)+IF(ISNUMBER(X215),X215,0))</f>
        <v/>
      </c>
      <c r="AI215" s="17">
        <f>IF(E215="금융","",IF(AND(ISNUMBER(R215),ISNUMBER(AH215),ISNUMBER(T215)),R215+AH215-T215,""))</f>
        <v/>
      </c>
      <c r="AJ215" s="17">
        <f>IF(E215="금융","",IF(NOT(ISNUMBER(AI215)),"",IF(ISNUMBER(AC215),(AI215+AC215)/2,AI215)))</f>
        <v/>
      </c>
      <c r="AK215" s="19">
        <f>IF(AND(ISNUMBER(AG215),ISNUMBER(AJ215),AJ215&gt;0),AG215/AJ215,"")</f>
        <v/>
      </c>
      <c r="AL215" s="17">
        <f>IF(E215="금융","",IF(AND(ISNUMBER(R215),ISNUMBER(AH215)),R215+AH215,""))</f>
        <v/>
      </c>
      <c r="AM215" s="19">
        <f>IF(OR(NOT(ISNUMBER(AG215)),NOT(ISNUMBER(AL215)),AL215&lt;=0),"",IF(AND(ISNUMBER(G215),AL215&lt;0.1*G215),"",AG215/AL215))</f>
        <v/>
      </c>
      <c r="AN215" s="17">
        <f>IF(NOT(ISNUMBER(R215)),"",IF(ISNUMBER(S215),(R215+S215)/2,R215))</f>
        <v/>
      </c>
      <c r="AO215" s="19">
        <f>IF(AND(ISNUMBER(L215),ISNUMBER(AN215),AN215&gt;0),L215/AN215,"")</f>
        <v/>
      </c>
      <c r="AP215" s="19">
        <f>IF(AND(ISNUMBER(AO215),ISNUMBER({ROIC})),AO215-{ROIC},"")</f>
        <v/>
      </c>
      <c r="AQ215" s="17">
        <f>IF(AND(ISNUMBER(AE215),ISNUMBER(N215)),AE215+N215,"")</f>
        <v/>
      </c>
      <c r="AR215" s="20">
        <f>IF(AND(ISNUMBER(AH215),ISNUMBER(T215),ISNUMBER(AQ215),AQ215&gt;0),(AH215-T215)/AQ215,"")</f>
        <v/>
      </c>
      <c r="AS215" s="20">
        <f>IF(AND(ISNUMBER(AE215),ISNUMBER(I215),I215&lt;&gt;0,AE215&gt;0),AE215/I215,"")</f>
        <v/>
      </c>
      <c r="AT215" s="17">
        <f>IF(AND(ISNUMBER(Y215),ISNUMBER(AA215)),Y215-IF(ISNUMBER(T215),T215,0)-(AA215-IF(ISNUMBER(V215),V215,0)),"")</f>
        <v/>
      </c>
      <c r="AU215" s="17">
        <f>IF(AND(ISNUMBER(Z215),ISNUMBER(AB215)),Z215-IF(ISNUMBER(U215),U215,0)-(AB215-IF(ISNUMBER(W215),W215,0)),"")</f>
        <v/>
      </c>
      <c r="AV215" s="17">
        <f>IF(AND(ISNUMBER(AT215),ISNUMBER(AU215)),AT215-AU215,"")</f>
        <v/>
      </c>
      <c r="AW215" s="17">
        <f>IF(AND(ISNUMBER(L215),ISNUMBER(M215),ISNUMBER(AF215)),L215-M215*(1-AF215),IF(ISNUMBER(L215),L215,""))</f>
        <v/>
      </c>
      <c r="AX215" s="17">
        <f>IF(E215="금융","",IF(AND(ISNUMBER(AW215),ISNUMBER(N215),ISNUMBER(O215),ISNUMBER(AV215)),AW215+N215-O215-AV215,IF(AND(ISNUMBER(P215),ISNUMBER(O215)),P215-O215-IF(ISNUMBER(Q215),Q215,0),"")))</f>
        <v/>
      </c>
      <c r="AY215" s="8">
        <f>IF(E215="금융","금융업 - 정의되지 않음",IF(AND(ISNUMBER(AW215),ISNUMBER(N215),ISNUMBER(O215),ISNUMBER(AV215)),"영업순이익+감가상각-설비투자-운전자본증감",IF(AND(ISNUMBER(P215),ISNUMBER(O215)),IF(ISNUMBER(Q215),"영업현금흐름-설비투자-주식보상비용","영업현금흐름-설비투자(주식보상비용 미태깅)"),"산출불가")))</f>
        <v/>
      </c>
      <c r="AZ215" s="19">
        <f>IF(AND(ISNUMBER(AX215),ISNUMBER(G215),G215&lt;&gt;0),AX215/G215,"")</f>
        <v/>
      </c>
      <c r="BA215" s="19">
        <f>IF(AND(ISNUMBER(AE215),ISNUMBER(G215),G215&lt;&gt;0),AE215/G215,"")</f>
        <v/>
      </c>
    </row>
    <row r="216">
      <c r="A216" s="8" t="inlineStr">
        <is>
          <t>INTC</t>
        </is>
      </c>
      <c r="B216" s="8" t="inlineStr">
        <is>
          <t>INTEL CORP</t>
        </is>
      </c>
      <c r="C216" s="8" t="n">
        <v>2023</v>
      </c>
      <c r="D216" s="8" t="inlineStr">
        <is>
          <t>2023-12-30</t>
        </is>
      </c>
      <c r="E216" s="8" t="inlineStr">
        <is>
          <t>일반</t>
        </is>
      </c>
      <c r="F216" s="8" t="inlineStr">
        <is>
          <t>0000050863-26-000011</t>
        </is>
      </c>
      <c r="G216" s="15" t="n">
        <v>54.228</v>
      </c>
      <c r="H216" s="15" t="n">
        <v>0.762</v>
      </c>
      <c r="I216" s="15" t="n">
        <v>0.878</v>
      </c>
      <c r="J216" s="15" t="n">
        <v>-0.913</v>
      </c>
      <c r="K216" s="15" t="n">
        <v>0.093</v>
      </c>
      <c r="L216" s="15" t="n">
        <v>1.689</v>
      </c>
      <c r="M216" s="15" t="n">
        <v>0.04</v>
      </c>
      <c r="N216" s="15" t="n">
        <v>7.847</v>
      </c>
      <c r="O216" s="15" t="n">
        <v>25.75</v>
      </c>
      <c r="P216" s="15" t="n">
        <v>11.471</v>
      </c>
      <c r="Q216" s="15" t="n">
        <v>3.229</v>
      </c>
      <c r="R216" s="15" t="n">
        <v>105.59</v>
      </c>
      <c r="S216" s="15" t="n">
        <v>101.423</v>
      </c>
      <c r="T216" s="15" t="n">
        <v>25.034</v>
      </c>
      <c r="U216" s="15" t="n">
        <v>28.338</v>
      </c>
      <c r="V216" s="15" t="n">
        <v>2.288</v>
      </c>
      <c r="W216" s="15" t="n">
        <v>4.367</v>
      </c>
      <c r="X216" s="15" t="n">
        <v>46.978</v>
      </c>
      <c r="Y216" s="15" t="n">
        <v>43.269</v>
      </c>
      <c r="Z216" s="15" t="n">
        <v>50.407</v>
      </c>
      <c r="AA216" s="15" t="n">
        <v>28.053</v>
      </c>
      <c r="AB216" s="15" t="n">
        <v>32.155</v>
      </c>
      <c r="AC216" s="15" t="n">
        <v>115.136</v>
      </c>
      <c r="AD216" s="16" t="n">
        <v>4228</v>
      </c>
      <c r="AE216" s="17">
        <f>IF(ISNUMBER(K216),K216,IF(AND(ISNUMBER(H216),ISNUMBER(I216)),H216+I216,IF(ISNUMBER(H216),H216,"")))</f>
        <v/>
      </c>
      <c r="AF216" s="18">
        <f>IF(OR(NOT(ISNUMBER(J216)),NOT(ISNUMBER(H216)),H216&lt;=0),기준표!$B$8,MIN(MAX(J216/H216,기준표!$B$6),기준표!$B$7))</f>
        <v/>
      </c>
      <c r="AG216" s="17">
        <f>IF(ISNUMBER(AE216),AE216*(1-AF216),"")</f>
        <v/>
      </c>
      <c r="AH216" s="17">
        <f>IF(AND(NOT(ISNUMBER(V216)),NOT(ISNUMBER(X216))),"",IF(ISNUMBER(V216),V216,0)+IF(ISNUMBER(X216),X216,0))</f>
        <v/>
      </c>
      <c r="AI216" s="17">
        <f>IF(E216="금융","",IF(AND(ISNUMBER(R216),ISNUMBER(AH216),ISNUMBER(T216)),R216+AH216-T216,""))</f>
        <v/>
      </c>
      <c r="AJ216" s="17">
        <f>IF(E216="금융","",IF(NOT(ISNUMBER(AI216)),"",IF(ISNUMBER(AC216),(AI216+AC216)/2,AI216)))</f>
        <v/>
      </c>
      <c r="AK216" s="19">
        <f>IF(AND(ISNUMBER(AG216),ISNUMBER(AJ216),AJ216&gt;0),AG216/AJ216,"")</f>
        <v/>
      </c>
      <c r="AL216" s="17">
        <f>IF(E216="금융","",IF(AND(ISNUMBER(R216),ISNUMBER(AH216)),R216+AH216,""))</f>
        <v/>
      </c>
      <c r="AM216" s="19">
        <f>IF(OR(NOT(ISNUMBER(AG216)),NOT(ISNUMBER(AL216)),AL216&lt;=0),"",IF(AND(ISNUMBER(G216),AL216&lt;0.1*G216),"",AG216/AL216))</f>
        <v/>
      </c>
      <c r="AN216" s="17">
        <f>IF(NOT(ISNUMBER(R216)),"",IF(ISNUMBER(S216),(R216+S216)/2,R216))</f>
        <v/>
      </c>
      <c r="AO216" s="19">
        <f>IF(AND(ISNUMBER(L216),ISNUMBER(AN216),AN216&gt;0),L216/AN216,"")</f>
        <v/>
      </c>
      <c r="AP216" s="19">
        <f>IF(AND(ISNUMBER(AO216),ISNUMBER({ROIC})),AO216-{ROIC},"")</f>
        <v/>
      </c>
      <c r="AQ216" s="17">
        <f>IF(AND(ISNUMBER(AE216),ISNUMBER(N216)),AE216+N216,"")</f>
        <v/>
      </c>
      <c r="AR216" s="20">
        <f>IF(AND(ISNUMBER(AH216),ISNUMBER(T216),ISNUMBER(AQ216),AQ216&gt;0),(AH216-T216)/AQ216,"")</f>
        <v/>
      </c>
      <c r="AS216" s="20">
        <f>IF(AND(ISNUMBER(AE216),ISNUMBER(I216),I216&lt;&gt;0,AE216&gt;0),AE216/I216,"")</f>
        <v/>
      </c>
      <c r="AT216" s="17">
        <f>IF(AND(ISNUMBER(Y216),ISNUMBER(AA216)),Y216-IF(ISNUMBER(T216),T216,0)-(AA216-IF(ISNUMBER(V216),V216,0)),"")</f>
        <v/>
      </c>
      <c r="AU216" s="17">
        <f>IF(AND(ISNUMBER(Z216),ISNUMBER(AB216)),Z216-IF(ISNUMBER(U216),U216,0)-(AB216-IF(ISNUMBER(W216),W216,0)),"")</f>
        <v/>
      </c>
      <c r="AV216" s="17">
        <f>IF(AND(ISNUMBER(AT216),ISNUMBER(AU216)),AT216-AU216,"")</f>
        <v/>
      </c>
      <c r="AW216" s="17">
        <f>IF(AND(ISNUMBER(L216),ISNUMBER(M216),ISNUMBER(AF216)),L216-M216*(1-AF216),IF(ISNUMBER(L216),L216,""))</f>
        <v/>
      </c>
      <c r="AX216" s="17">
        <f>IF(E216="금융","",IF(AND(ISNUMBER(AW216),ISNUMBER(N216),ISNUMBER(O216),ISNUMBER(AV216)),AW216+N216-O216-AV216,IF(AND(ISNUMBER(P216),ISNUMBER(O216)),P216-O216-IF(ISNUMBER(Q216),Q216,0),"")))</f>
        <v/>
      </c>
      <c r="AY216" s="8">
        <f>IF(E216="금융","금융업 - 정의되지 않음",IF(AND(ISNUMBER(AW216),ISNUMBER(N216),ISNUMBER(O216),ISNUMBER(AV216)),"영업순이익+감가상각-설비투자-운전자본증감",IF(AND(ISNUMBER(P216),ISNUMBER(O216)),IF(ISNUMBER(Q216),"영업현금흐름-설비투자-주식보상비용","영업현금흐름-설비투자(주식보상비용 미태깅)"),"산출불가")))</f>
        <v/>
      </c>
      <c r="AZ216" s="19">
        <f>IF(AND(ISNUMBER(AX216),ISNUMBER(G216),G216&lt;&gt;0),AX216/G216,"")</f>
        <v/>
      </c>
      <c r="BA216" s="19">
        <f>IF(AND(ISNUMBER(AE216),ISNUMBER(G216),G216&lt;&gt;0),AE216/G216,"")</f>
        <v/>
      </c>
    </row>
    <row r="217">
      <c r="A217" s="8" t="inlineStr">
        <is>
          <t>INTC</t>
        </is>
      </c>
      <c r="B217" s="8" t="inlineStr">
        <is>
          <t>INTEL CORP</t>
        </is>
      </c>
      <c r="C217" s="8" t="n">
        <v>2024</v>
      </c>
      <c r="D217" s="8" t="inlineStr">
        <is>
          <t>2024-12-28</t>
        </is>
      </c>
      <c r="E217" s="8" t="inlineStr">
        <is>
          <t>일반</t>
        </is>
      </c>
      <c r="F217" s="8" t="inlineStr">
        <is>
          <t>0000050863-26-000011</t>
        </is>
      </c>
      <c r="G217" s="15" t="n">
        <v>53.101</v>
      </c>
      <c r="H217" s="15" t="n">
        <v>-11.21</v>
      </c>
      <c r="I217" s="15" t="n">
        <v>1.034</v>
      </c>
      <c r="J217" s="15" t="n">
        <v>8.023</v>
      </c>
      <c r="K217" s="15" t="n">
        <v>-11.678</v>
      </c>
      <c r="L217" s="15" t="n">
        <v>-18.756</v>
      </c>
      <c r="M217" s="15" t="n"/>
      <c r="N217" s="15" t="n">
        <v>9.951000000000001</v>
      </c>
      <c r="O217" s="15" t="n">
        <v>23.944</v>
      </c>
      <c r="P217" s="15" t="n">
        <v>8.288</v>
      </c>
      <c r="Q217" s="15" t="n">
        <v>3.41</v>
      </c>
      <c r="R217" s="15" t="n">
        <v>99.27</v>
      </c>
      <c r="S217" s="15" t="n">
        <v>105.59</v>
      </c>
      <c r="T217" s="15" t="n">
        <v>22.062</v>
      </c>
      <c r="U217" s="15" t="n">
        <v>25.034</v>
      </c>
      <c r="V217" s="15" t="n">
        <v>3.729</v>
      </c>
      <c r="W217" s="15" t="n">
        <v>2.288</v>
      </c>
      <c r="X217" s="15" t="n">
        <v>46.282</v>
      </c>
      <c r="Y217" s="15" t="n">
        <v>47.324</v>
      </c>
      <c r="Z217" s="15" t="n">
        <v>43.269</v>
      </c>
      <c r="AA217" s="15" t="n">
        <v>35.666</v>
      </c>
      <c r="AB217" s="15" t="n">
        <v>28.053</v>
      </c>
      <c r="AC217" s="15" t="n">
        <v>129.822</v>
      </c>
      <c r="AD217" s="16" t="n">
        <v>4330</v>
      </c>
      <c r="AE217" s="17">
        <f>IF(ISNUMBER(K217),K217,IF(AND(ISNUMBER(H217),ISNUMBER(I217)),H217+I217,IF(ISNUMBER(H217),H217,"")))</f>
        <v/>
      </c>
      <c r="AF217" s="18">
        <f>IF(OR(NOT(ISNUMBER(J217)),NOT(ISNUMBER(H217)),H217&lt;=0),기준표!$B$8,MIN(MAX(J217/H217,기준표!$B$6),기준표!$B$7))</f>
        <v/>
      </c>
      <c r="AG217" s="17">
        <f>IF(ISNUMBER(AE217),AE217*(1-AF217),"")</f>
        <v/>
      </c>
      <c r="AH217" s="17">
        <f>IF(AND(NOT(ISNUMBER(V217)),NOT(ISNUMBER(X217))),"",IF(ISNUMBER(V217),V217,0)+IF(ISNUMBER(X217),X217,0))</f>
        <v/>
      </c>
      <c r="AI217" s="17">
        <f>IF(E217="금융","",IF(AND(ISNUMBER(R217),ISNUMBER(AH217),ISNUMBER(T217)),R217+AH217-T217,""))</f>
        <v/>
      </c>
      <c r="AJ217" s="17">
        <f>IF(E217="금융","",IF(NOT(ISNUMBER(AI217)),"",IF(ISNUMBER(AC217),(AI217+AC217)/2,AI217)))</f>
        <v/>
      </c>
      <c r="AK217" s="19">
        <f>IF(AND(ISNUMBER(AG217),ISNUMBER(AJ217),AJ217&gt;0),AG217/AJ217,"")</f>
        <v/>
      </c>
      <c r="AL217" s="17">
        <f>IF(E217="금융","",IF(AND(ISNUMBER(R217),ISNUMBER(AH217)),R217+AH217,""))</f>
        <v/>
      </c>
      <c r="AM217" s="19">
        <f>IF(OR(NOT(ISNUMBER(AG217)),NOT(ISNUMBER(AL217)),AL217&lt;=0),"",IF(AND(ISNUMBER(G217),AL217&lt;0.1*G217),"",AG217/AL217))</f>
        <v/>
      </c>
      <c r="AN217" s="17">
        <f>IF(NOT(ISNUMBER(R217)),"",IF(ISNUMBER(S217),(R217+S217)/2,R217))</f>
        <v/>
      </c>
      <c r="AO217" s="19">
        <f>IF(AND(ISNUMBER(L217),ISNUMBER(AN217),AN217&gt;0),L217/AN217,"")</f>
        <v/>
      </c>
      <c r="AP217" s="19">
        <f>IF(AND(ISNUMBER(AO217),ISNUMBER({ROIC})),AO217-{ROIC},"")</f>
        <v/>
      </c>
      <c r="AQ217" s="17">
        <f>IF(AND(ISNUMBER(AE217),ISNUMBER(N217)),AE217+N217,"")</f>
        <v/>
      </c>
      <c r="AR217" s="20">
        <f>IF(AND(ISNUMBER(AH217),ISNUMBER(T217),ISNUMBER(AQ217),AQ217&gt;0),(AH217-T217)/AQ217,"")</f>
        <v/>
      </c>
      <c r="AS217" s="20">
        <f>IF(AND(ISNUMBER(AE217),ISNUMBER(I217),I217&lt;&gt;0,AE217&gt;0),AE217/I217,"")</f>
        <v/>
      </c>
      <c r="AT217" s="17">
        <f>IF(AND(ISNUMBER(Y217),ISNUMBER(AA217)),Y217-IF(ISNUMBER(T217),T217,0)-(AA217-IF(ISNUMBER(V217),V217,0)),"")</f>
        <v/>
      </c>
      <c r="AU217" s="17">
        <f>IF(AND(ISNUMBER(Z217),ISNUMBER(AB217)),Z217-IF(ISNUMBER(U217),U217,0)-(AB217-IF(ISNUMBER(W217),W217,0)),"")</f>
        <v/>
      </c>
      <c r="AV217" s="17">
        <f>IF(AND(ISNUMBER(AT217),ISNUMBER(AU217)),AT217-AU217,"")</f>
        <v/>
      </c>
      <c r="AW217" s="17">
        <f>IF(AND(ISNUMBER(L217),ISNUMBER(M217),ISNUMBER(AF217)),L217-M217*(1-AF217),IF(ISNUMBER(L217),L217,""))</f>
        <v/>
      </c>
      <c r="AX217" s="17">
        <f>IF(E217="금융","",IF(AND(ISNUMBER(AW217),ISNUMBER(N217),ISNUMBER(O217),ISNUMBER(AV217)),AW217+N217-O217-AV217,IF(AND(ISNUMBER(P217),ISNUMBER(O217)),P217-O217-IF(ISNUMBER(Q217),Q217,0),"")))</f>
        <v/>
      </c>
      <c r="AY217" s="8">
        <f>IF(E217="금융","금융업 - 정의되지 않음",IF(AND(ISNUMBER(AW217),ISNUMBER(N217),ISNUMBER(O217),ISNUMBER(AV217)),"영업순이익+감가상각-설비투자-운전자본증감",IF(AND(ISNUMBER(P217),ISNUMBER(O217)),IF(ISNUMBER(Q217),"영업현금흐름-설비투자-주식보상비용","영업현금흐름-설비투자(주식보상비용 미태깅)"),"산출불가")))</f>
        <v/>
      </c>
      <c r="AZ217" s="19">
        <f>IF(AND(ISNUMBER(AX217),ISNUMBER(G217),G217&lt;&gt;0),AX217/G217,"")</f>
        <v/>
      </c>
      <c r="BA217" s="19">
        <f>IF(AND(ISNUMBER(AE217),ISNUMBER(G217),G217&lt;&gt;0),AE217/G217,"")</f>
        <v/>
      </c>
    </row>
    <row r="218">
      <c r="A218" s="8" t="inlineStr">
        <is>
          <t>INTC</t>
        </is>
      </c>
      <c r="B218" s="8" t="inlineStr">
        <is>
          <t>INTEL CORP</t>
        </is>
      </c>
      <c r="C218" s="8" t="n">
        <v>2025</v>
      </c>
      <c r="D218" s="8" t="inlineStr">
        <is>
          <t>2025-12-27</t>
        </is>
      </c>
      <c r="E218" s="8" t="inlineStr">
        <is>
          <t>일반</t>
        </is>
      </c>
      <c r="F218" s="8" t="inlineStr">
        <is>
          <t>0000050863-26-000011</t>
        </is>
      </c>
      <c r="G218" s="15" t="n">
        <v>52.853</v>
      </c>
      <c r="H218" s="15" t="n">
        <v>1.557</v>
      </c>
      <c r="I218" s="15" t="n">
        <v>1.091</v>
      </c>
      <c r="J218" s="15" t="n">
        <v>1.531</v>
      </c>
      <c r="K218" s="15" t="n">
        <v>-2.214</v>
      </c>
      <c r="L218" s="15" t="n">
        <v>-0.267</v>
      </c>
      <c r="M218" s="15" t="n"/>
      <c r="N218" s="15" t="n">
        <v>10.757</v>
      </c>
      <c r="O218" s="15" t="n">
        <v>14.646</v>
      </c>
      <c r="P218" s="15" t="n">
        <v>9.696999999999999</v>
      </c>
      <c r="Q218" s="15" t="n">
        <v>2.434</v>
      </c>
      <c r="R218" s="15" t="n">
        <v>114.281</v>
      </c>
      <c r="S218" s="15" t="n">
        <v>99.27</v>
      </c>
      <c r="T218" s="15" t="n">
        <v>37.863</v>
      </c>
      <c r="U218" s="15" t="n">
        <v>22.062</v>
      </c>
      <c r="V218" s="15" t="n">
        <v>2.499</v>
      </c>
      <c r="W218" s="15" t="n">
        <v>3.729</v>
      </c>
      <c r="X218" s="15" t="n">
        <v>44.086</v>
      </c>
      <c r="Y218" s="15" t="n">
        <v>63.688</v>
      </c>
      <c r="Z218" s="15" t="n">
        <v>47.324</v>
      </c>
      <c r="AA218" s="15" t="n">
        <v>31.575</v>
      </c>
      <c r="AB218" s="15" t="n">
        <v>35.666</v>
      </c>
      <c r="AC218" s="15" t="n">
        <v>127.219</v>
      </c>
      <c r="AD218" s="16" t="n">
        <v>4994</v>
      </c>
      <c r="AE218" s="17">
        <f>IF(ISNUMBER(K218),K218,IF(AND(ISNUMBER(H218),ISNUMBER(I218)),H218+I218,IF(ISNUMBER(H218),H218,"")))</f>
        <v/>
      </c>
      <c r="AF218" s="18">
        <f>IF(OR(NOT(ISNUMBER(J218)),NOT(ISNUMBER(H218)),H218&lt;=0),기준표!$B$8,MIN(MAX(J218/H218,기준표!$B$6),기준표!$B$7))</f>
        <v/>
      </c>
      <c r="AG218" s="17">
        <f>IF(ISNUMBER(AE218),AE218*(1-AF218),"")</f>
        <v/>
      </c>
      <c r="AH218" s="17">
        <f>IF(AND(NOT(ISNUMBER(V218)),NOT(ISNUMBER(X218))),"",IF(ISNUMBER(V218),V218,0)+IF(ISNUMBER(X218),X218,0))</f>
        <v/>
      </c>
      <c r="AI218" s="17">
        <f>IF(E218="금융","",IF(AND(ISNUMBER(R218),ISNUMBER(AH218),ISNUMBER(T218)),R218+AH218-T218,""))</f>
        <v/>
      </c>
      <c r="AJ218" s="17">
        <f>IF(E218="금융","",IF(NOT(ISNUMBER(AI218)),"",IF(ISNUMBER(AC218),(AI218+AC218)/2,AI218)))</f>
        <v/>
      </c>
      <c r="AK218" s="19">
        <f>IF(AND(ISNUMBER(AG218),ISNUMBER(AJ218),AJ218&gt;0),AG218/AJ218,"")</f>
        <v/>
      </c>
      <c r="AL218" s="17">
        <f>IF(E218="금융","",IF(AND(ISNUMBER(R218),ISNUMBER(AH218)),R218+AH218,""))</f>
        <v/>
      </c>
      <c r="AM218" s="19">
        <f>IF(OR(NOT(ISNUMBER(AG218)),NOT(ISNUMBER(AL218)),AL218&lt;=0),"",IF(AND(ISNUMBER(G218),AL218&lt;0.1*G218),"",AG218/AL218))</f>
        <v/>
      </c>
      <c r="AN218" s="17">
        <f>IF(NOT(ISNUMBER(R218)),"",IF(ISNUMBER(S218),(R218+S218)/2,R218))</f>
        <v/>
      </c>
      <c r="AO218" s="19">
        <f>IF(AND(ISNUMBER(L218),ISNUMBER(AN218),AN218&gt;0),L218/AN218,"")</f>
        <v/>
      </c>
      <c r="AP218" s="19">
        <f>IF(AND(ISNUMBER(AO218),ISNUMBER({ROIC})),AO218-{ROIC},"")</f>
        <v/>
      </c>
      <c r="AQ218" s="17">
        <f>IF(AND(ISNUMBER(AE218),ISNUMBER(N218)),AE218+N218,"")</f>
        <v/>
      </c>
      <c r="AR218" s="20">
        <f>IF(AND(ISNUMBER(AH218),ISNUMBER(T218),ISNUMBER(AQ218),AQ218&gt;0),(AH218-T218)/AQ218,"")</f>
        <v/>
      </c>
      <c r="AS218" s="20">
        <f>IF(AND(ISNUMBER(AE218),ISNUMBER(I218),I218&lt;&gt;0,AE218&gt;0),AE218/I218,"")</f>
        <v/>
      </c>
      <c r="AT218" s="17">
        <f>IF(AND(ISNUMBER(Y218),ISNUMBER(AA218)),Y218-IF(ISNUMBER(T218),T218,0)-(AA218-IF(ISNUMBER(V218),V218,0)),"")</f>
        <v/>
      </c>
      <c r="AU218" s="17">
        <f>IF(AND(ISNUMBER(Z218),ISNUMBER(AB218)),Z218-IF(ISNUMBER(U218),U218,0)-(AB218-IF(ISNUMBER(W218),W218,0)),"")</f>
        <v/>
      </c>
      <c r="AV218" s="17">
        <f>IF(AND(ISNUMBER(AT218),ISNUMBER(AU218)),AT218-AU218,"")</f>
        <v/>
      </c>
      <c r="AW218" s="17">
        <f>IF(AND(ISNUMBER(L218),ISNUMBER(M218),ISNUMBER(AF218)),L218-M218*(1-AF218),IF(ISNUMBER(L218),L218,""))</f>
        <v/>
      </c>
      <c r="AX218" s="17">
        <f>IF(E218="금융","",IF(AND(ISNUMBER(AW218),ISNUMBER(N218),ISNUMBER(O218),ISNUMBER(AV218)),AW218+N218-O218-AV218,IF(AND(ISNUMBER(P218),ISNUMBER(O218)),P218-O218-IF(ISNUMBER(Q218),Q218,0),"")))</f>
        <v/>
      </c>
      <c r="AY218" s="8">
        <f>IF(E218="금융","금융업 - 정의되지 않음",IF(AND(ISNUMBER(AW218),ISNUMBER(N218),ISNUMBER(O218),ISNUMBER(AV218)),"영업순이익+감가상각-설비투자-운전자본증감",IF(AND(ISNUMBER(P218),ISNUMBER(O218)),IF(ISNUMBER(Q218),"영업현금흐름-설비투자-주식보상비용","영업현금흐름-설비투자(주식보상비용 미태깅)"),"산출불가")))</f>
        <v/>
      </c>
      <c r="AZ218" s="19">
        <f>IF(AND(ISNUMBER(AX218),ISNUMBER(G218),G218&lt;&gt;0),AX218/G218,"")</f>
        <v/>
      </c>
      <c r="BA218" s="19">
        <f>IF(AND(ISNUMBER(AE218),ISNUMBER(G218),G218&lt;&gt;0),AE218/G218,"")</f>
        <v/>
      </c>
    </row>
    <row r="219">
      <c r="A219" s="8" t="inlineStr">
        <is>
          <t>MA</t>
        </is>
      </c>
      <c r="B219" s="8" t="inlineStr">
        <is>
          <t>Mastercard Inc</t>
        </is>
      </c>
      <c r="C219" s="8" t="n">
        <v>2014</v>
      </c>
      <c r="D219" s="8" t="inlineStr">
        <is>
          <t>2014-12-31</t>
        </is>
      </c>
      <c r="E219" s="8" t="inlineStr">
        <is>
          <t>일반</t>
        </is>
      </c>
      <c r="F219" s="8" t="inlineStr">
        <is>
          <t>0001141391-17-000014</t>
        </is>
      </c>
      <c r="G219" s="15" t="n">
        <v>9.473000000000001</v>
      </c>
      <c r="H219" s="15" t="n">
        <v>5.079</v>
      </c>
      <c r="I219" s="15" t="n"/>
      <c r="J219" s="15" t="n">
        <v>1.462</v>
      </c>
      <c r="K219" s="15" t="n">
        <v>5.106</v>
      </c>
      <c r="L219" s="15" t="n">
        <v>3.617</v>
      </c>
      <c r="M219" s="15" t="n"/>
      <c r="N219" s="15" t="n"/>
      <c r="O219" s="15" t="n">
        <v>0.175</v>
      </c>
      <c r="P219" s="15" t="n">
        <v>3.407</v>
      </c>
      <c r="Q219" s="15" t="n">
        <v>-0.015</v>
      </c>
      <c r="R219" s="15" t="n">
        <v>6.79</v>
      </c>
      <c r="S219" s="15" t="n"/>
      <c r="T219" s="15" t="n">
        <v>5.137</v>
      </c>
      <c r="U219" s="15" t="n"/>
      <c r="V219" s="15" t="n"/>
      <c r="W219" s="15" t="n"/>
      <c r="X219" s="15" t="n">
        <v>1.494</v>
      </c>
      <c r="Y219" s="15" t="n">
        <v>10.997</v>
      </c>
      <c r="Z219" s="15" t="n"/>
      <c r="AA219" s="15" t="n">
        <v>6.222</v>
      </c>
      <c r="AB219" s="15" t="n"/>
      <c r="AC219" s="15" t="n"/>
      <c r="AD219" s="16" t="n">
        <v>1152</v>
      </c>
      <c r="AE219" s="17">
        <f>IF(ISNUMBER(K219),K219,IF(AND(ISNUMBER(H219),ISNUMBER(I219)),H219+I219,IF(ISNUMBER(H219),H219,"")))</f>
        <v/>
      </c>
      <c r="AF219" s="18">
        <f>IF(OR(NOT(ISNUMBER(J219)),NOT(ISNUMBER(H219)),H219&lt;=0),기준표!$B$8,MIN(MAX(J219/H219,기준표!$B$6),기준표!$B$7))</f>
        <v/>
      </c>
      <c r="AG219" s="17">
        <f>IF(ISNUMBER(AE219),AE219*(1-AF219),"")</f>
        <v/>
      </c>
      <c r="AH219" s="17">
        <f>IF(AND(NOT(ISNUMBER(V219)),NOT(ISNUMBER(X219))),"",IF(ISNUMBER(V219),V219,0)+IF(ISNUMBER(X219),X219,0))</f>
        <v/>
      </c>
      <c r="AI219" s="17">
        <f>IF(E219="금융","",IF(AND(ISNUMBER(R219),ISNUMBER(AH219),ISNUMBER(T219)),R219+AH219-T219,""))</f>
        <v/>
      </c>
      <c r="AJ219" s="17">
        <f>IF(E219="금융","",IF(NOT(ISNUMBER(AI219)),"",IF(ISNUMBER(AC219),(AI219+AC219)/2,AI219)))</f>
        <v/>
      </c>
      <c r="AK219" s="19">
        <f>IF(AND(ISNUMBER(AG219),ISNUMBER(AJ219),AJ219&gt;0),AG219/AJ219,"")</f>
        <v/>
      </c>
      <c r="AL219" s="17">
        <f>IF(E219="금융","",IF(AND(ISNUMBER(R219),ISNUMBER(AH219)),R219+AH219,""))</f>
        <v/>
      </c>
      <c r="AM219" s="19">
        <f>IF(OR(NOT(ISNUMBER(AG219)),NOT(ISNUMBER(AL219)),AL219&lt;=0),"",IF(AND(ISNUMBER(G219),AL219&lt;0.1*G219),"",AG219/AL219))</f>
        <v/>
      </c>
      <c r="AN219" s="17">
        <f>IF(NOT(ISNUMBER(R219)),"",IF(ISNUMBER(S219),(R219+S219)/2,R219))</f>
        <v/>
      </c>
      <c r="AO219" s="19">
        <f>IF(AND(ISNUMBER(L219),ISNUMBER(AN219),AN219&gt;0),L219/AN219,"")</f>
        <v/>
      </c>
      <c r="AP219" s="19">
        <f>IF(AND(ISNUMBER(AO219),ISNUMBER({ROIC})),AO219-{ROIC},"")</f>
        <v/>
      </c>
      <c r="AQ219" s="17">
        <f>IF(AND(ISNUMBER(AE219),ISNUMBER(N219)),AE219+N219,"")</f>
        <v/>
      </c>
      <c r="AR219" s="20">
        <f>IF(AND(ISNUMBER(AH219),ISNUMBER(T219),ISNUMBER(AQ219),AQ219&gt;0),(AH219-T219)/AQ219,"")</f>
        <v/>
      </c>
      <c r="AS219" s="20">
        <f>IF(AND(ISNUMBER(AE219),ISNUMBER(I219),I219&lt;&gt;0,AE219&gt;0),AE219/I219,"")</f>
        <v/>
      </c>
      <c r="AT219" s="17">
        <f>IF(AND(ISNUMBER(Y219),ISNUMBER(AA219)),Y219-IF(ISNUMBER(T219),T219,0)-(AA219-IF(ISNUMBER(V219),V219,0)),"")</f>
        <v/>
      </c>
      <c r="AU219" s="17">
        <f>IF(AND(ISNUMBER(Z219),ISNUMBER(AB219)),Z219-IF(ISNUMBER(U219),U219,0)-(AB219-IF(ISNUMBER(W219),W219,0)),"")</f>
        <v/>
      </c>
      <c r="AV219" s="17">
        <f>IF(AND(ISNUMBER(AT219),ISNUMBER(AU219)),AT219-AU219,"")</f>
        <v/>
      </c>
      <c r="AW219" s="17">
        <f>IF(AND(ISNUMBER(L219),ISNUMBER(M219),ISNUMBER(AF219)),L219-M219*(1-AF219),IF(ISNUMBER(L219),L219,""))</f>
        <v/>
      </c>
      <c r="AX219" s="17">
        <f>IF(E219="금융","",IF(AND(ISNUMBER(AW219),ISNUMBER(N219),ISNUMBER(O219),ISNUMBER(AV219)),AW219+N219-O219-AV219,IF(AND(ISNUMBER(P219),ISNUMBER(O219)),P219-O219-IF(ISNUMBER(Q219),Q219,0),"")))</f>
        <v/>
      </c>
      <c r="AY219" s="8">
        <f>IF(E219="금융","금융업 - 정의되지 않음",IF(AND(ISNUMBER(AW219),ISNUMBER(N219),ISNUMBER(O219),ISNUMBER(AV219)),"영업순이익+감가상각-설비투자-운전자본증감",IF(AND(ISNUMBER(P219),ISNUMBER(O219)),IF(ISNUMBER(Q219),"영업현금흐름-설비투자-주식보상비용","영업현금흐름-설비투자(주식보상비용 미태깅)"),"산출불가")))</f>
        <v/>
      </c>
      <c r="AZ219" s="19">
        <f>IF(AND(ISNUMBER(AX219),ISNUMBER(G219),G219&lt;&gt;0),AX219/G219,"")</f>
        <v/>
      </c>
      <c r="BA219" s="19">
        <f>IF(AND(ISNUMBER(AE219),ISNUMBER(G219),G219&lt;&gt;0),AE219/G219,"")</f>
        <v/>
      </c>
    </row>
    <row r="220">
      <c r="A220" s="8" t="inlineStr">
        <is>
          <t>MA</t>
        </is>
      </c>
      <c r="B220" s="8" t="inlineStr">
        <is>
          <t>Mastercard Inc</t>
        </is>
      </c>
      <c r="C220" s="8" t="n">
        <v>2015</v>
      </c>
      <c r="D220" s="8" t="inlineStr">
        <is>
          <t>2015-12-31</t>
        </is>
      </c>
      <c r="E220" s="8" t="inlineStr">
        <is>
          <t>일반</t>
        </is>
      </c>
      <c r="F220" s="8" t="inlineStr">
        <is>
          <t>0001141391-18-000009</t>
        </is>
      </c>
      <c r="G220" s="15" t="n"/>
      <c r="H220" s="15" t="n">
        <v>4.958</v>
      </c>
      <c r="I220" s="15" t="n"/>
      <c r="J220" s="15" t="n">
        <v>1.15</v>
      </c>
      <c r="K220" s="15" t="n">
        <v>5.078</v>
      </c>
      <c r="L220" s="15" t="n">
        <v>3.808</v>
      </c>
      <c r="M220" s="15" t="n"/>
      <c r="N220" s="15" t="n">
        <v>0.366</v>
      </c>
      <c r="O220" s="15" t="n">
        <v>0.177</v>
      </c>
      <c r="P220" s="15" t="n">
        <v>4.101</v>
      </c>
      <c r="Q220" s="15" t="n">
        <v>0.122</v>
      </c>
      <c r="R220" s="15" t="n">
        <v>6.028</v>
      </c>
      <c r="S220" s="15" t="n">
        <v>6.79</v>
      </c>
      <c r="T220" s="15" t="n">
        <v>5.747</v>
      </c>
      <c r="U220" s="15" t="n">
        <v>5.137</v>
      </c>
      <c r="V220" s="15" t="n"/>
      <c r="W220" s="15" t="n"/>
      <c r="X220" s="15" t="n">
        <v>3.268</v>
      </c>
      <c r="Y220" s="15" t="n">
        <v>10.984</v>
      </c>
      <c r="Z220" s="15" t="n">
        <v>10.997</v>
      </c>
      <c r="AA220" s="15" t="n">
        <v>6.269</v>
      </c>
      <c r="AB220" s="15" t="n">
        <v>6.222</v>
      </c>
      <c r="AC220" s="15" t="n">
        <v>3.147</v>
      </c>
      <c r="AD220" s="16" t="n">
        <v>1112</v>
      </c>
      <c r="AE220" s="17">
        <f>IF(ISNUMBER(K220),K220,IF(AND(ISNUMBER(H220),ISNUMBER(I220)),H220+I220,IF(ISNUMBER(H220),H220,"")))</f>
        <v/>
      </c>
      <c r="AF220" s="18">
        <f>IF(OR(NOT(ISNUMBER(J220)),NOT(ISNUMBER(H220)),H220&lt;=0),기준표!$B$8,MIN(MAX(J220/H220,기준표!$B$6),기준표!$B$7))</f>
        <v/>
      </c>
      <c r="AG220" s="17">
        <f>IF(ISNUMBER(AE220),AE220*(1-AF220),"")</f>
        <v/>
      </c>
      <c r="AH220" s="17">
        <f>IF(AND(NOT(ISNUMBER(V220)),NOT(ISNUMBER(X220))),"",IF(ISNUMBER(V220),V220,0)+IF(ISNUMBER(X220),X220,0))</f>
        <v/>
      </c>
      <c r="AI220" s="17">
        <f>IF(E220="금융","",IF(AND(ISNUMBER(R220),ISNUMBER(AH220),ISNUMBER(T220)),R220+AH220-T220,""))</f>
        <v/>
      </c>
      <c r="AJ220" s="17">
        <f>IF(E220="금융","",IF(NOT(ISNUMBER(AI220)),"",IF(ISNUMBER(AC220),(AI220+AC220)/2,AI220)))</f>
        <v/>
      </c>
      <c r="AK220" s="19">
        <f>IF(AND(ISNUMBER(AG220),ISNUMBER(AJ220),AJ220&gt;0),AG220/AJ220,"")</f>
        <v/>
      </c>
      <c r="AL220" s="17">
        <f>IF(E220="금융","",IF(AND(ISNUMBER(R220),ISNUMBER(AH220)),R220+AH220,""))</f>
        <v/>
      </c>
      <c r="AM220" s="19">
        <f>IF(OR(NOT(ISNUMBER(AG220)),NOT(ISNUMBER(AL220)),AL220&lt;=0),"",IF(AND(ISNUMBER(G220),AL220&lt;0.1*G220),"",AG220/AL220))</f>
        <v/>
      </c>
      <c r="AN220" s="17">
        <f>IF(NOT(ISNUMBER(R220)),"",IF(ISNUMBER(S220),(R220+S220)/2,R220))</f>
        <v/>
      </c>
      <c r="AO220" s="19">
        <f>IF(AND(ISNUMBER(L220),ISNUMBER(AN220),AN220&gt;0),L220/AN220,"")</f>
        <v/>
      </c>
      <c r="AP220" s="19">
        <f>IF(AND(ISNUMBER(AO220),ISNUMBER({ROIC})),AO220-{ROIC},"")</f>
        <v/>
      </c>
      <c r="AQ220" s="17">
        <f>IF(AND(ISNUMBER(AE220),ISNUMBER(N220)),AE220+N220,"")</f>
        <v/>
      </c>
      <c r="AR220" s="20">
        <f>IF(AND(ISNUMBER(AH220),ISNUMBER(T220),ISNUMBER(AQ220),AQ220&gt;0),(AH220-T220)/AQ220,"")</f>
        <v/>
      </c>
      <c r="AS220" s="20">
        <f>IF(AND(ISNUMBER(AE220),ISNUMBER(I220),I220&lt;&gt;0,AE220&gt;0),AE220/I220,"")</f>
        <v/>
      </c>
      <c r="AT220" s="17">
        <f>IF(AND(ISNUMBER(Y220),ISNUMBER(AA220)),Y220-IF(ISNUMBER(T220),T220,0)-(AA220-IF(ISNUMBER(V220),V220,0)),"")</f>
        <v/>
      </c>
      <c r="AU220" s="17">
        <f>IF(AND(ISNUMBER(Z220),ISNUMBER(AB220)),Z220-IF(ISNUMBER(U220),U220,0)-(AB220-IF(ISNUMBER(W220),W220,0)),"")</f>
        <v/>
      </c>
      <c r="AV220" s="17">
        <f>IF(AND(ISNUMBER(AT220),ISNUMBER(AU220)),AT220-AU220,"")</f>
        <v/>
      </c>
      <c r="AW220" s="17">
        <f>IF(AND(ISNUMBER(L220),ISNUMBER(M220),ISNUMBER(AF220)),L220-M220*(1-AF220),IF(ISNUMBER(L220),L220,""))</f>
        <v/>
      </c>
      <c r="AX220" s="17">
        <f>IF(E220="금융","",IF(AND(ISNUMBER(AW220),ISNUMBER(N220),ISNUMBER(O220),ISNUMBER(AV220)),AW220+N220-O220-AV220,IF(AND(ISNUMBER(P220),ISNUMBER(O220)),P220-O220-IF(ISNUMBER(Q220),Q220,0),"")))</f>
        <v/>
      </c>
      <c r="AY220" s="8">
        <f>IF(E220="금융","금융업 - 정의되지 않음",IF(AND(ISNUMBER(AW220),ISNUMBER(N220),ISNUMBER(O220),ISNUMBER(AV220)),"영업순이익+감가상각-설비투자-운전자본증감",IF(AND(ISNUMBER(P220),ISNUMBER(O220)),IF(ISNUMBER(Q220),"영업현금흐름-설비투자-주식보상비용","영업현금흐름-설비투자(주식보상비용 미태깅)"),"산출불가")))</f>
        <v/>
      </c>
      <c r="AZ220" s="19">
        <f>IF(AND(ISNUMBER(AX220),ISNUMBER(G220),G220&lt;&gt;0),AX220/G220,"")</f>
        <v/>
      </c>
      <c r="BA220" s="19">
        <f>IF(AND(ISNUMBER(AE220),ISNUMBER(G220),G220&lt;&gt;0),AE220/G220,"")</f>
        <v/>
      </c>
    </row>
    <row r="221">
      <c r="A221" s="8" t="inlineStr">
        <is>
          <t>MA</t>
        </is>
      </c>
      <c r="B221" s="8" t="inlineStr">
        <is>
          <t>Mastercard Inc</t>
        </is>
      </c>
      <c r="C221" s="8" t="n">
        <v>2016</v>
      </c>
      <c r="D221" s="8" t="inlineStr">
        <is>
          <t>2016-12-31</t>
        </is>
      </c>
      <c r="E221" s="8" t="inlineStr">
        <is>
          <t>일반</t>
        </is>
      </c>
      <c r="F221" s="8" t="inlineStr">
        <is>
          <t>0001141391-19-000013</t>
        </is>
      </c>
      <c r="G221" s="15" t="n">
        <v>10.776</v>
      </c>
      <c r="H221" s="15" t="n">
        <v>5.646</v>
      </c>
      <c r="I221" s="15" t="n"/>
      <c r="J221" s="15" t="n">
        <v>1.587</v>
      </c>
      <c r="K221" s="15" t="n">
        <v>5.761</v>
      </c>
      <c r="L221" s="15" t="n">
        <v>4.059</v>
      </c>
      <c r="M221" s="15" t="n"/>
      <c r="N221" s="15" t="n">
        <v>0.373</v>
      </c>
      <c r="O221" s="15" t="n">
        <v>0.215</v>
      </c>
      <c r="P221" s="15" t="n">
        <v>4.637</v>
      </c>
      <c r="Q221" s="15" t="n">
        <v>0.149</v>
      </c>
      <c r="R221" s="15" t="n">
        <v>5.656</v>
      </c>
      <c r="S221" s="15" t="n">
        <v>6.028</v>
      </c>
      <c r="T221" s="15" t="n">
        <v>6.721</v>
      </c>
      <c r="U221" s="15" t="n">
        <v>5.747</v>
      </c>
      <c r="V221" s="15" t="n"/>
      <c r="W221" s="15" t="n"/>
      <c r="X221" s="15" t="n">
        <v>5.18</v>
      </c>
      <c r="Y221" s="15" t="n">
        <v>13.228</v>
      </c>
      <c r="Z221" s="15" t="n">
        <v>10.984</v>
      </c>
      <c r="AA221" s="15" t="n">
        <v>7.206</v>
      </c>
      <c r="AB221" s="15" t="n">
        <v>6.269</v>
      </c>
      <c r="AC221" s="15" t="n">
        <v>3.549</v>
      </c>
      <c r="AD221" s="16" t="n">
        <v>1082</v>
      </c>
      <c r="AE221" s="17">
        <f>IF(ISNUMBER(K221),K221,IF(AND(ISNUMBER(H221),ISNUMBER(I221)),H221+I221,IF(ISNUMBER(H221),H221,"")))</f>
        <v/>
      </c>
      <c r="AF221" s="18">
        <f>IF(OR(NOT(ISNUMBER(J221)),NOT(ISNUMBER(H221)),H221&lt;=0),기준표!$B$8,MIN(MAX(J221/H221,기준표!$B$6),기준표!$B$7))</f>
        <v/>
      </c>
      <c r="AG221" s="17">
        <f>IF(ISNUMBER(AE221),AE221*(1-AF221),"")</f>
        <v/>
      </c>
      <c r="AH221" s="17">
        <f>IF(AND(NOT(ISNUMBER(V221)),NOT(ISNUMBER(X221))),"",IF(ISNUMBER(V221),V221,0)+IF(ISNUMBER(X221),X221,0))</f>
        <v/>
      </c>
      <c r="AI221" s="17">
        <f>IF(E221="금융","",IF(AND(ISNUMBER(R221),ISNUMBER(AH221),ISNUMBER(T221)),R221+AH221-T221,""))</f>
        <v/>
      </c>
      <c r="AJ221" s="17">
        <f>IF(E221="금융","",IF(NOT(ISNUMBER(AI221)),"",IF(ISNUMBER(AC221),(AI221+AC221)/2,AI221)))</f>
        <v/>
      </c>
      <c r="AK221" s="19">
        <f>IF(AND(ISNUMBER(AG221),ISNUMBER(AJ221),AJ221&gt;0),AG221/AJ221,"")</f>
        <v/>
      </c>
      <c r="AL221" s="17">
        <f>IF(E221="금융","",IF(AND(ISNUMBER(R221),ISNUMBER(AH221)),R221+AH221,""))</f>
        <v/>
      </c>
      <c r="AM221" s="19">
        <f>IF(OR(NOT(ISNUMBER(AG221)),NOT(ISNUMBER(AL221)),AL221&lt;=0),"",IF(AND(ISNUMBER(G221),AL221&lt;0.1*G221),"",AG221/AL221))</f>
        <v/>
      </c>
      <c r="AN221" s="17">
        <f>IF(NOT(ISNUMBER(R221)),"",IF(ISNUMBER(S221),(R221+S221)/2,R221))</f>
        <v/>
      </c>
      <c r="AO221" s="19">
        <f>IF(AND(ISNUMBER(L221),ISNUMBER(AN221),AN221&gt;0),L221/AN221,"")</f>
        <v/>
      </c>
      <c r="AP221" s="19">
        <f>IF(AND(ISNUMBER(AO221),ISNUMBER({ROIC})),AO221-{ROIC},"")</f>
        <v/>
      </c>
      <c r="AQ221" s="17">
        <f>IF(AND(ISNUMBER(AE221),ISNUMBER(N221)),AE221+N221,"")</f>
        <v/>
      </c>
      <c r="AR221" s="20">
        <f>IF(AND(ISNUMBER(AH221),ISNUMBER(T221),ISNUMBER(AQ221),AQ221&gt;0),(AH221-T221)/AQ221,"")</f>
        <v/>
      </c>
      <c r="AS221" s="20">
        <f>IF(AND(ISNUMBER(AE221),ISNUMBER(I221),I221&lt;&gt;0,AE221&gt;0),AE221/I221,"")</f>
        <v/>
      </c>
      <c r="AT221" s="17">
        <f>IF(AND(ISNUMBER(Y221),ISNUMBER(AA221)),Y221-IF(ISNUMBER(T221),T221,0)-(AA221-IF(ISNUMBER(V221),V221,0)),"")</f>
        <v/>
      </c>
      <c r="AU221" s="17">
        <f>IF(AND(ISNUMBER(Z221),ISNUMBER(AB221)),Z221-IF(ISNUMBER(U221),U221,0)-(AB221-IF(ISNUMBER(W221),W221,0)),"")</f>
        <v/>
      </c>
      <c r="AV221" s="17">
        <f>IF(AND(ISNUMBER(AT221),ISNUMBER(AU221)),AT221-AU221,"")</f>
        <v/>
      </c>
      <c r="AW221" s="17">
        <f>IF(AND(ISNUMBER(L221),ISNUMBER(M221),ISNUMBER(AF221)),L221-M221*(1-AF221),IF(ISNUMBER(L221),L221,""))</f>
        <v/>
      </c>
      <c r="AX221" s="17">
        <f>IF(E221="금융","",IF(AND(ISNUMBER(AW221),ISNUMBER(N221),ISNUMBER(O221),ISNUMBER(AV221)),AW221+N221-O221-AV221,IF(AND(ISNUMBER(P221),ISNUMBER(O221)),P221-O221-IF(ISNUMBER(Q221),Q221,0),"")))</f>
        <v/>
      </c>
      <c r="AY221" s="8">
        <f>IF(E221="금융","금융업 - 정의되지 않음",IF(AND(ISNUMBER(AW221),ISNUMBER(N221),ISNUMBER(O221),ISNUMBER(AV221)),"영업순이익+감가상각-설비투자-운전자본증감",IF(AND(ISNUMBER(P221),ISNUMBER(O221)),IF(ISNUMBER(Q221),"영업현금흐름-설비투자-주식보상비용","영업현금흐름-설비투자(주식보상비용 미태깅)"),"산출불가")))</f>
        <v/>
      </c>
      <c r="AZ221" s="19">
        <f>IF(AND(ISNUMBER(AX221),ISNUMBER(G221),G221&lt;&gt;0),AX221/G221,"")</f>
        <v/>
      </c>
      <c r="BA221" s="19">
        <f>IF(AND(ISNUMBER(AE221),ISNUMBER(G221),G221&lt;&gt;0),AE221/G221,"")</f>
        <v/>
      </c>
    </row>
    <row r="222">
      <c r="A222" s="8" t="inlineStr">
        <is>
          <t>MA</t>
        </is>
      </c>
      <c r="B222" s="8" t="inlineStr">
        <is>
          <t>Mastercard Inc</t>
        </is>
      </c>
      <c r="C222" s="8" t="n">
        <v>2017</v>
      </c>
      <c r="D222" s="8" t="inlineStr">
        <is>
          <t>2017-12-31</t>
        </is>
      </c>
      <c r="E222" s="8" t="inlineStr">
        <is>
          <t>일반</t>
        </is>
      </c>
      <c r="F222" s="8" t="inlineStr">
        <is>
          <t>0001141391-20-000032</t>
        </is>
      </c>
      <c r="G222" s="15" t="n">
        <v>12.497</v>
      </c>
      <c r="H222" s="15" t="n">
        <v>6.522</v>
      </c>
      <c r="I222" s="15" t="n"/>
      <c r="J222" s="15" t="n">
        <v>2.607</v>
      </c>
      <c r="K222" s="15" t="n">
        <v>6.622</v>
      </c>
      <c r="L222" s="15" t="n">
        <v>3.915</v>
      </c>
      <c r="M222" s="15" t="n">
        <v>0</v>
      </c>
      <c r="N222" s="15" t="n">
        <v>0.437</v>
      </c>
      <c r="O222" s="15" t="n">
        <v>0.3</v>
      </c>
      <c r="P222" s="15" t="n">
        <v>5.664</v>
      </c>
      <c r="Q222" s="15" t="n">
        <v>0.176</v>
      </c>
      <c r="R222" s="15" t="n">
        <v>5.468</v>
      </c>
      <c r="S222" s="15" t="n">
        <v>5.656</v>
      </c>
      <c r="T222" s="15" t="n">
        <v>5.933</v>
      </c>
      <c r="U222" s="15" t="n">
        <v>6.721</v>
      </c>
      <c r="V222" s="15" t="n">
        <v>0</v>
      </c>
      <c r="W222" s="15" t="n"/>
      <c r="X222" s="15" t="n">
        <v>5.424</v>
      </c>
      <c r="Y222" s="15" t="n">
        <v>13.797</v>
      </c>
      <c r="Z222" s="15" t="n">
        <v>13.228</v>
      </c>
      <c r="AA222" s="15" t="n">
        <v>8.792999999999999</v>
      </c>
      <c r="AB222" s="15" t="n">
        <v>7.206</v>
      </c>
      <c r="AC222" s="15" t="n">
        <v>4.115</v>
      </c>
      <c r="AD222" s="16" t="n">
        <v>1057</v>
      </c>
      <c r="AE222" s="17">
        <f>IF(ISNUMBER(K222),K222,IF(AND(ISNUMBER(H222),ISNUMBER(I222)),H222+I222,IF(ISNUMBER(H222),H222,"")))</f>
        <v/>
      </c>
      <c r="AF222" s="18">
        <f>IF(OR(NOT(ISNUMBER(J222)),NOT(ISNUMBER(H222)),H222&lt;=0),기준표!$B$8,MIN(MAX(J222/H222,기준표!$B$6),기준표!$B$7))</f>
        <v/>
      </c>
      <c r="AG222" s="17">
        <f>IF(ISNUMBER(AE222),AE222*(1-AF222),"")</f>
        <v/>
      </c>
      <c r="AH222" s="17">
        <f>IF(AND(NOT(ISNUMBER(V222)),NOT(ISNUMBER(X222))),"",IF(ISNUMBER(V222),V222,0)+IF(ISNUMBER(X222),X222,0))</f>
        <v/>
      </c>
      <c r="AI222" s="17">
        <f>IF(E222="금융","",IF(AND(ISNUMBER(R222),ISNUMBER(AH222),ISNUMBER(T222)),R222+AH222-T222,""))</f>
        <v/>
      </c>
      <c r="AJ222" s="17">
        <f>IF(E222="금융","",IF(NOT(ISNUMBER(AI222)),"",IF(ISNUMBER(AC222),(AI222+AC222)/2,AI222)))</f>
        <v/>
      </c>
      <c r="AK222" s="19">
        <f>IF(AND(ISNUMBER(AG222),ISNUMBER(AJ222),AJ222&gt;0),AG222/AJ222,"")</f>
        <v/>
      </c>
      <c r="AL222" s="17">
        <f>IF(E222="금융","",IF(AND(ISNUMBER(R222),ISNUMBER(AH222)),R222+AH222,""))</f>
        <v/>
      </c>
      <c r="AM222" s="19">
        <f>IF(OR(NOT(ISNUMBER(AG222)),NOT(ISNUMBER(AL222)),AL222&lt;=0),"",IF(AND(ISNUMBER(G222),AL222&lt;0.1*G222),"",AG222/AL222))</f>
        <v/>
      </c>
      <c r="AN222" s="17">
        <f>IF(NOT(ISNUMBER(R222)),"",IF(ISNUMBER(S222),(R222+S222)/2,R222))</f>
        <v/>
      </c>
      <c r="AO222" s="19">
        <f>IF(AND(ISNUMBER(L222),ISNUMBER(AN222),AN222&gt;0),L222/AN222,"")</f>
        <v/>
      </c>
      <c r="AP222" s="19">
        <f>IF(AND(ISNUMBER(AO222),ISNUMBER({ROIC})),AO222-{ROIC},"")</f>
        <v/>
      </c>
      <c r="AQ222" s="17">
        <f>IF(AND(ISNUMBER(AE222),ISNUMBER(N222)),AE222+N222,"")</f>
        <v/>
      </c>
      <c r="AR222" s="20">
        <f>IF(AND(ISNUMBER(AH222),ISNUMBER(T222),ISNUMBER(AQ222),AQ222&gt;0),(AH222-T222)/AQ222,"")</f>
        <v/>
      </c>
      <c r="AS222" s="20">
        <f>IF(AND(ISNUMBER(AE222),ISNUMBER(I222),I222&lt;&gt;0,AE222&gt;0),AE222/I222,"")</f>
        <v/>
      </c>
      <c r="AT222" s="17">
        <f>IF(AND(ISNUMBER(Y222),ISNUMBER(AA222)),Y222-IF(ISNUMBER(T222),T222,0)-(AA222-IF(ISNUMBER(V222),V222,0)),"")</f>
        <v/>
      </c>
      <c r="AU222" s="17">
        <f>IF(AND(ISNUMBER(Z222),ISNUMBER(AB222)),Z222-IF(ISNUMBER(U222),U222,0)-(AB222-IF(ISNUMBER(W222),W222,0)),"")</f>
        <v/>
      </c>
      <c r="AV222" s="17">
        <f>IF(AND(ISNUMBER(AT222),ISNUMBER(AU222)),AT222-AU222,"")</f>
        <v/>
      </c>
      <c r="AW222" s="17">
        <f>IF(AND(ISNUMBER(L222),ISNUMBER(M222),ISNUMBER(AF222)),L222-M222*(1-AF222),IF(ISNUMBER(L222),L222,""))</f>
        <v/>
      </c>
      <c r="AX222" s="17">
        <f>IF(E222="금융","",IF(AND(ISNUMBER(AW222),ISNUMBER(N222),ISNUMBER(O222),ISNUMBER(AV222)),AW222+N222-O222-AV222,IF(AND(ISNUMBER(P222),ISNUMBER(O222)),P222-O222-IF(ISNUMBER(Q222),Q222,0),"")))</f>
        <v/>
      </c>
      <c r="AY222" s="8">
        <f>IF(E222="금융","금융업 - 정의되지 않음",IF(AND(ISNUMBER(AW222),ISNUMBER(N222),ISNUMBER(O222),ISNUMBER(AV222)),"영업순이익+감가상각-설비투자-운전자본증감",IF(AND(ISNUMBER(P222),ISNUMBER(O222)),IF(ISNUMBER(Q222),"영업현금흐름-설비투자-주식보상비용","영업현금흐름-설비투자(주식보상비용 미태깅)"),"산출불가")))</f>
        <v/>
      </c>
      <c r="AZ222" s="19">
        <f>IF(AND(ISNUMBER(AX222),ISNUMBER(G222),G222&lt;&gt;0),AX222/G222,"")</f>
        <v/>
      </c>
      <c r="BA222" s="19">
        <f>IF(AND(ISNUMBER(AE222),ISNUMBER(G222),G222&lt;&gt;0),AE222/G222,"")</f>
        <v/>
      </c>
    </row>
    <row r="223">
      <c r="A223" s="8" t="inlineStr">
        <is>
          <t>MA</t>
        </is>
      </c>
      <c r="B223" s="8" t="inlineStr">
        <is>
          <t>Mastercard Inc</t>
        </is>
      </c>
      <c r="C223" s="8" t="n">
        <v>2018</v>
      </c>
      <c r="D223" s="8" t="inlineStr">
        <is>
          <t>2018-12-31</t>
        </is>
      </c>
      <c r="E223" s="8" t="inlineStr">
        <is>
          <t>일반</t>
        </is>
      </c>
      <c r="F223" s="8" t="inlineStr">
        <is>
          <t>0001141391-21-000018</t>
        </is>
      </c>
      <c r="G223" s="15" t="n">
        <v>14.95</v>
      </c>
      <c r="H223" s="15" t="n">
        <v>7.204</v>
      </c>
      <c r="I223" s="15" t="n"/>
      <c r="J223" s="15" t="n">
        <v>1.345</v>
      </c>
      <c r="K223" s="15" t="n">
        <v>7.282</v>
      </c>
      <c r="L223" s="15" t="n">
        <v>5.859</v>
      </c>
      <c r="M223" s="15" t="n">
        <v>0</v>
      </c>
      <c r="N223" s="15" t="n">
        <v>0.459</v>
      </c>
      <c r="O223" s="15" t="n">
        <v>0.33</v>
      </c>
      <c r="P223" s="15" t="n">
        <v>6.223</v>
      </c>
      <c r="Q223" s="15" t="n">
        <v>0.196</v>
      </c>
      <c r="R223" s="15" t="n">
        <v>5.395</v>
      </c>
      <c r="S223" s="15" t="n">
        <v>5.468</v>
      </c>
      <c r="T223" s="15" t="n">
        <v>6.682</v>
      </c>
      <c r="U223" s="15" t="n">
        <v>5.933</v>
      </c>
      <c r="V223" s="15" t="n">
        <v>0.5</v>
      </c>
      <c r="W223" s="15" t="n">
        <v>0</v>
      </c>
      <c r="X223" s="15" t="n">
        <v>5.834</v>
      </c>
      <c r="Y223" s="15" t="n">
        <v>16.171</v>
      </c>
      <c r="Z223" s="15" t="n">
        <v>13.797</v>
      </c>
      <c r="AA223" s="15" t="n">
        <v>11.593</v>
      </c>
      <c r="AB223" s="15" t="n">
        <v>8.792999999999999</v>
      </c>
      <c r="AC223" s="15" t="n">
        <v>4.959</v>
      </c>
      <c r="AD223" s="16" t="n">
        <v>1032</v>
      </c>
      <c r="AE223" s="17">
        <f>IF(ISNUMBER(K223),K223,IF(AND(ISNUMBER(H223),ISNUMBER(I223)),H223+I223,IF(ISNUMBER(H223),H223,"")))</f>
        <v/>
      </c>
      <c r="AF223" s="18">
        <f>IF(OR(NOT(ISNUMBER(J223)),NOT(ISNUMBER(H223)),H223&lt;=0),기준표!$B$8,MIN(MAX(J223/H223,기준표!$B$6),기준표!$B$7))</f>
        <v/>
      </c>
      <c r="AG223" s="17">
        <f>IF(ISNUMBER(AE223),AE223*(1-AF223),"")</f>
        <v/>
      </c>
      <c r="AH223" s="17">
        <f>IF(AND(NOT(ISNUMBER(V223)),NOT(ISNUMBER(X223))),"",IF(ISNUMBER(V223),V223,0)+IF(ISNUMBER(X223),X223,0))</f>
        <v/>
      </c>
      <c r="AI223" s="17">
        <f>IF(E223="금융","",IF(AND(ISNUMBER(R223),ISNUMBER(AH223),ISNUMBER(T223)),R223+AH223-T223,""))</f>
        <v/>
      </c>
      <c r="AJ223" s="17">
        <f>IF(E223="금융","",IF(NOT(ISNUMBER(AI223)),"",IF(ISNUMBER(AC223),(AI223+AC223)/2,AI223)))</f>
        <v/>
      </c>
      <c r="AK223" s="19">
        <f>IF(AND(ISNUMBER(AG223),ISNUMBER(AJ223),AJ223&gt;0),AG223/AJ223,"")</f>
        <v/>
      </c>
      <c r="AL223" s="17">
        <f>IF(E223="금융","",IF(AND(ISNUMBER(R223),ISNUMBER(AH223)),R223+AH223,""))</f>
        <v/>
      </c>
      <c r="AM223" s="19">
        <f>IF(OR(NOT(ISNUMBER(AG223)),NOT(ISNUMBER(AL223)),AL223&lt;=0),"",IF(AND(ISNUMBER(G223),AL223&lt;0.1*G223),"",AG223/AL223))</f>
        <v/>
      </c>
      <c r="AN223" s="17">
        <f>IF(NOT(ISNUMBER(R223)),"",IF(ISNUMBER(S223),(R223+S223)/2,R223))</f>
        <v/>
      </c>
      <c r="AO223" s="19">
        <f>IF(AND(ISNUMBER(L223),ISNUMBER(AN223),AN223&gt;0),L223/AN223,"")</f>
        <v/>
      </c>
      <c r="AP223" s="19">
        <f>IF(AND(ISNUMBER(AO223),ISNUMBER({ROIC})),AO223-{ROIC},"")</f>
        <v/>
      </c>
      <c r="AQ223" s="17">
        <f>IF(AND(ISNUMBER(AE223),ISNUMBER(N223)),AE223+N223,"")</f>
        <v/>
      </c>
      <c r="AR223" s="20">
        <f>IF(AND(ISNUMBER(AH223),ISNUMBER(T223),ISNUMBER(AQ223),AQ223&gt;0),(AH223-T223)/AQ223,"")</f>
        <v/>
      </c>
      <c r="AS223" s="20">
        <f>IF(AND(ISNUMBER(AE223),ISNUMBER(I223),I223&lt;&gt;0,AE223&gt;0),AE223/I223,"")</f>
        <v/>
      </c>
      <c r="AT223" s="17">
        <f>IF(AND(ISNUMBER(Y223),ISNUMBER(AA223)),Y223-IF(ISNUMBER(T223),T223,0)-(AA223-IF(ISNUMBER(V223),V223,0)),"")</f>
        <v/>
      </c>
      <c r="AU223" s="17">
        <f>IF(AND(ISNUMBER(Z223),ISNUMBER(AB223)),Z223-IF(ISNUMBER(U223),U223,0)-(AB223-IF(ISNUMBER(W223),W223,0)),"")</f>
        <v/>
      </c>
      <c r="AV223" s="17">
        <f>IF(AND(ISNUMBER(AT223),ISNUMBER(AU223)),AT223-AU223,"")</f>
        <v/>
      </c>
      <c r="AW223" s="17">
        <f>IF(AND(ISNUMBER(L223),ISNUMBER(M223),ISNUMBER(AF223)),L223-M223*(1-AF223),IF(ISNUMBER(L223),L223,""))</f>
        <v/>
      </c>
      <c r="AX223" s="17">
        <f>IF(E223="금융","",IF(AND(ISNUMBER(AW223),ISNUMBER(N223),ISNUMBER(O223),ISNUMBER(AV223)),AW223+N223-O223-AV223,IF(AND(ISNUMBER(P223),ISNUMBER(O223)),P223-O223-IF(ISNUMBER(Q223),Q223,0),"")))</f>
        <v/>
      </c>
      <c r="AY223" s="8">
        <f>IF(E223="금융","금융업 - 정의되지 않음",IF(AND(ISNUMBER(AW223),ISNUMBER(N223),ISNUMBER(O223),ISNUMBER(AV223)),"영업순이익+감가상각-설비투자-운전자본증감",IF(AND(ISNUMBER(P223),ISNUMBER(O223)),IF(ISNUMBER(Q223),"영업현금흐름-설비투자-주식보상비용","영업현금흐름-설비투자(주식보상비용 미태깅)"),"산출불가")))</f>
        <v/>
      </c>
      <c r="AZ223" s="19">
        <f>IF(AND(ISNUMBER(AX223),ISNUMBER(G223),G223&lt;&gt;0),AX223/G223,"")</f>
        <v/>
      </c>
      <c r="BA223" s="19">
        <f>IF(AND(ISNUMBER(AE223),ISNUMBER(G223),G223&lt;&gt;0),AE223/G223,"")</f>
        <v/>
      </c>
    </row>
    <row r="224">
      <c r="A224" s="8" t="inlineStr">
        <is>
          <t>MA</t>
        </is>
      </c>
      <c r="B224" s="8" t="inlineStr">
        <is>
          <t>Mastercard Inc</t>
        </is>
      </c>
      <c r="C224" s="8" t="n">
        <v>2019</v>
      </c>
      <c r="D224" s="8" t="inlineStr">
        <is>
          <t>2019-12-31</t>
        </is>
      </c>
      <c r="E224" s="8" t="inlineStr">
        <is>
          <t>일반</t>
        </is>
      </c>
      <c r="F224" s="8" t="inlineStr">
        <is>
          <t>0001141391-22-000023</t>
        </is>
      </c>
      <c r="G224" s="15" t="n">
        <v>16.883</v>
      </c>
      <c r="H224" s="15" t="n">
        <v>9.731</v>
      </c>
      <c r="I224" s="15" t="n"/>
      <c r="J224" s="15" t="n">
        <v>1.613</v>
      </c>
      <c r="K224" s="15" t="n">
        <v>9.664</v>
      </c>
      <c r="L224" s="15" t="n">
        <v>8.118</v>
      </c>
      <c r="M224" s="15" t="n">
        <v>0.167</v>
      </c>
      <c r="N224" s="15" t="n">
        <v>0.522</v>
      </c>
      <c r="O224" s="15" t="n">
        <v>0.422</v>
      </c>
      <c r="P224" s="15" t="n">
        <v>8.183</v>
      </c>
      <c r="Q224" s="15" t="n">
        <v>0.25</v>
      </c>
      <c r="R224" s="15" t="n">
        <v>5.893</v>
      </c>
      <c r="S224" s="15" t="n">
        <v>5.395</v>
      </c>
      <c r="T224" s="15" t="n">
        <v>6.988</v>
      </c>
      <c r="U224" s="15" t="n">
        <v>6.682</v>
      </c>
      <c r="V224" s="15" t="n">
        <v>0</v>
      </c>
      <c r="W224" s="15" t="n">
        <v>0.5</v>
      </c>
      <c r="X224" s="15" t="n">
        <v>8.526999999999999</v>
      </c>
      <c r="Y224" s="15" t="n">
        <v>16.902</v>
      </c>
      <c r="Z224" s="15" t="n">
        <v>16.171</v>
      </c>
      <c r="AA224" s="15" t="n">
        <v>11.904</v>
      </c>
      <c r="AB224" s="15" t="n">
        <v>11.593</v>
      </c>
      <c r="AC224" s="15" t="n">
        <v>5.047</v>
      </c>
      <c r="AD224" s="16" t="n">
        <v>1022</v>
      </c>
      <c r="AE224" s="17">
        <f>IF(ISNUMBER(K224),K224,IF(AND(ISNUMBER(H224),ISNUMBER(I224)),H224+I224,IF(ISNUMBER(H224),H224,"")))</f>
        <v/>
      </c>
      <c r="AF224" s="18">
        <f>IF(OR(NOT(ISNUMBER(J224)),NOT(ISNUMBER(H224)),H224&lt;=0),기준표!$B$8,MIN(MAX(J224/H224,기준표!$B$6),기준표!$B$7))</f>
        <v/>
      </c>
      <c r="AG224" s="17">
        <f>IF(ISNUMBER(AE224),AE224*(1-AF224),"")</f>
        <v/>
      </c>
      <c r="AH224" s="17">
        <f>IF(AND(NOT(ISNUMBER(V224)),NOT(ISNUMBER(X224))),"",IF(ISNUMBER(V224),V224,0)+IF(ISNUMBER(X224),X224,0))</f>
        <v/>
      </c>
      <c r="AI224" s="17">
        <f>IF(E224="금융","",IF(AND(ISNUMBER(R224),ISNUMBER(AH224),ISNUMBER(T224)),R224+AH224-T224,""))</f>
        <v/>
      </c>
      <c r="AJ224" s="17">
        <f>IF(E224="금융","",IF(NOT(ISNUMBER(AI224)),"",IF(ISNUMBER(AC224),(AI224+AC224)/2,AI224)))</f>
        <v/>
      </c>
      <c r="AK224" s="19">
        <f>IF(AND(ISNUMBER(AG224),ISNUMBER(AJ224),AJ224&gt;0),AG224/AJ224,"")</f>
        <v/>
      </c>
      <c r="AL224" s="17">
        <f>IF(E224="금융","",IF(AND(ISNUMBER(R224),ISNUMBER(AH224)),R224+AH224,""))</f>
        <v/>
      </c>
      <c r="AM224" s="19">
        <f>IF(OR(NOT(ISNUMBER(AG224)),NOT(ISNUMBER(AL224)),AL224&lt;=0),"",IF(AND(ISNUMBER(G224),AL224&lt;0.1*G224),"",AG224/AL224))</f>
        <v/>
      </c>
      <c r="AN224" s="17">
        <f>IF(NOT(ISNUMBER(R224)),"",IF(ISNUMBER(S224),(R224+S224)/2,R224))</f>
        <v/>
      </c>
      <c r="AO224" s="19">
        <f>IF(AND(ISNUMBER(L224),ISNUMBER(AN224),AN224&gt;0),L224/AN224,"")</f>
        <v/>
      </c>
      <c r="AP224" s="19">
        <f>IF(AND(ISNUMBER(AO224),ISNUMBER({ROIC})),AO224-{ROIC},"")</f>
        <v/>
      </c>
      <c r="AQ224" s="17">
        <f>IF(AND(ISNUMBER(AE224),ISNUMBER(N224)),AE224+N224,"")</f>
        <v/>
      </c>
      <c r="AR224" s="20">
        <f>IF(AND(ISNUMBER(AH224),ISNUMBER(T224),ISNUMBER(AQ224),AQ224&gt;0),(AH224-T224)/AQ224,"")</f>
        <v/>
      </c>
      <c r="AS224" s="20">
        <f>IF(AND(ISNUMBER(AE224),ISNUMBER(I224),I224&lt;&gt;0,AE224&gt;0),AE224/I224,"")</f>
        <v/>
      </c>
      <c r="AT224" s="17">
        <f>IF(AND(ISNUMBER(Y224),ISNUMBER(AA224)),Y224-IF(ISNUMBER(T224),T224,0)-(AA224-IF(ISNUMBER(V224),V224,0)),"")</f>
        <v/>
      </c>
      <c r="AU224" s="17">
        <f>IF(AND(ISNUMBER(Z224),ISNUMBER(AB224)),Z224-IF(ISNUMBER(U224),U224,0)-(AB224-IF(ISNUMBER(W224),W224,0)),"")</f>
        <v/>
      </c>
      <c r="AV224" s="17">
        <f>IF(AND(ISNUMBER(AT224),ISNUMBER(AU224)),AT224-AU224,"")</f>
        <v/>
      </c>
      <c r="AW224" s="17">
        <f>IF(AND(ISNUMBER(L224),ISNUMBER(M224),ISNUMBER(AF224)),L224-M224*(1-AF224),IF(ISNUMBER(L224),L224,""))</f>
        <v/>
      </c>
      <c r="AX224" s="17">
        <f>IF(E224="금융","",IF(AND(ISNUMBER(AW224),ISNUMBER(N224),ISNUMBER(O224),ISNUMBER(AV224)),AW224+N224-O224-AV224,IF(AND(ISNUMBER(P224),ISNUMBER(O224)),P224-O224-IF(ISNUMBER(Q224),Q224,0),"")))</f>
        <v/>
      </c>
      <c r="AY224" s="8">
        <f>IF(E224="금융","금융업 - 정의되지 않음",IF(AND(ISNUMBER(AW224),ISNUMBER(N224),ISNUMBER(O224),ISNUMBER(AV224)),"영업순이익+감가상각-설비투자-운전자본증감",IF(AND(ISNUMBER(P224),ISNUMBER(O224)),IF(ISNUMBER(Q224),"영업현금흐름-설비투자-주식보상비용","영업현금흐름-설비투자(주식보상비용 미태깅)"),"산출불가")))</f>
        <v/>
      </c>
      <c r="AZ224" s="19">
        <f>IF(AND(ISNUMBER(AX224),ISNUMBER(G224),G224&lt;&gt;0),AX224/G224,"")</f>
        <v/>
      </c>
      <c r="BA224" s="19">
        <f>IF(AND(ISNUMBER(AE224),ISNUMBER(G224),G224&lt;&gt;0),AE224/G224,"")</f>
        <v/>
      </c>
    </row>
    <row r="225">
      <c r="A225" s="8" t="inlineStr">
        <is>
          <t>MA</t>
        </is>
      </c>
      <c r="B225" s="8" t="inlineStr">
        <is>
          <t>Mastercard Inc</t>
        </is>
      </c>
      <c r="C225" s="8" t="n">
        <v>2020</v>
      </c>
      <c r="D225" s="8" t="inlineStr">
        <is>
          <t>2020-12-31</t>
        </is>
      </c>
      <c r="E225" s="8" t="inlineStr">
        <is>
          <t>일반</t>
        </is>
      </c>
      <c r="F225" s="8" t="inlineStr">
        <is>
          <t>0001141391-23-000020</t>
        </is>
      </c>
      <c r="G225" s="15" t="n">
        <v>15.301</v>
      </c>
      <c r="H225" s="15" t="n">
        <v>7.76</v>
      </c>
      <c r="I225" s="15" t="n"/>
      <c r="J225" s="15" t="n">
        <v>1.349</v>
      </c>
      <c r="K225" s="15" t="n">
        <v>8.081</v>
      </c>
      <c r="L225" s="15" t="n">
        <v>6.411</v>
      </c>
      <c r="M225" s="15" t="n">
        <v>0.03</v>
      </c>
      <c r="N225" s="15" t="n">
        <v>0.58</v>
      </c>
      <c r="O225" s="15" t="n">
        <v>0.339</v>
      </c>
      <c r="P225" s="15" t="n">
        <v>7.224</v>
      </c>
      <c r="Q225" s="15" t="n">
        <v>0.254</v>
      </c>
      <c r="R225" s="15" t="n">
        <v>6.391</v>
      </c>
      <c r="S225" s="15" t="n">
        <v>5.893</v>
      </c>
      <c r="T225" s="15" t="n">
        <v>10.113</v>
      </c>
      <c r="U225" s="15" t="n">
        <v>6.988</v>
      </c>
      <c r="V225" s="15" t="n">
        <v>0.649</v>
      </c>
      <c r="W225" s="15" t="n">
        <v>0</v>
      </c>
      <c r="X225" s="15" t="n">
        <v>12.023</v>
      </c>
      <c r="Y225" s="15" t="n">
        <v>19.113</v>
      </c>
      <c r="Z225" s="15" t="n">
        <v>16.902</v>
      </c>
      <c r="AA225" s="15" t="n">
        <v>11.847</v>
      </c>
      <c r="AB225" s="15" t="n">
        <v>11.904</v>
      </c>
      <c r="AC225" s="15" t="n">
        <v>7.432</v>
      </c>
      <c r="AD225" s="16" t="n">
        <v>1006</v>
      </c>
      <c r="AE225" s="17">
        <f>IF(ISNUMBER(K225),K225,IF(AND(ISNUMBER(H225),ISNUMBER(I225)),H225+I225,IF(ISNUMBER(H225),H225,"")))</f>
        <v/>
      </c>
      <c r="AF225" s="18">
        <f>IF(OR(NOT(ISNUMBER(J225)),NOT(ISNUMBER(H225)),H225&lt;=0),기준표!$B$8,MIN(MAX(J225/H225,기준표!$B$6),기준표!$B$7))</f>
        <v/>
      </c>
      <c r="AG225" s="17">
        <f>IF(ISNUMBER(AE225),AE225*(1-AF225),"")</f>
        <v/>
      </c>
      <c r="AH225" s="17">
        <f>IF(AND(NOT(ISNUMBER(V225)),NOT(ISNUMBER(X225))),"",IF(ISNUMBER(V225),V225,0)+IF(ISNUMBER(X225),X225,0))</f>
        <v/>
      </c>
      <c r="AI225" s="17">
        <f>IF(E225="금융","",IF(AND(ISNUMBER(R225),ISNUMBER(AH225),ISNUMBER(T225)),R225+AH225-T225,""))</f>
        <v/>
      </c>
      <c r="AJ225" s="17">
        <f>IF(E225="금융","",IF(NOT(ISNUMBER(AI225)),"",IF(ISNUMBER(AC225),(AI225+AC225)/2,AI225)))</f>
        <v/>
      </c>
      <c r="AK225" s="19">
        <f>IF(AND(ISNUMBER(AG225),ISNUMBER(AJ225),AJ225&gt;0),AG225/AJ225,"")</f>
        <v/>
      </c>
      <c r="AL225" s="17">
        <f>IF(E225="금융","",IF(AND(ISNUMBER(R225),ISNUMBER(AH225)),R225+AH225,""))</f>
        <v/>
      </c>
      <c r="AM225" s="19">
        <f>IF(OR(NOT(ISNUMBER(AG225)),NOT(ISNUMBER(AL225)),AL225&lt;=0),"",IF(AND(ISNUMBER(G225),AL225&lt;0.1*G225),"",AG225/AL225))</f>
        <v/>
      </c>
      <c r="AN225" s="17">
        <f>IF(NOT(ISNUMBER(R225)),"",IF(ISNUMBER(S225),(R225+S225)/2,R225))</f>
        <v/>
      </c>
      <c r="AO225" s="19">
        <f>IF(AND(ISNUMBER(L225),ISNUMBER(AN225),AN225&gt;0),L225/AN225,"")</f>
        <v/>
      </c>
      <c r="AP225" s="19">
        <f>IF(AND(ISNUMBER(AO225),ISNUMBER({ROIC})),AO225-{ROIC},"")</f>
        <v/>
      </c>
      <c r="AQ225" s="17">
        <f>IF(AND(ISNUMBER(AE225),ISNUMBER(N225)),AE225+N225,"")</f>
        <v/>
      </c>
      <c r="AR225" s="20">
        <f>IF(AND(ISNUMBER(AH225),ISNUMBER(T225),ISNUMBER(AQ225),AQ225&gt;0),(AH225-T225)/AQ225,"")</f>
        <v/>
      </c>
      <c r="AS225" s="20">
        <f>IF(AND(ISNUMBER(AE225),ISNUMBER(I225),I225&lt;&gt;0,AE225&gt;0),AE225/I225,"")</f>
        <v/>
      </c>
      <c r="AT225" s="17">
        <f>IF(AND(ISNUMBER(Y225),ISNUMBER(AA225)),Y225-IF(ISNUMBER(T225),T225,0)-(AA225-IF(ISNUMBER(V225),V225,0)),"")</f>
        <v/>
      </c>
      <c r="AU225" s="17">
        <f>IF(AND(ISNUMBER(Z225),ISNUMBER(AB225)),Z225-IF(ISNUMBER(U225),U225,0)-(AB225-IF(ISNUMBER(W225),W225,0)),"")</f>
        <v/>
      </c>
      <c r="AV225" s="17">
        <f>IF(AND(ISNUMBER(AT225),ISNUMBER(AU225)),AT225-AU225,"")</f>
        <v/>
      </c>
      <c r="AW225" s="17">
        <f>IF(AND(ISNUMBER(L225),ISNUMBER(M225),ISNUMBER(AF225)),L225-M225*(1-AF225),IF(ISNUMBER(L225),L225,""))</f>
        <v/>
      </c>
      <c r="AX225" s="17">
        <f>IF(E225="금융","",IF(AND(ISNUMBER(AW225),ISNUMBER(N225),ISNUMBER(O225),ISNUMBER(AV225)),AW225+N225-O225-AV225,IF(AND(ISNUMBER(P225),ISNUMBER(O225)),P225-O225-IF(ISNUMBER(Q225),Q225,0),"")))</f>
        <v/>
      </c>
      <c r="AY225" s="8">
        <f>IF(E225="금융","금융업 - 정의되지 않음",IF(AND(ISNUMBER(AW225),ISNUMBER(N225),ISNUMBER(O225),ISNUMBER(AV225)),"영업순이익+감가상각-설비투자-운전자본증감",IF(AND(ISNUMBER(P225),ISNUMBER(O225)),IF(ISNUMBER(Q225),"영업현금흐름-설비투자-주식보상비용","영업현금흐름-설비투자(주식보상비용 미태깅)"),"산출불가")))</f>
        <v/>
      </c>
      <c r="AZ225" s="19">
        <f>IF(AND(ISNUMBER(AX225),ISNUMBER(G225),G225&lt;&gt;0),AX225/G225,"")</f>
        <v/>
      </c>
      <c r="BA225" s="19">
        <f>IF(AND(ISNUMBER(AE225),ISNUMBER(G225),G225&lt;&gt;0),AE225/G225,"")</f>
        <v/>
      </c>
    </row>
    <row r="226">
      <c r="A226" s="8" t="inlineStr">
        <is>
          <t>MA</t>
        </is>
      </c>
      <c r="B226" s="8" t="inlineStr">
        <is>
          <t>Mastercard Inc</t>
        </is>
      </c>
      <c r="C226" s="8" t="n">
        <v>2021</v>
      </c>
      <c r="D226" s="8" t="inlineStr">
        <is>
          <t>2021-12-31</t>
        </is>
      </c>
      <c r="E226" s="8" t="inlineStr">
        <is>
          <t>일반</t>
        </is>
      </c>
      <c r="F226" s="8" t="inlineStr">
        <is>
          <t>0001141391-24-000022</t>
        </is>
      </c>
      <c r="G226" s="15" t="n">
        <v>18.884</v>
      </c>
      <c r="H226" s="15" t="n">
        <v>10.307</v>
      </c>
      <c r="I226" s="15" t="n"/>
      <c r="J226" s="15" t="n">
        <v>1.62</v>
      </c>
      <c r="K226" s="15" t="n">
        <v>10.082</v>
      </c>
      <c r="L226" s="15" t="n">
        <v>8.686999999999999</v>
      </c>
      <c r="M226" s="15" t="n">
        <v>0.645</v>
      </c>
      <c r="N226" s="15" t="n">
        <v>0.726</v>
      </c>
      <c r="O226" s="15" t="n">
        <v>0.407</v>
      </c>
      <c r="P226" s="15" t="n">
        <v>9.462999999999999</v>
      </c>
      <c r="Q226" s="15" t="n">
        <v>0.273</v>
      </c>
      <c r="R226" s="15" t="n">
        <v>7.312</v>
      </c>
      <c r="S226" s="15" t="n">
        <v>6.391</v>
      </c>
      <c r="T226" s="15" t="n">
        <v>7.421</v>
      </c>
      <c r="U226" s="15" t="n">
        <v>10.113</v>
      </c>
      <c r="V226" s="15" t="n">
        <v>0.792</v>
      </c>
      <c r="W226" s="15" t="n">
        <v>0.649</v>
      </c>
      <c r="X226" s="15" t="n">
        <v>13.109</v>
      </c>
      <c r="Y226" s="15" t="n">
        <v>16.949</v>
      </c>
      <c r="Z226" s="15" t="n">
        <v>19.113</v>
      </c>
      <c r="AA226" s="15" t="n">
        <v>13.162</v>
      </c>
      <c r="AB226" s="15" t="n">
        <v>11.847</v>
      </c>
      <c r="AC226" s="15" t="n">
        <v>8.949999999999999</v>
      </c>
      <c r="AD226" s="16" t="n">
        <v>992</v>
      </c>
      <c r="AE226" s="17">
        <f>IF(ISNUMBER(K226),K226,IF(AND(ISNUMBER(H226),ISNUMBER(I226)),H226+I226,IF(ISNUMBER(H226),H226,"")))</f>
        <v/>
      </c>
      <c r="AF226" s="18">
        <f>IF(OR(NOT(ISNUMBER(J226)),NOT(ISNUMBER(H226)),H226&lt;=0),기준표!$B$8,MIN(MAX(J226/H226,기준표!$B$6),기준표!$B$7))</f>
        <v/>
      </c>
      <c r="AG226" s="17">
        <f>IF(ISNUMBER(AE226),AE226*(1-AF226),"")</f>
        <v/>
      </c>
      <c r="AH226" s="17">
        <f>IF(AND(NOT(ISNUMBER(V226)),NOT(ISNUMBER(X226))),"",IF(ISNUMBER(V226),V226,0)+IF(ISNUMBER(X226),X226,0))</f>
        <v/>
      </c>
      <c r="AI226" s="17">
        <f>IF(E226="금융","",IF(AND(ISNUMBER(R226),ISNUMBER(AH226),ISNUMBER(T226)),R226+AH226-T226,""))</f>
        <v/>
      </c>
      <c r="AJ226" s="17">
        <f>IF(E226="금융","",IF(NOT(ISNUMBER(AI226)),"",IF(ISNUMBER(AC226),(AI226+AC226)/2,AI226)))</f>
        <v/>
      </c>
      <c r="AK226" s="19">
        <f>IF(AND(ISNUMBER(AG226),ISNUMBER(AJ226),AJ226&gt;0),AG226/AJ226,"")</f>
        <v/>
      </c>
      <c r="AL226" s="17">
        <f>IF(E226="금융","",IF(AND(ISNUMBER(R226),ISNUMBER(AH226)),R226+AH226,""))</f>
        <v/>
      </c>
      <c r="AM226" s="19">
        <f>IF(OR(NOT(ISNUMBER(AG226)),NOT(ISNUMBER(AL226)),AL226&lt;=0),"",IF(AND(ISNUMBER(G226),AL226&lt;0.1*G226),"",AG226/AL226))</f>
        <v/>
      </c>
      <c r="AN226" s="17">
        <f>IF(NOT(ISNUMBER(R226)),"",IF(ISNUMBER(S226),(R226+S226)/2,R226))</f>
        <v/>
      </c>
      <c r="AO226" s="19">
        <f>IF(AND(ISNUMBER(L226),ISNUMBER(AN226),AN226&gt;0),L226/AN226,"")</f>
        <v/>
      </c>
      <c r="AP226" s="19">
        <f>IF(AND(ISNUMBER(AO226),ISNUMBER({ROIC})),AO226-{ROIC},"")</f>
        <v/>
      </c>
      <c r="AQ226" s="17">
        <f>IF(AND(ISNUMBER(AE226),ISNUMBER(N226)),AE226+N226,"")</f>
        <v/>
      </c>
      <c r="AR226" s="20">
        <f>IF(AND(ISNUMBER(AH226),ISNUMBER(T226),ISNUMBER(AQ226),AQ226&gt;0),(AH226-T226)/AQ226,"")</f>
        <v/>
      </c>
      <c r="AS226" s="20">
        <f>IF(AND(ISNUMBER(AE226),ISNUMBER(I226),I226&lt;&gt;0,AE226&gt;0),AE226/I226,"")</f>
        <v/>
      </c>
      <c r="AT226" s="17">
        <f>IF(AND(ISNUMBER(Y226),ISNUMBER(AA226)),Y226-IF(ISNUMBER(T226),T226,0)-(AA226-IF(ISNUMBER(V226),V226,0)),"")</f>
        <v/>
      </c>
      <c r="AU226" s="17">
        <f>IF(AND(ISNUMBER(Z226),ISNUMBER(AB226)),Z226-IF(ISNUMBER(U226),U226,0)-(AB226-IF(ISNUMBER(W226),W226,0)),"")</f>
        <v/>
      </c>
      <c r="AV226" s="17">
        <f>IF(AND(ISNUMBER(AT226),ISNUMBER(AU226)),AT226-AU226,"")</f>
        <v/>
      </c>
      <c r="AW226" s="17">
        <f>IF(AND(ISNUMBER(L226),ISNUMBER(M226),ISNUMBER(AF226)),L226-M226*(1-AF226),IF(ISNUMBER(L226),L226,""))</f>
        <v/>
      </c>
      <c r="AX226" s="17">
        <f>IF(E226="금융","",IF(AND(ISNUMBER(AW226),ISNUMBER(N226),ISNUMBER(O226),ISNUMBER(AV226)),AW226+N226-O226-AV226,IF(AND(ISNUMBER(P226),ISNUMBER(O226)),P226-O226-IF(ISNUMBER(Q226),Q226,0),"")))</f>
        <v/>
      </c>
      <c r="AY226" s="8">
        <f>IF(E226="금융","금융업 - 정의되지 않음",IF(AND(ISNUMBER(AW226),ISNUMBER(N226),ISNUMBER(O226),ISNUMBER(AV226)),"영업순이익+감가상각-설비투자-운전자본증감",IF(AND(ISNUMBER(P226),ISNUMBER(O226)),IF(ISNUMBER(Q226),"영업현금흐름-설비투자-주식보상비용","영업현금흐름-설비투자(주식보상비용 미태깅)"),"산출불가")))</f>
        <v/>
      </c>
      <c r="AZ226" s="19">
        <f>IF(AND(ISNUMBER(AX226),ISNUMBER(G226),G226&lt;&gt;0),AX226/G226,"")</f>
        <v/>
      </c>
      <c r="BA226" s="19">
        <f>IF(AND(ISNUMBER(AE226),ISNUMBER(G226),G226&lt;&gt;0),AE226/G226,"")</f>
        <v/>
      </c>
    </row>
    <row r="227">
      <c r="A227" s="8" t="inlineStr">
        <is>
          <t>MA</t>
        </is>
      </c>
      <c r="B227" s="8" t="inlineStr">
        <is>
          <t>Mastercard Inc</t>
        </is>
      </c>
      <c r="C227" s="8" t="n">
        <v>2022</v>
      </c>
      <c r="D227" s="8" t="inlineStr">
        <is>
          <t>2022-12-31</t>
        </is>
      </c>
      <c r="E227" s="8" t="inlineStr">
        <is>
          <t>일반</t>
        </is>
      </c>
      <c r="F227" s="8" t="inlineStr">
        <is>
          <t>0001141391-25-000011</t>
        </is>
      </c>
      <c r="G227" s="15" t="n">
        <v>22.237</v>
      </c>
      <c r="H227" s="15" t="n">
        <v>11.732</v>
      </c>
      <c r="I227" s="15" t="n">
        <v>0.471</v>
      </c>
      <c r="J227" s="15" t="n">
        <v>1.802</v>
      </c>
      <c r="K227" s="15" t="n">
        <v>12.264</v>
      </c>
      <c r="L227" s="15" t="n">
        <v>9.93</v>
      </c>
      <c r="M227" s="15" t="n">
        <v>-0.145</v>
      </c>
      <c r="N227" s="15" t="n">
        <v>0.75</v>
      </c>
      <c r="O227" s="15" t="n">
        <v>0.442</v>
      </c>
      <c r="P227" s="15" t="n">
        <v>11.195</v>
      </c>
      <c r="Q227" s="15" t="n">
        <v>0.295</v>
      </c>
      <c r="R227" s="15" t="n">
        <v>6.298</v>
      </c>
      <c r="S227" s="15" t="n">
        <v>7.312</v>
      </c>
      <c r="T227" s="15" t="n">
        <v>7.008</v>
      </c>
      <c r="U227" s="15" t="n">
        <v>7.421</v>
      </c>
      <c r="V227" s="15" t="n">
        <v>0.274</v>
      </c>
      <c r="W227" s="15" t="n">
        <v>0.792</v>
      </c>
      <c r="X227" s="15" t="n">
        <v>13.749</v>
      </c>
      <c r="Y227" s="15" t="n">
        <v>16.606</v>
      </c>
      <c r="Z227" s="15" t="n">
        <v>16.949</v>
      </c>
      <c r="AA227" s="15" t="n">
        <v>14.171</v>
      </c>
      <c r="AB227" s="15" t="n">
        <v>13.162</v>
      </c>
      <c r="AC227" s="15" t="n">
        <v>13.792</v>
      </c>
      <c r="AD227" s="16" t="n">
        <v>971</v>
      </c>
      <c r="AE227" s="17">
        <f>IF(ISNUMBER(K227),K227,IF(AND(ISNUMBER(H227),ISNUMBER(I227)),H227+I227,IF(ISNUMBER(H227),H227,"")))</f>
        <v/>
      </c>
      <c r="AF227" s="18">
        <f>IF(OR(NOT(ISNUMBER(J227)),NOT(ISNUMBER(H227)),H227&lt;=0),기준표!$B$8,MIN(MAX(J227/H227,기준표!$B$6),기준표!$B$7))</f>
        <v/>
      </c>
      <c r="AG227" s="17">
        <f>IF(ISNUMBER(AE227),AE227*(1-AF227),"")</f>
        <v/>
      </c>
      <c r="AH227" s="17">
        <f>IF(AND(NOT(ISNUMBER(V227)),NOT(ISNUMBER(X227))),"",IF(ISNUMBER(V227),V227,0)+IF(ISNUMBER(X227),X227,0))</f>
        <v/>
      </c>
      <c r="AI227" s="17">
        <f>IF(E227="금융","",IF(AND(ISNUMBER(R227),ISNUMBER(AH227),ISNUMBER(T227)),R227+AH227-T227,""))</f>
        <v/>
      </c>
      <c r="AJ227" s="17">
        <f>IF(E227="금융","",IF(NOT(ISNUMBER(AI227)),"",IF(ISNUMBER(AC227),(AI227+AC227)/2,AI227)))</f>
        <v/>
      </c>
      <c r="AK227" s="19">
        <f>IF(AND(ISNUMBER(AG227),ISNUMBER(AJ227),AJ227&gt;0),AG227/AJ227,"")</f>
        <v/>
      </c>
      <c r="AL227" s="17">
        <f>IF(E227="금융","",IF(AND(ISNUMBER(R227),ISNUMBER(AH227)),R227+AH227,""))</f>
        <v/>
      </c>
      <c r="AM227" s="19">
        <f>IF(OR(NOT(ISNUMBER(AG227)),NOT(ISNUMBER(AL227)),AL227&lt;=0),"",IF(AND(ISNUMBER(G227),AL227&lt;0.1*G227),"",AG227/AL227))</f>
        <v/>
      </c>
      <c r="AN227" s="17">
        <f>IF(NOT(ISNUMBER(R227)),"",IF(ISNUMBER(S227),(R227+S227)/2,R227))</f>
        <v/>
      </c>
      <c r="AO227" s="19">
        <f>IF(AND(ISNUMBER(L227),ISNUMBER(AN227),AN227&gt;0),L227/AN227,"")</f>
        <v/>
      </c>
      <c r="AP227" s="19">
        <f>IF(AND(ISNUMBER(AO227),ISNUMBER({ROIC})),AO227-{ROIC},"")</f>
        <v/>
      </c>
      <c r="AQ227" s="17">
        <f>IF(AND(ISNUMBER(AE227),ISNUMBER(N227)),AE227+N227,"")</f>
        <v/>
      </c>
      <c r="AR227" s="20">
        <f>IF(AND(ISNUMBER(AH227),ISNUMBER(T227),ISNUMBER(AQ227),AQ227&gt;0),(AH227-T227)/AQ227,"")</f>
        <v/>
      </c>
      <c r="AS227" s="20">
        <f>IF(AND(ISNUMBER(AE227),ISNUMBER(I227),I227&lt;&gt;0,AE227&gt;0),AE227/I227,"")</f>
        <v/>
      </c>
      <c r="AT227" s="17">
        <f>IF(AND(ISNUMBER(Y227),ISNUMBER(AA227)),Y227-IF(ISNUMBER(T227),T227,0)-(AA227-IF(ISNUMBER(V227),V227,0)),"")</f>
        <v/>
      </c>
      <c r="AU227" s="17">
        <f>IF(AND(ISNUMBER(Z227),ISNUMBER(AB227)),Z227-IF(ISNUMBER(U227),U227,0)-(AB227-IF(ISNUMBER(W227),W227,0)),"")</f>
        <v/>
      </c>
      <c r="AV227" s="17">
        <f>IF(AND(ISNUMBER(AT227),ISNUMBER(AU227)),AT227-AU227,"")</f>
        <v/>
      </c>
      <c r="AW227" s="17">
        <f>IF(AND(ISNUMBER(L227),ISNUMBER(M227),ISNUMBER(AF227)),L227-M227*(1-AF227),IF(ISNUMBER(L227),L227,""))</f>
        <v/>
      </c>
      <c r="AX227" s="17">
        <f>IF(E227="금융","",IF(AND(ISNUMBER(AW227),ISNUMBER(N227),ISNUMBER(O227),ISNUMBER(AV227)),AW227+N227-O227-AV227,IF(AND(ISNUMBER(P227),ISNUMBER(O227)),P227-O227-IF(ISNUMBER(Q227),Q227,0),"")))</f>
        <v/>
      </c>
      <c r="AY227" s="8">
        <f>IF(E227="금융","금융업 - 정의되지 않음",IF(AND(ISNUMBER(AW227),ISNUMBER(N227),ISNUMBER(O227),ISNUMBER(AV227)),"영업순이익+감가상각-설비투자-운전자본증감",IF(AND(ISNUMBER(P227),ISNUMBER(O227)),IF(ISNUMBER(Q227),"영업현금흐름-설비투자-주식보상비용","영업현금흐름-설비투자(주식보상비용 미태깅)"),"산출불가")))</f>
        <v/>
      </c>
      <c r="AZ227" s="19">
        <f>IF(AND(ISNUMBER(AX227),ISNUMBER(G227),G227&lt;&gt;0),AX227/G227,"")</f>
        <v/>
      </c>
      <c r="BA227" s="19">
        <f>IF(AND(ISNUMBER(AE227),ISNUMBER(G227),G227&lt;&gt;0),AE227/G227,"")</f>
        <v/>
      </c>
    </row>
    <row r="228">
      <c r="A228" s="8" t="inlineStr">
        <is>
          <t>MA</t>
        </is>
      </c>
      <c r="B228" s="8" t="inlineStr">
        <is>
          <t>Mastercard Inc</t>
        </is>
      </c>
      <c r="C228" s="8" t="n">
        <v>2023</v>
      </c>
      <c r="D228" s="8" t="inlineStr">
        <is>
          <t>2023-12-31</t>
        </is>
      </c>
      <c r="E228" s="8" t="inlineStr">
        <is>
          <t>일반</t>
        </is>
      </c>
      <c r="F228" s="8" t="inlineStr">
        <is>
          <t>0001141391-26-000013</t>
        </is>
      </c>
      <c r="G228" s="15" t="n">
        <v>25.098</v>
      </c>
      <c r="H228" s="15" t="n">
        <v>13.639</v>
      </c>
      <c r="I228" s="15" t="n">
        <v>0.575</v>
      </c>
      <c r="J228" s="15" t="n">
        <v>2.444</v>
      </c>
      <c r="K228" s="15" t="n">
        <v>14.008</v>
      </c>
      <c r="L228" s="15" t="n">
        <v>11.195</v>
      </c>
      <c r="M228" s="15" t="n">
        <v>-0.061</v>
      </c>
      <c r="N228" s="15" t="n">
        <v>0.799</v>
      </c>
      <c r="O228" s="15" t="n">
        <v>0.371</v>
      </c>
      <c r="P228" s="15" t="n">
        <v>11.98</v>
      </c>
      <c r="Q228" s="15" t="n">
        <v>0.46</v>
      </c>
      <c r="R228" s="15" t="n">
        <v>6.929</v>
      </c>
      <c r="S228" s="15" t="n">
        <v>6.298</v>
      </c>
      <c r="T228" s="15" t="n">
        <v>8.587999999999999</v>
      </c>
      <c r="U228" s="15" t="n">
        <v>7.008</v>
      </c>
      <c r="V228" s="15" t="n">
        <v>1.337</v>
      </c>
      <c r="W228" s="15" t="n">
        <v>0.274</v>
      </c>
      <c r="X228" s="15" t="n">
        <v>14.344</v>
      </c>
      <c r="Y228" s="15" t="n">
        <v>18.961</v>
      </c>
      <c r="Z228" s="15" t="n">
        <v>16.606</v>
      </c>
      <c r="AA228" s="15" t="n">
        <v>16.264</v>
      </c>
      <c r="AB228" s="15" t="n">
        <v>14.171</v>
      </c>
      <c r="AC228" s="15" t="n">
        <v>13.313</v>
      </c>
      <c r="AD228" s="16" t="n">
        <v>946</v>
      </c>
      <c r="AE228" s="17">
        <f>IF(ISNUMBER(K228),K228,IF(AND(ISNUMBER(H228),ISNUMBER(I228)),H228+I228,IF(ISNUMBER(H228),H228,"")))</f>
        <v/>
      </c>
      <c r="AF228" s="18">
        <f>IF(OR(NOT(ISNUMBER(J228)),NOT(ISNUMBER(H228)),H228&lt;=0),기준표!$B$8,MIN(MAX(J228/H228,기준표!$B$6),기준표!$B$7))</f>
        <v/>
      </c>
      <c r="AG228" s="17">
        <f>IF(ISNUMBER(AE228),AE228*(1-AF228),"")</f>
        <v/>
      </c>
      <c r="AH228" s="17">
        <f>IF(AND(NOT(ISNUMBER(V228)),NOT(ISNUMBER(X228))),"",IF(ISNUMBER(V228),V228,0)+IF(ISNUMBER(X228),X228,0))</f>
        <v/>
      </c>
      <c r="AI228" s="17">
        <f>IF(E228="금융","",IF(AND(ISNUMBER(R228),ISNUMBER(AH228),ISNUMBER(T228)),R228+AH228-T228,""))</f>
        <v/>
      </c>
      <c r="AJ228" s="17">
        <f>IF(E228="금융","",IF(NOT(ISNUMBER(AI228)),"",IF(ISNUMBER(AC228),(AI228+AC228)/2,AI228)))</f>
        <v/>
      </c>
      <c r="AK228" s="19">
        <f>IF(AND(ISNUMBER(AG228),ISNUMBER(AJ228),AJ228&gt;0),AG228/AJ228,"")</f>
        <v/>
      </c>
      <c r="AL228" s="17">
        <f>IF(E228="금융","",IF(AND(ISNUMBER(R228),ISNUMBER(AH228)),R228+AH228,""))</f>
        <v/>
      </c>
      <c r="AM228" s="19">
        <f>IF(OR(NOT(ISNUMBER(AG228)),NOT(ISNUMBER(AL228)),AL228&lt;=0),"",IF(AND(ISNUMBER(G228),AL228&lt;0.1*G228),"",AG228/AL228))</f>
        <v/>
      </c>
      <c r="AN228" s="17">
        <f>IF(NOT(ISNUMBER(R228)),"",IF(ISNUMBER(S228),(R228+S228)/2,R228))</f>
        <v/>
      </c>
      <c r="AO228" s="19">
        <f>IF(AND(ISNUMBER(L228),ISNUMBER(AN228),AN228&gt;0),L228/AN228,"")</f>
        <v/>
      </c>
      <c r="AP228" s="19">
        <f>IF(AND(ISNUMBER(AO228),ISNUMBER({ROIC})),AO228-{ROIC},"")</f>
        <v/>
      </c>
      <c r="AQ228" s="17">
        <f>IF(AND(ISNUMBER(AE228),ISNUMBER(N228)),AE228+N228,"")</f>
        <v/>
      </c>
      <c r="AR228" s="20">
        <f>IF(AND(ISNUMBER(AH228),ISNUMBER(T228),ISNUMBER(AQ228),AQ228&gt;0),(AH228-T228)/AQ228,"")</f>
        <v/>
      </c>
      <c r="AS228" s="20">
        <f>IF(AND(ISNUMBER(AE228),ISNUMBER(I228),I228&lt;&gt;0,AE228&gt;0),AE228/I228,"")</f>
        <v/>
      </c>
      <c r="AT228" s="17">
        <f>IF(AND(ISNUMBER(Y228),ISNUMBER(AA228)),Y228-IF(ISNUMBER(T228),T228,0)-(AA228-IF(ISNUMBER(V228),V228,0)),"")</f>
        <v/>
      </c>
      <c r="AU228" s="17">
        <f>IF(AND(ISNUMBER(Z228),ISNUMBER(AB228)),Z228-IF(ISNUMBER(U228),U228,0)-(AB228-IF(ISNUMBER(W228),W228,0)),"")</f>
        <v/>
      </c>
      <c r="AV228" s="17">
        <f>IF(AND(ISNUMBER(AT228),ISNUMBER(AU228)),AT228-AU228,"")</f>
        <v/>
      </c>
      <c r="AW228" s="17">
        <f>IF(AND(ISNUMBER(L228),ISNUMBER(M228),ISNUMBER(AF228)),L228-M228*(1-AF228),IF(ISNUMBER(L228),L228,""))</f>
        <v/>
      </c>
      <c r="AX228" s="17">
        <f>IF(E228="금융","",IF(AND(ISNUMBER(AW228),ISNUMBER(N228),ISNUMBER(O228),ISNUMBER(AV228)),AW228+N228-O228-AV228,IF(AND(ISNUMBER(P228),ISNUMBER(O228)),P228-O228-IF(ISNUMBER(Q228),Q228,0),"")))</f>
        <v/>
      </c>
      <c r="AY228" s="8">
        <f>IF(E228="금융","금융업 - 정의되지 않음",IF(AND(ISNUMBER(AW228),ISNUMBER(N228),ISNUMBER(O228),ISNUMBER(AV228)),"영업순이익+감가상각-설비투자-운전자본증감",IF(AND(ISNUMBER(P228),ISNUMBER(O228)),IF(ISNUMBER(Q228),"영업현금흐름-설비투자-주식보상비용","영업현금흐름-설비투자(주식보상비용 미태깅)"),"산출불가")))</f>
        <v/>
      </c>
      <c r="AZ228" s="19">
        <f>IF(AND(ISNUMBER(AX228),ISNUMBER(G228),G228&lt;&gt;0),AX228/G228,"")</f>
        <v/>
      </c>
      <c r="BA228" s="19">
        <f>IF(AND(ISNUMBER(AE228),ISNUMBER(G228),G228&lt;&gt;0),AE228/G228,"")</f>
        <v/>
      </c>
    </row>
    <row r="229">
      <c r="A229" s="8" t="inlineStr">
        <is>
          <t>MA</t>
        </is>
      </c>
      <c r="B229" s="8" t="inlineStr">
        <is>
          <t>Mastercard Inc</t>
        </is>
      </c>
      <c r="C229" s="8" t="n">
        <v>2024</v>
      </c>
      <c r="D229" s="8" t="inlineStr">
        <is>
          <t>2024-12-31</t>
        </is>
      </c>
      <c r="E229" s="8" t="inlineStr">
        <is>
          <t>일반</t>
        </is>
      </c>
      <c r="F229" s="8" t="inlineStr">
        <is>
          <t>0001141391-26-000013</t>
        </is>
      </c>
      <c r="G229" s="15" t="n">
        <v>28.167</v>
      </c>
      <c r="H229" s="15" t="n">
        <v>15.254</v>
      </c>
      <c r="I229" s="15" t="n">
        <v>0.646</v>
      </c>
      <c r="J229" s="15" t="n">
        <v>2.38</v>
      </c>
      <c r="K229" s="15" t="n">
        <v>15.582</v>
      </c>
      <c r="L229" s="15" t="n">
        <v>12.874</v>
      </c>
      <c r="M229" s="15" t="n">
        <v>-0.028</v>
      </c>
      <c r="N229" s="15" t="n">
        <v>0.897</v>
      </c>
      <c r="O229" s="15" t="n">
        <v>0.474</v>
      </c>
      <c r="P229" s="15" t="n">
        <v>14.78</v>
      </c>
      <c r="Q229" s="15" t="n">
        <v>0.526</v>
      </c>
      <c r="R229" s="15" t="n">
        <v>6.485</v>
      </c>
      <c r="S229" s="15" t="n">
        <v>6.929</v>
      </c>
      <c r="T229" s="15" t="n">
        <v>8.442</v>
      </c>
      <c r="U229" s="15" t="n">
        <v>8.587999999999999</v>
      </c>
      <c r="V229" s="15" t="n">
        <v>0.75</v>
      </c>
      <c r="W229" s="15" t="n">
        <v>1.337</v>
      </c>
      <c r="X229" s="15" t="n">
        <v>17.476</v>
      </c>
      <c r="Y229" s="15" t="n">
        <v>19.724</v>
      </c>
      <c r="Z229" s="15" t="n">
        <v>18.961</v>
      </c>
      <c r="AA229" s="15" t="n">
        <v>19.22</v>
      </c>
      <c r="AB229" s="15" t="n">
        <v>16.264</v>
      </c>
      <c r="AC229" s="15" t="n">
        <v>14.022</v>
      </c>
      <c r="AD229" s="16" t="n">
        <v>927</v>
      </c>
      <c r="AE229" s="17">
        <f>IF(ISNUMBER(K229),K229,IF(AND(ISNUMBER(H229),ISNUMBER(I229)),H229+I229,IF(ISNUMBER(H229),H229,"")))</f>
        <v/>
      </c>
      <c r="AF229" s="18">
        <f>IF(OR(NOT(ISNUMBER(J229)),NOT(ISNUMBER(H229)),H229&lt;=0),기준표!$B$8,MIN(MAX(J229/H229,기준표!$B$6),기준표!$B$7))</f>
        <v/>
      </c>
      <c r="AG229" s="17">
        <f>IF(ISNUMBER(AE229),AE229*(1-AF229),"")</f>
        <v/>
      </c>
      <c r="AH229" s="17">
        <f>IF(AND(NOT(ISNUMBER(V229)),NOT(ISNUMBER(X229))),"",IF(ISNUMBER(V229),V229,0)+IF(ISNUMBER(X229),X229,0))</f>
        <v/>
      </c>
      <c r="AI229" s="17">
        <f>IF(E229="금융","",IF(AND(ISNUMBER(R229),ISNUMBER(AH229),ISNUMBER(T229)),R229+AH229-T229,""))</f>
        <v/>
      </c>
      <c r="AJ229" s="17">
        <f>IF(E229="금융","",IF(NOT(ISNUMBER(AI229)),"",IF(ISNUMBER(AC229),(AI229+AC229)/2,AI229)))</f>
        <v/>
      </c>
      <c r="AK229" s="19">
        <f>IF(AND(ISNUMBER(AG229),ISNUMBER(AJ229),AJ229&gt;0),AG229/AJ229,"")</f>
        <v/>
      </c>
      <c r="AL229" s="17">
        <f>IF(E229="금융","",IF(AND(ISNUMBER(R229),ISNUMBER(AH229)),R229+AH229,""))</f>
        <v/>
      </c>
      <c r="AM229" s="19">
        <f>IF(OR(NOT(ISNUMBER(AG229)),NOT(ISNUMBER(AL229)),AL229&lt;=0),"",IF(AND(ISNUMBER(G229),AL229&lt;0.1*G229),"",AG229/AL229))</f>
        <v/>
      </c>
      <c r="AN229" s="17">
        <f>IF(NOT(ISNUMBER(R229)),"",IF(ISNUMBER(S229),(R229+S229)/2,R229))</f>
        <v/>
      </c>
      <c r="AO229" s="19">
        <f>IF(AND(ISNUMBER(L229),ISNUMBER(AN229),AN229&gt;0),L229/AN229,"")</f>
        <v/>
      </c>
      <c r="AP229" s="19">
        <f>IF(AND(ISNUMBER(AO229),ISNUMBER({ROIC})),AO229-{ROIC},"")</f>
        <v/>
      </c>
      <c r="AQ229" s="17">
        <f>IF(AND(ISNUMBER(AE229),ISNUMBER(N229)),AE229+N229,"")</f>
        <v/>
      </c>
      <c r="AR229" s="20">
        <f>IF(AND(ISNUMBER(AH229),ISNUMBER(T229),ISNUMBER(AQ229),AQ229&gt;0),(AH229-T229)/AQ229,"")</f>
        <v/>
      </c>
      <c r="AS229" s="20">
        <f>IF(AND(ISNUMBER(AE229),ISNUMBER(I229),I229&lt;&gt;0,AE229&gt;0),AE229/I229,"")</f>
        <v/>
      </c>
      <c r="AT229" s="17">
        <f>IF(AND(ISNUMBER(Y229),ISNUMBER(AA229)),Y229-IF(ISNUMBER(T229),T229,0)-(AA229-IF(ISNUMBER(V229),V229,0)),"")</f>
        <v/>
      </c>
      <c r="AU229" s="17">
        <f>IF(AND(ISNUMBER(Z229),ISNUMBER(AB229)),Z229-IF(ISNUMBER(U229),U229,0)-(AB229-IF(ISNUMBER(W229),W229,0)),"")</f>
        <v/>
      </c>
      <c r="AV229" s="17">
        <f>IF(AND(ISNUMBER(AT229),ISNUMBER(AU229)),AT229-AU229,"")</f>
        <v/>
      </c>
      <c r="AW229" s="17">
        <f>IF(AND(ISNUMBER(L229),ISNUMBER(M229),ISNUMBER(AF229)),L229-M229*(1-AF229),IF(ISNUMBER(L229),L229,""))</f>
        <v/>
      </c>
      <c r="AX229" s="17">
        <f>IF(E229="금융","",IF(AND(ISNUMBER(AW229),ISNUMBER(N229),ISNUMBER(O229),ISNUMBER(AV229)),AW229+N229-O229-AV229,IF(AND(ISNUMBER(P229),ISNUMBER(O229)),P229-O229-IF(ISNUMBER(Q229),Q229,0),"")))</f>
        <v/>
      </c>
      <c r="AY229" s="8">
        <f>IF(E229="금융","금융업 - 정의되지 않음",IF(AND(ISNUMBER(AW229),ISNUMBER(N229),ISNUMBER(O229),ISNUMBER(AV229)),"영업순이익+감가상각-설비투자-운전자본증감",IF(AND(ISNUMBER(P229),ISNUMBER(O229)),IF(ISNUMBER(Q229),"영업현금흐름-설비투자-주식보상비용","영업현금흐름-설비투자(주식보상비용 미태깅)"),"산출불가")))</f>
        <v/>
      </c>
      <c r="AZ229" s="19">
        <f>IF(AND(ISNUMBER(AX229),ISNUMBER(G229),G229&lt;&gt;0),AX229/G229,"")</f>
        <v/>
      </c>
      <c r="BA229" s="19">
        <f>IF(AND(ISNUMBER(AE229),ISNUMBER(G229),G229&lt;&gt;0),AE229/G229,"")</f>
        <v/>
      </c>
    </row>
    <row r="230">
      <c r="A230" s="8" t="inlineStr">
        <is>
          <t>MA</t>
        </is>
      </c>
      <c r="B230" s="8" t="inlineStr">
        <is>
          <t>Mastercard Inc</t>
        </is>
      </c>
      <c r="C230" s="8" t="n">
        <v>2025</v>
      </c>
      <c r="D230" s="8" t="inlineStr">
        <is>
          <t>2025-12-31</t>
        </is>
      </c>
      <c r="E230" s="8" t="inlineStr">
        <is>
          <t>일반</t>
        </is>
      </c>
      <c r="F230" s="8" t="inlineStr">
        <is>
          <t>0001141391-26-000013</t>
        </is>
      </c>
      <c r="G230" s="15" t="n">
        <v>32.791</v>
      </c>
      <c r="H230" s="15" t="n">
        <v>18.578</v>
      </c>
      <c r="I230" s="15" t="n">
        <v>0.722</v>
      </c>
      <c r="J230" s="15" t="n">
        <v>3.61</v>
      </c>
      <c r="K230" s="15" t="n">
        <v>18.897</v>
      </c>
      <c r="L230" s="15" t="n">
        <v>14.968</v>
      </c>
      <c r="M230" s="15" t="n"/>
      <c r="N230" s="15" t="n">
        <v>1.143</v>
      </c>
      <c r="O230" s="15" t="n">
        <v>0.489</v>
      </c>
      <c r="P230" s="15" t="n">
        <v>17.648</v>
      </c>
      <c r="Q230" s="15" t="n">
        <v>0.597</v>
      </c>
      <c r="R230" s="15" t="n">
        <v>7.737</v>
      </c>
      <c r="S230" s="15" t="n">
        <v>6.485</v>
      </c>
      <c r="T230" s="15" t="n">
        <v>10.566</v>
      </c>
      <c r="U230" s="15" t="n">
        <v>8.442</v>
      </c>
      <c r="V230" s="15" t="n">
        <v>0.749</v>
      </c>
      <c r="W230" s="15" t="n">
        <v>0.75</v>
      </c>
      <c r="X230" s="15" t="n">
        <v>18.251</v>
      </c>
      <c r="Y230" s="15" t="n">
        <v>23.558</v>
      </c>
      <c r="Z230" s="15" t="n">
        <v>19.724</v>
      </c>
      <c r="AA230" s="15" t="n">
        <v>22.762</v>
      </c>
      <c r="AB230" s="15" t="n">
        <v>19.22</v>
      </c>
      <c r="AC230" s="15" t="n">
        <v>16.269</v>
      </c>
      <c r="AD230" s="16" t="n">
        <v>906</v>
      </c>
      <c r="AE230" s="17">
        <f>IF(ISNUMBER(K230),K230,IF(AND(ISNUMBER(H230),ISNUMBER(I230)),H230+I230,IF(ISNUMBER(H230),H230,"")))</f>
        <v/>
      </c>
      <c r="AF230" s="18">
        <f>IF(OR(NOT(ISNUMBER(J230)),NOT(ISNUMBER(H230)),H230&lt;=0),기준표!$B$8,MIN(MAX(J230/H230,기준표!$B$6),기준표!$B$7))</f>
        <v/>
      </c>
      <c r="AG230" s="17">
        <f>IF(ISNUMBER(AE230),AE230*(1-AF230),"")</f>
        <v/>
      </c>
      <c r="AH230" s="17">
        <f>IF(AND(NOT(ISNUMBER(V230)),NOT(ISNUMBER(X230))),"",IF(ISNUMBER(V230),V230,0)+IF(ISNUMBER(X230),X230,0))</f>
        <v/>
      </c>
      <c r="AI230" s="17">
        <f>IF(E230="금융","",IF(AND(ISNUMBER(R230),ISNUMBER(AH230),ISNUMBER(T230)),R230+AH230-T230,""))</f>
        <v/>
      </c>
      <c r="AJ230" s="17">
        <f>IF(E230="금융","",IF(NOT(ISNUMBER(AI230)),"",IF(ISNUMBER(AC230),(AI230+AC230)/2,AI230)))</f>
        <v/>
      </c>
      <c r="AK230" s="19">
        <f>IF(AND(ISNUMBER(AG230),ISNUMBER(AJ230),AJ230&gt;0),AG230/AJ230,"")</f>
        <v/>
      </c>
      <c r="AL230" s="17">
        <f>IF(E230="금융","",IF(AND(ISNUMBER(R230),ISNUMBER(AH230)),R230+AH230,""))</f>
        <v/>
      </c>
      <c r="AM230" s="19">
        <f>IF(OR(NOT(ISNUMBER(AG230)),NOT(ISNUMBER(AL230)),AL230&lt;=0),"",IF(AND(ISNUMBER(G230),AL230&lt;0.1*G230),"",AG230/AL230))</f>
        <v/>
      </c>
      <c r="AN230" s="17">
        <f>IF(NOT(ISNUMBER(R230)),"",IF(ISNUMBER(S230),(R230+S230)/2,R230))</f>
        <v/>
      </c>
      <c r="AO230" s="19">
        <f>IF(AND(ISNUMBER(L230),ISNUMBER(AN230),AN230&gt;0),L230/AN230,"")</f>
        <v/>
      </c>
      <c r="AP230" s="19">
        <f>IF(AND(ISNUMBER(AO230),ISNUMBER({ROIC})),AO230-{ROIC},"")</f>
        <v/>
      </c>
      <c r="AQ230" s="17">
        <f>IF(AND(ISNUMBER(AE230),ISNUMBER(N230)),AE230+N230,"")</f>
        <v/>
      </c>
      <c r="AR230" s="20">
        <f>IF(AND(ISNUMBER(AH230),ISNUMBER(T230),ISNUMBER(AQ230),AQ230&gt;0),(AH230-T230)/AQ230,"")</f>
        <v/>
      </c>
      <c r="AS230" s="20">
        <f>IF(AND(ISNUMBER(AE230),ISNUMBER(I230),I230&lt;&gt;0,AE230&gt;0),AE230/I230,"")</f>
        <v/>
      </c>
      <c r="AT230" s="17">
        <f>IF(AND(ISNUMBER(Y230),ISNUMBER(AA230)),Y230-IF(ISNUMBER(T230),T230,0)-(AA230-IF(ISNUMBER(V230),V230,0)),"")</f>
        <v/>
      </c>
      <c r="AU230" s="17">
        <f>IF(AND(ISNUMBER(Z230),ISNUMBER(AB230)),Z230-IF(ISNUMBER(U230),U230,0)-(AB230-IF(ISNUMBER(W230),W230,0)),"")</f>
        <v/>
      </c>
      <c r="AV230" s="17">
        <f>IF(AND(ISNUMBER(AT230),ISNUMBER(AU230)),AT230-AU230,"")</f>
        <v/>
      </c>
      <c r="AW230" s="17">
        <f>IF(AND(ISNUMBER(L230),ISNUMBER(M230),ISNUMBER(AF230)),L230-M230*(1-AF230),IF(ISNUMBER(L230),L230,""))</f>
        <v/>
      </c>
      <c r="AX230" s="17">
        <f>IF(E230="금융","",IF(AND(ISNUMBER(AW230),ISNUMBER(N230),ISNUMBER(O230),ISNUMBER(AV230)),AW230+N230-O230-AV230,IF(AND(ISNUMBER(P230),ISNUMBER(O230)),P230-O230-IF(ISNUMBER(Q230),Q230,0),"")))</f>
        <v/>
      </c>
      <c r="AY230" s="8">
        <f>IF(E230="금융","금융업 - 정의되지 않음",IF(AND(ISNUMBER(AW230),ISNUMBER(N230),ISNUMBER(O230),ISNUMBER(AV230)),"영업순이익+감가상각-설비투자-운전자본증감",IF(AND(ISNUMBER(P230),ISNUMBER(O230)),IF(ISNUMBER(Q230),"영업현금흐름-설비투자-주식보상비용","영업현금흐름-설비투자(주식보상비용 미태깅)"),"산출불가")))</f>
        <v/>
      </c>
      <c r="AZ230" s="19">
        <f>IF(AND(ISNUMBER(AX230),ISNUMBER(G230),G230&lt;&gt;0),AX230/G230,"")</f>
        <v/>
      </c>
      <c r="BA230" s="19">
        <f>IF(AND(ISNUMBER(AE230),ISNUMBER(G230),G230&lt;&gt;0),AE230/G230,"")</f>
        <v/>
      </c>
    </row>
    <row r="231">
      <c r="A231" s="8" t="inlineStr">
        <is>
          <t>CSCO</t>
        </is>
      </c>
      <c r="B231" s="8" t="inlineStr">
        <is>
          <t>CISCO SYSTEMS, INC.</t>
        </is>
      </c>
      <c r="C231" s="8" t="n">
        <v>2014</v>
      </c>
      <c r="D231" s="8" t="inlineStr">
        <is>
          <t>2014-07-26</t>
        </is>
      </c>
      <c r="E231" s="8" t="inlineStr">
        <is>
          <t>일반</t>
        </is>
      </c>
      <c r="F231" s="8" t="inlineStr">
        <is>
          <t>0000858877-16-000117</t>
        </is>
      </c>
      <c r="G231" s="15" t="n"/>
      <c r="H231" s="15" t="n">
        <v>9.715</v>
      </c>
      <c r="I231" s="15" t="n"/>
      <c r="J231" s="15" t="n">
        <v>1.862</v>
      </c>
      <c r="K231" s="15" t="n">
        <v>9.345000000000001</v>
      </c>
      <c r="L231" s="15" t="n">
        <v>7.853</v>
      </c>
      <c r="M231" s="15" t="n">
        <v>0.299</v>
      </c>
      <c r="N231" s="15" t="n">
        <v>1.2</v>
      </c>
      <c r="O231" s="15" t="n">
        <v>1.275</v>
      </c>
      <c r="P231" s="15" t="n">
        <v>12.332</v>
      </c>
      <c r="Q231" s="15" t="n">
        <v>1.348</v>
      </c>
      <c r="R231" s="15" t="n">
        <v>56.654</v>
      </c>
      <c r="S231" s="15" t="n"/>
      <c r="T231" s="15" t="n">
        <v>6.726</v>
      </c>
      <c r="U231" s="15" t="n"/>
      <c r="V231" s="15" t="n">
        <v>0.508</v>
      </c>
      <c r="W231" s="15" t="n"/>
      <c r="X231" s="15" t="n">
        <v>20.337</v>
      </c>
      <c r="Y231" s="15" t="n">
        <v>67.114</v>
      </c>
      <c r="Z231" s="15" t="n"/>
      <c r="AA231" s="15" t="n">
        <v>19.809</v>
      </c>
      <c r="AB231" s="15" t="n"/>
      <c r="AC231" s="15" t="n"/>
      <c r="AD231" s="16" t="n">
        <v>5107</v>
      </c>
      <c r="AE231" s="17">
        <f>IF(ISNUMBER(K231),K231,IF(AND(ISNUMBER(H231),ISNUMBER(I231)),H231+I231,IF(ISNUMBER(H231),H231,"")))</f>
        <v/>
      </c>
      <c r="AF231" s="18">
        <f>IF(OR(NOT(ISNUMBER(J231)),NOT(ISNUMBER(H231)),H231&lt;=0),기준표!$B$8,MIN(MAX(J231/H231,기준표!$B$6),기준표!$B$7))</f>
        <v/>
      </c>
      <c r="AG231" s="17">
        <f>IF(ISNUMBER(AE231),AE231*(1-AF231),"")</f>
        <v/>
      </c>
      <c r="AH231" s="17">
        <f>IF(AND(NOT(ISNUMBER(V231)),NOT(ISNUMBER(X231))),"",IF(ISNUMBER(V231),V231,0)+IF(ISNUMBER(X231),X231,0))</f>
        <v/>
      </c>
      <c r="AI231" s="17">
        <f>IF(E231="금융","",IF(AND(ISNUMBER(R231),ISNUMBER(AH231),ISNUMBER(T231)),R231+AH231-T231,""))</f>
        <v/>
      </c>
      <c r="AJ231" s="17">
        <f>IF(E231="금융","",IF(NOT(ISNUMBER(AI231)),"",IF(ISNUMBER(AC231),(AI231+AC231)/2,AI231)))</f>
        <v/>
      </c>
      <c r="AK231" s="19">
        <f>IF(AND(ISNUMBER(AG231),ISNUMBER(AJ231),AJ231&gt;0),AG231/AJ231,"")</f>
        <v/>
      </c>
      <c r="AL231" s="17">
        <f>IF(E231="금융","",IF(AND(ISNUMBER(R231),ISNUMBER(AH231)),R231+AH231,""))</f>
        <v/>
      </c>
      <c r="AM231" s="19">
        <f>IF(OR(NOT(ISNUMBER(AG231)),NOT(ISNUMBER(AL231)),AL231&lt;=0),"",IF(AND(ISNUMBER(G231),AL231&lt;0.1*G231),"",AG231/AL231))</f>
        <v/>
      </c>
      <c r="AN231" s="17">
        <f>IF(NOT(ISNUMBER(R231)),"",IF(ISNUMBER(S231),(R231+S231)/2,R231))</f>
        <v/>
      </c>
      <c r="AO231" s="19">
        <f>IF(AND(ISNUMBER(L231),ISNUMBER(AN231),AN231&gt;0),L231/AN231,"")</f>
        <v/>
      </c>
      <c r="AP231" s="19">
        <f>IF(AND(ISNUMBER(AO231),ISNUMBER({ROIC})),AO231-{ROIC},"")</f>
        <v/>
      </c>
      <c r="AQ231" s="17">
        <f>IF(AND(ISNUMBER(AE231),ISNUMBER(N231)),AE231+N231,"")</f>
        <v/>
      </c>
      <c r="AR231" s="20">
        <f>IF(AND(ISNUMBER(AH231),ISNUMBER(T231),ISNUMBER(AQ231),AQ231&gt;0),(AH231-T231)/AQ231,"")</f>
        <v/>
      </c>
      <c r="AS231" s="20">
        <f>IF(AND(ISNUMBER(AE231),ISNUMBER(I231),I231&lt;&gt;0,AE231&gt;0),AE231/I231,"")</f>
        <v/>
      </c>
      <c r="AT231" s="17">
        <f>IF(AND(ISNUMBER(Y231),ISNUMBER(AA231)),Y231-IF(ISNUMBER(T231),T231,0)-(AA231-IF(ISNUMBER(V231),V231,0)),"")</f>
        <v/>
      </c>
      <c r="AU231" s="17">
        <f>IF(AND(ISNUMBER(Z231),ISNUMBER(AB231)),Z231-IF(ISNUMBER(U231),U231,0)-(AB231-IF(ISNUMBER(W231),W231,0)),"")</f>
        <v/>
      </c>
      <c r="AV231" s="17">
        <f>IF(AND(ISNUMBER(AT231),ISNUMBER(AU231)),AT231-AU231,"")</f>
        <v/>
      </c>
      <c r="AW231" s="17">
        <f>IF(AND(ISNUMBER(L231),ISNUMBER(M231),ISNUMBER(AF231)),L231-M231*(1-AF231),IF(ISNUMBER(L231),L231,""))</f>
        <v/>
      </c>
      <c r="AX231" s="17">
        <f>IF(E231="금융","",IF(AND(ISNUMBER(AW231),ISNUMBER(N231),ISNUMBER(O231),ISNUMBER(AV231)),AW231+N231-O231-AV231,IF(AND(ISNUMBER(P231),ISNUMBER(O231)),P231-O231-IF(ISNUMBER(Q231),Q231,0),"")))</f>
        <v/>
      </c>
      <c r="AY231" s="8">
        <f>IF(E231="금융","금융업 - 정의되지 않음",IF(AND(ISNUMBER(AW231),ISNUMBER(N231),ISNUMBER(O231),ISNUMBER(AV231)),"영업순이익+감가상각-설비투자-운전자본증감",IF(AND(ISNUMBER(P231),ISNUMBER(O231)),IF(ISNUMBER(Q231),"영업현금흐름-설비투자-주식보상비용","영업현금흐름-설비투자(주식보상비용 미태깅)"),"산출불가")))</f>
        <v/>
      </c>
      <c r="AZ231" s="19">
        <f>IF(AND(ISNUMBER(AX231),ISNUMBER(G231),G231&lt;&gt;0),AX231/G231,"")</f>
        <v/>
      </c>
      <c r="BA231" s="19">
        <f>IF(AND(ISNUMBER(AE231),ISNUMBER(G231),G231&lt;&gt;0),AE231/G231,"")</f>
        <v/>
      </c>
    </row>
    <row r="232">
      <c r="A232" s="8" t="inlineStr">
        <is>
          <t>CSCO</t>
        </is>
      </c>
      <c r="B232" s="8" t="inlineStr">
        <is>
          <t>CISCO SYSTEMS, INC.</t>
        </is>
      </c>
      <c r="C232" s="8" t="n">
        <v>2015</v>
      </c>
      <c r="D232" s="8" t="inlineStr">
        <is>
          <t>2015-07-25</t>
        </is>
      </c>
      <c r="E232" s="8" t="inlineStr">
        <is>
          <t>일반</t>
        </is>
      </c>
      <c r="F232" s="8" t="inlineStr">
        <is>
          <t>0000858877-17-000016</t>
        </is>
      </c>
      <c r="G232" s="15" t="n"/>
      <c r="H232" s="15" t="n">
        <v>11.201</v>
      </c>
      <c r="I232" s="15" t="n"/>
      <c r="J232" s="15" t="n">
        <v>2.22</v>
      </c>
      <c r="K232" s="15" t="n">
        <v>10.77</v>
      </c>
      <c r="L232" s="15" t="n">
        <v>8.981</v>
      </c>
      <c r="M232" s="15" t="n">
        <v>0.258</v>
      </c>
      <c r="N232" s="15" t="n">
        <v>1.1</v>
      </c>
      <c r="O232" s="15" t="n">
        <v>1.227</v>
      </c>
      <c r="P232" s="15" t="n">
        <v>12.552</v>
      </c>
      <c r="Q232" s="15" t="n">
        <v>1.44</v>
      </c>
      <c r="R232" s="15" t="n">
        <v>59.698</v>
      </c>
      <c r="S232" s="15" t="n">
        <v>56.654</v>
      </c>
      <c r="T232" s="15" t="n">
        <v>6.877</v>
      </c>
      <c r="U232" s="15" t="n">
        <v>6.726</v>
      </c>
      <c r="V232" s="15" t="n">
        <v>3.897</v>
      </c>
      <c r="W232" s="15" t="n">
        <v>0.508</v>
      </c>
      <c r="X232" s="15" t="n">
        <v>21.457</v>
      </c>
      <c r="Y232" s="15" t="n">
        <v>73.36799999999999</v>
      </c>
      <c r="Z232" s="15" t="n">
        <v>67.114</v>
      </c>
      <c r="AA232" s="15" t="n">
        <v>23.412</v>
      </c>
      <c r="AB232" s="15" t="n">
        <v>19.809</v>
      </c>
      <c r="AC232" s="15" t="n">
        <v>70.773</v>
      </c>
      <c r="AD232" s="16" t="n">
        <v>5085</v>
      </c>
      <c r="AE232" s="17">
        <f>IF(ISNUMBER(K232),K232,IF(AND(ISNUMBER(H232),ISNUMBER(I232)),H232+I232,IF(ISNUMBER(H232),H232,"")))</f>
        <v/>
      </c>
      <c r="AF232" s="18">
        <f>IF(OR(NOT(ISNUMBER(J232)),NOT(ISNUMBER(H232)),H232&lt;=0),기준표!$B$8,MIN(MAX(J232/H232,기준표!$B$6),기준표!$B$7))</f>
        <v/>
      </c>
      <c r="AG232" s="17">
        <f>IF(ISNUMBER(AE232),AE232*(1-AF232),"")</f>
        <v/>
      </c>
      <c r="AH232" s="17">
        <f>IF(AND(NOT(ISNUMBER(V232)),NOT(ISNUMBER(X232))),"",IF(ISNUMBER(V232),V232,0)+IF(ISNUMBER(X232),X232,0))</f>
        <v/>
      </c>
      <c r="AI232" s="17">
        <f>IF(E232="금융","",IF(AND(ISNUMBER(R232),ISNUMBER(AH232),ISNUMBER(T232)),R232+AH232-T232,""))</f>
        <v/>
      </c>
      <c r="AJ232" s="17">
        <f>IF(E232="금융","",IF(NOT(ISNUMBER(AI232)),"",IF(ISNUMBER(AC232),(AI232+AC232)/2,AI232)))</f>
        <v/>
      </c>
      <c r="AK232" s="19">
        <f>IF(AND(ISNUMBER(AG232),ISNUMBER(AJ232),AJ232&gt;0),AG232/AJ232,"")</f>
        <v/>
      </c>
      <c r="AL232" s="17">
        <f>IF(E232="금융","",IF(AND(ISNUMBER(R232),ISNUMBER(AH232)),R232+AH232,""))</f>
        <v/>
      </c>
      <c r="AM232" s="19">
        <f>IF(OR(NOT(ISNUMBER(AG232)),NOT(ISNUMBER(AL232)),AL232&lt;=0),"",IF(AND(ISNUMBER(G232),AL232&lt;0.1*G232),"",AG232/AL232))</f>
        <v/>
      </c>
      <c r="AN232" s="17">
        <f>IF(NOT(ISNUMBER(R232)),"",IF(ISNUMBER(S232),(R232+S232)/2,R232))</f>
        <v/>
      </c>
      <c r="AO232" s="19">
        <f>IF(AND(ISNUMBER(L232),ISNUMBER(AN232),AN232&gt;0),L232/AN232,"")</f>
        <v/>
      </c>
      <c r="AP232" s="19">
        <f>IF(AND(ISNUMBER(AO232),ISNUMBER({ROIC})),AO232-{ROIC},"")</f>
        <v/>
      </c>
      <c r="AQ232" s="17">
        <f>IF(AND(ISNUMBER(AE232),ISNUMBER(N232)),AE232+N232,"")</f>
        <v/>
      </c>
      <c r="AR232" s="20">
        <f>IF(AND(ISNUMBER(AH232),ISNUMBER(T232),ISNUMBER(AQ232),AQ232&gt;0),(AH232-T232)/AQ232,"")</f>
        <v/>
      </c>
      <c r="AS232" s="20">
        <f>IF(AND(ISNUMBER(AE232),ISNUMBER(I232),I232&lt;&gt;0,AE232&gt;0),AE232/I232,"")</f>
        <v/>
      </c>
      <c r="AT232" s="17">
        <f>IF(AND(ISNUMBER(Y232),ISNUMBER(AA232)),Y232-IF(ISNUMBER(T232),T232,0)-(AA232-IF(ISNUMBER(V232),V232,0)),"")</f>
        <v/>
      </c>
      <c r="AU232" s="17">
        <f>IF(AND(ISNUMBER(Z232),ISNUMBER(AB232)),Z232-IF(ISNUMBER(U232),U232,0)-(AB232-IF(ISNUMBER(W232),W232,0)),"")</f>
        <v/>
      </c>
      <c r="AV232" s="17">
        <f>IF(AND(ISNUMBER(AT232),ISNUMBER(AU232)),AT232-AU232,"")</f>
        <v/>
      </c>
      <c r="AW232" s="17">
        <f>IF(AND(ISNUMBER(L232),ISNUMBER(M232),ISNUMBER(AF232)),L232-M232*(1-AF232),IF(ISNUMBER(L232),L232,""))</f>
        <v/>
      </c>
      <c r="AX232" s="17">
        <f>IF(E232="금융","",IF(AND(ISNUMBER(AW232),ISNUMBER(N232),ISNUMBER(O232),ISNUMBER(AV232)),AW232+N232-O232-AV232,IF(AND(ISNUMBER(P232),ISNUMBER(O232)),P232-O232-IF(ISNUMBER(Q232),Q232,0),"")))</f>
        <v/>
      </c>
      <c r="AY232" s="8">
        <f>IF(E232="금융","금융업 - 정의되지 않음",IF(AND(ISNUMBER(AW232),ISNUMBER(N232),ISNUMBER(O232),ISNUMBER(AV232)),"영업순이익+감가상각-설비투자-운전자본증감",IF(AND(ISNUMBER(P232),ISNUMBER(O232)),IF(ISNUMBER(Q232),"영업현금흐름-설비투자-주식보상비용","영업현금흐름-설비투자(주식보상비용 미태깅)"),"산출불가")))</f>
        <v/>
      </c>
      <c r="AZ232" s="19">
        <f>IF(AND(ISNUMBER(AX232),ISNUMBER(G232),G232&lt;&gt;0),AX232/G232,"")</f>
        <v/>
      </c>
      <c r="BA232" s="19">
        <f>IF(AND(ISNUMBER(AE232),ISNUMBER(G232),G232&lt;&gt;0),AE232/G232,"")</f>
        <v/>
      </c>
    </row>
    <row r="233">
      <c r="A233" s="8" t="inlineStr">
        <is>
          <t>CSCO</t>
        </is>
      </c>
      <c r="B233" s="8" t="inlineStr">
        <is>
          <t>CISCO SYSTEMS, INC.</t>
        </is>
      </c>
      <c r="C233" s="8" t="n">
        <v>2016</v>
      </c>
      <c r="D233" s="8" t="inlineStr">
        <is>
          <t>2016-07-30</t>
        </is>
      </c>
      <c r="E233" s="8" t="inlineStr">
        <is>
          <t>일반</t>
        </is>
      </c>
      <c r="F233" s="8" t="inlineStr">
        <is>
          <t>0000858877-18-000011</t>
        </is>
      </c>
      <c r="G233" s="15" t="n"/>
      <c r="H233" s="15" t="n">
        <v>12.92</v>
      </c>
      <c r="I233" s="15" t="n"/>
      <c r="J233" s="15" t="n">
        <v>2.181</v>
      </c>
      <c r="K233" s="15" t="n">
        <v>12.66</v>
      </c>
      <c r="L233" s="15" t="n">
        <v>10.739</v>
      </c>
      <c r="M233" s="15" t="n">
        <v>0.317</v>
      </c>
      <c r="N233" s="15" t="n">
        <v>1</v>
      </c>
      <c r="O233" s="15" t="n">
        <v>1.146</v>
      </c>
      <c r="P233" s="15" t="n">
        <v>13.57</v>
      </c>
      <c r="Q233" s="15" t="n">
        <v>1.458</v>
      </c>
      <c r="R233" s="15" t="n">
        <v>63.586</v>
      </c>
      <c r="S233" s="15" t="n">
        <v>59.698</v>
      </c>
      <c r="T233" s="15" t="n">
        <v>7.631</v>
      </c>
      <c r="U233" s="15" t="n">
        <v>6.877</v>
      </c>
      <c r="V233" s="15" t="n">
        <v>4.16</v>
      </c>
      <c r="W233" s="15" t="n">
        <v>3.897</v>
      </c>
      <c r="X233" s="15" t="n">
        <v>24.483</v>
      </c>
      <c r="Y233" s="15" t="n">
        <v>78.71899999999999</v>
      </c>
      <c r="Z233" s="15" t="n">
        <v>73.36799999999999</v>
      </c>
      <c r="AA233" s="15" t="n">
        <v>24.911</v>
      </c>
      <c r="AB233" s="15" t="n">
        <v>23.412</v>
      </c>
      <c r="AC233" s="15" t="n">
        <v>78.175</v>
      </c>
      <c r="AD233" s="16" t="n">
        <v>5029</v>
      </c>
      <c r="AE233" s="17">
        <f>IF(ISNUMBER(K233),K233,IF(AND(ISNUMBER(H233),ISNUMBER(I233)),H233+I233,IF(ISNUMBER(H233),H233,"")))</f>
        <v/>
      </c>
      <c r="AF233" s="18">
        <f>IF(OR(NOT(ISNUMBER(J233)),NOT(ISNUMBER(H233)),H233&lt;=0),기준표!$B$8,MIN(MAX(J233/H233,기준표!$B$6),기준표!$B$7))</f>
        <v/>
      </c>
      <c r="AG233" s="17">
        <f>IF(ISNUMBER(AE233),AE233*(1-AF233),"")</f>
        <v/>
      </c>
      <c r="AH233" s="17">
        <f>IF(AND(NOT(ISNUMBER(V233)),NOT(ISNUMBER(X233))),"",IF(ISNUMBER(V233),V233,0)+IF(ISNUMBER(X233),X233,0))</f>
        <v/>
      </c>
      <c r="AI233" s="17">
        <f>IF(E233="금융","",IF(AND(ISNUMBER(R233),ISNUMBER(AH233),ISNUMBER(T233)),R233+AH233-T233,""))</f>
        <v/>
      </c>
      <c r="AJ233" s="17">
        <f>IF(E233="금융","",IF(NOT(ISNUMBER(AI233)),"",IF(ISNUMBER(AC233),(AI233+AC233)/2,AI233)))</f>
        <v/>
      </c>
      <c r="AK233" s="19">
        <f>IF(AND(ISNUMBER(AG233),ISNUMBER(AJ233),AJ233&gt;0),AG233/AJ233,"")</f>
        <v/>
      </c>
      <c r="AL233" s="17">
        <f>IF(E233="금융","",IF(AND(ISNUMBER(R233),ISNUMBER(AH233)),R233+AH233,""))</f>
        <v/>
      </c>
      <c r="AM233" s="19">
        <f>IF(OR(NOT(ISNUMBER(AG233)),NOT(ISNUMBER(AL233)),AL233&lt;=0),"",IF(AND(ISNUMBER(G233),AL233&lt;0.1*G233),"",AG233/AL233))</f>
        <v/>
      </c>
      <c r="AN233" s="17">
        <f>IF(NOT(ISNUMBER(R233)),"",IF(ISNUMBER(S233),(R233+S233)/2,R233))</f>
        <v/>
      </c>
      <c r="AO233" s="19">
        <f>IF(AND(ISNUMBER(L233),ISNUMBER(AN233),AN233&gt;0),L233/AN233,"")</f>
        <v/>
      </c>
      <c r="AP233" s="19">
        <f>IF(AND(ISNUMBER(AO233),ISNUMBER({ROIC})),AO233-{ROIC},"")</f>
        <v/>
      </c>
      <c r="AQ233" s="17">
        <f>IF(AND(ISNUMBER(AE233),ISNUMBER(N233)),AE233+N233,"")</f>
        <v/>
      </c>
      <c r="AR233" s="20">
        <f>IF(AND(ISNUMBER(AH233),ISNUMBER(T233),ISNUMBER(AQ233),AQ233&gt;0),(AH233-T233)/AQ233,"")</f>
        <v/>
      </c>
      <c r="AS233" s="20">
        <f>IF(AND(ISNUMBER(AE233),ISNUMBER(I233),I233&lt;&gt;0,AE233&gt;0),AE233/I233,"")</f>
        <v/>
      </c>
      <c r="AT233" s="17">
        <f>IF(AND(ISNUMBER(Y233),ISNUMBER(AA233)),Y233-IF(ISNUMBER(T233),T233,0)-(AA233-IF(ISNUMBER(V233),V233,0)),"")</f>
        <v/>
      </c>
      <c r="AU233" s="17">
        <f>IF(AND(ISNUMBER(Z233),ISNUMBER(AB233)),Z233-IF(ISNUMBER(U233),U233,0)-(AB233-IF(ISNUMBER(W233),W233,0)),"")</f>
        <v/>
      </c>
      <c r="AV233" s="17">
        <f>IF(AND(ISNUMBER(AT233),ISNUMBER(AU233)),AT233-AU233,"")</f>
        <v/>
      </c>
      <c r="AW233" s="17">
        <f>IF(AND(ISNUMBER(L233),ISNUMBER(M233),ISNUMBER(AF233)),L233-M233*(1-AF233),IF(ISNUMBER(L233),L233,""))</f>
        <v/>
      </c>
      <c r="AX233" s="17">
        <f>IF(E233="금융","",IF(AND(ISNUMBER(AW233),ISNUMBER(N233),ISNUMBER(O233),ISNUMBER(AV233)),AW233+N233-O233-AV233,IF(AND(ISNUMBER(P233),ISNUMBER(O233)),P233-O233-IF(ISNUMBER(Q233),Q233,0),"")))</f>
        <v/>
      </c>
      <c r="AY233" s="8">
        <f>IF(E233="금융","금융업 - 정의되지 않음",IF(AND(ISNUMBER(AW233),ISNUMBER(N233),ISNUMBER(O233),ISNUMBER(AV233)),"영업순이익+감가상각-설비투자-운전자본증감",IF(AND(ISNUMBER(P233),ISNUMBER(O233)),IF(ISNUMBER(Q233),"영업현금흐름-설비투자-주식보상비용","영업현금흐름-설비투자(주식보상비용 미태깅)"),"산출불가")))</f>
        <v/>
      </c>
      <c r="AZ233" s="19">
        <f>IF(AND(ISNUMBER(AX233),ISNUMBER(G233),G233&lt;&gt;0),AX233/G233,"")</f>
        <v/>
      </c>
      <c r="BA233" s="19">
        <f>IF(AND(ISNUMBER(AE233),ISNUMBER(G233),G233&lt;&gt;0),AE233/G233,"")</f>
        <v/>
      </c>
    </row>
    <row r="234">
      <c r="A234" s="8" t="inlineStr">
        <is>
          <t>CSCO</t>
        </is>
      </c>
      <c r="B234" s="8" t="inlineStr">
        <is>
          <t>CISCO SYSTEMS, INC.</t>
        </is>
      </c>
      <c r="C234" s="8" t="n">
        <v>2017</v>
      </c>
      <c r="D234" s="8" t="inlineStr">
        <is>
          <t>2017-07-29</t>
        </is>
      </c>
      <c r="E234" s="8" t="inlineStr">
        <is>
          <t>일반</t>
        </is>
      </c>
      <c r="F234" s="8" t="inlineStr">
        <is>
          <t>0000858877-19-000012</t>
        </is>
      </c>
      <c r="G234" s="15" t="n">
        <v>48.005</v>
      </c>
      <c r="H234" s="15" t="n">
        <v>12.287</v>
      </c>
      <c r="I234" s="15" t="n"/>
      <c r="J234" s="15" t="n">
        <v>2.678</v>
      </c>
      <c r="K234" s="15" t="n">
        <v>11.973</v>
      </c>
      <c r="L234" s="15" t="n">
        <v>9.609</v>
      </c>
      <c r="M234" s="15" t="n">
        <v>-0.154</v>
      </c>
      <c r="N234" s="15" t="n">
        <v>1.1</v>
      </c>
      <c r="O234" s="15" t="n">
        <v>0.964</v>
      </c>
      <c r="P234" s="15" t="n">
        <v>13.876</v>
      </c>
      <c r="Q234" s="15" t="n">
        <v>1.526</v>
      </c>
      <c r="R234" s="15" t="n">
        <v>66.137</v>
      </c>
      <c r="S234" s="15" t="n">
        <v>63.586</v>
      </c>
      <c r="T234" s="15" t="n">
        <v>11.708</v>
      </c>
      <c r="U234" s="15" t="n">
        <v>7.631</v>
      </c>
      <c r="V234" s="15" t="n">
        <v>7.992</v>
      </c>
      <c r="W234" s="15" t="n">
        <v>4.16</v>
      </c>
      <c r="X234" s="15" t="n">
        <v>25.725</v>
      </c>
      <c r="Y234" s="15" t="n">
        <v>83.703</v>
      </c>
      <c r="Z234" s="15" t="n">
        <v>78.71899999999999</v>
      </c>
      <c r="AA234" s="15" t="n">
        <v>27.583</v>
      </c>
      <c r="AB234" s="15" t="n">
        <v>24.911</v>
      </c>
      <c r="AC234" s="15" t="n">
        <v>84.598</v>
      </c>
      <c r="AD234" s="16" t="n">
        <v>4983</v>
      </c>
      <c r="AE234" s="17">
        <f>IF(ISNUMBER(K234),K234,IF(AND(ISNUMBER(H234),ISNUMBER(I234)),H234+I234,IF(ISNUMBER(H234),H234,"")))</f>
        <v/>
      </c>
      <c r="AF234" s="18">
        <f>IF(OR(NOT(ISNUMBER(J234)),NOT(ISNUMBER(H234)),H234&lt;=0),기준표!$B$8,MIN(MAX(J234/H234,기준표!$B$6),기준표!$B$7))</f>
        <v/>
      </c>
      <c r="AG234" s="17">
        <f>IF(ISNUMBER(AE234),AE234*(1-AF234),"")</f>
        <v/>
      </c>
      <c r="AH234" s="17">
        <f>IF(AND(NOT(ISNUMBER(V234)),NOT(ISNUMBER(X234))),"",IF(ISNUMBER(V234),V234,0)+IF(ISNUMBER(X234),X234,0))</f>
        <v/>
      </c>
      <c r="AI234" s="17">
        <f>IF(E234="금융","",IF(AND(ISNUMBER(R234),ISNUMBER(AH234),ISNUMBER(T234)),R234+AH234-T234,""))</f>
        <v/>
      </c>
      <c r="AJ234" s="17">
        <f>IF(E234="금융","",IF(NOT(ISNUMBER(AI234)),"",IF(ISNUMBER(AC234),(AI234+AC234)/2,AI234)))</f>
        <v/>
      </c>
      <c r="AK234" s="19">
        <f>IF(AND(ISNUMBER(AG234),ISNUMBER(AJ234),AJ234&gt;0),AG234/AJ234,"")</f>
        <v/>
      </c>
      <c r="AL234" s="17">
        <f>IF(E234="금융","",IF(AND(ISNUMBER(R234),ISNUMBER(AH234)),R234+AH234,""))</f>
        <v/>
      </c>
      <c r="AM234" s="19">
        <f>IF(OR(NOT(ISNUMBER(AG234)),NOT(ISNUMBER(AL234)),AL234&lt;=0),"",IF(AND(ISNUMBER(G234),AL234&lt;0.1*G234),"",AG234/AL234))</f>
        <v/>
      </c>
      <c r="AN234" s="17">
        <f>IF(NOT(ISNUMBER(R234)),"",IF(ISNUMBER(S234),(R234+S234)/2,R234))</f>
        <v/>
      </c>
      <c r="AO234" s="19">
        <f>IF(AND(ISNUMBER(L234),ISNUMBER(AN234),AN234&gt;0),L234/AN234,"")</f>
        <v/>
      </c>
      <c r="AP234" s="19">
        <f>IF(AND(ISNUMBER(AO234),ISNUMBER({ROIC})),AO234-{ROIC},"")</f>
        <v/>
      </c>
      <c r="AQ234" s="17">
        <f>IF(AND(ISNUMBER(AE234),ISNUMBER(N234)),AE234+N234,"")</f>
        <v/>
      </c>
      <c r="AR234" s="20">
        <f>IF(AND(ISNUMBER(AH234),ISNUMBER(T234),ISNUMBER(AQ234),AQ234&gt;0),(AH234-T234)/AQ234,"")</f>
        <v/>
      </c>
      <c r="AS234" s="20">
        <f>IF(AND(ISNUMBER(AE234),ISNUMBER(I234),I234&lt;&gt;0,AE234&gt;0),AE234/I234,"")</f>
        <v/>
      </c>
      <c r="AT234" s="17">
        <f>IF(AND(ISNUMBER(Y234),ISNUMBER(AA234)),Y234-IF(ISNUMBER(T234),T234,0)-(AA234-IF(ISNUMBER(V234),V234,0)),"")</f>
        <v/>
      </c>
      <c r="AU234" s="17">
        <f>IF(AND(ISNUMBER(Z234),ISNUMBER(AB234)),Z234-IF(ISNUMBER(U234),U234,0)-(AB234-IF(ISNUMBER(W234),W234,0)),"")</f>
        <v/>
      </c>
      <c r="AV234" s="17">
        <f>IF(AND(ISNUMBER(AT234),ISNUMBER(AU234)),AT234-AU234,"")</f>
        <v/>
      </c>
      <c r="AW234" s="17">
        <f>IF(AND(ISNUMBER(L234),ISNUMBER(M234),ISNUMBER(AF234)),L234-M234*(1-AF234),IF(ISNUMBER(L234),L234,""))</f>
        <v/>
      </c>
      <c r="AX234" s="17">
        <f>IF(E234="금융","",IF(AND(ISNUMBER(AW234),ISNUMBER(N234),ISNUMBER(O234),ISNUMBER(AV234)),AW234+N234-O234-AV234,IF(AND(ISNUMBER(P234),ISNUMBER(O234)),P234-O234-IF(ISNUMBER(Q234),Q234,0),"")))</f>
        <v/>
      </c>
      <c r="AY234" s="8">
        <f>IF(E234="금융","금융업 - 정의되지 않음",IF(AND(ISNUMBER(AW234),ISNUMBER(N234),ISNUMBER(O234),ISNUMBER(AV234)),"영업순이익+감가상각-설비투자-운전자본증감",IF(AND(ISNUMBER(P234),ISNUMBER(O234)),IF(ISNUMBER(Q234),"영업현금흐름-설비투자-주식보상비용","영업현금흐름-설비투자(주식보상비용 미태깅)"),"산출불가")))</f>
        <v/>
      </c>
      <c r="AZ234" s="19">
        <f>IF(AND(ISNUMBER(AX234),ISNUMBER(G234),G234&lt;&gt;0),AX234/G234,"")</f>
        <v/>
      </c>
      <c r="BA234" s="19">
        <f>IF(AND(ISNUMBER(AE234),ISNUMBER(G234),G234&lt;&gt;0),AE234/G234,"")</f>
        <v/>
      </c>
    </row>
    <row r="235">
      <c r="A235" s="8" t="inlineStr">
        <is>
          <t>CSCO</t>
        </is>
      </c>
      <c r="B235" s="8" t="inlineStr">
        <is>
          <t>CISCO SYSTEMS, INC.</t>
        </is>
      </c>
      <c r="C235" s="8" t="n">
        <v>2018</v>
      </c>
      <c r="D235" s="8" t="inlineStr">
        <is>
          <t>2018-07-28</t>
        </is>
      </c>
      <c r="E235" s="8" t="inlineStr">
        <is>
          <t>일반</t>
        </is>
      </c>
      <c r="F235" s="8" t="inlineStr">
        <is>
          <t>0000858877-20-000010</t>
        </is>
      </c>
      <c r="G235" s="15" t="n">
        <v>49.33</v>
      </c>
      <c r="H235" s="15" t="n">
        <v>13.039</v>
      </c>
      <c r="I235" s="15" t="n"/>
      <c r="J235" s="15" t="n">
        <v>12.929</v>
      </c>
      <c r="K235" s="15" t="n">
        <v>12.309</v>
      </c>
      <c r="L235" s="15" t="n">
        <v>0.11</v>
      </c>
      <c r="M235" s="15" t="n">
        <v>0.322</v>
      </c>
      <c r="N235" s="15" t="n">
        <v>1.1</v>
      </c>
      <c r="O235" s="15" t="n">
        <v>0.834</v>
      </c>
      <c r="P235" s="15" t="n">
        <v>13.666</v>
      </c>
      <c r="Q235" s="15" t="n">
        <v>1.576</v>
      </c>
      <c r="R235" s="15" t="n">
        <v>43.204</v>
      </c>
      <c r="S235" s="15" t="n">
        <v>66.137</v>
      </c>
      <c r="T235" s="15" t="n">
        <v>46.548</v>
      </c>
      <c r="U235" s="15" t="n">
        <v>11.708</v>
      </c>
      <c r="V235" s="15" t="n">
        <v>5.238</v>
      </c>
      <c r="W235" s="15" t="n">
        <v>7.992</v>
      </c>
      <c r="X235" s="15" t="n">
        <v>20.331</v>
      </c>
      <c r="Y235" s="15" t="n">
        <v>61.837</v>
      </c>
      <c r="Z235" s="15" t="n">
        <v>83.703</v>
      </c>
      <c r="AA235" s="15" t="n">
        <v>27.035</v>
      </c>
      <c r="AB235" s="15" t="n">
        <v>27.583</v>
      </c>
      <c r="AC235" s="15" t="n">
        <v>88.146</v>
      </c>
      <c r="AD235" s="16" t="n">
        <v>4614</v>
      </c>
      <c r="AE235" s="17">
        <f>IF(ISNUMBER(K235),K235,IF(AND(ISNUMBER(H235),ISNUMBER(I235)),H235+I235,IF(ISNUMBER(H235),H235,"")))</f>
        <v/>
      </c>
      <c r="AF235" s="18">
        <f>IF(OR(NOT(ISNUMBER(J235)),NOT(ISNUMBER(H235)),H235&lt;=0),기준표!$B$8,MIN(MAX(J235/H235,기준표!$B$6),기준표!$B$7))</f>
        <v/>
      </c>
      <c r="AG235" s="17">
        <f>IF(ISNUMBER(AE235),AE235*(1-AF235),"")</f>
        <v/>
      </c>
      <c r="AH235" s="17">
        <f>IF(AND(NOT(ISNUMBER(V235)),NOT(ISNUMBER(X235))),"",IF(ISNUMBER(V235),V235,0)+IF(ISNUMBER(X235),X235,0))</f>
        <v/>
      </c>
      <c r="AI235" s="17">
        <f>IF(E235="금융","",IF(AND(ISNUMBER(R235),ISNUMBER(AH235),ISNUMBER(T235)),R235+AH235-T235,""))</f>
        <v/>
      </c>
      <c r="AJ235" s="17">
        <f>IF(E235="금융","",IF(NOT(ISNUMBER(AI235)),"",IF(ISNUMBER(AC235),(AI235+AC235)/2,AI235)))</f>
        <v/>
      </c>
      <c r="AK235" s="19">
        <f>IF(AND(ISNUMBER(AG235),ISNUMBER(AJ235),AJ235&gt;0),AG235/AJ235,"")</f>
        <v/>
      </c>
      <c r="AL235" s="17">
        <f>IF(E235="금융","",IF(AND(ISNUMBER(R235),ISNUMBER(AH235)),R235+AH235,""))</f>
        <v/>
      </c>
      <c r="AM235" s="19">
        <f>IF(OR(NOT(ISNUMBER(AG235)),NOT(ISNUMBER(AL235)),AL235&lt;=0),"",IF(AND(ISNUMBER(G235),AL235&lt;0.1*G235),"",AG235/AL235))</f>
        <v/>
      </c>
      <c r="AN235" s="17">
        <f>IF(NOT(ISNUMBER(R235)),"",IF(ISNUMBER(S235),(R235+S235)/2,R235))</f>
        <v/>
      </c>
      <c r="AO235" s="19">
        <f>IF(AND(ISNUMBER(L235),ISNUMBER(AN235),AN235&gt;0),L235/AN235,"")</f>
        <v/>
      </c>
      <c r="AP235" s="19">
        <f>IF(AND(ISNUMBER(AO235),ISNUMBER({ROIC})),AO235-{ROIC},"")</f>
        <v/>
      </c>
      <c r="AQ235" s="17">
        <f>IF(AND(ISNUMBER(AE235),ISNUMBER(N235)),AE235+N235,"")</f>
        <v/>
      </c>
      <c r="AR235" s="20">
        <f>IF(AND(ISNUMBER(AH235),ISNUMBER(T235),ISNUMBER(AQ235),AQ235&gt;0),(AH235-T235)/AQ235,"")</f>
        <v/>
      </c>
      <c r="AS235" s="20">
        <f>IF(AND(ISNUMBER(AE235),ISNUMBER(I235),I235&lt;&gt;0,AE235&gt;0),AE235/I235,"")</f>
        <v/>
      </c>
      <c r="AT235" s="17">
        <f>IF(AND(ISNUMBER(Y235),ISNUMBER(AA235)),Y235-IF(ISNUMBER(T235),T235,0)-(AA235-IF(ISNUMBER(V235),V235,0)),"")</f>
        <v/>
      </c>
      <c r="AU235" s="17">
        <f>IF(AND(ISNUMBER(Z235),ISNUMBER(AB235)),Z235-IF(ISNUMBER(U235),U235,0)-(AB235-IF(ISNUMBER(W235),W235,0)),"")</f>
        <v/>
      </c>
      <c r="AV235" s="17">
        <f>IF(AND(ISNUMBER(AT235),ISNUMBER(AU235)),AT235-AU235,"")</f>
        <v/>
      </c>
      <c r="AW235" s="17">
        <f>IF(AND(ISNUMBER(L235),ISNUMBER(M235),ISNUMBER(AF235)),L235-M235*(1-AF235),IF(ISNUMBER(L235),L235,""))</f>
        <v/>
      </c>
      <c r="AX235" s="17">
        <f>IF(E235="금융","",IF(AND(ISNUMBER(AW235),ISNUMBER(N235),ISNUMBER(O235),ISNUMBER(AV235)),AW235+N235-O235-AV235,IF(AND(ISNUMBER(P235),ISNUMBER(O235)),P235-O235-IF(ISNUMBER(Q235),Q235,0),"")))</f>
        <v/>
      </c>
      <c r="AY235" s="8">
        <f>IF(E235="금융","금융업 - 정의되지 않음",IF(AND(ISNUMBER(AW235),ISNUMBER(N235),ISNUMBER(O235),ISNUMBER(AV235)),"영업순이익+감가상각-설비투자-운전자본증감",IF(AND(ISNUMBER(P235),ISNUMBER(O235)),IF(ISNUMBER(Q235),"영업현금흐름-설비투자-주식보상비용","영업현금흐름-설비투자(주식보상비용 미태깅)"),"산출불가")))</f>
        <v/>
      </c>
      <c r="AZ235" s="19">
        <f>IF(AND(ISNUMBER(AX235),ISNUMBER(G235),G235&lt;&gt;0),AX235/G235,"")</f>
        <v/>
      </c>
      <c r="BA235" s="19">
        <f>IF(AND(ISNUMBER(AE235),ISNUMBER(G235),G235&lt;&gt;0),AE235/G235,"")</f>
        <v/>
      </c>
    </row>
    <row r="236">
      <c r="A236" s="8" t="inlineStr">
        <is>
          <t>CSCO</t>
        </is>
      </c>
      <c r="B236" s="8" t="inlineStr">
        <is>
          <t>CISCO SYSTEMS, INC.</t>
        </is>
      </c>
      <c r="C236" s="8" t="n">
        <v>2019</v>
      </c>
      <c r="D236" s="8" t="inlineStr">
        <is>
          <t>2019-07-27</t>
        </is>
      </c>
      <c r="E236" s="8" t="inlineStr">
        <is>
          <t>일반</t>
        </is>
      </c>
      <c r="F236" s="8" t="inlineStr">
        <is>
          <t>0000858877-21-000013</t>
        </is>
      </c>
      <c r="G236" s="15" t="n">
        <v>51.904</v>
      </c>
      <c r="H236" s="15" t="n">
        <v>14.571</v>
      </c>
      <c r="I236" s="15" t="n"/>
      <c r="J236" s="15" t="n">
        <v>2.95</v>
      </c>
      <c r="K236" s="15" t="n">
        <v>14.219</v>
      </c>
      <c r="L236" s="15" t="n">
        <v>11.621</v>
      </c>
      <c r="M236" s="15" t="n">
        <v>0.024</v>
      </c>
      <c r="N236" s="15" t="n">
        <v>1</v>
      </c>
      <c r="O236" s="15" t="n">
        <v>0.909</v>
      </c>
      <c r="P236" s="15" t="n">
        <v>15.831</v>
      </c>
      <c r="Q236" s="15" t="n">
        <v>1.57</v>
      </c>
      <c r="R236" s="15" t="n">
        <v>33.571</v>
      </c>
      <c r="S236" s="15" t="n">
        <v>43.204</v>
      </c>
      <c r="T236" s="15" t="n">
        <v>33.413</v>
      </c>
      <c r="U236" s="15" t="n">
        <v>46.548</v>
      </c>
      <c r="V236" s="15" t="n">
        <v>10.191</v>
      </c>
      <c r="W236" s="15" t="n">
        <v>5.238</v>
      </c>
      <c r="X236" s="15" t="n">
        <v>14.475</v>
      </c>
      <c r="Y236" s="15" t="n">
        <v>47.755</v>
      </c>
      <c r="Z236" s="15" t="n">
        <v>61.837</v>
      </c>
      <c r="AA236" s="15" t="n">
        <v>31.712</v>
      </c>
      <c r="AB236" s="15" t="n">
        <v>27.035</v>
      </c>
      <c r="AC236" s="15" t="n">
        <v>22.225</v>
      </c>
      <c r="AD236" s="16" t="n">
        <v>4250</v>
      </c>
      <c r="AE236" s="17">
        <f>IF(ISNUMBER(K236),K236,IF(AND(ISNUMBER(H236),ISNUMBER(I236)),H236+I236,IF(ISNUMBER(H236),H236,"")))</f>
        <v/>
      </c>
      <c r="AF236" s="18">
        <f>IF(OR(NOT(ISNUMBER(J236)),NOT(ISNUMBER(H236)),H236&lt;=0),기준표!$B$8,MIN(MAX(J236/H236,기준표!$B$6),기준표!$B$7))</f>
        <v/>
      </c>
      <c r="AG236" s="17">
        <f>IF(ISNUMBER(AE236),AE236*(1-AF236),"")</f>
        <v/>
      </c>
      <c r="AH236" s="17">
        <f>IF(AND(NOT(ISNUMBER(V236)),NOT(ISNUMBER(X236))),"",IF(ISNUMBER(V236),V236,0)+IF(ISNUMBER(X236),X236,0))</f>
        <v/>
      </c>
      <c r="AI236" s="17">
        <f>IF(E236="금융","",IF(AND(ISNUMBER(R236),ISNUMBER(AH236),ISNUMBER(T236)),R236+AH236-T236,""))</f>
        <v/>
      </c>
      <c r="AJ236" s="17">
        <f>IF(E236="금융","",IF(NOT(ISNUMBER(AI236)),"",IF(ISNUMBER(AC236),(AI236+AC236)/2,AI236)))</f>
        <v/>
      </c>
      <c r="AK236" s="19">
        <f>IF(AND(ISNUMBER(AG236),ISNUMBER(AJ236),AJ236&gt;0),AG236/AJ236,"")</f>
        <v/>
      </c>
      <c r="AL236" s="17">
        <f>IF(E236="금융","",IF(AND(ISNUMBER(R236),ISNUMBER(AH236)),R236+AH236,""))</f>
        <v/>
      </c>
      <c r="AM236" s="19">
        <f>IF(OR(NOT(ISNUMBER(AG236)),NOT(ISNUMBER(AL236)),AL236&lt;=0),"",IF(AND(ISNUMBER(G236),AL236&lt;0.1*G236),"",AG236/AL236))</f>
        <v/>
      </c>
      <c r="AN236" s="17">
        <f>IF(NOT(ISNUMBER(R236)),"",IF(ISNUMBER(S236),(R236+S236)/2,R236))</f>
        <v/>
      </c>
      <c r="AO236" s="19">
        <f>IF(AND(ISNUMBER(L236),ISNUMBER(AN236),AN236&gt;0),L236/AN236,"")</f>
        <v/>
      </c>
      <c r="AP236" s="19">
        <f>IF(AND(ISNUMBER(AO236),ISNUMBER({ROIC})),AO236-{ROIC},"")</f>
        <v/>
      </c>
      <c r="AQ236" s="17">
        <f>IF(AND(ISNUMBER(AE236),ISNUMBER(N236)),AE236+N236,"")</f>
        <v/>
      </c>
      <c r="AR236" s="20">
        <f>IF(AND(ISNUMBER(AH236),ISNUMBER(T236),ISNUMBER(AQ236),AQ236&gt;0),(AH236-T236)/AQ236,"")</f>
        <v/>
      </c>
      <c r="AS236" s="20">
        <f>IF(AND(ISNUMBER(AE236),ISNUMBER(I236),I236&lt;&gt;0,AE236&gt;0),AE236/I236,"")</f>
        <v/>
      </c>
      <c r="AT236" s="17">
        <f>IF(AND(ISNUMBER(Y236),ISNUMBER(AA236)),Y236-IF(ISNUMBER(T236),T236,0)-(AA236-IF(ISNUMBER(V236),V236,0)),"")</f>
        <v/>
      </c>
      <c r="AU236" s="17">
        <f>IF(AND(ISNUMBER(Z236),ISNUMBER(AB236)),Z236-IF(ISNUMBER(U236),U236,0)-(AB236-IF(ISNUMBER(W236),W236,0)),"")</f>
        <v/>
      </c>
      <c r="AV236" s="17">
        <f>IF(AND(ISNUMBER(AT236),ISNUMBER(AU236)),AT236-AU236,"")</f>
        <v/>
      </c>
      <c r="AW236" s="17">
        <f>IF(AND(ISNUMBER(L236),ISNUMBER(M236),ISNUMBER(AF236)),L236-M236*(1-AF236),IF(ISNUMBER(L236),L236,""))</f>
        <v/>
      </c>
      <c r="AX236" s="17">
        <f>IF(E236="금융","",IF(AND(ISNUMBER(AW236),ISNUMBER(N236),ISNUMBER(O236),ISNUMBER(AV236)),AW236+N236-O236-AV236,IF(AND(ISNUMBER(P236),ISNUMBER(O236)),P236-O236-IF(ISNUMBER(Q236),Q236,0),"")))</f>
        <v/>
      </c>
      <c r="AY236" s="8">
        <f>IF(E236="금융","금융업 - 정의되지 않음",IF(AND(ISNUMBER(AW236),ISNUMBER(N236),ISNUMBER(O236),ISNUMBER(AV236)),"영업순이익+감가상각-설비투자-운전자본증감",IF(AND(ISNUMBER(P236),ISNUMBER(O236)),IF(ISNUMBER(Q236),"영업현금흐름-설비투자-주식보상비용","영업현금흐름-설비투자(주식보상비용 미태깅)"),"산출불가")))</f>
        <v/>
      </c>
      <c r="AZ236" s="19">
        <f>IF(AND(ISNUMBER(AX236),ISNUMBER(G236),G236&lt;&gt;0),AX236/G236,"")</f>
        <v/>
      </c>
      <c r="BA236" s="19">
        <f>IF(AND(ISNUMBER(AE236),ISNUMBER(G236),G236&lt;&gt;0),AE236/G236,"")</f>
        <v/>
      </c>
    </row>
    <row r="237">
      <c r="A237" s="8" t="inlineStr">
        <is>
          <t>CSCO</t>
        </is>
      </c>
      <c r="B237" s="8" t="inlineStr">
        <is>
          <t>CISCO SYSTEMS, INC.</t>
        </is>
      </c>
      <c r="C237" s="8" t="n">
        <v>2020</v>
      </c>
      <c r="D237" s="8" t="inlineStr">
        <is>
          <t>2020-07-25</t>
        </is>
      </c>
      <c r="E237" s="8" t="inlineStr">
        <is>
          <t>일반</t>
        </is>
      </c>
      <c r="F237" s="8" t="inlineStr">
        <is>
          <t>0000858877-22-000013</t>
        </is>
      </c>
      <c r="G237" s="15" t="n">
        <v>49.301</v>
      </c>
      <c r="H237" s="15" t="n">
        <v>13.97</v>
      </c>
      <c r="I237" s="15" t="n"/>
      <c r="J237" s="15" t="n">
        <v>2.756</v>
      </c>
      <c r="K237" s="15" t="n">
        <v>13.62</v>
      </c>
      <c r="L237" s="15" t="n">
        <v>11.214</v>
      </c>
      <c r="M237" s="15" t="n">
        <v>0.138</v>
      </c>
      <c r="N237" s="15" t="n">
        <v>0.9</v>
      </c>
      <c r="O237" s="15" t="n">
        <v>0.77</v>
      </c>
      <c r="P237" s="15" t="n">
        <v>15.426</v>
      </c>
      <c r="Q237" s="15" t="n">
        <v>1.569</v>
      </c>
      <c r="R237" s="15" t="n">
        <v>37.92</v>
      </c>
      <c r="S237" s="15" t="n">
        <v>33.571</v>
      </c>
      <c r="T237" s="15" t="n">
        <v>29.419</v>
      </c>
      <c r="U237" s="15" t="n">
        <v>33.413</v>
      </c>
      <c r="V237" s="15" t="n">
        <v>3.005</v>
      </c>
      <c r="W237" s="15" t="n">
        <v>10.191</v>
      </c>
      <c r="X237" s="15" t="n">
        <v>11.578</v>
      </c>
      <c r="Y237" s="15" t="n">
        <v>43.573</v>
      </c>
      <c r="Z237" s="15" t="n">
        <v>47.755</v>
      </c>
      <c r="AA237" s="15" t="n">
        <v>25.331</v>
      </c>
      <c r="AB237" s="15" t="n">
        <v>31.712</v>
      </c>
      <c r="AC237" s="15" t="n">
        <v>24.824</v>
      </c>
      <c r="AD237" s="16" t="n">
        <v>4237</v>
      </c>
      <c r="AE237" s="17">
        <f>IF(ISNUMBER(K237),K237,IF(AND(ISNUMBER(H237),ISNUMBER(I237)),H237+I237,IF(ISNUMBER(H237),H237,"")))</f>
        <v/>
      </c>
      <c r="AF237" s="18">
        <f>IF(OR(NOT(ISNUMBER(J237)),NOT(ISNUMBER(H237)),H237&lt;=0),기준표!$B$8,MIN(MAX(J237/H237,기준표!$B$6),기준표!$B$7))</f>
        <v/>
      </c>
      <c r="AG237" s="17">
        <f>IF(ISNUMBER(AE237),AE237*(1-AF237),"")</f>
        <v/>
      </c>
      <c r="AH237" s="17">
        <f>IF(AND(NOT(ISNUMBER(V237)),NOT(ISNUMBER(X237))),"",IF(ISNUMBER(V237),V237,0)+IF(ISNUMBER(X237),X237,0))</f>
        <v/>
      </c>
      <c r="AI237" s="17">
        <f>IF(E237="금융","",IF(AND(ISNUMBER(R237),ISNUMBER(AH237),ISNUMBER(T237)),R237+AH237-T237,""))</f>
        <v/>
      </c>
      <c r="AJ237" s="17">
        <f>IF(E237="금융","",IF(NOT(ISNUMBER(AI237)),"",IF(ISNUMBER(AC237),(AI237+AC237)/2,AI237)))</f>
        <v/>
      </c>
      <c r="AK237" s="19">
        <f>IF(AND(ISNUMBER(AG237),ISNUMBER(AJ237),AJ237&gt;0),AG237/AJ237,"")</f>
        <v/>
      </c>
      <c r="AL237" s="17">
        <f>IF(E237="금융","",IF(AND(ISNUMBER(R237),ISNUMBER(AH237)),R237+AH237,""))</f>
        <v/>
      </c>
      <c r="AM237" s="19">
        <f>IF(OR(NOT(ISNUMBER(AG237)),NOT(ISNUMBER(AL237)),AL237&lt;=0),"",IF(AND(ISNUMBER(G237),AL237&lt;0.1*G237),"",AG237/AL237))</f>
        <v/>
      </c>
      <c r="AN237" s="17">
        <f>IF(NOT(ISNUMBER(R237)),"",IF(ISNUMBER(S237),(R237+S237)/2,R237))</f>
        <v/>
      </c>
      <c r="AO237" s="19">
        <f>IF(AND(ISNUMBER(L237),ISNUMBER(AN237),AN237&gt;0),L237/AN237,"")</f>
        <v/>
      </c>
      <c r="AP237" s="19">
        <f>IF(AND(ISNUMBER(AO237),ISNUMBER({ROIC})),AO237-{ROIC},"")</f>
        <v/>
      </c>
      <c r="AQ237" s="17">
        <f>IF(AND(ISNUMBER(AE237),ISNUMBER(N237)),AE237+N237,"")</f>
        <v/>
      </c>
      <c r="AR237" s="20">
        <f>IF(AND(ISNUMBER(AH237),ISNUMBER(T237),ISNUMBER(AQ237),AQ237&gt;0),(AH237-T237)/AQ237,"")</f>
        <v/>
      </c>
      <c r="AS237" s="20">
        <f>IF(AND(ISNUMBER(AE237),ISNUMBER(I237),I237&lt;&gt;0,AE237&gt;0),AE237/I237,"")</f>
        <v/>
      </c>
      <c r="AT237" s="17">
        <f>IF(AND(ISNUMBER(Y237),ISNUMBER(AA237)),Y237-IF(ISNUMBER(T237),T237,0)-(AA237-IF(ISNUMBER(V237),V237,0)),"")</f>
        <v/>
      </c>
      <c r="AU237" s="17">
        <f>IF(AND(ISNUMBER(Z237),ISNUMBER(AB237)),Z237-IF(ISNUMBER(U237),U237,0)-(AB237-IF(ISNUMBER(W237),W237,0)),"")</f>
        <v/>
      </c>
      <c r="AV237" s="17">
        <f>IF(AND(ISNUMBER(AT237),ISNUMBER(AU237)),AT237-AU237,"")</f>
        <v/>
      </c>
      <c r="AW237" s="17">
        <f>IF(AND(ISNUMBER(L237),ISNUMBER(M237),ISNUMBER(AF237)),L237-M237*(1-AF237),IF(ISNUMBER(L237),L237,""))</f>
        <v/>
      </c>
      <c r="AX237" s="17">
        <f>IF(E237="금융","",IF(AND(ISNUMBER(AW237),ISNUMBER(N237),ISNUMBER(O237),ISNUMBER(AV237)),AW237+N237-O237-AV237,IF(AND(ISNUMBER(P237),ISNUMBER(O237)),P237-O237-IF(ISNUMBER(Q237),Q237,0),"")))</f>
        <v/>
      </c>
      <c r="AY237" s="8">
        <f>IF(E237="금융","금융업 - 정의되지 않음",IF(AND(ISNUMBER(AW237),ISNUMBER(N237),ISNUMBER(O237),ISNUMBER(AV237)),"영업순이익+감가상각-설비투자-운전자본증감",IF(AND(ISNUMBER(P237),ISNUMBER(O237)),IF(ISNUMBER(Q237),"영업현금흐름-설비투자-주식보상비용","영업현금흐름-설비투자(주식보상비용 미태깅)"),"산출불가")))</f>
        <v/>
      </c>
      <c r="AZ237" s="19">
        <f>IF(AND(ISNUMBER(AX237),ISNUMBER(G237),G237&lt;&gt;0),AX237/G237,"")</f>
        <v/>
      </c>
      <c r="BA237" s="19">
        <f>IF(AND(ISNUMBER(AE237),ISNUMBER(G237),G237&lt;&gt;0),AE237/G237,"")</f>
        <v/>
      </c>
    </row>
    <row r="238">
      <c r="A238" s="8" t="inlineStr">
        <is>
          <t>CSCO</t>
        </is>
      </c>
      <c r="B238" s="8" t="inlineStr">
        <is>
          <t>CISCO SYSTEMS, INC.</t>
        </is>
      </c>
      <c r="C238" s="8" t="n">
        <v>2021</v>
      </c>
      <c r="D238" s="8" t="inlineStr">
        <is>
          <t>2021-07-31</t>
        </is>
      </c>
      <c r="E238" s="8" t="inlineStr">
        <is>
          <t>일반</t>
        </is>
      </c>
      <c r="F238" s="8" t="inlineStr">
        <is>
          <t>0000858877-23-000023</t>
        </is>
      </c>
      <c r="G238" s="15" t="n">
        <v>49.818</v>
      </c>
      <c r="H238" s="15" t="n">
        <v>13.262</v>
      </c>
      <c r="I238" s="15" t="n"/>
      <c r="J238" s="15" t="n">
        <v>2.671</v>
      </c>
      <c r="K238" s="15" t="n">
        <v>12.833</v>
      </c>
      <c r="L238" s="15" t="n">
        <v>10.591</v>
      </c>
      <c r="M238" s="15" t="n">
        <v>0.354</v>
      </c>
      <c r="N238" s="15" t="n">
        <v>0.8</v>
      </c>
      <c r="O238" s="15" t="n">
        <v>0.6919999999999999</v>
      </c>
      <c r="P238" s="15" t="n">
        <v>15.454</v>
      </c>
      <c r="Q238" s="15" t="n">
        <v>1.761</v>
      </c>
      <c r="R238" s="15" t="n">
        <v>41.275</v>
      </c>
      <c r="S238" s="15" t="n">
        <v>37.92</v>
      </c>
      <c r="T238" s="15" t="n">
        <v>24.518</v>
      </c>
      <c r="U238" s="15" t="n">
        <v>29.419</v>
      </c>
      <c r="V238" s="15" t="n">
        <v>2.508</v>
      </c>
      <c r="W238" s="15" t="n">
        <v>3.005</v>
      </c>
      <c r="X238" s="15" t="n">
        <v>9.018000000000001</v>
      </c>
      <c r="Y238" s="15" t="n">
        <v>39.112</v>
      </c>
      <c r="Z238" s="15" t="n">
        <v>43.573</v>
      </c>
      <c r="AA238" s="15" t="n">
        <v>26.257</v>
      </c>
      <c r="AB238" s="15" t="n">
        <v>25.331</v>
      </c>
      <c r="AC238" s="15" t="n">
        <v>23.084</v>
      </c>
      <c r="AD238" s="16" t="n">
        <v>4217</v>
      </c>
      <c r="AE238" s="17">
        <f>IF(ISNUMBER(K238),K238,IF(AND(ISNUMBER(H238),ISNUMBER(I238)),H238+I238,IF(ISNUMBER(H238),H238,"")))</f>
        <v/>
      </c>
      <c r="AF238" s="18">
        <f>IF(OR(NOT(ISNUMBER(J238)),NOT(ISNUMBER(H238)),H238&lt;=0),기준표!$B$8,MIN(MAX(J238/H238,기준표!$B$6),기준표!$B$7))</f>
        <v/>
      </c>
      <c r="AG238" s="17">
        <f>IF(ISNUMBER(AE238),AE238*(1-AF238),"")</f>
        <v/>
      </c>
      <c r="AH238" s="17">
        <f>IF(AND(NOT(ISNUMBER(V238)),NOT(ISNUMBER(X238))),"",IF(ISNUMBER(V238),V238,0)+IF(ISNUMBER(X238),X238,0))</f>
        <v/>
      </c>
      <c r="AI238" s="17">
        <f>IF(E238="금융","",IF(AND(ISNUMBER(R238),ISNUMBER(AH238),ISNUMBER(T238)),R238+AH238-T238,""))</f>
        <v/>
      </c>
      <c r="AJ238" s="17">
        <f>IF(E238="금융","",IF(NOT(ISNUMBER(AI238)),"",IF(ISNUMBER(AC238),(AI238+AC238)/2,AI238)))</f>
        <v/>
      </c>
      <c r="AK238" s="19">
        <f>IF(AND(ISNUMBER(AG238),ISNUMBER(AJ238),AJ238&gt;0),AG238/AJ238,"")</f>
        <v/>
      </c>
      <c r="AL238" s="17">
        <f>IF(E238="금융","",IF(AND(ISNUMBER(R238),ISNUMBER(AH238)),R238+AH238,""))</f>
        <v/>
      </c>
      <c r="AM238" s="19">
        <f>IF(OR(NOT(ISNUMBER(AG238)),NOT(ISNUMBER(AL238)),AL238&lt;=0),"",IF(AND(ISNUMBER(G238),AL238&lt;0.1*G238),"",AG238/AL238))</f>
        <v/>
      </c>
      <c r="AN238" s="17">
        <f>IF(NOT(ISNUMBER(R238)),"",IF(ISNUMBER(S238),(R238+S238)/2,R238))</f>
        <v/>
      </c>
      <c r="AO238" s="19">
        <f>IF(AND(ISNUMBER(L238),ISNUMBER(AN238),AN238&gt;0),L238/AN238,"")</f>
        <v/>
      </c>
      <c r="AP238" s="19">
        <f>IF(AND(ISNUMBER(AO238),ISNUMBER({ROIC})),AO238-{ROIC},"")</f>
        <v/>
      </c>
      <c r="AQ238" s="17">
        <f>IF(AND(ISNUMBER(AE238),ISNUMBER(N238)),AE238+N238,"")</f>
        <v/>
      </c>
      <c r="AR238" s="20">
        <f>IF(AND(ISNUMBER(AH238),ISNUMBER(T238),ISNUMBER(AQ238),AQ238&gt;0),(AH238-T238)/AQ238,"")</f>
        <v/>
      </c>
      <c r="AS238" s="20">
        <f>IF(AND(ISNUMBER(AE238),ISNUMBER(I238),I238&lt;&gt;0,AE238&gt;0),AE238/I238,"")</f>
        <v/>
      </c>
      <c r="AT238" s="17">
        <f>IF(AND(ISNUMBER(Y238),ISNUMBER(AA238)),Y238-IF(ISNUMBER(T238),T238,0)-(AA238-IF(ISNUMBER(V238),V238,0)),"")</f>
        <v/>
      </c>
      <c r="AU238" s="17">
        <f>IF(AND(ISNUMBER(Z238),ISNUMBER(AB238)),Z238-IF(ISNUMBER(U238),U238,0)-(AB238-IF(ISNUMBER(W238),W238,0)),"")</f>
        <v/>
      </c>
      <c r="AV238" s="17">
        <f>IF(AND(ISNUMBER(AT238),ISNUMBER(AU238)),AT238-AU238,"")</f>
        <v/>
      </c>
      <c r="AW238" s="17">
        <f>IF(AND(ISNUMBER(L238),ISNUMBER(M238),ISNUMBER(AF238)),L238-M238*(1-AF238),IF(ISNUMBER(L238),L238,""))</f>
        <v/>
      </c>
      <c r="AX238" s="17">
        <f>IF(E238="금융","",IF(AND(ISNUMBER(AW238),ISNUMBER(N238),ISNUMBER(O238),ISNUMBER(AV238)),AW238+N238-O238-AV238,IF(AND(ISNUMBER(P238),ISNUMBER(O238)),P238-O238-IF(ISNUMBER(Q238),Q238,0),"")))</f>
        <v/>
      </c>
      <c r="AY238" s="8">
        <f>IF(E238="금융","금융업 - 정의되지 않음",IF(AND(ISNUMBER(AW238),ISNUMBER(N238),ISNUMBER(O238),ISNUMBER(AV238)),"영업순이익+감가상각-설비투자-운전자본증감",IF(AND(ISNUMBER(P238),ISNUMBER(O238)),IF(ISNUMBER(Q238),"영업현금흐름-설비투자-주식보상비용","영업현금흐름-설비투자(주식보상비용 미태깅)"),"산출불가")))</f>
        <v/>
      </c>
      <c r="AZ238" s="19">
        <f>IF(AND(ISNUMBER(AX238),ISNUMBER(G238),G238&lt;&gt;0),AX238/G238,"")</f>
        <v/>
      </c>
      <c r="BA238" s="19">
        <f>IF(AND(ISNUMBER(AE238),ISNUMBER(G238),G238&lt;&gt;0),AE238/G238,"")</f>
        <v/>
      </c>
    </row>
    <row r="239">
      <c r="A239" s="8" t="inlineStr">
        <is>
          <t>CSCO</t>
        </is>
      </c>
      <c r="B239" s="8" t="inlineStr">
        <is>
          <t>CISCO SYSTEMS, INC.</t>
        </is>
      </c>
      <c r="C239" s="8" t="n">
        <v>2022</v>
      </c>
      <c r="D239" s="8" t="inlineStr">
        <is>
          <t>2022-07-30</t>
        </is>
      </c>
      <c r="E239" s="8" t="inlineStr">
        <is>
          <t>일반</t>
        </is>
      </c>
      <c r="F239" s="8" t="inlineStr">
        <is>
          <t>0000858877-24-000017</t>
        </is>
      </c>
      <c r="G239" s="15" t="n">
        <v>51.557</v>
      </c>
      <c r="H239" s="15" t="n">
        <v>14.477</v>
      </c>
      <c r="I239" s="15" t="n">
        <v>0.36</v>
      </c>
      <c r="J239" s="15" t="n">
        <v>2.665</v>
      </c>
      <c r="K239" s="15" t="n">
        <v>13.969</v>
      </c>
      <c r="L239" s="15" t="n">
        <v>11.812</v>
      </c>
      <c r="M239" s="15" t="n">
        <v>0.453</v>
      </c>
      <c r="N239" s="15" t="n">
        <v>0.8</v>
      </c>
      <c r="O239" s="15" t="n">
        <v>0.477</v>
      </c>
      <c r="P239" s="15" t="n">
        <v>13.226</v>
      </c>
      <c r="Q239" s="15" t="n">
        <v>1.886</v>
      </c>
      <c r="R239" s="15" t="n">
        <v>39.773</v>
      </c>
      <c r="S239" s="15" t="n">
        <v>41.275</v>
      </c>
      <c r="T239" s="15" t="n">
        <v>19.267</v>
      </c>
      <c r="U239" s="15" t="n">
        <v>24.518</v>
      </c>
      <c r="V239" s="15" t="n">
        <v>1.099</v>
      </c>
      <c r="W239" s="15" t="n">
        <v>2.508</v>
      </c>
      <c r="X239" s="15" t="n">
        <v>8.416</v>
      </c>
      <c r="Y239" s="15" t="n">
        <v>36.717</v>
      </c>
      <c r="Z239" s="15" t="n">
        <v>39.112</v>
      </c>
      <c r="AA239" s="15" t="n">
        <v>25.64</v>
      </c>
      <c r="AB239" s="15" t="n">
        <v>26.257</v>
      </c>
      <c r="AC239" s="15" t="n">
        <v>28.283</v>
      </c>
      <c r="AD239" s="16" t="n">
        <v>4110</v>
      </c>
      <c r="AE239" s="17">
        <f>IF(ISNUMBER(K239),K239,IF(AND(ISNUMBER(H239),ISNUMBER(I239)),H239+I239,IF(ISNUMBER(H239),H239,"")))</f>
        <v/>
      </c>
      <c r="AF239" s="18">
        <f>IF(OR(NOT(ISNUMBER(J239)),NOT(ISNUMBER(H239)),H239&lt;=0),기준표!$B$8,MIN(MAX(J239/H239,기준표!$B$6),기준표!$B$7))</f>
        <v/>
      </c>
      <c r="AG239" s="17">
        <f>IF(ISNUMBER(AE239),AE239*(1-AF239),"")</f>
        <v/>
      </c>
      <c r="AH239" s="17">
        <f>IF(AND(NOT(ISNUMBER(V239)),NOT(ISNUMBER(X239))),"",IF(ISNUMBER(V239),V239,0)+IF(ISNUMBER(X239),X239,0))</f>
        <v/>
      </c>
      <c r="AI239" s="17">
        <f>IF(E239="금융","",IF(AND(ISNUMBER(R239),ISNUMBER(AH239),ISNUMBER(T239)),R239+AH239-T239,""))</f>
        <v/>
      </c>
      <c r="AJ239" s="17">
        <f>IF(E239="금융","",IF(NOT(ISNUMBER(AI239)),"",IF(ISNUMBER(AC239),(AI239+AC239)/2,AI239)))</f>
        <v/>
      </c>
      <c r="AK239" s="19">
        <f>IF(AND(ISNUMBER(AG239),ISNUMBER(AJ239),AJ239&gt;0),AG239/AJ239,"")</f>
        <v/>
      </c>
      <c r="AL239" s="17">
        <f>IF(E239="금융","",IF(AND(ISNUMBER(R239),ISNUMBER(AH239)),R239+AH239,""))</f>
        <v/>
      </c>
      <c r="AM239" s="19">
        <f>IF(OR(NOT(ISNUMBER(AG239)),NOT(ISNUMBER(AL239)),AL239&lt;=0),"",IF(AND(ISNUMBER(G239),AL239&lt;0.1*G239),"",AG239/AL239))</f>
        <v/>
      </c>
      <c r="AN239" s="17">
        <f>IF(NOT(ISNUMBER(R239)),"",IF(ISNUMBER(S239),(R239+S239)/2,R239))</f>
        <v/>
      </c>
      <c r="AO239" s="19">
        <f>IF(AND(ISNUMBER(L239),ISNUMBER(AN239),AN239&gt;0),L239/AN239,"")</f>
        <v/>
      </c>
      <c r="AP239" s="19">
        <f>IF(AND(ISNUMBER(AO239),ISNUMBER({ROIC})),AO239-{ROIC},"")</f>
        <v/>
      </c>
      <c r="AQ239" s="17">
        <f>IF(AND(ISNUMBER(AE239),ISNUMBER(N239)),AE239+N239,"")</f>
        <v/>
      </c>
      <c r="AR239" s="20">
        <f>IF(AND(ISNUMBER(AH239),ISNUMBER(T239),ISNUMBER(AQ239),AQ239&gt;0),(AH239-T239)/AQ239,"")</f>
        <v/>
      </c>
      <c r="AS239" s="20">
        <f>IF(AND(ISNUMBER(AE239),ISNUMBER(I239),I239&lt;&gt;0,AE239&gt;0),AE239/I239,"")</f>
        <v/>
      </c>
      <c r="AT239" s="17">
        <f>IF(AND(ISNUMBER(Y239),ISNUMBER(AA239)),Y239-IF(ISNUMBER(T239),T239,0)-(AA239-IF(ISNUMBER(V239),V239,0)),"")</f>
        <v/>
      </c>
      <c r="AU239" s="17">
        <f>IF(AND(ISNUMBER(Z239),ISNUMBER(AB239)),Z239-IF(ISNUMBER(U239),U239,0)-(AB239-IF(ISNUMBER(W239),W239,0)),"")</f>
        <v/>
      </c>
      <c r="AV239" s="17">
        <f>IF(AND(ISNUMBER(AT239),ISNUMBER(AU239)),AT239-AU239,"")</f>
        <v/>
      </c>
      <c r="AW239" s="17">
        <f>IF(AND(ISNUMBER(L239),ISNUMBER(M239),ISNUMBER(AF239)),L239-M239*(1-AF239),IF(ISNUMBER(L239),L239,""))</f>
        <v/>
      </c>
      <c r="AX239" s="17">
        <f>IF(E239="금융","",IF(AND(ISNUMBER(AW239),ISNUMBER(N239),ISNUMBER(O239),ISNUMBER(AV239)),AW239+N239-O239-AV239,IF(AND(ISNUMBER(P239),ISNUMBER(O239)),P239-O239-IF(ISNUMBER(Q239),Q239,0),"")))</f>
        <v/>
      </c>
      <c r="AY239" s="8">
        <f>IF(E239="금융","금융업 - 정의되지 않음",IF(AND(ISNUMBER(AW239),ISNUMBER(N239),ISNUMBER(O239),ISNUMBER(AV239)),"영업순이익+감가상각-설비투자-운전자본증감",IF(AND(ISNUMBER(P239),ISNUMBER(O239)),IF(ISNUMBER(Q239),"영업현금흐름-설비투자-주식보상비용","영업현금흐름-설비투자(주식보상비용 미태깅)"),"산출불가")))</f>
        <v/>
      </c>
      <c r="AZ239" s="19">
        <f>IF(AND(ISNUMBER(AX239),ISNUMBER(G239),G239&lt;&gt;0),AX239/G239,"")</f>
        <v/>
      </c>
      <c r="BA239" s="19">
        <f>IF(AND(ISNUMBER(AE239),ISNUMBER(G239),G239&lt;&gt;0),AE239/G239,"")</f>
        <v/>
      </c>
    </row>
    <row r="240">
      <c r="A240" s="8" t="inlineStr">
        <is>
          <t>CSCO</t>
        </is>
      </c>
      <c r="B240" s="8" t="inlineStr">
        <is>
          <t>CISCO SYSTEMS, INC.</t>
        </is>
      </c>
      <c r="C240" s="8" t="n">
        <v>2023</v>
      </c>
      <c r="D240" s="8" t="inlineStr">
        <is>
          <t>2023-07-29</t>
        </is>
      </c>
      <c r="E240" s="8" t="inlineStr">
        <is>
          <t>일반</t>
        </is>
      </c>
      <c r="F240" s="8" t="inlineStr">
        <is>
          <t>0000858877-25-000111</t>
        </is>
      </c>
      <c r="G240" s="15" t="n">
        <v>56.998</v>
      </c>
      <c r="H240" s="15" t="n">
        <v>15.318</v>
      </c>
      <c r="I240" s="15" t="n">
        <v>0.427</v>
      </c>
      <c r="J240" s="15" t="n">
        <v>2.705</v>
      </c>
      <c r="K240" s="15" t="n">
        <v>15.031</v>
      </c>
      <c r="L240" s="15" t="n">
        <v>12.613</v>
      </c>
      <c r="M240" s="15" t="n">
        <v>-0.206</v>
      </c>
      <c r="N240" s="15" t="n">
        <v>0.7</v>
      </c>
      <c r="O240" s="15" t="n">
        <v>0.849</v>
      </c>
      <c r="P240" s="15" t="n">
        <v>19.886</v>
      </c>
      <c r="Q240" s="15" t="n">
        <v>2.353</v>
      </c>
      <c r="R240" s="15" t="n">
        <v>44.353</v>
      </c>
      <c r="S240" s="15" t="n">
        <v>39.773</v>
      </c>
      <c r="T240" s="15" t="n">
        <v>26.146</v>
      </c>
      <c r="U240" s="15" t="n">
        <v>19.267</v>
      </c>
      <c r="V240" s="15" t="n">
        <v>1.733</v>
      </c>
      <c r="W240" s="15" t="n">
        <v>1.099</v>
      </c>
      <c r="X240" s="15" t="n">
        <v>6.658</v>
      </c>
      <c r="Y240" s="15" t="n">
        <v>43.348</v>
      </c>
      <c r="Z240" s="15" t="n">
        <v>36.717</v>
      </c>
      <c r="AA240" s="15" t="n">
        <v>31.309</v>
      </c>
      <c r="AB240" s="15" t="n">
        <v>25.64</v>
      </c>
      <c r="AC240" s="15" t="n">
        <v>30.021</v>
      </c>
      <c r="AD240" s="16" t="n">
        <v>4066</v>
      </c>
      <c r="AE240" s="17">
        <f>IF(ISNUMBER(K240),K240,IF(AND(ISNUMBER(H240),ISNUMBER(I240)),H240+I240,IF(ISNUMBER(H240),H240,"")))</f>
        <v/>
      </c>
      <c r="AF240" s="18">
        <f>IF(OR(NOT(ISNUMBER(J240)),NOT(ISNUMBER(H240)),H240&lt;=0),기준표!$B$8,MIN(MAX(J240/H240,기준표!$B$6),기준표!$B$7))</f>
        <v/>
      </c>
      <c r="AG240" s="17">
        <f>IF(ISNUMBER(AE240),AE240*(1-AF240),"")</f>
        <v/>
      </c>
      <c r="AH240" s="17">
        <f>IF(AND(NOT(ISNUMBER(V240)),NOT(ISNUMBER(X240))),"",IF(ISNUMBER(V240),V240,0)+IF(ISNUMBER(X240),X240,0))</f>
        <v/>
      </c>
      <c r="AI240" s="17">
        <f>IF(E240="금융","",IF(AND(ISNUMBER(R240),ISNUMBER(AH240),ISNUMBER(T240)),R240+AH240-T240,""))</f>
        <v/>
      </c>
      <c r="AJ240" s="17">
        <f>IF(E240="금융","",IF(NOT(ISNUMBER(AI240)),"",IF(ISNUMBER(AC240),(AI240+AC240)/2,AI240)))</f>
        <v/>
      </c>
      <c r="AK240" s="19">
        <f>IF(AND(ISNUMBER(AG240),ISNUMBER(AJ240),AJ240&gt;0),AG240/AJ240,"")</f>
        <v/>
      </c>
      <c r="AL240" s="17">
        <f>IF(E240="금융","",IF(AND(ISNUMBER(R240),ISNUMBER(AH240)),R240+AH240,""))</f>
        <v/>
      </c>
      <c r="AM240" s="19">
        <f>IF(OR(NOT(ISNUMBER(AG240)),NOT(ISNUMBER(AL240)),AL240&lt;=0),"",IF(AND(ISNUMBER(G240),AL240&lt;0.1*G240),"",AG240/AL240))</f>
        <v/>
      </c>
      <c r="AN240" s="17">
        <f>IF(NOT(ISNUMBER(R240)),"",IF(ISNUMBER(S240),(R240+S240)/2,R240))</f>
        <v/>
      </c>
      <c r="AO240" s="19">
        <f>IF(AND(ISNUMBER(L240),ISNUMBER(AN240),AN240&gt;0),L240/AN240,"")</f>
        <v/>
      </c>
      <c r="AP240" s="19">
        <f>IF(AND(ISNUMBER(AO240),ISNUMBER({ROIC})),AO240-{ROIC},"")</f>
        <v/>
      </c>
      <c r="AQ240" s="17">
        <f>IF(AND(ISNUMBER(AE240),ISNUMBER(N240)),AE240+N240,"")</f>
        <v/>
      </c>
      <c r="AR240" s="20">
        <f>IF(AND(ISNUMBER(AH240),ISNUMBER(T240),ISNUMBER(AQ240),AQ240&gt;0),(AH240-T240)/AQ240,"")</f>
        <v/>
      </c>
      <c r="AS240" s="20">
        <f>IF(AND(ISNUMBER(AE240),ISNUMBER(I240),I240&lt;&gt;0,AE240&gt;0),AE240/I240,"")</f>
        <v/>
      </c>
      <c r="AT240" s="17">
        <f>IF(AND(ISNUMBER(Y240),ISNUMBER(AA240)),Y240-IF(ISNUMBER(T240),T240,0)-(AA240-IF(ISNUMBER(V240),V240,0)),"")</f>
        <v/>
      </c>
      <c r="AU240" s="17">
        <f>IF(AND(ISNUMBER(Z240),ISNUMBER(AB240)),Z240-IF(ISNUMBER(U240),U240,0)-(AB240-IF(ISNUMBER(W240),W240,0)),"")</f>
        <v/>
      </c>
      <c r="AV240" s="17">
        <f>IF(AND(ISNUMBER(AT240),ISNUMBER(AU240)),AT240-AU240,"")</f>
        <v/>
      </c>
      <c r="AW240" s="17">
        <f>IF(AND(ISNUMBER(L240),ISNUMBER(M240),ISNUMBER(AF240)),L240-M240*(1-AF240),IF(ISNUMBER(L240),L240,""))</f>
        <v/>
      </c>
      <c r="AX240" s="17">
        <f>IF(E240="금융","",IF(AND(ISNUMBER(AW240),ISNUMBER(N240),ISNUMBER(O240),ISNUMBER(AV240)),AW240+N240-O240-AV240,IF(AND(ISNUMBER(P240),ISNUMBER(O240)),P240-O240-IF(ISNUMBER(Q240),Q240,0),"")))</f>
        <v/>
      </c>
      <c r="AY240" s="8">
        <f>IF(E240="금융","금융업 - 정의되지 않음",IF(AND(ISNUMBER(AW240),ISNUMBER(N240),ISNUMBER(O240),ISNUMBER(AV240)),"영업순이익+감가상각-설비투자-운전자본증감",IF(AND(ISNUMBER(P240),ISNUMBER(O240)),IF(ISNUMBER(Q240),"영업현금흐름-설비투자-주식보상비용","영업현금흐름-설비투자(주식보상비용 미태깅)"),"산출불가")))</f>
        <v/>
      </c>
      <c r="AZ240" s="19">
        <f>IF(AND(ISNUMBER(AX240),ISNUMBER(G240),G240&lt;&gt;0),AX240/G240,"")</f>
        <v/>
      </c>
      <c r="BA240" s="19">
        <f>IF(AND(ISNUMBER(AE240),ISNUMBER(G240),G240&lt;&gt;0),AE240/G240,"")</f>
        <v/>
      </c>
    </row>
    <row r="241">
      <c r="A241" s="8" t="inlineStr">
        <is>
          <t>CSCO</t>
        </is>
      </c>
      <c r="B241" s="8" t="inlineStr">
        <is>
          <t>CISCO SYSTEMS, INC.</t>
        </is>
      </c>
      <c r="C241" s="8" t="n">
        <v>2024</v>
      </c>
      <c r="D241" s="8" t="inlineStr">
        <is>
          <t>2024-07-27</t>
        </is>
      </c>
      <c r="E241" s="8" t="inlineStr">
        <is>
          <t>일반</t>
        </is>
      </c>
      <c r="F241" s="8" t="inlineStr">
        <is>
          <t>0000858877-25-000111</t>
        </is>
      </c>
      <c r="G241" s="15" t="n">
        <v>53.803</v>
      </c>
      <c r="H241" s="15" t="n">
        <v>12.234</v>
      </c>
      <c r="I241" s="15" t="n">
        <v>1.006</v>
      </c>
      <c r="J241" s="15" t="n">
        <v>1.914</v>
      </c>
      <c r="K241" s="15" t="n">
        <v>12.181</v>
      </c>
      <c r="L241" s="15" t="n">
        <v>10.32</v>
      </c>
      <c r="M241" s="15" t="n">
        <v>-0.215</v>
      </c>
      <c r="N241" s="15" t="n">
        <v>0.7</v>
      </c>
      <c r="O241" s="15" t="n">
        <v>0.67</v>
      </c>
      <c r="P241" s="15" t="n">
        <v>10.88</v>
      </c>
      <c r="Q241" s="15" t="n">
        <v>3.074</v>
      </c>
      <c r="R241" s="15" t="n">
        <v>45.457</v>
      </c>
      <c r="S241" s="15" t="n">
        <v>44.353</v>
      </c>
      <c r="T241" s="15" t="n">
        <v>17.854</v>
      </c>
      <c r="U241" s="15" t="n">
        <v>26.146</v>
      </c>
      <c r="V241" s="15" t="n">
        <v>11.341</v>
      </c>
      <c r="W241" s="15" t="n">
        <v>1.733</v>
      </c>
      <c r="X241" s="15" t="n">
        <v>19.621</v>
      </c>
      <c r="Y241" s="15" t="n">
        <v>36.862</v>
      </c>
      <c r="Z241" s="15" t="n">
        <v>43.348</v>
      </c>
      <c r="AA241" s="15" t="n">
        <v>40.584</v>
      </c>
      <c r="AB241" s="15" t="n">
        <v>31.309</v>
      </c>
      <c r="AC241" s="15" t="n">
        <v>26.598</v>
      </c>
      <c r="AD241" s="16" t="n">
        <v>4007</v>
      </c>
      <c r="AE241" s="17">
        <f>IF(ISNUMBER(K241),K241,IF(AND(ISNUMBER(H241),ISNUMBER(I241)),H241+I241,IF(ISNUMBER(H241),H241,"")))</f>
        <v/>
      </c>
      <c r="AF241" s="18">
        <f>IF(OR(NOT(ISNUMBER(J241)),NOT(ISNUMBER(H241)),H241&lt;=0),기준표!$B$8,MIN(MAX(J241/H241,기준표!$B$6),기준표!$B$7))</f>
        <v/>
      </c>
      <c r="AG241" s="17">
        <f>IF(ISNUMBER(AE241),AE241*(1-AF241),"")</f>
        <v/>
      </c>
      <c r="AH241" s="17">
        <f>IF(AND(NOT(ISNUMBER(V241)),NOT(ISNUMBER(X241))),"",IF(ISNUMBER(V241),V241,0)+IF(ISNUMBER(X241),X241,0))</f>
        <v/>
      </c>
      <c r="AI241" s="17">
        <f>IF(E241="금융","",IF(AND(ISNUMBER(R241),ISNUMBER(AH241),ISNUMBER(T241)),R241+AH241-T241,""))</f>
        <v/>
      </c>
      <c r="AJ241" s="17">
        <f>IF(E241="금융","",IF(NOT(ISNUMBER(AI241)),"",IF(ISNUMBER(AC241),(AI241+AC241)/2,AI241)))</f>
        <v/>
      </c>
      <c r="AK241" s="19">
        <f>IF(AND(ISNUMBER(AG241),ISNUMBER(AJ241),AJ241&gt;0),AG241/AJ241,"")</f>
        <v/>
      </c>
      <c r="AL241" s="17">
        <f>IF(E241="금융","",IF(AND(ISNUMBER(R241),ISNUMBER(AH241)),R241+AH241,""))</f>
        <v/>
      </c>
      <c r="AM241" s="19">
        <f>IF(OR(NOT(ISNUMBER(AG241)),NOT(ISNUMBER(AL241)),AL241&lt;=0),"",IF(AND(ISNUMBER(G241),AL241&lt;0.1*G241),"",AG241/AL241))</f>
        <v/>
      </c>
      <c r="AN241" s="17">
        <f>IF(NOT(ISNUMBER(R241)),"",IF(ISNUMBER(S241),(R241+S241)/2,R241))</f>
        <v/>
      </c>
      <c r="AO241" s="19">
        <f>IF(AND(ISNUMBER(L241),ISNUMBER(AN241),AN241&gt;0),L241/AN241,"")</f>
        <v/>
      </c>
      <c r="AP241" s="19">
        <f>IF(AND(ISNUMBER(AO241),ISNUMBER({ROIC})),AO241-{ROIC},"")</f>
        <v/>
      </c>
      <c r="AQ241" s="17">
        <f>IF(AND(ISNUMBER(AE241),ISNUMBER(N241)),AE241+N241,"")</f>
        <v/>
      </c>
      <c r="AR241" s="20">
        <f>IF(AND(ISNUMBER(AH241),ISNUMBER(T241),ISNUMBER(AQ241),AQ241&gt;0),(AH241-T241)/AQ241,"")</f>
        <v/>
      </c>
      <c r="AS241" s="20">
        <f>IF(AND(ISNUMBER(AE241),ISNUMBER(I241),I241&lt;&gt;0,AE241&gt;0),AE241/I241,"")</f>
        <v/>
      </c>
      <c r="AT241" s="17">
        <f>IF(AND(ISNUMBER(Y241),ISNUMBER(AA241)),Y241-IF(ISNUMBER(T241),T241,0)-(AA241-IF(ISNUMBER(V241),V241,0)),"")</f>
        <v/>
      </c>
      <c r="AU241" s="17">
        <f>IF(AND(ISNUMBER(Z241),ISNUMBER(AB241)),Z241-IF(ISNUMBER(U241),U241,0)-(AB241-IF(ISNUMBER(W241),W241,0)),"")</f>
        <v/>
      </c>
      <c r="AV241" s="17">
        <f>IF(AND(ISNUMBER(AT241),ISNUMBER(AU241)),AT241-AU241,"")</f>
        <v/>
      </c>
      <c r="AW241" s="17">
        <f>IF(AND(ISNUMBER(L241),ISNUMBER(M241),ISNUMBER(AF241)),L241-M241*(1-AF241),IF(ISNUMBER(L241),L241,""))</f>
        <v/>
      </c>
      <c r="AX241" s="17">
        <f>IF(E241="금융","",IF(AND(ISNUMBER(AW241),ISNUMBER(N241),ISNUMBER(O241),ISNUMBER(AV241)),AW241+N241-O241-AV241,IF(AND(ISNUMBER(P241),ISNUMBER(O241)),P241-O241-IF(ISNUMBER(Q241),Q241,0),"")))</f>
        <v/>
      </c>
      <c r="AY241" s="8">
        <f>IF(E241="금융","금융업 - 정의되지 않음",IF(AND(ISNUMBER(AW241),ISNUMBER(N241),ISNUMBER(O241),ISNUMBER(AV241)),"영업순이익+감가상각-설비투자-운전자본증감",IF(AND(ISNUMBER(P241),ISNUMBER(O241)),IF(ISNUMBER(Q241),"영업현금흐름-설비투자-주식보상비용","영업현금흐름-설비투자(주식보상비용 미태깅)"),"산출불가")))</f>
        <v/>
      </c>
      <c r="AZ241" s="19">
        <f>IF(AND(ISNUMBER(AX241),ISNUMBER(G241),G241&lt;&gt;0),AX241/G241,"")</f>
        <v/>
      </c>
      <c r="BA241" s="19">
        <f>IF(AND(ISNUMBER(AE241),ISNUMBER(G241),G241&lt;&gt;0),AE241/G241,"")</f>
        <v/>
      </c>
    </row>
    <row r="242">
      <c r="A242" s="8" t="inlineStr">
        <is>
          <t>CSCO</t>
        </is>
      </c>
      <c r="B242" s="8" t="inlineStr">
        <is>
          <t>CISCO SYSTEMS, INC.</t>
        </is>
      </c>
      <c r="C242" s="8" t="n">
        <v>2025</v>
      </c>
      <c r="D242" s="8" t="inlineStr">
        <is>
          <t>2025-07-26</t>
        </is>
      </c>
      <c r="E242" s="8" t="inlineStr">
        <is>
          <t>일반</t>
        </is>
      </c>
      <c r="F242" s="8" t="inlineStr">
        <is>
          <t>0000858877-25-000111</t>
        </is>
      </c>
      <c r="G242" s="15" t="n">
        <v>56.654</v>
      </c>
      <c r="H242" s="15" t="n">
        <v>11.1</v>
      </c>
      <c r="I242" s="15" t="n">
        <v>1.593</v>
      </c>
      <c r="J242" s="15" t="n">
        <v>0.92</v>
      </c>
      <c r="K242" s="15" t="n">
        <v>11.76</v>
      </c>
      <c r="L242" s="15" t="n">
        <v>10.18</v>
      </c>
      <c r="M242" s="15" t="n">
        <v>0.038</v>
      </c>
      <c r="N242" s="15" t="n">
        <v>0.7</v>
      </c>
      <c r="O242" s="15" t="n">
        <v>0.905</v>
      </c>
      <c r="P242" s="15" t="n">
        <v>14.193</v>
      </c>
      <c r="Q242" s="15" t="n">
        <v>3.641</v>
      </c>
      <c r="R242" s="15" t="n">
        <v>46.843</v>
      </c>
      <c r="S242" s="15" t="n">
        <v>45.457</v>
      </c>
      <c r="T242" s="15" t="n">
        <v>16.11</v>
      </c>
      <c r="U242" s="15" t="n">
        <v>17.854</v>
      </c>
      <c r="V242" s="15" t="n">
        <v>5.232</v>
      </c>
      <c r="W242" s="15" t="n">
        <v>11.341</v>
      </c>
      <c r="X242" s="15" t="n">
        <v>22.861</v>
      </c>
      <c r="Y242" s="15" t="n">
        <v>34.986</v>
      </c>
      <c r="Z242" s="15" t="n">
        <v>36.862</v>
      </c>
      <c r="AA242" s="15" t="n">
        <v>35.064</v>
      </c>
      <c r="AB242" s="15" t="n">
        <v>40.584</v>
      </c>
      <c r="AC242" s="15" t="n">
        <v>58.565</v>
      </c>
      <c r="AD242" s="16" t="n">
        <v>3960</v>
      </c>
      <c r="AE242" s="17">
        <f>IF(ISNUMBER(K242),K242,IF(AND(ISNUMBER(H242),ISNUMBER(I242)),H242+I242,IF(ISNUMBER(H242),H242,"")))</f>
        <v/>
      </c>
      <c r="AF242" s="18">
        <f>IF(OR(NOT(ISNUMBER(J242)),NOT(ISNUMBER(H242)),H242&lt;=0),기준표!$B$8,MIN(MAX(J242/H242,기준표!$B$6),기준표!$B$7))</f>
        <v/>
      </c>
      <c r="AG242" s="17">
        <f>IF(ISNUMBER(AE242),AE242*(1-AF242),"")</f>
        <v/>
      </c>
      <c r="AH242" s="17">
        <f>IF(AND(NOT(ISNUMBER(V242)),NOT(ISNUMBER(X242))),"",IF(ISNUMBER(V242),V242,0)+IF(ISNUMBER(X242),X242,0))</f>
        <v/>
      </c>
      <c r="AI242" s="17">
        <f>IF(E242="금융","",IF(AND(ISNUMBER(R242),ISNUMBER(AH242),ISNUMBER(T242)),R242+AH242-T242,""))</f>
        <v/>
      </c>
      <c r="AJ242" s="17">
        <f>IF(E242="금융","",IF(NOT(ISNUMBER(AI242)),"",IF(ISNUMBER(AC242),(AI242+AC242)/2,AI242)))</f>
        <v/>
      </c>
      <c r="AK242" s="19">
        <f>IF(AND(ISNUMBER(AG242),ISNUMBER(AJ242),AJ242&gt;0),AG242/AJ242,"")</f>
        <v/>
      </c>
      <c r="AL242" s="17">
        <f>IF(E242="금융","",IF(AND(ISNUMBER(R242),ISNUMBER(AH242)),R242+AH242,""))</f>
        <v/>
      </c>
      <c r="AM242" s="19">
        <f>IF(OR(NOT(ISNUMBER(AG242)),NOT(ISNUMBER(AL242)),AL242&lt;=0),"",IF(AND(ISNUMBER(G242),AL242&lt;0.1*G242),"",AG242/AL242))</f>
        <v/>
      </c>
      <c r="AN242" s="17">
        <f>IF(NOT(ISNUMBER(R242)),"",IF(ISNUMBER(S242),(R242+S242)/2,R242))</f>
        <v/>
      </c>
      <c r="AO242" s="19">
        <f>IF(AND(ISNUMBER(L242),ISNUMBER(AN242),AN242&gt;0),L242/AN242,"")</f>
        <v/>
      </c>
      <c r="AP242" s="19">
        <f>IF(AND(ISNUMBER(AO242),ISNUMBER({ROIC})),AO242-{ROIC},"")</f>
        <v/>
      </c>
      <c r="AQ242" s="17">
        <f>IF(AND(ISNUMBER(AE242),ISNUMBER(N242)),AE242+N242,"")</f>
        <v/>
      </c>
      <c r="AR242" s="20">
        <f>IF(AND(ISNUMBER(AH242),ISNUMBER(T242),ISNUMBER(AQ242),AQ242&gt;0),(AH242-T242)/AQ242,"")</f>
        <v/>
      </c>
      <c r="AS242" s="20">
        <f>IF(AND(ISNUMBER(AE242),ISNUMBER(I242),I242&lt;&gt;0,AE242&gt;0),AE242/I242,"")</f>
        <v/>
      </c>
      <c r="AT242" s="17">
        <f>IF(AND(ISNUMBER(Y242),ISNUMBER(AA242)),Y242-IF(ISNUMBER(T242),T242,0)-(AA242-IF(ISNUMBER(V242),V242,0)),"")</f>
        <v/>
      </c>
      <c r="AU242" s="17">
        <f>IF(AND(ISNUMBER(Z242),ISNUMBER(AB242)),Z242-IF(ISNUMBER(U242),U242,0)-(AB242-IF(ISNUMBER(W242),W242,0)),"")</f>
        <v/>
      </c>
      <c r="AV242" s="17">
        <f>IF(AND(ISNUMBER(AT242),ISNUMBER(AU242)),AT242-AU242,"")</f>
        <v/>
      </c>
      <c r="AW242" s="17">
        <f>IF(AND(ISNUMBER(L242),ISNUMBER(M242),ISNUMBER(AF242)),L242-M242*(1-AF242),IF(ISNUMBER(L242),L242,""))</f>
        <v/>
      </c>
      <c r="AX242" s="17">
        <f>IF(E242="금융","",IF(AND(ISNUMBER(AW242),ISNUMBER(N242),ISNUMBER(O242),ISNUMBER(AV242)),AW242+N242-O242-AV242,IF(AND(ISNUMBER(P242),ISNUMBER(O242)),P242-O242-IF(ISNUMBER(Q242),Q242,0),"")))</f>
        <v/>
      </c>
      <c r="AY242" s="8">
        <f>IF(E242="금융","금융업 - 정의되지 않음",IF(AND(ISNUMBER(AW242),ISNUMBER(N242),ISNUMBER(O242),ISNUMBER(AV242)),"영업순이익+감가상각-설비투자-운전자본증감",IF(AND(ISNUMBER(P242),ISNUMBER(O242)),IF(ISNUMBER(Q242),"영업현금흐름-설비투자-주식보상비용","영업현금흐름-설비투자(주식보상비용 미태깅)"),"산출불가")))</f>
        <v/>
      </c>
      <c r="AZ242" s="19">
        <f>IF(AND(ISNUMBER(AX242),ISNUMBER(G242),G242&lt;&gt;0),AX242/G242,"")</f>
        <v/>
      </c>
      <c r="BA242" s="19">
        <f>IF(AND(ISNUMBER(AE242),ISNUMBER(G242),G242&lt;&gt;0),AE242/G242,"")</f>
        <v/>
      </c>
    </row>
    <row r="243">
      <c r="A243" s="8" t="inlineStr">
        <is>
          <t>BAC</t>
        </is>
      </c>
      <c r="B243" s="8" t="inlineStr">
        <is>
          <t>BANK OF AMERICA CORP /DE/</t>
        </is>
      </c>
      <c r="C243" s="8" t="n">
        <v>2014</v>
      </c>
      <c r="D243" s="8" t="inlineStr">
        <is>
          <t>2014-12-31</t>
        </is>
      </c>
      <c r="E243" s="8" t="inlineStr">
        <is>
          <t>금융</t>
        </is>
      </c>
      <c r="F243" s="8" t="inlineStr">
        <is>
          <t>0000070858-17-000013</t>
        </is>
      </c>
      <c r="G243" s="15" t="n">
        <v>85.89400000000001</v>
      </c>
      <c r="H243" s="15" t="n">
        <v>7.963</v>
      </c>
      <c r="I243" s="15" t="n">
        <v>40.779</v>
      </c>
      <c r="J243" s="15" t="n">
        <v>2.443</v>
      </c>
      <c r="K243" s="15" t="n"/>
      <c r="L243" s="15" t="n">
        <v>5.52</v>
      </c>
      <c r="M243" s="15" t="n"/>
      <c r="N243" s="15" t="n"/>
      <c r="O243" s="15" t="n"/>
      <c r="P243" s="15" t="n"/>
      <c r="Q243" s="15" t="n">
        <v>0.078</v>
      </c>
      <c r="R243" s="15" t="n">
        <v>243.476</v>
      </c>
      <c r="S243" s="15" t="n"/>
      <c r="T243" s="15" t="n"/>
      <c r="U243" s="15" t="n"/>
      <c r="V243" s="15" t="n">
        <v>31.172</v>
      </c>
      <c r="W243" s="15" t="n"/>
      <c r="X243" s="15" t="n">
        <v>243.139</v>
      </c>
      <c r="Y243" s="15" t="n"/>
      <c r="Z243" s="15" t="n"/>
      <c r="AA243" s="15" t="n"/>
      <c r="AB243" s="15" t="n"/>
      <c r="AC243" s="15" t="n"/>
      <c r="AD243" s="16" t="n">
        <v>10516.542476</v>
      </c>
      <c r="AE243" s="17">
        <f>IF(ISNUMBER(K243),K243,IF(AND(ISNUMBER(H243),ISNUMBER(I243)),H243+I243,IF(ISNUMBER(H243),H243,"")))</f>
        <v/>
      </c>
      <c r="AF243" s="18">
        <f>IF(OR(NOT(ISNUMBER(J243)),NOT(ISNUMBER(H243)),H243&lt;=0),기준표!$B$8,MIN(MAX(J243/H243,기준표!$B$6),기준표!$B$7))</f>
        <v/>
      </c>
      <c r="AG243" s="17">
        <f>IF(ISNUMBER(AE243),AE243*(1-AF243),"")</f>
        <v/>
      </c>
      <c r="AH243" s="17">
        <f>IF(AND(NOT(ISNUMBER(V243)),NOT(ISNUMBER(X243))),"",IF(ISNUMBER(V243),V243,0)+IF(ISNUMBER(X243),X243,0))</f>
        <v/>
      </c>
      <c r="AI243" s="17">
        <f>IF(E243="금융","",IF(AND(ISNUMBER(R243),ISNUMBER(AH243),ISNUMBER(T243)),R243+AH243-T243,""))</f>
        <v/>
      </c>
      <c r="AJ243" s="17">
        <f>IF(E243="금융","",IF(NOT(ISNUMBER(AI243)),"",IF(ISNUMBER(AC243),(AI243+AC243)/2,AI243)))</f>
        <v/>
      </c>
      <c r="AK243" s="19">
        <f>IF(AND(ISNUMBER(AG243),ISNUMBER(AJ243),AJ243&gt;0),AG243/AJ243,"")</f>
        <v/>
      </c>
      <c r="AL243" s="17">
        <f>IF(E243="금융","",IF(AND(ISNUMBER(R243),ISNUMBER(AH243)),R243+AH243,""))</f>
        <v/>
      </c>
      <c r="AM243" s="19">
        <f>IF(OR(NOT(ISNUMBER(AG243)),NOT(ISNUMBER(AL243)),AL243&lt;=0),"",IF(AND(ISNUMBER(G243),AL243&lt;0.1*G243),"",AG243/AL243))</f>
        <v/>
      </c>
      <c r="AN243" s="17">
        <f>IF(NOT(ISNUMBER(R243)),"",IF(ISNUMBER(S243),(R243+S243)/2,R243))</f>
        <v/>
      </c>
      <c r="AO243" s="19">
        <f>IF(AND(ISNUMBER(L243),ISNUMBER(AN243),AN243&gt;0),L243/AN243,"")</f>
        <v/>
      </c>
      <c r="AP243" s="19">
        <f>IF(AND(ISNUMBER(AO243),ISNUMBER({ROIC})),AO243-{ROIC},"")</f>
        <v/>
      </c>
      <c r="AQ243" s="17">
        <f>IF(AND(ISNUMBER(AE243),ISNUMBER(N243)),AE243+N243,"")</f>
        <v/>
      </c>
      <c r="AR243" s="20">
        <f>IF(AND(ISNUMBER(AH243),ISNUMBER(T243),ISNUMBER(AQ243),AQ243&gt;0),(AH243-T243)/AQ243,"")</f>
        <v/>
      </c>
      <c r="AS243" s="20">
        <f>IF(AND(ISNUMBER(AE243),ISNUMBER(I243),I243&lt;&gt;0,AE243&gt;0),AE243/I243,"")</f>
        <v/>
      </c>
      <c r="AT243" s="17">
        <f>IF(AND(ISNUMBER(Y243),ISNUMBER(AA243)),Y243-IF(ISNUMBER(T243),T243,0)-(AA243-IF(ISNUMBER(V243),V243,0)),"")</f>
        <v/>
      </c>
      <c r="AU243" s="17">
        <f>IF(AND(ISNUMBER(Z243),ISNUMBER(AB243)),Z243-IF(ISNUMBER(U243),U243,0)-(AB243-IF(ISNUMBER(W243),W243,0)),"")</f>
        <v/>
      </c>
      <c r="AV243" s="17">
        <f>IF(AND(ISNUMBER(AT243),ISNUMBER(AU243)),AT243-AU243,"")</f>
        <v/>
      </c>
      <c r="AW243" s="17">
        <f>IF(AND(ISNUMBER(L243),ISNUMBER(M243),ISNUMBER(AF243)),L243-M243*(1-AF243),IF(ISNUMBER(L243),L243,""))</f>
        <v/>
      </c>
      <c r="AX243" s="17">
        <f>IF(E243="금융","",IF(AND(ISNUMBER(AW243),ISNUMBER(N243),ISNUMBER(O243),ISNUMBER(AV243)),AW243+N243-O243-AV243,IF(AND(ISNUMBER(P243),ISNUMBER(O243)),P243-O243-IF(ISNUMBER(Q243),Q243,0),"")))</f>
        <v/>
      </c>
      <c r="AY243" s="8">
        <f>IF(E243="금융","금융업 - 정의되지 않음",IF(AND(ISNUMBER(AW243),ISNUMBER(N243),ISNUMBER(O243),ISNUMBER(AV243)),"영업순이익+감가상각-설비투자-운전자본증감",IF(AND(ISNUMBER(P243),ISNUMBER(O243)),IF(ISNUMBER(Q243),"영업현금흐름-설비투자-주식보상비용","영업현금흐름-설비투자(주식보상비용 미태깅)"),"산출불가")))</f>
        <v/>
      </c>
      <c r="AZ243" s="19">
        <f>IF(AND(ISNUMBER(AX243),ISNUMBER(G243),G243&lt;&gt;0),AX243/G243,"")</f>
        <v/>
      </c>
      <c r="BA243" s="19">
        <f>IF(AND(ISNUMBER(AE243),ISNUMBER(G243),G243&lt;&gt;0),AE243/G243,"")</f>
        <v/>
      </c>
    </row>
    <row r="244">
      <c r="A244" s="8" t="inlineStr">
        <is>
          <t>BAC</t>
        </is>
      </c>
      <c r="B244" s="8" t="inlineStr">
        <is>
          <t>BANK OF AMERICA CORP /DE/</t>
        </is>
      </c>
      <c r="C244" s="8" t="n">
        <v>2015</v>
      </c>
      <c r="D244" s="8" t="inlineStr">
        <is>
          <t>2015-12-31</t>
        </is>
      </c>
      <c r="E244" s="8" t="inlineStr">
        <is>
          <t>금융</t>
        </is>
      </c>
      <c r="F244" s="8" t="inlineStr">
        <is>
          <t>0000070858-18-000009</t>
        </is>
      </c>
      <c r="G244" s="15" t="n">
        <v>82.965</v>
      </c>
      <c r="H244" s="15" t="n">
        <v>22.187</v>
      </c>
      <c r="I244" s="15" t="n">
        <v>38.958</v>
      </c>
      <c r="J244" s="15" t="n">
        <v>6.277</v>
      </c>
      <c r="K244" s="15" t="n"/>
      <c r="L244" s="15" t="n">
        <v>15.91</v>
      </c>
      <c r="M244" s="15" t="n"/>
      <c r="N244" s="15" t="n"/>
      <c r="O244" s="15" t="n"/>
      <c r="P244" s="15" t="n"/>
      <c r="Q244" s="15" t="n">
        <v>-0.089</v>
      </c>
      <c r="R244" s="15" t="n">
        <v>255.615</v>
      </c>
      <c r="S244" s="15" t="n">
        <v>243.476</v>
      </c>
      <c r="T244" s="15" t="n"/>
      <c r="U244" s="15" t="n"/>
      <c r="V244" s="15" t="n">
        <v>28.098</v>
      </c>
      <c r="W244" s="15" t="n">
        <v>31.172</v>
      </c>
      <c r="X244" s="15" t="n">
        <v>236.764</v>
      </c>
      <c r="Y244" s="15" t="n"/>
      <c r="Z244" s="15" t="n"/>
      <c r="AA244" s="15" t="n"/>
      <c r="AB244" s="15" t="n"/>
      <c r="AC244" s="15" t="n"/>
      <c r="AD244" s="16" t="n">
        <v>10380.265063</v>
      </c>
      <c r="AE244" s="17">
        <f>IF(ISNUMBER(K244),K244,IF(AND(ISNUMBER(H244),ISNUMBER(I244)),H244+I244,IF(ISNUMBER(H244),H244,"")))</f>
        <v/>
      </c>
      <c r="AF244" s="18">
        <f>IF(OR(NOT(ISNUMBER(J244)),NOT(ISNUMBER(H244)),H244&lt;=0),기준표!$B$8,MIN(MAX(J244/H244,기준표!$B$6),기준표!$B$7))</f>
        <v/>
      </c>
      <c r="AG244" s="17">
        <f>IF(ISNUMBER(AE244),AE244*(1-AF244),"")</f>
        <v/>
      </c>
      <c r="AH244" s="17">
        <f>IF(AND(NOT(ISNUMBER(V244)),NOT(ISNUMBER(X244))),"",IF(ISNUMBER(V244),V244,0)+IF(ISNUMBER(X244),X244,0))</f>
        <v/>
      </c>
      <c r="AI244" s="17">
        <f>IF(E244="금융","",IF(AND(ISNUMBER(R244),ISNUMBER(AH244),ISNUMBER(T244)),R244+AH244-T244,""))</f>
        <v/>
      </c>
      <c r="AJ244" s="17">
        <f>IF(E244="금융","",IF(NOT(ISNUMBER(AI244)),"",IF(ISNUMBER(AC244),(AI244+AC244)/2,AI244)))</f>
        <v/>
      </c>
      <c r="AK244" s="19">
        <f>IF(AND(ISNUMBER(AG244),ISNUMBER(AJ244),AJ244&gt;0),AG244/AJ244,"")</f>
        <v/>
      </c>
      <c r="AL244" s="17">
        <f>IF(E244="금융","",IF(AND(ISNUMBER(R244),ISNUMBER(AH244)),R244+AH244,""))</f>
        <v/>
      </c>
      <c r="AM244" s="19">
        <f>IF(OR(NOT(ISNUMBER(AG244)),NOT(ISNUMBER(AL244)),AL244&lt;=0),"",IF(AND(ISNUMBER(G244),AL244&lt;0.1*G244),"",AG244/AL244))</f>
        <v/>
      </c>
      <c r="AN244" s="17">
        <f>IF(NOT(ISNUMBER(R244)),"",IF(ISNUMBER(S244),(R244+S244)/2,R244))</f>
        <v/>
      </c>
      <c r="AO244" s="19">
        <f>IF(AND(ISNUMBER(L244),ISNUMBER(AN244),AN244&gt;0),L244/AN244,"")</f>
        <v/>
      </c>
      <c r="AP244" s="19">
        <f>IF(AND(ISNUMBER(AO244),ISNUMBER({ROIC})),AO244-{ROIC},"")</f>
        <v/>
      </c>
      <c r="AQ244" s="17">
        <f>IF(AND(ISNUMBER(AE244),ISNUMBER(N244)),AE244+N244,"")</f>
        <v/>
      </c>
      <c r="AR244" s="20">
        <f>IF(AND(ISNUMBER(AH244),ISNUMBER(T244),ISNUMBER(AQ244),AQ244&gt;0),(AH244-T244)/AQ244,"")</f>
        <v/>
      </c>
      <c r="AS244" s="20">
        <f>IF(AND(ISNUMBER(AE244),ISNUMBER(I244),I244&lt;&gt;0,AE244&gt;0),AE244/I244,"")</f>
        <v/>
      </c>
      <c r="AT244" s="17">
        <f>IF(AND(ISNUMBER(Y244),ISNUMBER(AA244)),Y244-IF(ISNUMBER(T244),T244,0)-(AA244-IF(ISNUMBER(V244),V244,0)),"")</f>
        <v/>
      </c>
      <c r="AU244" s="17">
        <f>IF(AND(ISNUMBER(Z244),ISNUMBER(AB244)),Z244-IF(ISNUMBER(U244),U244,0)-(AB244-IF(ISNUMBER(W244),W244,0)),"")</f>
        <v/>
      </c>
      <c r="AV244" s="17">
        <f>IF(AND(ISNUMBER(AT244),ISNUMBER(AU244)),AT244-AU244,"")</f>
        <v/>
      </c>
      <c r="AW244" s="17">
        <f>IF(AND(ISNUMBER(L244),ISNUMBER(M244),ISNUMBER(AF244)),L244-M244*(1-AF244),IF(ISNUMBER(L244),L244,""))</f>
        <v/>
      </c>
      <c r="AX244" s="17">
        <f>IF(E244="금융","",IF(AND(ISNUMBER(AW244),ISNUMBER(N244),ISNUMBER(O244),ISNUMBER(AV244)),AW244+N244-O244-AV244,IF(AND(ISNUMBER(P244),ISNUMBER(O244)),P244-O244-IF(ISNUMBER(Q244),Q244,0),"")))</f>
        <v/>
      </c>
      <c r="AY244" s="8">
        <f>IF(E244="금융","금융업 - 정의되지 않음",IF(AND(ISNUMBER(AW244),ISNUMBER(N244),ISNUMBER(O244),ISNUMBER(AV244)),"영업순이익+감가상각-설비투자-운전자본증감",IF(AND(ISNUMBER(P244),ISNUMBER(O244)),IF(ISNUMBER(Q244),"영업현금흐름-설비투자-주식보상비용","영업현금흐름-설비투자(주식보상비용 미태깅)"),"산출불가")))</f>
        <v/>
      </c>
      <c r="AZ244" s="19">
        <f>IF(AND(ISNUMBER(AX244),ISNUMBER(G244),G244&lt;&gt;0),AX244/G244,"")</f>
        <v/>
      </c>
      <c r="BA244" s="19">
        <f>IF(AND(ISNUMBER(AE244),ISNUMBER(G244),G244&lt;&gt;0),AE244/G244,"")</f>
        <v/>
      </c>
    </row>
    <row r="245">
      <c r="A245" s="8" t="inlineStr">
        <is>
          <t>BAC</t>
        </is>
      </c>
      <c r="B245" s="8" t="inlineStr">
        <is>
          <t>BANK OF AMERICA CORP /DE/</t>
        </is>
      </c>
      <c r="C245" s="8" t="n">
        <v>2016</v>
      </c>
      <c r="D245" s="8" t="inlineStr">
        <is>
          <t>2016-12-31</t>
        </is>
      </c>
      <c r="E245" s="8" t="inlineStr">
        <is>
          <t>금융</t>
        </is>
      </c>
      <c r="F245" s="8" t="inlineStr">
        <is>
          <t>0000070858-19-000012</t>
        </is>
      </c>
      <c r="G245" s="15" t="n">
        <v>83.70099999999999</v>
      </c>
      <c r="H245" s="15" t="n">
        <v>25.021</v>
      </c>
      <c r="I245" s="15" t="n">
        <v>41.096</v>
      </c>
      <c r="J245" s="15" t="n">
        <v>7.199</v>
      </c>
      <c r="K245" s="15" t="n"/>
      <c r="L245" s="15" t="n">
        <v>17.822</v>
      </c>
      <c r="M245" s="15" t="n"/>
      <c r="N245" s="15" t="n"/>
      <c r="O245" s="15" t="n"/>
      <c r="P245" s="15" t="n">
        <v>17.277</v>
      </c>
      <c r="Q245" s="15" t="n">
        <v>1.367</v>
      </c>
      <c r="R245" s="15" t="n">
        <v>266.195</v>
      </c>
      <c r="S245" s="15" t="n">
        <v>255.615</v>
      </c>
      <c r="T245" s="15" t="n">
        <v>147.738</v>
      </c>
      <c r="U245" s="15" t="n"/>
      <c r="V245" s="15" t="n">
        <v>23.944</v>
      </c>
      <c r="W245" s="15" t="n">
        <v>28.098</v>
      </c>
      <c r="X245" s="15" t="n">
        <v>216.823</v>
      </c>
      <c r="Y245" s="15" t="n"/>
      <c r="Z245" s="15" t="n"/>
      <c r="AA245" s="15" t="n"/>
      <c r="AB245" s="15" t="n"/>
      <c r="AC245" s="15" t="n"/>
      <c r="AD245" s="16" t="n">
        <v>10052.625604</v>
      </c>
      <c r="AE245" s="17">
        <f>IF(ISNUMBER(K245),K245,IF(AND(ISNUMBER(H245),ISNUMBER(I245)),H245+I245,IF(ISNUMBER(H245),H245,"")))</f>
        <v/>
      </c>
      <c r="AF245" s="18">
        <f>IF(OR(NOT(ISNUMBER(J245)),NOT(ISNUMBER(H245)),H245&lt;=0),기준표!$B$8,MIN(MAX(J245/H245,기준표!$B$6),기준표!$B$7))</f>
        <v/>
      </c>
      <c r="AG245" s="17">
        <f>IF(ISNUMBER(AE245),AE245*(1-AF245),"")</f>
        <v/>
      </c>
      <c r="AH245" s="17">
        <f>IF(AND(NOT(ISNUMBER(V245)),NOT(ISNUMBER(X245))),"",IF(ISNUMBER(V245),V245,0)+IF(ISNUMBER(X245),X245,0))</f>
        <v/>
      </c>
      <c r="AI245" s="17">
        <f>IF(E245="금융","",IF(AND(ISNUMBER(R245),ISNUMBER(AH245),ISNUMBER(T245)),R245+AH245-T245,""))</f>
        <v/>
      </c>
      <c r="AJ245" s="17">
        <f>IF(E245="금융","",IF(NOT(ISNUMBER(AI245)),"",IF(ISNUMBER(AC245),(AI245+AC245)/2,AI245)))</f>
        <v/>
      </c>
      <c r="AK245" s="19">
        <f>IF(AND(ISNUMBER(AG245),ISNUMBER(AJ245),AJ245&gt;0),AG245/AJ245,"")</f>
        <v/>
      </c>
      <c r="AL245" s="17">
        <f>IF(E245="금융","",IF(AND(ISNUMBER(R245),ISNUMBER(AH245)),R245+AH245,""))</f>
        <v/>
      </c>
      <c r="AM245" s="19">
        <f>IF(OR(NOT(ISNUMBER(AG245)),NOT(ISNUMBER(AL245)),AL245&lt;=0),"",IF(AND(ISNUMBER(G245),AL245&lt;0.1*G245),"",AG245/AL245))</f>
        <v/>
      </c>
      <c r="AN245" s="17">
        <f>IF(NOT(ISNUMBER(R245)),"",IF(ISNUMBER(S245),(R245+S245)/2,R245))</f>
        <v/>
      </c>
      <c r="AO245" s="19">
        <f>IF(AND(ISNUMBER(L245),ISNUMBER(AN245),AN245&gt;0),L245/AN245,"")</f>
        <v/>
      </c>
      <c r="AP245" s="19">
        <f>IF(AND(ISNUMBER(AO245),ISNUMBER({ROIC})),AO245-{ROIC},"")</f>
        <v/>
      </c>
      <c r="AQ245" s="17">
        <f>IF(AND(ISNUMBER(AE245),ISNUMBER(N245)),AE245+N245,"")</f>
        <v/>
      </c>
      <c r="AR245" s="20">
        <f>IF(AND(ISNUMBER(AH245),ISNUMBER(T245),ISNUMBER(AQ245),AQ245&gt;0),(AH245-T245)/AQ245,"")</f>
        <v/>
      </c>
      <c r="AS245" s="20">
        <f>IF(AND(ISNUMBER(AE245),ISNUMBER(I245),I245&lt;&gt;0,AE245&gt;0),AE245/I245,"")</f>
        <v/>
      </c>
      <c r="AT245" s="17">
        <f>IF(AND(ISNUMBER(Y245),ISNUMBER(AA245)),Y245-IF(ISNUMBER(T245),T245,0)-(AA245-IF(ISNUMBER(V245),V245,0)),"")</f>
        <v/>
      </c>
      <c r="AU245" s="17">
        <f>IF(AND(ISNUMBER(Z245),ISNUMBER(AB245)),Z245-IF(ISNUMBER(U245),U245,0)-(AB245-IF(ISNUMBER(W245),W245,0)),"")</f>
        <v/>
      </c>
      <c r="AV245" s="17">
        <f>IF(AND(ISNUMBER(AT245),ISNUMBER(AU245)),AT245-AU245,"")</f>
        <v/>
      </c>
      <c r="AW245" s="17">
        <f>IF(AND(ISNUMBER(L245),ISNUMBER(M245),ISNUMBER(AF245)),L245-M245*(1-AF245),IF(ISNUMBER(L245),L245,""))</f>
        <v/>
      </c>
      <c r="AX245" s="17">
        <f>IF(E245="금융","",IF(AND(ISNUMBER(AW245),ISNUMBER(N245),ISNUMBER(O245),ISNUMBER(AV245)),AW245+N245-O245-AV245,IF(AND(ISNUMBER(P245),ISNUMBER(O245)),P245-O245-IF(ISNUMBER(Q245),Q245,0),"")))</f>
        <v/>
      </c>
      <c r="AY245" s="8">
        <f>IF(E245="금융","금융업 - 정의되지 않음",IF(AND(ISNUMBER(AW245),ISNUMBER(N245),ISNUMBER(O245),ISNUMBER(AV245)),"영업순이익+감가상각-설비투자-운전자본증감",IF(AND(ISNUMBER(P245),ISNUMBER(O245)),IF(ISNUMBER(Q245),"영업현금흐름-설비투자-주식보상비용","영업현금흐름-설비투자(주식보상비용 미태깅)"),"산출불가")))</f>
        <v/>
      </c>
      <c r="AZ245" s="19">
        <f>IF(AND(ISNUMBER(AX245),ISNUMBER(G245),G245&lt;&gt;0),AX245/G245,"")</f>
        <v/>
      </c>
      <c r="BA245" s="19">
        <f>IF(AND(ISNUMBER(AE245),ISNUMBER(G245),G245&lt;&gt;0),AE245/G245,"")</f>
        <v/>
      </c>
    </row>
    <row r="246">
      <c r="A246" s="8" t="inlineStr">
        <is>
          <t>BAC</t>
        </is>
      </c>
      <c r="B246" s="8" t="inlineStr">
        <is>
          <t>BANK OF AMERICA CORP /DE/</t>
        </is>
      </c>
      <c r="C246" s="8" t="n">
        <v>2017</v>
      </c>
      <c r="D246" s="8" t="inlineStr">
        <is>
          <t>2017-12-31</t>
        </is>
      </c>
      <c r="E246" s="8" t="inlineStr">
        <is>
          <t>금융</t>
        </is>
      </c>
      <c r="F246" s="8" t="inlineStr">
        <is>
          <t>0000070858-20-000011</t>
        </is>
      </c>
      <c r="G246" s="15" t="n">
        <v>87.126</v>
      </c>
      <c r="H246" s="15" t="n">
        <v>29.213</v>
      </c>
      <c r="I246" s="15" t="n">
        <v>45.239</v>
      </c>
      <c r="J246" s="15" t="n">
        <v>10.981</v>
      </c>
      <c r="K246" s="15" t="n"/>
      <c r="L246" s="15" t="n">
        <v>18.232</v>
      </c>
      <c r="M246" s="15" t="n"/>
      <c r="N246" s="15" t="n">
        <v>2.103</v>
      </c>
      <c r="O246" s="15" t="n"/>
      <c r="P246" s="15" t="n">
        <v>9.864000000000001</v>
      </c>
      <c r="Q246" s="15" t="n">
        <v>1.649</v>
      </c>
      <c r="R246" s="15" t="n">
        <v>267.146</v>
      </c>
      <c r="S246" s="15" t="n">
        <v>266.195</v>
      </c>
      <c r="T246" s="15" t="n">
        <v>157.434</v>
      </c>
      <c r="U246" s="15" t="n">
        <v>147.738</v>
      </c>
      <c r="V246" s="15" t="n">
        <v>32.666</v>
      </c>
      <c r="W246" s="15" t="n">
        <v>23.944</v>
      </c>
      <c r="X246" s="15" t="n">
        <v>227.402</v>
      </c>
      <c r="Y246" s="15" t="n"/>
      <c r="Z246" s="15" t="n"/>
      <c r="AA246" s="15" t="n"/>
      <c r="AB246" s="15" t="n"/>
      <c r="AC246" s="15" t="n"/>
      <c r="AD246" s="16" t="n">
        <v>10287.302431</v>
      </c>
      <c r="AE246" s="17">
        <f>IF(ISNUMBER(K246),K246,IF(AND(ISNUMBER(H246),ISNUMBER(I246)),H246+I246,IF(ISNUMBER(H246),H246,"")))</f>
        <v/>
      </c>
      <c r="AF246" s="18">
        <f>IF(OR(NOT(ISNUMBER(J246)),NOT(ISNUMBER(H246)),H246&lt;=0),기준표!$B$8,MIN(MAX(J246/H246,기준표!$B$6),기준표!$B$7))</f>
        <v/>
      </c>
      <c r="AG246" s="17">
        <f>IF(ISNUMBER(AE246),AE246*(1-AF246),"")</f>
        <v/>
      </c>
      <c r="AH246" s="17">
        <f>IF(AND(NOT(ISNUMBER(V246)),NOT(ISNUMBER(X246))),"",IF(ISNUMBER(V246),V246,0)+IF(ISNUMBER(X246),X246,0))</f>
        <v/>
      </c>
      <c r="AI246" s="17">
        <f>IF(E246="금융","",IF(AND(ISNUMBER(R246),ISNUMBER(AH246),ISNUMBER(T246)),R246+AH246-T246,""))</f>
        <v/>
      </c>
      <c r="AJ246" s="17">
        <f>IF(E246="금융","",IF(NOT(ISNUMBER(AI246)),"",IF(ISNUMBER(AC246),(AI246+AC246)/2,AI246)))</f>
        <v/>
      </c>
      <c r="AK246" s="19">
        <f>IF(AND(ISNUMBER(AG246),ISNUMBER(AJ246),AJ246&gt;0),AG246/AJ246,"")</f>
        <v/>
      </c>
      <c r="AL246" s="17">
        <f>IF(E246="금융","",IF(AND(ISNUMBER(R246),ISNUMBER(AH246)),R246+AH246,""))</f>
        <v/>
      </c>
      <c r="AM246" s="19">
        <f>IF(OR(NOT(ISNUMBER(AG246)),NOT(ISNUMBER(AL246)),AL246&lt;=0),"",IF(AND(ISNUMBER(G246),AL246&lt;0.1*G246),"",AG246/AL246))</f>
        <v/>
      </c>
      <c r="AN246" s="17">
        <f>IF(NOT(ISNUMBER(R246)),"",IF(ISNUMBER(S246),(R246+S246)/2,R246))</f>
        <v/>
      </c>
      <c r="AO246" s="19">
        <f>IF(AND(ISNUMBER(L246),ISNUMBER(AN246),AN246&gt;0),L246/AN246,"")</f>
        <v/>
      </c>
      <c r="AP246" s="19">
        <f>IF(AND(ISNUMBER(AO246),ISNUMBER({ROIC})),AO246-{ROIC},"")</f>
        <v/>
      </c>
      <c r="AQ246" s="17">
        <f>IF(AND(ISNUMBER(AE246),ISNUMBER(N246)),AE246+N246,"")</f>
        <v/>
      </c>
      <c r="AR246" s="20">
        <f>IF(AND(ISNUMBER(AH246),ISNUMBER(T246),ISNUMBER(AQ246),AQ246&gt;0),(AH246-T246)/AQ246,"")</f>
        <v/>
      </c>
      <c r="AS246" s="20">
        <f>IF(AND(ISNUMBER(AE246),ISNUMBER(I246),I246&lt;&gt;0,AE246&gt;0),AE246/I246,"")</f>
        <v/>
      </c>
      <c r="AT246" s="17">
        <f>IF(AND(ISNUMBER(Y246),ISNUMBER(AA246)),Y246-IF(ISNUMBER(T246),T246,0)-(AA246-IF(ISNUMBER(V246),V246,0)),"")</f>
        <v/>
      </c>
      <c r="AU246" s="17">
        <f>IF(AND(ISNUMBER(Z246),ISNUMBER(AB246)),Z246-IF(ISNUMBER(U246),U246,0)-(AB246-IF(ISNUMBER(W246),W246,0)),"")</f>
        <v/>
      </c>
      <c r="AV246" s="17">
        <f>IF(AND(ISNUMBER(AT246),ISNUMBER(AU246)),AT246-AU246,"")</f>
        <v/>
      </c>
      <c r="AW246" s="17">
        <f>IF(AND(ISNUMBER(L246),ISNUMBER(M246),ISNUMBER(AF246)),L246-M246*(1-AF246),IF(ISNUMBER(L246),L246,""))</f>
        <v/>
      </c>
      <c r="AX246" s="17">
        <f>IF(E246="금융","",IF(AND(ISNUMBER(AW246),ISNUMBER(N246),ISNUMBER(O246),ISNUMBER(AV246)),AW246+N246-O246-AV246,IF(AND(ISNUMBER(P246),ISNUMBER(O246)),P246-O246-IF(ISNUMBER(Q246),Q246,0),"")))</f>
        <v/>
      </c>
      <c r="AY246" s="8">
        <f>IF(E246="금융","금융업 - 정의되지 않음",IF(AND(ISNUMBER(AW246),ISNUMBER(N246),ISNUMBER(O246),ISNUMBER(AV246)),"영업순이익+감가상각-설비투자-운전자본증감",IF(AND(ISNUMBER(P246),ISNUMBER(O246)),IF(ISNUMBER(Q246),"영업현금흐름-설비투자-주식보상비용","영업현금흐름-설비투자(주식보상비용 미태깅)"),"산출불가")))</f>
        <v/>
      </c>
      <c r="AZ246" s="19">
        <f>IF(AND(ISNUMBER(AX246),ISNUMBER(G246),G246&lt;&gt;0),AX246/G246,"")</f>
        <v/>
      </c>
      <c r="BA246" s="19">
        <f>IF(AND(ISNUMBER(AE246),ISNUMBER(G246),G246&lt;&gt;0),AE246/G246,"")</f>
        <v/>
      </c>
    </row>
    <row r="247">
      <c r="A247" s="8" t="inlineStr">
        <is>
          <t>BAC</t>
        </is>
      </c>
      <c r="B247" s="8" t="inlineStr">
        <is>
          <t>BANK OF AMERICA CORP /DE/</t>
        </is>
      </c>
      <c r="C247" s="8" t="n">
        <v>2018</v>
      </c>
      <c r="D247" s="8" t="inlineStr">
        <is>
          <t>2018-12-31</t>
        </is>
      </c>
      <c r="E247" s="8" t="inlineStr">
        <is>
          <t>금융</t>
        </is>
      </c>
      <c r="F247" s="8" t="inlineStr">
        <is>
          <t>0000070858-21-000023</t>
        </is>
      </c>
      <c r="G247" s="15" t="n">
        <v>91.02</v>
      </c>
      <c r="H247" s="15" t="n">
        <v>34.584</v>
      </c>
      <c r="I247" s="15" t="n">
        <v>48.162</v>
      </c>
      <c r="J247" s="15" t="n">
        <v>6.437</v>
      </c>
      <c r="K247" s="15" t="n"/>
      <c r="L247" s="15" t="n">
        <v>28.147</v>
      </c>
      <c r="M247" s="15" t="n"/>
      <c r="N247" s="15" t="n">
        <v>2.063</v>
      </c>
      <c r="O247" s="15" t="n"/>
      <c r="P247" s="15" t="n">
        <v>39.52</v>
      </c>
      <c r="Q247" s="15" t="n">
        <v>1.729</v>
      </c>
      <c r="R247" s="15" t="n">
        <v>265.325</v>
      </c>
      <c r="S247" s="15" t="n">
        <v>267.146</v>
      </c>
      <c r="T247" s="15" t="n">
        <v>177.404</v>
      </c>
      <c r="U247" s="15" t="n">
        <v>157.434</v>
      </c>
      <c r="V247" s="15" t="n">
        <v>20.189</v>
      </c>
      <c r="W247" s="15" t="n">
        <v>32.666</v>
      </c>
      <c r="X247" s="15" t="n">
        <v>229.392</v>
      </c>
      <c r="Y247" s="15" t="n"/>
      <c r="Z247" s="15" t="n"/>
      <c r="AA247" s="15" t="n"/>
      <c r="AB247" s="15" t="n"/>
      <c r="AC247" s="15" t="n"/>
      <c r="AD247" s="16" t="n">
        <v>9669.28637</v>
      </c>
      <c r="AE247" s="17">
        <f>IF(ISNUMBER(K247),K247,IF(AND(ISNUMBER(H247),ISNUMBER(I247)),H247+I247,IF(ISNUMBER(H247),H247,"")))</f>
        <v/>
      </c>
      <c r="AF247" s="18">
        <f>IF(OR(NOT(ISNUMBER(J247)),NOT(ISNUMBER(H247)),H247&lt;=0),기준표!$B$8,MIN(MAX(J247/H247,기준표!$B$6),기준표!$B$7))</f>
        <v/>
      </c>
      <c r="AG247" s="17">
        <f>IF(ISNUMBER(AE247),AE247*(1-AF247),"")</f>
        <v/>
      </c>
      <c r="AH247" s="17">
        <f>IF(AND(NOT(ISNUMBER(V247)),NOT(ISNUMBER(X247))),"",IF(ISNUMBER(V247),V247,0)+IF(ISNUMBER(X247),X247,0))</f>
        <v/>
      </c>
      <c r="AI247" s="17">
        <f>IF(E247="금융","",IF(AND(ISNUMBER(R247),ISNUMBER(AH247),ISNUMBER(T247)),R247+AH247-T247,""))</f>
        <v/>
      </c>
      <c r="AJ247" s="17">
        <f>IF(E247="금융","",IF(NOT(ISNUMBER(AI247)),"",IF(ISNUMBER(AC247),(AI247+AC247)/2,AI247)))</f>
        <v/>
      </c>
      <c r="AK247" s="19">
        <f>IF(AND(ISNUMBER(AG247),ISNUMBER(AJ247),AJ247&gt;0),AG247/AJ247,"")</f>
        <v/>
      </c>
      <c r="AL247" s="17">
        <f>IF(E247="금융","",IF(AND(ISNUMBER(R247),ISNUMBER(AH247)),R247+AH247,""))</f>
        <v/>
      </c>
      <c r="AM247" s="19">
        <f>IF(OR(NOT(ISNUMBER(AG247)),NOT(ISNUMBER(AL247)),AL247&lt;=0),"",IF(AND(ISNUMBER(G247),AL247&lt;0.1*G247),"",AG247/AL247))</f>
        <v/>
      </c>
      <c r="AN247" s="17">
        <f>IF(NOT(ISNUMBER(R247)),"",IF(ISNUMBER(S247),(R247+S247)/2,R247))</f>
        <v/>
      </c>
      <c r="AO247" s="19">
        <f>IF(AND(ISNUMBER(L247),ISNUMBER(AN247),AN247&gt;0),L247/AN247,"")</f>
        <v/>
      </c>
      <c r="AP247" s="19">
        <f>IF(AND(ISNUMBER(AO247),ISNUMBER({ROIC})),AO247-{ROIC},"")</f>
        <v/>
      </c>
      <c r="AQ247" s="17">
        <f>IF(AND(ISNUMBER(AE247),ISNUMBER(N247)),AE247+N247,"")</f>
        <v/>
      </c>
      <c r="AR247" s="20">
        <f>IF(AND(ISNUMBER(AH247),ISNUMBER(T247),ISNUMBER(AQ247),AQ247&gt;0),(AH247-T247)/AQ247,"")</f>
        <v/>
      </c>
      <c r="AS247" s="20">
        <f>IF(AND(ISNUMBER(AE247),ISNUMBER(I247),I247&lt;&gt;0,AE247&gt;0),AE247/I247,"")</f>
        <v/>
      </c>
      <c r="AT247" s="17">
        <f>IF(AND(ISNUMBER(Y247),ISNUMBER(AA247)),Y247-IF(ISNUMBER(T247),T247,0)-(AA247-IF(ISNUMBER(V247),V247,0)),"")</f>
        <v/>
      </c>
      <c r="AU247" s="17">
        <f>IF(AND(ISNUMBER(Z247),ISNUMBER(AB247)),Z247-IF(ISNUMBER(U247),U247,0)-(AB247-IF(ISNUMBER(W247),W247,0)),"")</f>
        <v/>
      </c>
      <c r="AV247" s="17">
        <f>IF(AND(ISNUMBER(AT247),ISNUMBER(AU247)),AT247-AU247,"")</f>
        <v/>
      </c>
      <c r="AW247" s="17">
        <f>IF(AND(ISNUMBER(L247),ISNUMBER(M247),ISNUMBER(AF247)),L247-M247*(1-AF247),IF(ISNUMBER(L247),L247,""))</f>
        <v/>
      </c>
      <c r="AX247" s="17">
        <f>IF(E247="금융","",IF(AND(ISNUMBER(AW247),ISNUMBER(N247),ISNUMBER(O247),ISNUMBER(AV247)),AW247+N247-O247-AV247,IF(AND(ISNUMBER(P247),ISNUMBER(O247)),P247-O247-IF(ISNUMBER(Q247),Q247,0),"")))</f>
        <v/>
      </c>
      <c r="AY247" s="8">
        <f>IF(E247="금융","금융업 - 정의되지 않음",IF(AND(ISNUMBER(AW247),ISNUMBER(N247),ISNUMBER(O247),ISNUMBER(AV247)),"영업순이익+감가상각-설비투자-운전자본증감",IF(AND(ISNUMBER(P247),ISNUMBER(O247)),IF(ISNUMBER(Q247),"영업현금흐름-설비투자-주식보상비용","영업현금흐름-설비투자(주식보상비용 미태깅)"),"산출불가")))</f>
        <v/>
      </c>
      <c r="AZ247" s="19">
        <f>IF(AND(ISNUMBER(AX247),ISNUMBER(G247),G247&lt;&gt;0),AX247/G247,"")</f>
        <v/>
      </c>
      <c r="BA247" s="19">
        <f>IF(AND(ISNUMBER(AE247),ISNUMBER(G247),G247&lt;&gt;0),AE247/G247,"")</f>
        <v/>
      </c>
    </row>
    <row r="248">
      <c r="A248" s="8" t="inlineStr">
        <is>
          <t>BAC</t>
        </is>
      </c>
      <c r="B248" s="8" t="inlineStr">
        <is>
          <t>BANK OF AMERICA CORP /DE/</t>
        </is>
      </c>
      <c r="C248" s="8" t="n">
        <v>2019</v>
      </c>
      <c r="D248" s="8" t="inlineStr">
        <is>
          <t>2019-12-31</t>
        </is>
      </c>
      <c r="E248" s="8" t="inlineStr">
        <is>
          <t>금융</t>
        </is>
      </c>
      <c r="F248" s="8" t="inlineStr">
        <is>
          <t>0000070858-22-000062</t>
        </is>
      </c>
      <c r="G248" s="15" t="n">
        <v>91.244</v>
      </c>
      <c r="H248" s="15" t="n">
        <v>32.754</v>
      </c>
      <c r="I248" s="15" t="n">
        <v>48.891</v>
      </c>
      <c r="J248" s="15" t="n">
        <v>5.324</v>
      </c>
      <c r="K248" s="15" t="n"/>
      <c r="L248" s="15" t="n">
        <v>27.43</v>
      </c>
      <c r="M248" s="15" t="n"/>
      <c r="N248" s="15" t="n">
        <v>1.729</v>
      </c>
      <c r="O248" s="15" t="n"/>
      <c r="P248" s="15" t="n">
        <v>61.777</v>
      </c>
      <c r="Q248" s="15" t="n">
        <v>1.974</v>
      </c>
      <c r="R248" s="15" t="n">
        <v>264.81</v>
      </c>
      <c r="S248" s="15" t="n">
        <v>265.325</v>
      </c>
      <c r="T248" s="15" t="n">
        <v>161.56</v>
      </c>
      <c r="U248" s="15" t="n">
        <v>177.404</v>
      </c>
      <c r="V248" s="15" t="n">
        <v>24.204</v>
      </c>
      <c r="W248" s="15" t="n">
        <v>20.189</v>
      </c>
      <c r="X248" s="15" t="n">
        <v>240.856</v>
      </c>
      <c r="Y248" s="15" t="n"/>
      <c r="Z248" s="15" t="n"/>
      <c r="AA248" s="15" t="n"/>
      <c r="AB248" s="15" t="n"/>
      <c r="AC248" s="15" t="n"/>
      <c r="AD248" s="16" t="n">
        <v>8836.148954</v>
      </c>
      <c r="AE248" s="17">
        <f>IF(ISNUMBER(K248),K248,IF(AND(ISNUMBER(H248),ISNUMBER(I248)),H248+I248,IF(ISNUMBER(H248),H248,"")))</f>
        <v/>
      </c>
      <c r="AF248" s="18">
        <f>IF(OR(NOT(ISNUMBER(J248)),NOT(ISNUMBER(H248)),H248&lt;=0),기준표!$B$8,MIN(MAX(J248/H248,기준표!$B$6),기준표!$B$7))</f>
        <v/>
      </c>
      <c r="AG248" s="17">
        <f>IF(ISNUMBER(AE248),AE248*(1-AF248),"")</f>
        <v/>
      </c>
      <c r="AH248" s="17">
        <f>IF(AND(NOT(ISNUMBER(V248)),NOT(ISNUMBER(X248))),"",IF(ISNUMBER(V248),V248,0)+IF(ISNUMBER(X248),X248,0))</f>
        <v/>
      </c>
      <c r="AI248" s="17">
        <f>IF(E248="금융","",IF(AND(ISNUMBER(R248),ISNUMBER(AH248),ISNUMBER(T248)),R248+AH248-T248,""))</f>
        <v/>
      </c>
      <c r="AJ248" s="17">
        <f>IF(E248="금융","",IF(NOT(ISNUMBER(AI248)),"",IF(ISNUMBER(AC248),(AI248+AC248)/2,AI248)))</f>
        <v/>
      </c>
      <c r="AK248" s="19">
        <f>IF(AND(ISNUMBER(AG248),ISNUMBER(AJ248),AJ248&gt;0),AG248/AJ248,"")</f>
        <v/>
      </c>
      <c r="AL248" s="17">
        <f>IF(E248="금융","",IF(AND(ISNUMBER(R248),ISNUMBER(AH248)),R248+AH248,""))</f>
        <v/>
      </c>
      <c r="AM248" s="19">
        <f>IF(OR(NOT(ISNUMBER(AG248)),NOT(ISNUMBER(AL248)),AL248&lt;=0),"",IF(AND(ISNUMBER(G248),AL248&lt;0.1*G248),"",AG248/AL248))</f>
        <v/>
      </c>
      <c r="AN248" s="17">
        <f>IF(NOT(ISNUMBER(R248)),"",IF(ISNUMBER(S248),(R248+S248)/2,R248))</f>
        <v/>
      </c>
      <c r="AO248" s="19">
        <f>IF(AND(ISNUMBER(L248),ISNUMBER(AN248),AN248&gt;0),L248/AN248,"")</f>
        <v/>
      </c>
      <c r="AP248" s="19">
        <f>IF(AND(ISNUMBER(AO248),ISNUMBER({ROIC})),AO248-{ROIC},"")</f>
        <v/>
      </c>
      <c r="AQ248" s="17">
        <f>IF(AND(ISNUMBER(AE248),ISNUMBER(N248)),AE248+N248,"")</f>
        <v/>
      </c>
      <c r="AR248" s="20">
        <f>IF(AND(ISNUMBER(AH248),ISNUMBER(T248),ISNUMBER(AQ248),AQ248&gt;0),(AH248-T248)/AQ248,"")</f>
        <v/>
      </c>
      <c r="AS248" s="20">
        <f>IF(AND(ISNUMBER(AE248),ISNUMBER(I248),I248&lt;&gt;0,AE248&gt;0),AE248/I248,"")</f>
        <v/>
      </c>
      <c r="AT248" s="17">
        <f>IF(AND(ISNUMBER(Y248),ISNUMBER(AA248)),Y248-IF(ISNUMBER(T248),T248,0)-(AA248-IF(ISNUMBER(V248),V248,0)),"")</f>
        <v/>
      </c>
      <c r="AU248" s="17">
        <f>IF(AND(ISNUMBER(Z248),ISNUMBER(AB248)),Z248-IF(ISNUMBER(U248),U248,0)-(AB248-IF(ISNUMBER(W248),W248,0)),"")</f>
        <v/>
      </c>
      <c r="AV248" s="17">
        <f>IF(AND(ISNUMBER(AT248),ISNUMBER(AU248)),AT248-AU248,"")</f>
        <v/>
      </c>
      <c r="AW248" s="17">
        <f>IF(AND(ISNUMBER(L248),ISNUMBER(M248),ISNUMBER(AF248)),L248-M248*(1-AF248),IF(ISNUMBER(L248),L248,""))</f>
        <v/>
      </c>
      <c r="AX248" s="17">
        <f>IF(E248="금융","",IF(AND(ISNUMBER(AW248),ISNUMBER(N248),ISNUMBER(O248),ISNUMBER(AV248)),AW248+N248-O248-AV248,IF(AND(ISNUMBER(P248),ISNUMBER(O248)),P248-O248-IF(ISNUMBER(Q248),Q248,0),"")))</f>
        <v/>
      </c>
      <c r="AY248" s="8">
        <f>IF(E248="금융","금융업 - 정의되지 않음",IF(AND(ISNUMBER(AW248),ISNUMBER(N248),ISNUMBER(O248),ISNUMBER(AV248)),"영업순이익+감가상각-설비투자-운전자본증감",IF(AND(ISNUMBER(P248),ISNUMBER(O248)),IF(ISNUMBER(Q248),"영업현금흐름-설비투자-주식보상비용","영업현금흐름-설비투자(주식보상비용 미태깅)"),"산출불가")))</f>
        <v/>
      </c>
      <c r="AZ248" s="19">
        <f>IF(AND(ISNUMBER(AX248),ISNUMBER(G248),G248&lt;&gt;0),AX248/G248,"")</f>
        <v/>
      </c>
      <c r="BA248" s="19">
        <f>IF(AND(ISNUMBER(AE248),ISNUMBER(G248),G248&lt;&gt;0),AE248/G248,"")</f>
        <v/>
      </c>
    </row>
    <row r="249">
      <c r="A249" s="8" t="inlineStr">
        <is>
          <t>BAC</t>
        </is>
      </c>
      <c r="B249" s="8" t="inlineStr">
        <is>
          <t>BANK OF AMERICA CORP /DE/</t>
        </is>
      </c>
      <c r="C249" s="8" t="n">
        <v>2020</v>
      </c>
      <c r="D249" s="8" t="inlineStr">
        <is>
          <t>2020-12-31</t>
        </is>
      </c>
      <c r="E249" s="8" t="inlineStr">
        <is>
          <t>금융</t>
        </is>
      </c>
      <c r="F249" s="8" t="inlineStr">
        <is>
          <t>0000070858-23-000092</t>
        </is>
      </c>
      <c r="G249" s="15" t="n">
        <v>85.52800000000001</v>
      </c>
      <c r="H249" s="15" t="n">
        <v>18.995</v>
      </c>
      <c r="I249" s="15" t="n">
        <v>43.36</v>
      </c>
      <c r="J249" s="15" t="n">
        <v>1.101</v>
      </c>
      <c r="K249" s="15" t="n"/>
      <c r="L249" s="15" t="n">
        <v>17.894</v>
      </c>
      <c r="M249" s="15" t="n"/>
      <c r="N249" s="15" t="n">
        <v>1.843</v>
      </c>
      <c r="O249" s="15" t="n"/>
      <c r="P249" s="15" t="n">
        <v>37.993</v>
      </c>
      <c r="Q249" s="15" t="n">
        <v>2.031</v>
      </c>
      <c r="R249" s="15" t="n">
        <v>272.924</v>
      </c>
      <c r="S249" s="15" t="n">
        <v>264.81</v>
      </c>
      <c r="T249" s="15" t="n">
        <v>380.463</v>
      </c>
      <c r="U249" s="15" t="n">
        <v>161.56</v>
      </c>
      <c r="V249" s="15" t="n">
        <v>19.321</v>
      </c>
      <c r="W249" s="15" t="n">
        <v>24.204</v>
      </c>
      <c r="X249" s="15" t="n">
        <v>262.934</v>
      </c>
      <c r="Y249" s="15" t="n"/>
      <c r="Z249" s="15" t="n"/>
      <c r="AA249" s="15" t="n"/>
      <c r="AB249" s="15" t="n"/>
      <c r="AC249" s="15" t="n"/>
      <c r="AD249" s="16" t="n">
        <v>8650.814104999999</v>
      </c>
      <c r="AE249" s="17">
        <f>IF(ISNUMBER(K249),K249,IF(AND(ISNUMBER(H249),ISNUMBER(I249)),H249+I249,IF(ISNUMBER(H249),H249,"")))</f>
        <v/>
      </c>
      <c r="AF249" s="18">
        <f>IF(OR(NOT(ISNUMBER(J249)),NOT(ISNUMBER(H249)),H249&lt;=0),기준표!$B$8,MIN(MAX(J249/H249,기준표!$B$6),기준표!$B$7))</f>
        <v/>
      </c>
      <c r="AG249" s="17">
        <f>IF(ISNUMBER(AE249),AE249*(1-AF249),"")</f>
        <v/>
      </c>
      <c r="AH249" s="17">
        <f>IF(AND(NOT(ISNUMBER(V249)),NOT(ISNUMBER(X249))),"",IF(ISNUMBER(V249),V249,0)+IF(ISNUMBER(X249),X249,0))</f>
        <v/>
      </c>
      <c r="AI249" s="17">
        <f>IF(E249="금융","",IF(AND(ISNUMBER(R249),ISNUMBER(AH249),ISNUMBER(T249)),R249+AH249-T249,""))</f>
        <v/>
      </c>
      <c r="AJ249" s="17">
        <f>IF(E249="금융","",IF(NOT(ISNUMBER(AI249)),"",IF(ISNUMBER(AC249),(AI249+AC249)/2,AI249)))</f>
        <v/>
      </c>
      <c r="AK249" s="19">
        <f>IF(AND(ISNUMBER(AG249),ISNUMBER(AJ249),AJ249&gt;0),AG249/AJ249,"")</f>
        <v/>
      </c>
      <c r="AL249" s="17">
        <f>IF(E249="금융","",IF(AND(ISNUMBER(R249),ISNUMBER(AH249)),R249+AH249,""))</f>
        <v/>
      </c>
      <c r="AM249" s="19">
        <f>IF(OR(NOT(ISNUMBER(AG249)),NOT(ISNUMBER(AL249)),AL249&lt;=0),"",IF(AND(ISNUMBER(G249),AL249&lt;0.1*G249),"",AG249/AL249))</f>
        <v/>
      </c>
      <c r="AN249" s="17">
        <f>IF(NOT(ISNUMBER(R249)),"",IF(ISNUMBER(S249),(R249+S249)/2,R249))</f>
        <v/>
      </c>
      <c r="AO249" s="19">
        <f>IF(AND(ISNUMBER(L249),ISNUMBER(AN249),AN249&gt;0),L249/AN249,"")</f>
        <v/>
      </c>
      <c r="AP249" s="19">
        <f>IF(AND(ISNUMBER(AO249),ISNUMBER({ROIC})),AO249-{ROIC},"")</f>
        <v/>
      </c>
      <c r="AQ249" s="17">
        <f>IF(AND(ISNUMBER(AE249),ISNUMBER(N249)),AE249+N249,"")</f>
        <v/>
      </c>
      <c r="AR249" s="20">
        <f>IF(AND(ISNUMBER(AH249),ISNUMBER(T249),ISNUMBER(AQ249),AQ249&gt;0),(AH249-T249)/AQ249,"")</f>
        <v/>
      </c>
      <c r="AS249" s="20">
        <f>IF(AND(ISNUMBER(AE249),ISNUMBER(I249),I249&lt;&gt;0,AE249&gt;0),AE249/I249,"")</f>
        <v/>
      </c>
      <c r="AT249" s="17">
        <f>IF(AND(ISNUMBER(Y249),ISNUMBER(AA249)),Y249-IF(ISNUMBER(T249),T249,0)-(AA249-IF(ISNUMBER(V249),V249,0)),"")</f>
        <v/>
      </c>
      <c r="AU249" s="17">
        <f>IF(AND(ISNUMBER(Z249),ISNUMBER(AB249)),Z249-IF(ISNUMBER(U249),U249,0)-(AB249-IF(ISNUMBER(W249),W249,0)),"")</f>
        <v/>
      </c>
      <c r="AV249" s="17">
        <f>IF(AND(ISNUMBER(AT249),ISNUMBER(AU249)),AT249-AU249,"")</f>
        <v/>
      </c>
      <c r="AW249" s="17">
        <f>IF(AND(ISNUMBER(L249),ISNUMBER(M249),ISNUMBER(AF249)),L249-M249*(1-AF249),IF(ISNUMBER(L249),L249,""))</f>
        <v/>
      </c>
      <c r="AX249" s="17">
        <f>IF(E249="금융","",IF(AND(ISNUMBER(AW249),ISNUMBER(N249),ISNUMBER(O249),ISNUMBER(AV249)),AW249+N249-O249-AV249,IF(AND(ISNUMBER(P249),ISNUMBER(O249)),P249-O249-IF(ISNUMBER(Q249),Q249,0),"")))</f>
        <v/>
      </c>
      <c r="AY249" s="8">
        <f>IF(E249="금융","금융업 - 정의되지 않음",IF(AND(ISNUMBER(AW249),ISNUMBER(N249),ISNUMBER(O249),ISNUMBER(AV249)),"영업순이익+감가상각-설비투자-운전자본증감",IF(AND(ISNUMBER(P249),ISNUMBER(O249)),IF(ISNUMBER(Q249),"영업현금흐름-설비투자-주식보상비용","영업현금흐름-설비투자(주식보상비용 미태깅)"),"산출불가")))</f>
        <v/>
      </c>
      <c r="AZ249" s="19">
        <f>IF(AND(ISNUMBER(AX249),ISNUMBER(G249),G249&lt;&gt;0),AX249/G249,"")</f>
        <v/>
      </c>
      <c r="BA249" s="19">
        <f>IF(AND(ISNUMBER(AE249),ISNUMBER(G249),G249&lt;&gt;0),AE249/G249,"")</f>
        <v/>
      </c>
    </row>
    <row r="250">
      <c r="A250" s="8" t="inlineStr">
        <is>
          <t>BAC</t>
        </is>
      </c>
      <c r="B250" s="8" t="inlineStr">
        <is>
          <t>BANK OF AMERICA CORP /DE/</t>
        </is>
      </c>
      <c r="C250" s="8" t="n">
        <v>2021</v>
      </c>
      <c r="D250" s="8" t="inlineStr">
        <is>
          <t>2021-12-31</t>
        </is>
      </c>
      <c r="E250" s="8" t="inlineStr">
        <is>
          <t>금융</t>
        </is>
      </c>
      <c r="F250" s="8" t="inlineStr">
        <is>
          <t>0000070858-24-000122</t>
        </is>
      </c>
      <c r="G250" s="15" t="n">
        <v>89.113</v>
      </c>
      <c r="H250" s="15" t="n">
        <v>33.976</v>
      </c>
      <c r="I250" s="15" t="n">
        <v>42.934</v>
      </c>
      <c r="J250" s="15" t="n">
        <v>1.998</v>
      </c>
      <c r="K250" s="15" t="n"/>
      <c r="L250" s="15" t="n">
        <v>31.978</v>
      </c>
      <c r="M250" s="15" t="n"/>
      <c r="N250" s="15" t="n">
        <v>1.898</v>
      </c>
      <c r="O250" s="15" t="n"/>
      <c r="P250" s="15" t="n">
        <v>-7.193</v>
      </c>
      <c r="Q250" s="15" t="n">
        <v>2.768</v>
      </c>
      <c r="R250" s="15" t="n">
        <v>270.066</v>
      </c>
      <c r="S250" s="15" t="n">
        <v>272.924</v>
      </c>
      <c r="T250" s="15" t="n">
        <v>348.221</v>
      </c>
      <c r="U250" s="15" t="n">
        <v>380.463</v>
      </c>
      <c r="V250" s="15" t="n">
        <v>23.753</v>
      </c>
      <c r="W250" s="15" t="n">
        <v>19.321</v>
      </c>
      <c r="X250" s="15" t="n">
        <v>280.117</v>
      </c>
      <c r="Y250" s="15" t="n"/>
      <c r="Z250" s="15" t="n"/>
      <c r="AA250" s="15" t="n"/>
      <c r="AB250" s="15" t="n"/>
      <c r="AC250" s="15" t="n"/>
      <c r="AD250" s="16" t="n">
        <v>8077.831463</v>
      </c>
      <c r="AE250" s="17">
        <f>IF(ISNUMBER(K250),K250,IF(AND(ISNUMBER(H250),ISNUMBER(I250)),H250+I250,IF(ISNUMBER(H250),H250,"")))</f>
        <v/>
      </c>
      <c r="AF250" s="18">
        <f>IF(OR(NOT(ISNUMBER(J250)),NOT(ISNUMBER(H250)),H250&lt;=0),기준표!$B$8,MIN(MAX(J250/H250,기준표!$B$6),기준표!$B$7))</f>
        <v/>
      </c>
      <c r="AG250" s="17">
        <f>IF(ISNUMBER(AE250),AE250*(1-AF250),"")</f>
        <v/>
      </c>
      <c r="AH250" s="17">
        <f>IF(AND(NOT(ISNUMBER(V250)),NOT(ISNUMBER(X250))),"",IF(ISNUMBER(V250),V250,0)+IF(ISNUMBER(X250),X250,0))</f>
        <v/>
      </c>
      <c r="AI250" s="17">
        <f>IF(E250="금융","",IF(AND(ISNUMBER(R250),ISNUMBER(AH250),ISNUMBER(T250)),R250+AH250-T250,""))</f>
        <v/>
      </c>
      <c r="AJ250" s="17">
        <f>IF(E250="금융","",IF(NOT(ISNUMBER(AI250)),"",IF(ISNUMBER(AC250),(AI250+AC250)/2,AI250)))</f>
        <v/>
      </c>
      <c r="AK250" s="19">
        <f>IF(AND(ISNUMBER(AG250),ISNUMBER(AJ250),AJ250&gt;0),AG250/AJ250,"")</f>
        <v/>
      </c>
      <c r="AL250" s="17">
        <f>IF(E250="금융","",IF(AND(ISNUMBER(R250),ISNUMBER(AH250)),R250+AH250,""))</f>
        <v/>
      </c>
      <c r="AM250" s="19">
        <f>IF(OR(NOT(ISNUMBER(AG250)),NOT(ISNUMBER(AL250)),AL250&lt;=0),"",IF(AND(ISNUMBER(G250),AL250&lt;0.1*G250),"",AG250/AL250))</f>
        <v/>
      </c>
      <c r="AN250" s="17">
        <f>IF(NOT(ISNUMBER(R250)),"",IF(ISNUMBER(S250),(R250+S250)/2,R250))</f>
        <v/>
      </c>
      <c r="AO250" s="19">
        <f>IF(AND(ISNUMBER(L250),ISNUMBER(AN250),AN250&gt;0),L250/AN250,"")</f>
        <v/>
      </c>
      <c r="AP250" s="19">
        <f>IF(AND(ISNUMBER(AO250),ISNUMBER({ROIC})),AO250-{ROIC},"")</f>
        <v/>
      </c>
      <c r="AQ250" s="17">
        <f>IF(AND(ISNUMBER(AE250),ISNUMBER(N250)),AE250+N250,"")</f>
        <v/>
      </c>
      <c r="AR250" s="20">
        <f>IF(AND(ISNUMBER(AH250),ISNUMBER(T250),ISNUMBER(AQ250),AQ250&gt;0),(AH250-T250)/AQ250,"")</f>
        <v/>
      </c>
      <c r="AS250" s="20">
        <f>IF(AND(ISNUMBER(AE250),ISNUMBER(I250),I250&lt;&gt;0,AE250&gt;0),AE250/I250,"")</f>
        <v/>
      </c>
      <c r="AT250" s="17">
        <f>IF(AND(ISNUMBER(Y250),ISNUMBER(AA250)),Y250-IF(ISNUMBER(T250),T250,0)-(AA250-IF(ISNUMBER(V250),V250,0)),"")</f>
        <v/>
      </c>
      <c r="AU250" s="17">
        <f>IF(AND(ISNUMBER(Z250),ISNUMBER(AB250)),Z250-IF(ISNUMBER(U250),U250,0)-(AB250-IF(ISNUMBER(W250),W250,0)),"")</f>
        <v/>
      </c>
      <c r="AV250" s="17">
        <f>IF(AND(ISNUMBER(AT250),ISNUMBER(AU250)),AT250-AU250,"")</f>
        <v/>
      </c>
      <c r="AW250" s="17">
        <f>IF(AND(ISNUMBER(L250),ISNUMBER(M250),ISNUMBER(AF250)),L250-M250*(1-AF250),IF(ISNUMBER(L250),L250,""))</f>
        <v/>
      </c>
      <c r="AX250" s="17">
        <f>IF(E250="금융","",IF(AND(ISNUMBER(AW250),ISNUMBER(N250),ISNUMBER(O250),ISNUMBER(AV250)),AW250+N250-O250-AV250,IF(AND(ISNUMBER(P250),ISNUMBER(O250)),P250-O250-IF(ISNUMBER(Q250),Q250,0),"")))</f>
        <v/>
      </c>
      <c r="AY250" s="8">
        <f>IF(E250="금융","금융업 - 정의되지 않음",IF(AND(ISNUMBER(AW250),ISNUMBER(N250),ISNUMBER(O250),ISNUMBER(AV250)),"영업순이익+감가상각-설비투자-운전자본증감",IF(AND(ISNUMBER(P250),ISNUMBER(O250)),IF(ISNUMBER(Q250),"영업현금흐름-설비투자-주식보상비용","영업현금흐름-설비투자(주식보상비용 미태깅)"),"산출불가")))</f>
        <v/>
      </c>
      <c r="AZ250" s="19">
        <f>IF(AND(ISNUMBER(AX250),ISNUMBER(G250),G250&lt;&gt;0),AX250/G250,"")</f>
        <v/>
      </c>
      <c r="BA250" s="19">
        <f>IF(AND(ISNUMBER(AE250),ISNUMBER(G250),G250&lt;&gt;0),AE250/G250,"")</f>
        <v/>
      </c>
    </row>
    <row r="251">
      <c r="A251" s="8" t="inlineStr">
        <is>
          <t>BAC</t>
        </is>
      </c>
      <c r="B251" s="8" t="inlineStr">
        <is>
          <t>BANK OF AMERICA CORP /DE/</t>
        </is>
      </c>
      <c r="C251" s="8" t="n">
        <v>2022</v>
      </c>
      <c r="D251" s="8" t="inlineStr">
        <is>
          <t>2022-12-31</t>
        </is>
      </c>
      <c r="E251" s="8" t="inlineStr">
        <is>
          <t>금융</t>
        </is>
      </c>
      <c r="F251" s="8" t="inlineStr">
        <is>
          <t>0000070858-25-000139</t>
        </is>
      </c>
      <c r="G251" s="15" t="n">
        <v>94.95</v>
      </c>
      <c r="H251" s="15" t="n">
        <v>30.969</v>
      </c>
      <c r="I251" s="15" t="n">
        <v>52.462</v>
      </c>
      <c r="J251" s="15" t="n">
        <v>3.441</v>
      </c>
      <c r="K251" s="15" t="n"/>
      <c r="L251" s="15" t="n">
        <v>27.528</v>
      </c>
      <c r="M251" s="15" t="n"/>
      <c r="N251" s="15" t="n">
        <v>1.978</v>
      </c>
      <c r="O251" s="15" t="n"/>
      <c r="P251" s="15" t="n">
        <v>-6.327</v>
      </c>
      <c r="Q251" s="15" t="n">
        <v>2.862</v>
      </c>
      <c r="R251" s="15" t="n">
        <v>273.197</v>
      </c>
      <c r="S251" s="15" t="n">
        <v>270.066</v>
      </c>
      <c r="T251" s="15" t="n">
        <v>230.203</v>
      </c>
      <c r="U251" s="15" t="n">
        <v>348.221</v>
      </c>
      <c r="V251" s="15" t="n">
        <v>26.932</v>
      </c>
      <c r="W251" s="15" t="n">
        <v>23.753</v>
      </c>
      <c r="X251" s="15" t="n">
        <v>275.982</v>
      </c>
      <c r="Y251" s="15" t="n"/>
      <c r="Z251" s="15" t="n"/>
      <c r="AA251" s="15" t="n"/>
      <c r="AB251" s="15" t="n"/>
      <c r="AC251" s="15" t="n"/>
      <c r="AD251" s="16" t="n">
        <v>7996.777943</v>
      </c>
      <c r="AE251" s="17">
        <f>IF(ISNUMBER(K251),K251,IF(AND(ISNUMBER(H251),ISNUMBER(I251)),H251+I251,IF(ISNUMBER(H251),H251,"")))</f>
        <v/>
      </c>
      <c r="AF251" s="18">
        <f>IF(OR(NOT(ISNUMBER(J251)),NOT(ISNUMBER(H251)),H251&lt;=0),기준표!$B$8,MIN(MAX(J251/H251,기준표!$B$6),기준표!$B$7))</f>
        <v/>
      </c>
      <c r="AG251" s="17">
        <f>IF(ISNUMBER(AE251),AE251*(1-AF251),"")</f>
        <v/>
      </c>
      <c r="AH251" s="17">
        <f>IF(AND(NOT(ISNUMBER(V251)),NOT(ISNUMBER(X251))),"",IF(ISNUMBER(V251),V251,0)+IF(ISNUMBER(X251),X251,0))</f>
        <v/>
      </c>
      <c r="AI251" s="17">
        <f>IF(E251="금융","",IF(AND(ISNUMBER(R251),ISNUMBER(AH251),ISNUMBER(T251)),R251+AH251-T251,""))</f>
        <v/>
      </c>
      <c r="AJ251" s="17">
        <f>IF(E251="금융","",IF(NOT(ISNUMBER(AI251)),"",IF(ISNUMBER(AC251),(AI251+AC251)/2,AI251)))</f>
        <v/>
      </c>
      <c r="AK251" s="19">
        <f>IF(AND(ISNUMBER(AG251),ISNUMBER(AJ251),AJ251&gt;0),AG251/AJ251,"")</f>
        <v/>
      </c>
      <c r="AL251" s="17">
        <f>IF(E251="금융","",IF(AND(ISNUMBER(R251),ISNUMBER(AH251)),R251+AH251,""))</f>
        <v/>
      </c>
      <c r="AM251" s="19">
        <f>IF(OR(NOT(ISNUMBER(AG251)),NOT(ISNUMBER(AL251)),AL251&lt;=0),"",IF(AND(ISNUMBER(G251),AL251&lt;0.1*G251),"",AG251/AL251))</f>
        <v/>
      </c>
      <c r="AN251" s="17">
        <f>IF(NOT(ISNUMBER(R251)),"",IF(ISNUMBER(S251),(R251+S251)/2,R251))</f>
        <v/>
      </c>
      <c r="AO251" s="19">
        <f>IF(AND(ISNUMBER(L251),ISNUMBER(AN251),AN251&gt;0),L251/AN251,"")</f>
        <v/>
      </c>
      <c r="AP251" s="19">
        <f>IF(AND(ISNUMBER(AO251),ISNUMBER({ROIC})),AO251-{ROIC},"")</f>
        <v/>
      </c>
      <c r="AQ251" s="17">
        <f>IF(AND(ISNUMBER(AE251),ISNUMBER(N251)),AE251+N251,"")</f>
        <v/>
      </c>
      <c r="AR251" s="20">
        <f>IF(AND(ISNUMBER(AH251),ISNUMBER(T251),ISNUMBER(AQ251),AQ251&gt;0),(AH251-T251)/AQ251,"")</f>
        <v/>
      </c>
      <c r="AS251" s="20">
        <f>IF(AND(ISNUMBER(AE251),ISNUMBER(I251),I251&lt;&gt;0,AE251&gt;0),AE251/I251,"")</f>
        <v/>
      </c>
      <c r="AT251" s="17">
        <f>IF(AND(ISNUMBER(Y251),ISNUMBER(AA251)),Y251-IF(ISNUMBER(T251),T251,0)-(AA251-IF(ISNUMBER(V251),V251,0)),"")</f>
        <v/>
      </c>
      <c r="AU251" s="17">
        <f>IF(AND(ISNUMBER(Z251),ISNUMBER(AB251)),Z251-IF(ISNUMBER(U251),U251,0)-(AB251-IF(ISNUMBER(W251),W251,0)),"")</f>
        <v/>
      </c>
      <c r="AV251" s="17">
        <f>IF(AND(ISNUMBER(AT251),ISNUMBER(AU251)),AT251-AU251,"")</f>
        <v/>
      </c>
      <c r="AW251" s="17">
        <f>IF(AND(ISNUMBER(L251),ISNUMBER(M251),ISNUMBER(AF251)),L251-M251*(1-AF251),IF(ISNUMBER(L251),L251,""))</f>
        <v/>
      </c>
      <c r="AX251" s="17">
        <f>IF(E251="금융","",IF(AND(ISNUMBER(AW251),ISNUMBER(N251),ISNUMBER(O251),ISNUMBER(AV251)),AW251+N251-O251-AV251,IF(AND(ISNUMBER(P251),ISNUMBER(O251)),P251-O251-IF(ISNUMBER(Q251),Q251,0),"")))</f>
        <v/>
      </c>
      <c r="AY251" s="8">
        <f>IF(E251="금융","금융업 - 정의되지 않음",IF(AND(ISNUMBER(AW251),ISNUMBER(N251),ISNUMBER(O251),ISNUMBER(AV251)),"영업순이익+감가상각-설비투자-운전자본증감",IF(AND(ISNUMBER(P251),ISNUMBER(O251)),IF(ISNUMBER(Q251),"영업현금흐름-설비투자-주식보상비용","영업현금흐름-설비투자(주식보상비용 미태깅)"),"산출불가")))</f>
        <v/>
      </c>
      <c r="AZ251" s="19">
        <f>IF(AND(ISNUMBER(AX251),ISNUMBER(G251),G251&lt;&gt;0),AX251/G251,"")</f>
        <v/>
      </c>
      <c r="BA251" s="19">
        <f>IF(AND(ISNUMBER(AE251),ISNUMBER(G251),G251&lt;&gt;0),AE251/G251,"")</f>
        <v/>
      </c>
    </row>
    <row r="252">
      <c r="A252" s="8" t="inlineStr">
        <is>
          <t>BAC</t>
        </is>
      </c>
      <c r="B252" s="8" t="inlineStr">
        <is>
          <t>BANK OF AMERICA CORP /DE/</t>
        </is>
      </c>
      <c r="C252" s="8" t="n">
        <v>2023</v>
      </c>
      <c r="D252" s="8" t="inlineStr">
        <is>
          <t>2023-12-31</t>
        </is>
      </c>
      <c r="E252" s="8" t="inlineStr">
        <is>
          <t>금융</t>
        </is>
      </c>
      <c r="F252" s="8" t="inlineStr">
        <is>
          <t>0000070858-26-000157</t>
        </is>
      </c>
      <c r="G252" s="15" t="n">
        <v>102.769</v>
      </c>
      <c r="H252" s="15" t="n">
        <v>32.53</v>
      </c>
      <c r="I252" s="15" t="n">
        <v>56.931</v>
      </c>
      <c r="J252" s="15" t="n">
        <v>6.225</v>
      </c>
      <c r="K252" s="15" t="n"/>
      <c r="L252" s="15" t="n">
        <v>26.305</v>
      </c>
      <c r="M252" s="15" t="n"/>
      <c r="N252" s="15" t="n">
        <v>2.057</v>
      </c>
      <c r="O252" s="15" t="n"/>
      <c r="P252" s="15" t="n">
        <v>44.982</v>
      </c>
      <c r="Q252" s="15" t="n">
        <v>2.942</v>
      </c>
      <c r="R252" s="15" t="n">
        <v>290.209</v>
      </c>
      <c r="S252" s="15" t="n">
        <v>273.197</v>
      </c>
      <c r="T252" s="15" t="n">
        <v>333.073</v>
      </c>
      <c r="U252" s="15" t="n">
        <v>230.203</v>
      </c>
      <c r="V252" s="15" t="n">
        <v>32.098</v>
      </c>
      <c r="W252" s="15" t="n">
        <v>26.932</v>
      </c>
      <c r="X252" s="15" t="n">
        <v>302.204</v>
      </c>
      <c r="Y252" s="15" t="n"/>
      <c r="Z252" s="15" t="n"/>
      <c r="AA252" s="15" t="n"/>
      <c r="AB252" s="15" t="n"/>
      <c r="AC252" s="15" t="n"/>
      <c r="AD252" s="16" t="n">
        <v>7895.457665</v>
      </c>
      <c r="AE252" s="17">
        <f>IF(ISNUMBER(K252),K252,IF(AND(ISNUMBER(H252),ISNUMBER(I252)),H252+I252,IF(ISNUMBER(H252),H252,"")))</f>
        <v/>
      </c>
      <c r="AF252" s="18">
        <f>IF(OR(NOT(ISNUMBER(J252)),NOT(ISNUMBER(H252)),H252&lt;=0),기준표!$B$8,MIN(MAX(J252/H252,기준표!$B$6),기준표!$B$7))</f>
        <v/>
      </c>
      <c r="AG252" s="17">
        <f>IF(ISNUMBER(AE252),AE252*(1-AF252),"")</f>
        <v/>
      </c>
      <c r="AH252" s="17">
        <f>IF(AND(NOT(ISNUMBER(V252)),NOT(ISNUMBER(X252))),"",IF(ISNUMBER(V252),V252,0)+IF(ISNUMBER(X252),X252,0))</f>
        <v/>
      </c>
      <c r="AI252" s="17">
        <f>IF(E252="금융","",IF(AND(ISNUMBER(R252),ISNUMBER(AH252),ISNUMBER(T252)),R252+AH252-T252,""))</f>
        <v/>
      </c>
      <c r="AJ252" s="17">
        <f>IF(E252="금융","",IF(NOT(ISNUMBER(AI252)),"",IF(ISNUMBER(AC252),(AI252+AC252)/2,AI252)))</f>
        <v/>
      </c>
      <c r="AK252" s="19">
        <f>IF(AND(ISNUMBER(AG252),ISNUMBER(AJ252),AJ252&gt;0),AG252/AJ252,"")</f>
        <v/>
      </c>
      <c r="AL252" s="17">
        <f>IF(E252="금융","",IF(AND(ISNUMBER(R252),ISNUMBER(AH252)),R252+AH252,""))</f>
        <v/>
      </c>
      <c r="AM252" s="19">
        <f>IF(OR(NOT(ISNUMBER(AG252)),NOT(ISNUMBER(AL252)),AL252&lt;=0),"",IF(AND(ISNUMBER(G252),AL252&lt;0.1*G252),"",AG252/AL252))</f>
        <v/>
      </c>
      <c r="AN252" s="17">
        <f>IF(NOT(ISNUMBER(R252)),"",IF(ISNUMBER(S252),(R252+S252)/2,R252))</f>
        <v/>
      </c>
      <c r="AO252" s="19">
        <f>IF(AND(ISNUMBER(L252),ISNUMBER(AN252),AN252&gt;0),L252/AN252,"")</f>
        <v/>
      </c>
      <c r="AP252" s="19">
        <f>IF(AND(ISNUMBER(AO252),ISNUMBER({ROIC})),AO252-{ROIC},"")</f>
        <v/>
      </c>
      <c r="AQ252" s="17">
        <f>IF(AND(ISNUMBER(AE252),ISNUMBER(N252)),AE252+N252,"")</f>
        <v/>
      </c>
      <c r="AR252" s="20">
        <f>IF(AND(ISNUMBER(AH252),ISNUMBER(T252),ISNUMBER(AQ252),AQ252&gt;0),(AH252-T252)/AQ252,"")</f>
        <v/>
      </c>
      <c r="AS252" s="20">
        <f>IF(AND(ISNUMBER(AE252),ISNUMBER(I252),I252&lt;&gt;0,AE252&gt;0),AE252/I252,"")</f>
        <v/>
      </c>
      <c r="AT252" s="17">
        <f>IF(AND(ISNUMBER(Y252),ISNUMBER(AA252)),Y252-IF(ISNUMBER(T252),T252,0)-(AA252-IF(ISNUMBER(V252),V252,0)),"")</f>
        <v/>
      </c>
      <c r="AU252" s="17">
        <f>IF(AND(ISNUMBER(Z252),ISNUMBER(AB252)),Z252-IF(ISNUMBER(U252),U252,0)-(AB252-IF(ISNUMBER(W252),W252,0)),"")</f>
        <v/>
      </c>
      <c r="AV252" s="17">
        <f>IF(AND(ISNUMBER(AT252),ISNUMBER(AU252)),AT252-AU252,"")</f>
        <v/>
      </c>
      <c r="AW252" s="17">
        <f>IF(AND(ISNUMBER(L252),ISNUMBER(M252),ISNUMBER(AF252)),L252-M252*(1-AF252),IF(ISNUMBER(L252),L252,""))</f>
        <v/>
      </c>
      <c r="AX252" s="17">
        <f>IF(E252="금융","",IF(AND(ISNUMBER(AW252),ISNUMBER(N252),ISNUMBER(O252),ISNUMBER(AV252)),AW252+N252-O252-AV252,IF(AND(ISNUMBER(P252),ISNUMBER(O252)),P252-O252-IF(ISNUMBER(Q252),Q252,0),"")))</f>
        <v/>
      </c>
      <c r="AY252" s="8">
        <f>IF(E252="금융","금융업 - 정의되지 않음",IF(AND(ISNUMBER(AW252),ISNUMBER(N252),ISNUMBER(O252),ISNUMBER(AV252)),"영업순이익+감가상각-설비투자-운전자본증감",IF(AND(ISNUMBER(P252),ISNUMBER(O252)),IF(ISNUMBER(Q252),"영업현금흐름-설비투자-주식보상비용","영업현금흐름-설비투자(주식보상비용 미태깅)"),"산출불가")))</f>
        <v/>
      </c>
      <c r="AZ252" s="19">
        <f>IF(AND(ISNUMBER(AX252),ISNUMBER(G252),G252&lt;&gt;0),AX252/G252,"")</f>
        <v/>
      </c>
      <c r="BA252" s="19">
        <f>IF(AND(ISNUMBER(AE252),ISNUMBER(G252),G252&lt;&gt;0),AE252/G252,"")</f>
        <v/>
      </c>
    </row>
    <row r="253">
      <c r="A253" s="8" t="inlineStr">
        <is>
          <t>BAC</t>
        </is>
      </c>
      <c r="B253" s="8" t="inlineStr">
        <is>
          <t>BANK OF AMERICA CORP /DE/</t>
        </is>
      </c>
      <c r="C253" s="8" t="n">
        <v>2024</v>
      </c>
      <c r="D253" s="8" t="inlineStr">
        <is>
          <t>2024-12-31</t>
        </is>
      </c>
      <c r="E253" s="8" t="inlineStr">
        <is>
          <t>금융</t>
        </is>
      </c>
      <c r="F253" s="8" t="inlineStr">
        <is>
          <t>0000070858-26-000157</t>
        </is>
      </c>
      <c r="G253" s="15" t="n">
        <v>105.856</v>
      </c>
      <c r="H253" s="15" t="n">
        <v>33.223</v>
      </c>
      <c r="I253" s="15" t="n">
        <v>56.06</v>
      </c>
      <c r="J253" s="15" t="n">
        <v>6.25</v>
      </c>
      <c r="K253" s="15" t="n"/>
      <c r="L253" s="15" t="n">
        <v>26.973</v>
      </c>
      <c r="M253" s="15" t="n"/>
      <c r="N253" s="15" t="n">
        <v>2.189</v>
      </c>
      <c r="O253" s="15" t="n"/>
      <c r="P253" s="15" t="n">
        <v>-8.805</v>
      </c>
      <c r="Q253" s="15" t="n">
        <v>3.433</v>
      </c>
      <c r="R253" s="15" t="n">
        <v>293.963</v>
      </c>
      <c r="S253" s="15" t="n">
        <v>290.209</v>
      </c>
      <c r="T253" s="15" t="n">
        <v>290.114</v>
      </c>
      <c r="U253" s="15" t="n">
        <v>333.073</v>
      </c>
      <c r="V253" s="15" t="n">
        <v>43.391</v>
      </c>
      <c r="W253" s="15" t="n">
        <v>32.098</v>
      </c>
      <c r="X253" s="15" t="n">
        <v>283.279</v>
      </c>
      <c r="Y253" s="15" t="n"/>
      <c r="Z253" s="15" t="n"/>
      <c r="AA253" s="15" t="n"/>
      <c r="AB253" s="15" t="n"/>
      <c r="AC253" s="15" t="n"/>
      <c r="AD253" s="16" t="n">
        <v>7610.862311</v>
      </c>
      <c r="AE253" s="17">
        <f>IF(ISNUMBER(K253),K253,IF(AND(ISNUMBER(H253),ISNUMBER(I253)),H253+I253,IF(ISNUMBER(H253),H253,"")))</f>
        <v/>
      </c>
      <c r="AF253" s="18">
        <f>IF(OR(NOT(ISNUMBER(J253)),NOT(ISNUMBER(H253)),H253&lt;=0),기준표!$B$8,MIN(MAX(J253/H253,기준표!$B$6),기준표!$B$7))</f>
        <v/>
      </c>
      <c r="AG253" s="17">
        <f>IF(ISNUMBER(AE253),AE253*(1-AF253),"")</f>
        <v/>
      </c>
      <c r="AH253" s="17">
        <f>IF(AND(NOT(ISNUMBER(V253)),NOT(ISNUMBER(X253))),"",IF(ISNUMBER(V253),V253,0)+IF(ISNUMBER(X253),X253,0))</f>
        <v/>
      </c>
      <c r="AI253" s="17">
        <f>IF(E253="금융","",IF(AND(ISNUMBER(R253),ISNUMBER(AH253),ISNUMBER(T253)),R253+AH253-T253,""))</f>
        <v/>
      </c>
      <c r="AJ253" s="17">
        <f>IF(E253="금융","",IF(NOT(ISNUMBER(AI253)),"",IF(ISNUMBER(AC253),(AI253+AC253)/2,AI253)))</f>
        <v/>
      </c>
      <c r="AK253" s="19">
        <f>IF(AND(ISNUMBER(AG253),ISNUMBER(AJ253),AJ253&gt;0),AG253/AJ253,"")</f>
        <v/>
      </c>
      <c r="AL253" s="17">
        <f>IF(E253="금융","",IF(AND(ISNUMBER(R253),ISNUMBER(AH253)),R253+AH253,""))</f>
        <v/>
      </c>
      <c r="AM253" s="19">
        <f>IF(OR(NOT(ISNUMBER(AG253)),NOT(ISNUMBER(AL253)),AL253&lt;=0),"",IF(AND(ISNUMBER(G253),AL253&lt;0.1*G253),"",AG253/AL253))</f>
        <v/>
      </c>
      <c r="AN253" s="17">
        <f>IF(NOT(ISNUMBER(R253)),"",IF(ISNUMBER(S253),(R253+S253)/2,R253))</f>
        <v/>
      </c>
      <c r="AO253" s="19">
        <f>IF(AND(ISNUMBER(L253),ISNUMBER(AN253),AN253&gt;0),L253/AN253,"")</f>
        <v/>
      </c>
      <c r="AP253" s="19">
        <f>IF(AND(ISNUMBER(AO253),ISNUMBER({ROIC})),AO253-{ROIC},"")</f>
        <v/>
      </c>
      <c r="AQ253" s="17">
        <f>IF(AND(ISNUMBER(AE253),ISNUMBER(N253)),AE253+N253,"")</f>
        <v/>
      </c>
      <c r="AR253" s="20">
        <f>IF(AND(ISNUMBER(AH253),ISNUMBER(T253),ISNUMBER(AQ253),AQ253&gt;0),(AH253-T253)/AQ253,"")</f>
        <v/>
      </c>
      <c r="AS253" s="20">
        <f>IF(AND(ISNUMBER(AE253),ISNUMBER(I253),I253&lt;&gt;0,AE253&gt;0),AE253/I253,"")</f>
        <v/>
      </c>
      <c r="AT253" s="17">
        <f>IF(AND(ISNUMBER(Y253),ISNUMBER(AA253)),Y253-IF(ISNUMBER(T253),T253,0)-(AA253-IF(ISNUMBER(V253),V253,0)),"")</f>
        <v/>
      </c>
      <c r="AU253" s="17">
        <f>IF(AND(ISNUMBER(Z253),ISNUMBER(AB253)),Z253-IF(ISNUMBER(U253),U253,0)-(AB253-IF(ISNUMBER(W253),W253,0)),"")</f>
        <v/>
      </c>
      <c r="AV253" s="17">
        <f>IF(AND(ISNUMBER(AT253),ISNUMBER(AU253)),AT253-AU253,"")</f>
        <v/>
      </c>
      <c r="AW253" s="17">
        <f>IF(AND(ISNUMBER(L253),ISNUMBER(M253),ISNUMBER(AF253)),L253-M253*(1-AF253),IF(ISNUMBER(L253),L253,""))</f>
        <v/>
      </c>
      <c r="AX253" s="17">
        <f>IF(E253="금융","",IF(AND(ISNUMBER(AW253),ISNUMBER(N253),ISNUMBER(O253),ISNUMBER(AV253)),AW253+N253-O253-AV253,IF(AND(ISNUMBER(P253),ISNUMBER(O253)),P253-O253-IF(ISNUMBER(Q253),Q253,0),"")))</f>
        <v/>
      </c>
      <c r="AY253" s="8">
        <f>IF(E253="금융","금융업 - 정의되지 않음",IF(AND(ISNUMBER(AW253),ISNUMBER(N253),ISNUMBER(O253),ISNUMBER(AV253)),"영업순이익+감가상각-설비투자-운전자본증감",IF(AND(ISNUMBER(P253),ISNUMBER(O253)),IF(ISNUMBER(Q253),"영업현금흐름-설비투자-주식보상비용","영업현금흐름-설비투자(주식보상비용 미태깅)"),"산출불가")))</f>
        <v/>
      </c>
      <c r="AZ253" s="19">
        <f>IF(AND(ISNUMBER(AX253),ISNUMBER(G253),G253&lt;&gt;0),AX253/G253,"")</f>
        <v/>
      </c>
      <c r="BA253" s="19">
        <f>IF(AND(ISNUMBER(AE253),ISNUMBER(G253),G253&lt;&gt;0),AE253/G253,"")</f>
        <v/>
      </c>
    </row>
    <row r="254">
      <c r="A254" s="8" t="inlineStr">
        <is>
          <t>BAC</t>
        </is>
      </c>
      <c r="B254" s="8" t="inlineStr">
        <is>
          <t>BANK OF AMERICA CORP /DE/</t>
        </is>
      </c>
      <c r="C254" s="8" t="n">
        <v>2025</v>
      </c>
      <c r="D254" s="8" t="inlineStr">
        <is>
          <t>2025-12-31</t>
        </is>
      </c>
      <c r="E254" s="8" t="inlineStr">
        <is>
          <t>금융</t>
        </is>
      </c>
      <c r="F254" s="8" t="inlineStr">
        <is>
          <t>0000070858-26-000157</t>
        </is>
      </c>
      <c r="G254" s="15" t="n">
        <v>113.097</v>
      </c>
      <c r="H254" s="15" t="n">
        <v>37.695</v>
      </c>
      <c r="I254" s="15" t="n">
        <v>60.096</v>
      </c>
      <c r="J254" s="15" t="n">
        <v>7.186</v>
      </c>
      <c r="K254" s="15" t="n"/>
      <c r="L254" s="15" t="n">
        <v>30.509</v>
      </c>
      <c r="M254" s="15" t="n"/>
      <c r="N254" s="15" t="n">
        <v>2.314</v>
      </c>
      <c r="O254" s="15" t="n"/>
      <c r="P254" s="15" t="n">
        <v>12.613</v>
      </c>
      <c r="Q254" s="15" t="n">
        <v>4.001</v>
      </c>
      <c r="R254" s="15" t="n">
        <v>303.243</v>
      </c>
      <c r="S254" s="15" t="n">
        <v>293.963</v>
      </c>
      <c r="T254" s="15" t="n">
        <v>231.845</v>
      </c>
      <c r="U254" s="15" t="n">
        <v>290.114</v>
      </c>
      <c r="V254" s="15" t="n">
        <v>48.088</v>
      </c>
      <c r="W254" s="15" t="n">
        <v>43.391</v>
      </c>
      <c r="X254" s="15" t="n">
        <v>317.816</v>
      </c>
      <c r="Y254" s="15" t="n"/>
      <c r="Z254" s="15" t="n"/>
      <c r="AA254" s="15" t="n"/>
      <c r="AB254" s="15" t="n"/>
      <c r="AC254" s="15" t="n"/>
      <c r="AD254" s="16" t="n">
        <v>7212.464345</v>
      </c>
      <c r="AE254" s="17">
        <f>IF(ISNUMBER(K254),K254,IF(AND(ISNUMBER(H254),ISNUMBER(I254)),H254+I254,IF(ISNUMBER(H254),H254,"")))</f>
        <v/>
      </c>
      <c r="AF254" s="18">
        <f>IF(OR(NOT(ISNUMBER(J254)),NOT(ISNUMBER(H254)),H254&lt;=0),기준표!$B$8,MIN(MAX(J254/H254,기준표!$B$6),기준표!$B$7))</f>
        <v/>
      </c>
      <c r="AG254" s="17">
        <f>IF(ISNUMBER(AE254),AE254*(1-AF254),"")</f>
        <v/>
      </c>
      <c r="AH254" s="17">
        <f>IF(AND(NOT(ISNUMBER(V254)),NOT(ISNUMBER(X254))),"",IF(ISNUMBER(V254),V254,0)+IF(ISNUMBER(X254),X254,0))</f>
        <v/>
      </c>
      <c r="AI254" s="17">
        <f>IF(E254="금융","",IF(AND(ISNUMBER(R254),ISNUMBER(AH254),ISNUMBER(T254)),R254+AH254-T254,""))</f>
        <v/>
      </c>
      <c r="AJ254" s="17">
        <f>IF(E254="금융","",IF(NOT(ISNUMBER(AI254)),"",IF(ISNUMBER(AC254),(AI254+AC254)/2,AI254)))</f>
        <v/>
      </c>
      <c r="AK254" s="19">
        <f>IF(AND(ISNUMBER(AG254),ISNUMBER(AJ254),AJ254&gt;0),AG254/AJ254,"")</f>
        <v/>
      </c>
      <c r="AL254" s="17">
        <f>IF(E254="금융","",IF(AND(ISNUMBER(R254),ISNUMBER(AH254)),R254+AH254,""))</f>
        <v/>
      </c>
      <c r="AM254" s="19">
        <f>IF(OR(NOT(ISNUMBER(AG254)),NOT(ISNUMBER(AL254)),AL254&lt;=0),"",IF(AND(ISNUMBER(G254),AL254&lt;0.1*G254),"",AG254/AL254))</f>
        <v/>
      </c>
      <c r="AN254" s="17">
        <f>IF(NOT(ISNUMBER(R254)),"",IF(ISNUMBER(S254),(R254+S254)/2,R254))</f>
        <v/>
      </c>
      <c r="AO254" s="19">
        <f>IF(AND(ISNUMBER(L254),ISNUMBER(AN254),AN254&gt;0),L254/AN254,"")</f>
        <v/>
      </c>
      <c r="AP254" s="19">
        <f>IF(AND(ISNUMBER(AO254),ISNUMBER({ROIC})),AO254-{ROIC},"")</f>
        <v/>
      </c>
      <c r="AQ254" s="17">
        <f>IF(AND(ISNUMBER(AE254),ISNUMBER(N254)),AE254+N254,"")</f>
        <v/>
      </c>
      <c r="AR254" s="20">
        <f>IF(AND(ISNUMBER(AH254),ISNUMBER(T254),ISNUMBER(AQ254),AQ254&gt;0),(AH254-T254)/AQ254,"")</f>
        <v/>
      </c>
      <c r="AS254" s="20">
        <f>IF(AND(ISNUMBER(AE254),ISNUMBER(I254),I254&lt;&gt;0,AE254&gt;0),AE254/I254,"")</f>
        <v/>
      </c>
      <c r="AT254" s="17">
        <f>IF(AND(ISNUMBER(Y254),ISNUMBER(AA254)),Y254-IF(ISNUMBER(T254),T254,0)-(AA254-IF(ISNUMBER(V254),V254,0)),"")</f>
        <v/>
      </c>
      <c r="AU254" s="17">
        <f>IF(AND(ISNUMBER(Z254),ISNUMBER(AB254)),Z254-IF(ISNUMBER(U254),U254,0)-(AB254-IF(ISNUMBER(W254),W254,0)),"")</f>
        <v/>
      </c>
      <c r="AV254" s="17">
        <f>IF(AND(ISNUMBER(AT254),ISNUMBER(AU254)),AT254-AU254,"")</f>
        <v/>
      </c>
      <c r="AW254" s="17">
        <f>IF(AND(ISNUMBER(L254),ISNUMBER(M254),ISNUMBER(AF254)),L254-M254*(1-AF254),IF(ISNUMBER(L254),L254,""))</f>
        <v/>
      </c>
      <c r="AX254" s="17">
        <f>IF(E254="금융","",IF(AND(ISNUMBER(AW254),ISNUMBER(N254),ISNUMBER(O254),ISNUMBER(AV254)),AW254+N254-O254-AV254,IF(AND(ISNUMBER(P254),ISNUMBER(O254)),P254-O254-IF(ISNUMBER(Q254),Q254,0),"")))</f>
        <v/>
      </c>
      <c r="AY254" s="8">
        <f>IF(E254="금융","금융업 - 정의되지 않음",IF(AND(ISNUMBER(AW254),ISNUMBER(N254),ISNUMBER(O254),ISNUMBER(AV254)),"영업순이익+감가상각-설비투자-운전자본증감",IF(AND(ISNUMBER(P254),ISNUMBER(O254)),IF(ISNUMBER(Q254),"영업현금흐름-설비투자-주식보상비용","영업현금흐름-설비투자(주식보상비용 미태깅)"),"산출불가")))</f>
        <v/>
      </c>
      <c r="AZ254" s="19">
        <f>IF(AND(ISNUMBER(AX254),ISNUMBER(G254),G254&lt;&gt;0),AX254/G254,"")</f>
        <v/>
      </c>
      <c r="BA254" s="19">
        <f>IF(AND(ISNUMBER(AE254),ISNUMBER(G254),G254&lt;&gt;0),AE254/G254,"")</f>
        <v/>
      </c>
    </row>
    <row r="255">
      <c r="A255" s="8" t="inlineStr">
        <is>
          <t>ABBV</t>
        </is>
      </c>
      <c r="B255" s="8" t="inlineStr">
        <is>
          <t>AbbVie Inc.</t>
        </is>
      </c>
      <c r="C255" s="8" t="n">
        <v>2014</v>
      </c>
      <c r="D255" s="8" t="inlineStr">
        <is>
          <t>2014-12-31</t>
        </is>
      </c>
      <c r="E255" s="8" t="inlineStr">
        <is>
          <t>일반</t>
        </is>
      </c>
      <c r="F255" s="8" t="inlineStr">
        <is>
          <t>0001551152-17-000004</t>
        </is>
      </c>
      <c r="G255" s="15" t="n"/>
      <c r="H255" s="15" t="n">
        <v>2.369</v>
      </c>
      <c r="I255" s="15" t="n">
        <v>0.429</v>
      </c>
      <c r="J255" s="15" t="n">
        <v>0.595</v>
      </c>
      <c r="K255" s="15" t="n">
        <v>3.411</v>
      </c>
      <c r="L255" s="15" t="n">
        <v>1.774</v>
      </c>
      <c r="M255" s="15" t="n"/>
      <c r="N255" s="15" t="n">
        <v>0.383</v>
      </c>
      <c r="O255" s="15" t="n">
        <v>0.612</v>
      </c>
      <c r="P255" s="15" t="n"/>
      <c r="Q255" s="15" t="n">
        <v>0.241</v>
      </c>
      <c r="R255" s="15" t="n">
        <v>1.742</v>
      </c>
      <c r="S255" s="15" t="n"/>
      <c r="T255" s="15" t="n">
        <v>8.374000000000001</v>
      </c>
      <c r="U255" s="15" t="n"/>
      <c r="V255" s="15" t="n">
        <v>0.425</v>
      </c>
      <c r="W255" s="15" t="n"/>
      <c r="X255" s="15" t="n">
        <v>10.538</v>
      </c>
      <c r="Y255" s="15" t="n">
        <v>16.081</v>
      </c>
      <c r="Z255" s="15" t="n"/>
      <c r="AA255" s="15" t="n">
        <v>11.393</v>
      </c>
      <c r="AB255" s="15" t="n"/>
      <c r="AC255" s="15" t="n"/>
      <c r="AD255" s="16" t="n">
        <v>1610</v>
      </c>
      <c r="AE255" s="17">
        <f>IF(ISNUMBER(K255),K255,IF(AND(ISNUMBER(H255),ISNUMBER(I255)),H255+I255,IF(ISNUMBER(H255),H255,"")))</f>
        <v/>
      </c>
      <c r="AF255" s="18">
        <f>IF(OR(NOT(ISNUMBER(J255)),NOT(ISNUMBER(H255)),H255&lt;=0),기준표!$B$8,MIN(MAX(J255/H255,기준표!$B$6),기준표!$B$7))</f>
        <v/>
      </c>
      <c r="AG255" s="17">
        <f>IF(ISNUMBER(AE255),AE255*(1-AF255),"")</f>
        <v/>
      </c>
      <c r="AH255" s="17">
        <f>IF(AND(NOT(ISNUMBER(V255)),NOT(ISNUMBER(X255))),"",IF(ISNUMBER(V255),V255,0)+IF(ISNUMBER(X255),X255,0))</f>
        <v/>
      </c>
      <c r="AI255" s="17">
        <f>IF(E255="금융","",IF(AND(ISNUMBER(R255),ISNUMBER(AH255),ISNUMBER(T255)),R255+AH255-T255,""))</f>
        <v/>
      </c>
      <c r="AJ255" s="17">
        <f>IF(E255="금융","",IF(NOT(ISNUMBER(AI255)),"",IF(ISNUMBER(AC255),(AI255+AC255)/2,AI255)))</f>
        <v/>
      </c>
      <c r="AK255" s="19">
        <f>IF(AND(ISNUMBER(AG255),ISNUMBER(AJ255),AJ255&gt;0),AG255/AJ255,"")</f>
        <v/>
      </c>
      <c r="AL255" s="17">
        <f>IF(E255="금융","",IF(AND(ISNUMBER(R255),ISNUMBER(AH255)),R255+AH255,""))</f>
        <v/>
      </c>
      <c r="AM255" s="19">
        <f>IF(OR(NOT(ISNUMBER(AG255)),NOT(ISNUMBER(AL255)),AL255&lt;=0),"",IF(AND(ISNUMBER(G255),AL255&lt;0.1*G255),"",AG255/AL255))</f>
        <v/>
      </c>
      <c r="AN255" s="17">
        <f>IF(NOT(ISNUMBER(R255)),"",IF(ISNUMBER(S255),(R255+S255)/2,R255))</f>
        <v/>
      </c>
      <c r="AO255" s="19">
        <f>IF(AND(ISNUMBER(L255),ISNUMBER(AN255),AN255&gt;0),L255/AN255,"")</f>
        <v/>
      </c>
      <c r="AP255" s="19">
        <f>IF(AND(ISNUMBER(AO255),ISNUMBER({ROIC})),AO255-{ROIC},"")</f>
        <v/>
      </c>
      <c r="AQ255" s="17">
        <f>IF(AND(ISNUMBER(AE255),ISNUMBER(N255)),AE255+N255,"")</f>
        <v/>
      </c>
      <c r="AR255" s="20">
        <f>IF(AND(ISNUMBER(AH255),ISNUMBER(T255),ISNUMBER(AQ255),AQ255&gt;0),(AH255-T255)/AQ255,"")</f>
        <v/>
      </c>
      <c r="AS255" s="20">
        <f>IF(AND(ISNUMBER(AE255),ISNUMBER(I255),I255&lt;&gt;0,AE255&gt;0),AE255/I255,"")</f>
        <v/>
      </c>
      <c r="AT255" s="17">
        <f>IF(AND(ISNUMBER(Y255),ISNUMBER(AA255)),Y255-IF(ISNUMBER(T255),T255,0)-(AA255-IF(ISNUMBER(V255),V255,0)),"")</f>
        <v/>
      </c>
      <c r="AU255" s="17">
        <f>IF(AND(ISNUMBER(Z255),ISNUMBER(AB255)),Z255-IF(ISNUMBER(U255),U255,0)-(AB255-IF(ISNUMBER(W255),W255,0)),"")</f>
        <v/>
      </c>
      <c r="AV255" s="17">
        <f>IF(AND(ISNUMBER(AT255),ISNUMBER(AU255)),AT255-AU255,"")</f>
        <v/>
      </c>
      <c r="AW255" s="17">
        <f>IF(AND(ISNUMBER(L255),ISNUMBER(M255),ISNUMBER(AF255)),L255-M255*(1-AF255),IF(ISNUMBER(L255),L255,""))</f>
        <v/>
      </c>
      <c r="AX255" s="17">
        <f>IF(E255="금융","",IF(AND(ISNUMBER(AW255),ISNUMBER(N255),ISNUMBER(O255),ISNUMBER(AV255)),AW255+N255-O255-AV255,IF(AND(ISNUMBER(P255),ISNUMBER(O255)),P255-O255-IF(ISNUMBER(Q255),Q255,0),"")))</f>
        <v/>
      </c>
      <c r="AY255" s="8">
        <f>IF(E255="금융","금융업 - 정의되지 않음",IF(AND(ISNUMBER(AW255),ISNUMBER(N255),ISNUMBER(O255),ISNUMBER(AV255)),"영업순이익+감가상각-설비투자-운전자본증감",IF(AND(ISNUMBER(P255),ISNUMBER(O255)),IF(ISNUMBER(Q255),"영업현금흐름-설비투자-주식보상비용","영업현금흐름-설비투자(주식보상비용 미태깅)"),"산출불가")))</f>
        <v/>
      </c>
      <c r="AZ255" s="19">
        <f>IF(AND(ISNUMBER(AX255),ISNUMBER(G255),G255&lt;&gt;0),AX255/G255,"")</f>
        <v/>
      </c>
      <c r="BA255" s="19">
        <f>IF(AND(ISNUMBER(AE255),ISNUMBER(G255),G255&lt;&gt;0),AE255/G255,"")</f>
        <v/>
      </c>
    </row>
    <row r="256">
      <c r="A256" s="8" t="inlineStr">
        <is>
          <t>ABBV</t>
        </is>
      </c>
      <c r="B256" s="8" t="inlineStr">
        <is>
          <t>AbbVie Inc.</t>
        </is>
      </c>
      <c r="C256" s="8" t="n">
        <v>2015</v>
      </c>
      <c r="D256" s="8" t="inlineStr">
        <is>
          <t>2015-12-31</t>
        </is>
      </c>
      <c r="E256" s="8" t="inlineStr">
        <is>
          <t>일반</t>
        </is>
      </c>
      <c r="F256" s="8" t="inlineStr">
        <is>
          <t>0001551152-18-000014</t>
        </is>
      </c>
      <c r="G256" s="15" t="n"/>
      <c r="H256" s="15" t="n">
        <v>6.645</v>
      </c>
      <c r="I256" s="15" t="n">
        <v>0.719</v>
      </c>
      <c r="J256" s="15" t="n">
        <v>1.501</v>
      </c>
      <c r="K256" s="15" t="n">
        <v>7.537</v>
      </c>
      <c r="L256" s="15" t="n">
        <v>5.144</v>
      </c>
      <c r="M256" s="15" t="n"/>
      <c r="N256" s="15" t="n">
        <v>0.417</v>
      </c>
      <c r="O256" s="15" t="n">
        <v>0.532</v>
      </c>
      <c r="P256" s="15" t="n"/>
      <c r="Q256" s="15" t="n">
        <v>0.282</v>
      </c>
      <c r="R256" s="15" t="n">
        <v>3.945</v>
      </c>
      <c r="S256" s="15" t="n">
        <v>1.742</v>
      </c>
      <c r="T256" s="15" t="n">
        <v>8.407</v>
      </c>
      <c r="U256" s="15" t="n">
        <v>8.374000000000001</v>
      </c>
      <c r="V256" s="15" t="n">
        <v>0.406</v>
      </c>
      <c r="W256" s="15" t="n">
        <v>0.425</v>
      </c>
      <c r="X256" s="15" t="n">
        <v>29.24</v>
      </c>
      <c r="Y256" s="15" t="n">
        <v>16.314</v>
      </c>
      <c r="Z256" s="15" t="n">
        <v>16.081</v>
      </c>
      <c r="AA256" s="15" t="n">
        <v>10.894</v>
      </c>
      <c r="AB256" s="15" t="n">
        <v>11.393</v>
      </c>
      <c r="AC256" s="15" t="n">
        <v>4.331</v>
      </c>
      <c r="AD256" s="16" t="n">
        <v>1637</v>
      </c>
      <c r="AE256" s="17">
        <f>IF(ISNUMBER(K256),K256,IF(AND(ISNUMBER(H256),ISNUMBER(I256)),H256+I256,IF(ISNUMBER(H256),H256,"")))</f>
        <v/>
      </c>
      <c r="AF256" s="18">
        <f>IF(OR(NOT(ISNUMBER(J256)),NOT(ISNUMBER(H256)),H256&lt;=0),기준표!$B$8,MIN(MAX(J256/H256,기준표!$B$6),기준표!$B$7))</f>
        <v/>
      </c>
      <c r="AG256" s="17">
        <f>IF(ISNUMBER(AE256),AE256*(1-AF256),"")</f>
        <v/>
      </c>
      <c r="AH256" s="17">
        <f>IF(AND(NOT(ISNUMBER(V256)),NOT(ISNUMBER(X256))),"",IF(ISNUMBER(V256),V256,0)+IF(ISNUMBER(X256),X256,0))</f>
        <v/>
      </c>
      <c r="AI256" s="17">
        <f>IF(E256="금융","",IF(AND(ISNUMBER(R256),ISNUMBER(AH256),ISNUMBER(T256)),R256+AH256-T256,""))</f>
        <v/>
      </c>
      <c r="AJ256" s="17">
        <f>IF(E256="금융","",IF(NOT(ISNUMBER(AI256)),"",IF(ISNUMBER(AC256),(AI256+AC256)/2,AI256)))</f>
        <v/>
      </c>
      <c r="AK256" s="19">
        <f>IF(AND(ISNUMBER(AG256),ISNUMBER(AJ256),AJ256&gt;0),AG256/AJ256,"")</f>
        <v/>
      </c>
      <c r="AL256" s="17">
        <f>IF(E256="금융","",IF(AND(ISNUMBER(R256),ISNUMBER(AH256)),R256+AH256,""))</f>
        <v/>
      </c>
      <c r="AM256" s="19">
        <f>IF(OR(NOT(ISNUMBER(AG256)),NOT(ISNUMBER(AL256)),AL256&lt;=0),"",IF(AND(ISNUMBER(G256),AL256&lt;0.1*G256),"",AG256/AL256))</f>
        <v/>
      </c>
      <c r="AN256" s="17">
        <f>IF(NOT(ISNUMBER(R256)),"",IF(ISNUMBER(S256),(R256+S256)/2,R256))</f>
        <v/>
      </c>
      <c r="AO256" s="19">
        <f>IF(AND(ISNUMBER(L256),ISNUMBER(AN256),AN256&gt;0),L256/AN256,"")</f>
        <v/>
      </c>
      <c r="AP256" s="19">
        <f>IF(AND(ISNUMBER(AO256),ISNUMBER({ROIC})),AO256-{ROIC},"")</f>
        <v/>
      </c>
      <c r="AQ256" s="17">
        <f>IF(AND(ISNUMBER(AE256),ISNUMBER(N256)),AE256+N256,"")</f>
        <v/>
      </c>
      <c r="AR256" s="20">
        <f>IF(AND(ISNUMBER(AH256),ISNUMBER(T256),ISNUMBER(AQ256),AQ256&gt;0),(AH256-T256)/AQ256,"")</f>
        <v/>
      </c>
      <c r="AS256" s="20">
        <f>IF(AND(ISNUMBER(AE256),ISNUMBER(I256),I256&lt;&gt;0,AE256&gt;0),AE256/I256,"")</f>
        <v/>
      </c>
      <c r="AT256" s="17">
        <f>IF(AND(ISNUMBER(Y256),ISNUMBER(AA256)),Y256-IF(ISNUMBER(T256),T256,0)-(AA256-IF(ISNUMBER(V256),V256,0)),"")</f>
        <v/>
      </c>
      <c r="AU256" s="17">
        <f>IF(AND(ISNUMBER(Z256),ISNUMBER(AB256)),Z256-IF(ISNUMBER(U256),U256,0)-(AB256-IF(ISNUMBER(W256),W256,0)),"")</f>
        <v/>
      </c>
      <c r="AV256" s="17">
        <f>IF(AND(ISNUMBER(AT256),ISNUMBER(AU256)),AT256-AU256,"")</f>
        <v/>
      </c>
      <c r="AW256" s="17">
        <f>IF(AND(ISNUMBER(L256),ISNUMBER(M256),ISNUMBER(AF256)),L256-M256*(1-AF256),IF(ISNUMBER(L256),L256,""))</f>
        <v/>
      </c>
      <c r="AX256" s="17">
        <f>IF(E256="금융","",IF(AND(ISNUMBER(AW256),ISNUMBER(N256),ISNUMBER(O256),ISNUMBER(AV256)),AW256+N256-O256-AV256,IF(AND(ISNUMBER(P256),ISNUMBER(O256)),P256-O256-IF(ISNUMBER(Q256),Q256,0),"")))</f>
        <v/>
      </c>
      <c r="AY256" s="8">
        <f>IF(E256="금융","금융업 - 정의되지 않음",IF(AND(ISNUMBER(AW256),ISNUMBER(N256),ISNUMBER(O256),ISNUMBER(AV256)),"영업순이익+감가상각-설비투자-운전자본증감",IF(AND(ISNUMBER(P256),ISNUMBER(O256)),IF(ISNUMBER(Q256),"영업현금흐름-설비투자-주식보상비용","영업현금흐름-설비투자(주식보상비용 미태깅)"),"산출불가")))</f>
        <v/>
      </c>
      <c r="AZ256" s="19">
        <f>IF(AND(ISNUMBER(AX256),ISNUMBER(G256),G256&lt;&gt;0),AX256/G256,"")</f>
        <v/>
      </c>
      <c r="BA256" s="19">
        <f>IF(AND(ISNUMBER(AE256),ISNUMBER(G256),G256&lt;&gt;0),AE256/G256,"")</f>
        <v/>
      </c>
    </row>
    <row r="257">
      <c r="A257" s="8" t="inlineStr">
        <is>
          <t>ABBV</t>
        </is>
      </c>
      <c r="B257" s="8" t="inlineStr">
        <is>
          <t>AbbVie Inc.</t>
        </is>
      </c>
      <c r="C257" s="8" t="n">
        <v>2016</v>
      </c>
      <c r="D257" s="8" t="inlineStr">
        <is>
          <t>2016-12-31</t>
        </is>
      </c>
      <c r="E257" s="8" t="inlineStr">
        <is>
          <t>일반</t>
        </is>
      </c>
      <c r="F257" s="8" t="inlineStr">
        <is>
          <t>0001551152-19-000008</t>
        </is>
      </c>
      <c r="G257" s="15" t="n">
        <v>25.638</v>
      </c>
      <c r="H257" s="15" t="n">
        <v>7.884</v>
      </c>
      <c r="I257" s="15" t="n">
        <v>1.047</v>
      </c>
      <c r="J257" s="15" t="n">
        <v>1.931</v>
      </c>
      <c r="K257" s="15" t="n">
        <v>9.34</v>
      </c>
      <c r="L257" s="15" t="n">
        <v>5.953</v>
      </c>
      <c r="M257" s="15" t="n"/>
      <c r="N257" s="15" t="n">
        <v>0.425</v>
      </c>
      <c r="O257" s="15" t="n">
        <v>0.479</v>
      </c>
      <c r="P257" s="15" t="n"/>
      <c r="Q257" s="15" t="n">
        <v>0.353</v>
      </c>
      <c r="R257" s="15" t="n">
        <v>4.636</v>
      </c>
      <c r="S257" s="15" t="n">
        <v>3.945</v>
      </c>
      <c r="T257" s="15" t="n">
        <v>6.423</v>
      </c>
      <c r="U257" s="15" t="n">
        <v>8.407</v>
      </c>
      <c r="V257" s="15" t="n">
        <v>0.377</v>
      </c>
      <c r="W257" s="15" t="n">
        <v>0.406</v>
      </c>
      <c r="X257" s="15" t="n">
        <v>36.44</v>
      </c>
      <c r="Y257" s="15" t="n">
        <v>16.187</v>
      </c>
      <c r="Z257" s="15" t="n">
        <v>16.314</v>
      </c>
      <c r="AA257" s="15" t="n">
        <v>9.781000000000001</v>
      </c>
      <c r="AB257" s="15" t="n">
        <v>10.894</v>
      </c>
      <c r="AC257" s="15" t="n">
        <v>25.184</v>
      </c>
      <c r="AD257" s="16" t="n">
        <v>1631</v>
      </c>
      <c r="AE257" s="17">
        <f>IF(ISNUMBER(K257),K257,IF(AND(ISNUMBER(H257),ISNUMBER(I257)),H257+I257,IF(ISNUMBER(H257),H257,"")))</f>
        <v/>
      </c>
      <c r="AF257" s="18">
        <f>IF(OR(NOT(ISNUMBER(J257)),NOT(ISNUMBER(H257)),H257&lt;=0),기준표!$B$8,MIN(MAX(J257/H257,기준표!$B$6),기준표!$B$7))</f>
        <v/>
      </c>
      <c r="AG257" s="17">
        <f>IF(ISNUMBER(AE257),AE257*(1-AF257),"")</f>
        <v/>
      </c>
      <c r="AH257" s="17">
        <f>IF(AND(NOT(ISNUMBER(V257)),NOT(ISNUMBER(X257))),"",IF(ISNUMBER(V257),V257,0)+IF(ISNUMBER(X257),X257,0))</f>
        <v/>
      </c>
      <c r="AI257" s="17">
        <f>IF(E257="금융","",IF(AND(ISNUMBER(R257),ISNUMBER(AH257),ISNUMBER(T257)),R257+AH257-T257,""))</f>
        <v/>
      </c>
      <c r="AJ257" s="17">
        <f>IF(E257="금융","",IF(NOT(ISNUMBER(AI257)),"",IF(ISNUMBER(AC257),(AI257+AC257)/2,AI257)))</f>
        <v/>
      </c>
      <c r="AK257" s="19">
        <f>IF(AND(ISNUMBER(AG257),ISNUMBER(AJ257),AJ257&gt;0),AG257/AJ257,"")</f>
        <v/>
      </c>
      <c r="AL257" s="17">
        <f>IF(E257="금융","",IF(AND(ISNUMBER(R257),ISNUMBER(AH257)),R257+AH257,""))</f>
        <v/>
      </c>
      <c r="AM257" s="19">
        <f>IF(OR(NOT(ISNUMBER(AG257)),NOT(ISNUMBER(AL257)),AL257&lt;=0),"",IF(AND(ISNUMBER(G257),AL257&lt;0.1*G257),"",AG257/AL257))</f>
        <v/>
      </c>
      <c r="AN257" s="17">
        <f>IF(NOT(ISNUMBER(R257)),"",IF(ISNUMBER(S257),(R257+S257)/2,R257))</f>
        <v/>
      </c>
      <c r="AO257" s="19">
        <f>IF(AND(ISNUMBER(L257),ISNUMBER(AN257),AN257&gt;0),L257/AN257,"")</f>
        <v/>
      </c>
      <c r="AP257" s="19">
        <f>IF(AND(ISNUMBER(AO257),ISNUMBER({ROIC})),AO257-{ROIC},"")</f>
        <v/>
      </c>
      <c r="AQ257" s="17">
        <f>IF(AND(ISNUMBER(AE257),ISNUMBER(N257)),AE257+N257,"")</f>
        <v/>
      </c>
      <c r="AR257" s="20">
        <f>IF(AND(ISNUMBER(AH257),ISNUMBER(T257),ISNUMBER(AQ257),AQ257&gt;0),(AH257-T257)/AQ257,"")</f>
        <v/>
      </c>
      <c r="AS257" s="20">
        <f>IF(AND(ISNUMBER(AE257),ISNUMBER(I257),I257&lt;&gt;0,AE257&gt;0),AE257/I257,"")</f>
        <v/>
      </c>
      <c r="AT257" s="17">
        <f>IF(AND(ISNUMBER(Y257),ISNUMBER(AA257)),Y257-IF(ISNUMBER(T257),T257,0)-(AA257-IF(ISNUMBER(V257),V257,0)),"")</f>
        <v/>
      </c>
      <c r="AU257" s="17">
        <f>IF(AND(ISNUMBER(Z257),ISNUMBER(AB257)),Z257-IF(ISNUMBER(U257),U257,0)-(AB257-IF(ISNUMBER(W257),W257,0)),"")</f>
        <v/>
      </c>
      <c r="AV257" s="17">
        <f>IF(AND(ISNUMBER(AT257),ISNUMBER(AU257)),AT257-AU257,"")</f>
        <v/>
      </c>
      <c r="AW257" s="17">
        <f>IF(AND(ISNUMBER(L257),ISNUMBER(M257),ISNUMBER(AF257)),L257-M257*(1-AF257),IF(ISNUMBER(L257),L257,""))</f>
        <v/>
      </c>
      <c r="AX257" s="17">
        <f>IF(E257="금융","",IF(AND(ISNUMBER(AW257),ISNUMBER(N257),ISNUMBER(O257),ISNUMBER(AV257)),AW257+N257-O257-AV257,IF(AND(ISNUMBER(P257),ISNUMBER(O257)),P257-O257-IF(ISNUMBER(Q257),Q257,0),"")))</f>
        <v/>
      </c>
      <c r="AY257" s="8">
        <f>IF(E257="금융","금융업 - 정의되지 않음",IF(AND(ISNUMBER(AW257),ISNUMBER(N257),ISNUMBER(O257),ISNUMBER(AV257)),"영업순이익+감가상각-설비투자-운전자본증감",IF(AND(ISNUMBER(P257),ISNUMBER(O257)),IF(ISNUMBER(Q257),"영업현금흐름-설비투자-주식보상비용","영업현금흐름-설비투자(주식보상비용 미태깅)"),"산출불가")))</f>
        <v/>
      </c>
      <c r="AZ257" s="19">
        <f>IF(AND(ISNUMBER(AX257),ISNUMBER(G257),G257&lt;&gt;0),AX257/G257,"")</f>
        <v/>
      </c>
      <c r="BA257" s="19">
        <f>IF(AND(ISNUMBER(AE257),ISNUMBER(G257),G257&lt;&gt;0),AE257/G257,"")</f>
        <v/>
      </c>
    </row>
    <row r="258">
      <c r="A258" s="8" t="inlineStr">
        <is>
          <t>ABBV</t>
        </is>
      </c>
      <c r="B258" s="8" t="inlineStr">
        <is>
          <t>AbbVie Inc.</t>
        </is>
      </c>
      <c r="C258" s="8" t="n">
        <v>2017</v>
      </c>
      <c r="D258" s="8" t="inlineStr">
        <is>
          <t>2017-12-31</t>
        </is>
      </c>
      <c r="E258" s="8" t="inlineStr">
        <is>
          <t>일반</t>
        </is>
      </c>
      <c r="F258" s="8" t="inlineStr">
        <is>
          <t>0001551152-20-000007</t>
        </is>
      </c>
      <c r="G258" s="15" t="n">
        <v>28.216</v>
      </c>
      <c r="H258" s="15" t="n">
        <v>7.727</v>
      </c>
      <c r="I258" s="15" t="n">
        <v>1.15</v>
      </c>
      <c r="J258" s="15" t="n">
        <v>2.418</v>
      </c>
      <c r="K258" s="15" t="n">
        <v>9.545</v>
      </c>
      <c r="L258" s="15" t="n">
        <v>5.309</v>
      </c>
      <c r="M258" s="15" t="n"/>
      <c r="N258" s="15" t="n">
        <v>0.425</v>
      </c>
      <c r="O258" s="15" t="n">
        <v>0.529</v>
      </c>
      <c r="P258" s="15" t="n">
        <v>9.960000000000001</v>
      </c>
      <c r="Q258" s="15" t="n">
        <v>0.365</v>
      </c>
      <c r="R258" s="15" t="n">
        <v>5.097</v>
      </c>
      <c r="S258" s="15" t="n">
        <v>4.636</v>
      </c>
      <c r="T258" s="15" t="n">
        <v>9.789</v>
      </c>
      <c r="U258" s="15" t="n">
        <v>6.423</v>
      </c>
      <c r="V258" s="15" t="n">
        <v>0.4</v>
      </c>
      <c r="W258" s="15" t="n">
        <v>0.377</v>
      </c>
      <c r="X258" s="15" t="n">
        <v>30.953</v>
      </c>
      <c r="Y258" s="15" t="n">
        <v>21.223</v>
      </c>
      <c r="Z258" s="15" t="n">
        <v>16.187</v>
      </c>
      <c r="AA258" s="15" t="n">
        <v>16.641</v>
      </c>
      <c r="AB258" s="15" t="n">
        <v>9.781000000000001</v>
      </c>
      <c r="AC258" s="15" t="n">
        <v>35.03</v>
      </c>
      <c r="AD258" s="16" t="n">
        <v>1603</v>
      </c>
      <c r="AE258" s="17">
        <f>IF(ISNUMBER(K258),K258,IF(AND(ISNUMBER(H258),ISNUMBER(I258)),H258+I258,IF(ISNUMBER(H258),H258,"")))</f>
        <v/>
      </c>
      <c r="AF258" s="18">
        <f>IF(OR(NOT(ISNUMBER(J258)),NOT(ISNUMBER(H258)),H258&lt;=0),기준표!$B$8,MIN(MAX(J258/H258,기준표!$B$6),기준표!$B$7))</f>
        <v/>
      </c>
      <c r="AG258" s="17">
        <f>IF(ISNUMBER(AE258),AE258*(1-AF258),"")</f>
        <v/>
      </c>
      <c r="AH258" s="17">
        <f>IF(AND(NOT(ISNUMBER(V258)),NOT(ISNUMBER(X258))),"",IF(ISNUMBER(V258),V258,0)+IF(ISNUMBER(X258),X258,0))</f>
        <v/>
      </c>
      <c r="AI258" s="17">
        <f>IF(E258="금융","",IF(AND(ISNUMBER(R258),ISNUMBER(AH258),ISNUMBER(T258)),R258+AH258-T258,""))</f>
        <v/>
      </c>
      <c r="AJ258" s="17">
        <f>IF(E258="금융","",IF(NOT(ISNUMBER(AI258)),"",IF(ISNUMBER(AC258),(AI258+AC258)/2,AI258)))</f>
        <v/>
      </c>
      <c r="AK258" s="19">
        <f>IF(AND(ISNUMBER(AG258),ISNUMBER(AJ258),AJ258&gt;0),AG258/AJ258,"")</f>
        <v/>
      </c>
      <c r="AL258" s="17">
        <f>IF(E258="금융","",IF(AND(ISNUMBER(R258),ISNUMBER(AH258)),R258+AH258,""))</f>
        <v/>
      </c>
      <c r="AM258" s="19">
        <f>IF(OR(NOT(ISNUMBER(AG258)),NOT(ISNUMBER(AL258)),AL258&lt;=0),"",IF(AND(ISNUMBER(G258),AL258&lt;0.1*G258),"",AG258/AL258))</f>
        <v/>
      </c>
      <c r="AN258" s="17">
        <f>IF(NOT(ISNUMBER(R258)),"",IF(ISNUMBER(S258),(R258+S258)/2,R258))</f>
        <v/>
      </c>
      <c r="AO258" s="19">
        <f>IF(AND(ISNUMBER(L258),ISNUMBER(AN258),AN258&gt;0),L258/AN258,"")</f>
        <v/>
      </c>
      <c r="AP258" s="19">
        <f>IF(AND(ISNUMBER(AO258),ISNUMBER({ROIC})),AO258-{ROIC},"")</f>
        <v/>
      </c>
      <c r="AQ258" s="17">
        <f>IF(AND(ISNUMBER(AE258),ISNUMBER(N258)),AE258+N258,"")</f>
        <v/>
      </c>
      <c r="AR258" s="20">
        <f>IF(AND(ISNUMBER(AH258),ISNUMBER(T258),ISNUMBER(AQ258),AQ258&gt;0),(AH258-T258)/AQ258,"")</f>
        <v/>
      </c>
      <c r="AS258" s="20">
        <f>IF(AND(ISNUMBER(AE258),ISNUMBER(I258),I258&lt;&gt;0,AE258&gt;0),AE258/I258,"")</f>
        <v/>
      </c>
      <c r="AT258" s="17">
        <f>IF(AND(ISNUMBER(Y258),ISNUMBER(AA258)),Y258-IF(ISNUMBER(T258),T258,0)-(AA258-IF(ISNUMBER(V258),V258,0)),"")</f>
        <v/>
      </c>
      <c r="AU258" s="17">
        <f>IF(AND(ISNUMBER(Z258),ISNUMBER(AB258)),Z258-IF(ISNUMBER(U258),U258,0)-(AB258-IF(ISNUMBER(W258),W258,0)),"")</f>
        <v/>
      </c>
      <c r="AV258" s="17">
        <f>IF(AND(ISNUMBER(AT258),ISNUMBER(AU258)),AT258-AU258,"")</f>
        <v/>
      </c>
      <c r="AW258" s="17">
        <f>IF(AND(ISNUMBER(L258),ISNUMBER(M258),ISNUMBER(AF258)),L258-M258*(1-AF258),IF(ISNUMBER(L258),L258,""))</f>
        <v/>
      </c>
      <c r="AX258" s="17">
        <f>IF(E258="금융","",IF(AND(ISNUMBER(AW258),ISNUMBER(N258),ISNUMBER(O258),ISNUMBER(AV258)),AW258+N258-O258-AV258,IF(AND(ISNUMBER(P258),ISNUMBER(O258)),P258-O258-IF(ISNUMBER(Q258),Q258,0),"")))</f>
        <v/>
      </c>
      <c r="AY258" s="8">
        <f>IF(E258="금융","금융업 - 정의되지 않음",IF(AND(ISNUMBER(AW258),ISNUMBER(N258),ISNUMBER(O258),ISNUMBER(AV258)),"영업순이익+감가상각-설비투자-운전자본증감",IF(AND(ISNUMBER(P258),ISNUMBER(O258)),IF(ISNUMBER(Q258),"영업현금흐름-설비투자-주식보상비용","영업현금흐름-설비투자(주식보상비용 미태깅)"),"산출불가")))</f>
        <v/>
      </c>
      <c r="AZ258" s="19">
        <f>IF(AND(ISNUMBER(AX258),ISNUMBER(G258),G258&lt;&gt;0),AX258/G258,"")</f>
        <v/>
      </c>
      <c r="BA258" s="19">
        <f>IF(AND(ISNUMBER(AE258),ISNUMBER(G258),G258&lt;&gt;0),AE258/G258,"")</f>
        <v/>
      </c>
    </row>
    <row r="259">
      <c r="A259" s="8" t="inlineStr">
        <is>
          <t>ABBV</t>
        </is>
      </c>
      <c r="B259" s="8" t="inlineStr">
        <is>
          <t>AbbVie Inc.</t>
        </is>
      </c>
      <c r="C259" s="8" t="n">
        <v>2018</v>
      </c>
      <c r="D259" s="8" t="inlineStr">
        <is>
          <t>2018-12-31</t>
        </is>
      </c>
      <c r="E259" s="8" t="inlineStr">
        <is>
          <t>일반</t>
        </is>
      </c>
      <c r="F259" s="8" t="inlineStr">
        <is>
          <t>0001551152-21-000008</t>
        </is>
      </c>
      <c r="G259" s="15" t="n">
        <v>32.753</v>
      </c>
      <c r="H259" s="15" t="n">
        <v>5.197</v>
      </c>
      <c r="I259" s="15" t="n">
        <v>1.348</v>
      </c>
      <c r="J259" s="15" t="n">
        <v>-0.49</v>
      </c>
      <c r="K259" s="15" t="n">
        <v>6.383</v>
      </c>
      <c r="L259" s="15" t="n">
        <v>5.687</v>
      </c>
      <c r="M259" s="15" t="n"/>
      <c r="N259" s="15" t="n">
        <v>0.471</v>
      </c>
      <c r="O259" s="15" t="n">
        <v>0.638</v>
      </c>
      <c r="P259" s="15" t="n">
        <v>13.427</v>
      </c>
      <c r="Q259" s="15" t="n">
        <v>0.421</v>
      </c>
      <c r="R259" s="15" t="n">
        <v>-8.446</v>
      </c>
      <c r="S259" s="15" t="n">
        <v>5.097</v>
      </c>
      <c r="T259" s="15" t="n">
        <v>8.061</v>
      </c>
      <c r="U259" s="15" t="n">
        <v>9.789</v>
      </c>
      <c r="V259" s="15" t="n">
        <v>3.699</v>
      </c>
      <c r="W259" s="15" t="n">
        <v>0.4</v>
      </c>
      <c r="X259" s="15" t="n">
        <v>35.002</v>
      </c>
      <c r="Y259" s="15" t="n">
        <v>16.945</v>
      </c>
      <c r="Z259" s="15" t="n">
        <v>21.223</v>
      </c>
      <c r="AA259" s="15" t="n">
        <v>17.239</v>
      </c>
      <c r="AB259" s="15" t="n">
        <v>16.641</v>
      </c>
      <c r="AC259" s="15" t="n">
        <v>26.661</v>
      </c>
      <c r="AD259" s="16" t="n">
        <v>1546</v>
      </c>
      <c r="AE259" s="17">
        <f>IF(ISNUMBER(K259),K259,IF(AND(ISNUMBER(H259),ISNUMBER(I259)),H259+I259,IF(ISNUMBER(H259),H259,"")))</f>
        <v/>
      </c>
      <c r="AF259" s="18">
        <f>IF(OR(NOT(ISNUMBER(J259)),NOT(ISNUMBER(H259)),H259&lt;=0),기준표!$B$8,MIN(MAX(J259/H259,기준표!$B$6),기준표!$B$7))</f>
        <v/>
      </c>
      <c r="AG259" s="17">
        <f>IF(ISNUMBER(AE259),AE259*(1-AF259),"")</f>
        <v/>
      </c>
      <c r="AH259" s="17">
        <f>IF(AND(NOT(ISNUMBER(V259)),NOT(ISNUMBER(X259))),"",IF(ISNUMBER(V259),V259,0)+IF(ISNUMBER(X259),X259,0))</f>
        <v/>
      </c>
      <c r="AI259" s="17">
        <f>IF(E259="금융","",IF(AND(ISNUMBER(R259),ISNUMBER(AH259),ISNUMBER(T259)),R259+AH259-T259,""))</f>
        <v/>
      </c>
      <c r="AJ259" s="17">
        <f>IF(E259="금융","",IF(NOT(ISNUMBER(AI259)),"",IF(ISNUMBER(AC259),(AI259+AC259)/2,AI259)))</f>
        <v/>
      </c>
      <c r="AK259" s="19">
        <f>IF(AND(ISNUMBER(AG259),ISNUMBER(AJ259),AJ259&gt;0),AG259/AJ259,"")</f>
        <v/>
      </c>
      <c r="AL259" s="17">
        <f>IF(E259="금융","",IF(AND(ISNUMBER(R259),ISNUMBER(AH259)),R259+AH259,""))</f>
        <v/>
      </c>
      <c r="AM259" s="19">
        <f>IF(OR(NOT(ISNUMBER(AG259)),NOT(ISNUMBER(AL259)),AL259&lt;=0),"",IF(AND(ISNUMBER(G259),AL259&lt;0.1*G259),"",AG259/AL259))</f>
        <v/>
      </c>
      <c r="AN259" s="17">
        <f>IF(NOT(ISNUMBER(R259)),"",IF(ISNUMBER(S259),(R259+S259)/2,R259))</f>
        <v/>
      </c>
      <c r="AO259" s="19">
        <f>IF(AND(ISNUMBER(L259),ISNUMBER(AN259),AN259&gt;0),L259/AN259,"")</f>
        <v/>
      </c>
      <c r="AP259" s="19">
        <f>IF(AND(ISNUMBER(AO259),ISNUMBER({ROIC})),AO259-{ROIC},"")</f>
        <v/>
      </c>
      <c r="AQ259" s="17">
        <f>IF(AND(ISNUMBER(AE259),ISNUMBER(N259)),AE259+N259,"")</f>
        <v/>
      </c>
      <c r="AR259" s="20">
        <f>IF(AND(ISNUMBER(AH259),ISNUMBER(T259),ISNUMBER(AQ259),AQ259&gt;0),(AH259-T259)/AQ259,"")</f>
        <v/>
      </c>
      <c r="AS259" s="20">
        <f>IF(AND(ISNUMBER(AE259),ISNUMBER(I259),I259&lt;&gt;0,AE259&gt;0),AE259/I259,"")</f>
        <v/>
      </c>
      <c r="AT259" s="17">
        <f>IF(AND(ISNUMBER(Y259),ISNUMBER(AA259)),Y259-IF(ISNUMBER(T259),T259,0)-(AA259-IF(ISNUMBER(V259),V259,0)),"")</f>
        <v/>
      </c>
      <c r="AU259" s="17">
        <f>IF(AND(ISNUMBER(Z259),ISNUMBER(AB259)),Z259-IF(ISNUMBER(U259),U259,0)-(AB259-IF(ISNUMBER(W259),W259,0)),"")</f>
        <v/>
      </c>
      <c r="AV259" s="17">
        <f>IF(AND(ISNUMBER(AT259),ISNUMBER(AU259)),AT259-AU259,"")</f>
        <v/>
      </c>
      <c r="AW259" s="17">
        <f>IF(AND(ISNUMBER(L259),ISNUMBER(M259),ISNUMBER(AF259)),L259-M259*(1-AF259),IF(ISNUMBER(L259),L259,""))</f>
        <v/>
      </c>
      <c r="AX259" s="17">
        <f>IF(E259="금융","",IF(AND(ISNUMBER(AW259),ISNUMBER(N259),ISNUMBER(O259),ISNUMBER(AV259)),AW259+N259-O259-AV259,IF(AND(ISNUMBER(P259),ISNUMBER(O259)),P259-O259-IF(ISNUMBER(Q259),Q259,0),"")))</f>
        <v/>
      </c>
      <c r="AY259" s="8">
        <f>IF(E259="금융","금융업 - 정의되지 않음",IF(AND(ISNUMBER(AW259),ISNUMBER(N259),ISNUMBER(O259),ISNUMBER(AV259)),"영업순이익+감가상각-설비투자-운전자본증감",IF(AND(ISNUMBER(P259),ISNUMBER(O259)),IF(ISNUMBER(Q259),"영업현금흐름-설비투자-주식보상비용","영업현금흐름-설비투자(주식보상비용 미태깅)"),"산출불가")))</f>
        <v/>
      </c>
      <c r="AZ259" s="19">
        <f>IF(AND(ISNUMBER(AX259),ISNUMBER(G259),G259&lt;&gt;0),AX259/G259,"")</f>
        <v/>
      </c>
      <c r="BA259" s="19">
        <f>IF(AND(ISNUMBER(AE259),ISNUMBER(G259),G259&lt;&gt;0),AE259/G259,"")</f>
        <v/>
      </c>
    </row>
    <row r="260">
      <c r="A260" s="8" t="inlineStr">
        <is>
          <t>ABBV</t>
        </is>
      </c>
      <c r="B260" s="8" t="inlineStr">
        <is>
          <t>AbbVie Inc.</t>
        </is>
      </c>
      <c r="C260" s="8" t="n">
        <v>2019</v>
      </c>
      <c r="D260" s="8" t="inlineStr">
        <is>
          <t>2019-12-31</t>
        </is>
      </c>
      <c r="E260" s="8" t="inlineStr">
        <is>
          <t>일반</t>
        </is>
      </c>
      <c r="F260" s="8" t="inlineStr">
        <is>
          <t>0001551152-22-000007</t>
        </is>
      </c>
      <c r="G260" s="15" t="n">
        <v>33.266</v>
      </c>
      <c r="H260" s="15" t="n">
        <v>8.426</v>
      </c>
      <c r="I260" s="15" t="n">
        <v>1.784</v>
      </c>
      <c r="J260" s="15" t="n">
        <v>0.544</v>
      </c>
      <c r="K260" s="15" t="n">
        <v>12.983</v>
      </c>
      <c r="L260" s="15" t="n">
        <v>7.882</v>
      </c>
      <c r="M260" s="15" t="n"/>
      <c r="N260" s="15" t="n">
        <v>0.464</v>
      </c>
      <c r="O260" s="15" t="n">
        <v>0.552</v>
      </c>
      <c r="P260" s="15" t="n">
        <v>13.324</v>
      </c>
      <c r="Q260" s="15" t="n">
        <v>0.43</v>
      </c>
      <c r="R260" s="15" t="n">
        <v>-8.172000000000001</v>
      </c>
      <c r="S260" s="15" t="n">
        <v>-8.446</v>
      </c>
      <c r="T260" s="15" t="n">
        <v>39.924</v>
      </c>
      <c r="U260" s="15" t="n">
        <v>8.061</v>
      </c>
      <c r="V260" s="15" t="n">
        <v>0</v>
      </c>
      <c r="W260" s="15" t="n">
        <v>3.699</v>
      </c>
      <c r="X260" s="15" t="n">
        <v>62.975</v>
      </c>
      <c r="Y260" s="15" t="n">
        <v>49.519</v>
      </c>
      <c r="Z260" s="15" t="n">
        <v>16.945</v>
      </c>
      <c r="AA260" s="15" t="n">
        <v>15.585</v>
      </c>
      <c r="AB260" s="15" t="n">
        <v>17.239</v>
      </c>
      <c r="AC260" s="15" t="n">
        <v>22.194</v>
      </c>
      <c r="AD260" s="16" t="n">
        <v>1484</v>
      </c>
      <c r="AE260" s="17">
        <f>IF(ISNUMBER(K260),K260,IF(AND(ISNUMBER(H260),ISNUMBER(I260)),H260+I260,IF(ISNUMBER(H260),H260,"")))</f>
        <v/>
      </c>
      <c r="AF260" s="18">
        <f>IF(OR(NOT(ISNUMBER(J260)),NOT(ISNUMBER(H260)),H260&lt;=0),기준표!$B$8,MIN(MAX(J260/H260,기준표!$B$6),기준표!$B$7))</f>
        <v/>
      </c>
      <c r="AG260" s="17">
        <f>IF(ISNUMBER(AE260),AE260*(1-AF260),"")</f>
        <v/>
      </c>
      <c r="AH260" s="17">
        <f>IF(AND(NOT(ISNUMBER(V260)),NOT(ISNUMBER(X260))),"",IF(ISNUMBER(V260),V260,0)+IF(ISNUMBER(X260),X260,0))</f>
        <v/>
      </c>
      <c r="AI260" s="17">
        <f>IF(E260="금융","",IF(AND(ISNUMBER(R260),ISNUMBER(AH260),ISNUMBER(T260)),R260+AH260-T260,""))</f>
        <v/>
      </c>
      <c r="AJ260" s="17">
        <f>IF(E260="금융","",IF(NOT(ISNUMBER(AI260)),"",IF(ISNUMBER(AC260),(AI260+AC260)/2,AI260)))</f>
        <v/>
      </c>
      <c r="AK260" s="19">
        <f>IF(AND(ISNUMBER(AG260),ISNUMBER(AJ260),AJ260&gt;0),AG260/AJ260,"")</f>
        <v/>
      </c>
      <c r="AL260" s="17">
        <f>IF(E260="금융","",IF(AND(ISNUMBER(R260),ISNUMBER(AH260)),R260+AH260,""))</f>
        <v/>
      </c>
      <c r="AM260" s="19">
        <f>IF(OR(NOT(ISNUMBER(AG260)),NOT(ISNUMBER(AL260)),AL260&lt;=0),"",IF(AND(ISNUMBER(G260),AL260&lt;0.1*G260),"",AG260/AL260))</f>
        <v/>
      </c>
      <c r="AN260" s="17">
        <f>IF(NOT(ISNUMBER(R260)),"",IF(ISNUMBER(S260),(R260+S260)/2,R260))</f>
        <v/>
      </c>
      <c r="AO260" s="19">
        <f>IF(AND(ISNUMBER(L260),ISNUMBER(AN260),AN260&gt;0),L260/AN260,"")</f>
        <v/>
      </c>
      <c r="AP260" s="19">
        <f>IF(AND(ISNUMBER(AO260),ISNUMBER({ROIC})),AO260-{ROIC},"")</f>
        <v/>
      </c>
      <c r="AQ260" s="17">
        <f>IF(AND(ISNUMBER(AE260),ISNUMBER(N260)),AE260+N260,"")</f>
        <v/>
      </c>
      <c r="AR260" s="20">
        <f>IF(AND(ISNUMBER(AH260),ISNUMBER(T260),ISNUMBER(AQ260),AQ260&gt;0),(AH260-T260)/AQ260,"")</f>
        <v/>
      </c>
      <c r="AS260" s="20">
        <f>IF(AND(ISNUMBER(AE260),ISNUMBER(I260),I260&lt;&gt;0,AE260&gt;0),AE260/I260,"")</f>
        <v/>
      </c>
      <c r="AT260" s="17">
        <f>IF(AND(ISNUMBER(Y260),ISNUMBER(AA260)),Y260-IF(ISNUMBER(T260),T260,0)-(AA260-IF(ISNUMBER(V260),V260,0)),"")</f>
        <v/>
      </c>
      <c r="AU260" s="17">
        <f>IF(AND(ISNUMBER(Z260),ISNUMBER(AB260)),Z260-IF(ISNUMBER(U260),U260,0)-(AB260-IF(ISNUMBER(W260),W260,0)),"")</f>
        <v/>
      </c>
      <c r="AV260" s="17">
        <f>IF(AND(ISNUMBER(AT260),ISNUMBER(AU260)),AT260-AU260,"")</f>
        <v/>
      </c>
      <c r="AW260" s="17">
        <f>IF(AND(ISNUMBER(L260),ISNUMBER(M260),ISNUMBER(AF260)),L260-M260*(1-AF260),IF(ISNUMBER(L260),L260,""))</f>
        <v/>
      </c>
      <c r="AX260" s="17">
        <f>IF(E260="금융","",IF(AND(ISNUMBER(AW260),ISNUMBER(N260),ISNUMBER(O260),ISNUMBER(AV260)),AW260+N260-O260-AV260,IF(AND(ISNUMBER(P260),ISNUMBER(O260)),P260-O260-IF(ISNUMBER(Q260),Q260,0),"")))</f>
        <v/>
      </c>
      <c r="AY260" s="8">
        <f>IF(E260="금융","금융업 - 정의되지 않음",IF(AND(ISNUMBER(AW260),ISNUMBER(N260),ISNUMBER(O260),ISNUMBER(AV260)),"영업순이익+감가상각-설비투자-운전자본증감",IF(AND(ISNUMBER(P260),ISNUMBER(O260)),IF(ISNUMBER(Q260),"영업현금흐름-설비투자-주식보상비용","영업현금흐름-설비투자(주식보상비용 미태깅)"),"산출불가")))</f>
        <v/>
      </c>
      <c r="AZ260" s="19">
        <f>IF(AND(ISNUMBER(AX260),ISNUMBER(G260),G260&lt;&gt;0),AX260/G260,"")</f>
        <v/>
      </c>
      <c r="BA260" s="19">
        <f>IF(AND(ISNUMBER(AE260),ISNUMBER(G260),G260&lt;&gt;0),AE260/G260,"")</f>
        <v/>
      </c>
    </row>
    <row r="261">
      <c r="A261" s="8" t="inlineStr">
        <is>
          <t>ABBV</t>
        </is>
      </c>
      <c r="B261" s="8" t="inlineStr">
        <is>
          <t>AbbVie Inc.</t>
        </is>
      </c>
      <c r="C261" s="8" t="n">
        <v>2020</v>
      </c>
      <c r="D261" s="8" t="inlineStr">
        <is>
          <t>2020-12-31</t>
        </is>
      </c>
      <c r="E261" s="8" t="inlineStr">
        <is>
          <t>일반</t>
        </is>
      </c>
      <c r="F261" s="8" t="inlineStr">
        <is>
          <t>0001551152-23-000011</t>
        </is>
      </c>
      <c r="G261" s="15" t="n">
        <v>45.804</v>
      </c>
      <c r="H261" s="15" t="n">
        <v>3.398</v>
      </c>
      <c r="I261" s="15" t="n">
        <v>2.454</v>
      </c>
      <c r="J261" s="15" t="n">
        <v>-1.224</v>
      </c>
      <c r="K261" s="15" t="n">
        <v>11.363</v>
      </c>
      <c r="L261" s="15" t="n">
        <v>4.616</v>
      </c>
      <c r="M261" s="15" t="n"/>
      <c r="N261" s="15" t="n">
        <v>0.666</v>
      </c>
      <c r="O261" s="15" t="n">
        <v>0.798</v>
      </c>
      <c r="P261" s="15" t="n">
        <v>17.588</v>
      </c>
      <c r="Q261" s="15" t="n">
        <v>0.753</v>
      </c>
      <c r="R261" s="15" t="n">
        <v>13.076</v>
      </c>
      <c r="S261" s="15" t="n">
        <v>-8.172000000000001</v>
      </c>
      <c r="T261" s="15" t="n">
        <v>8.478999999999999</v>
      </c>
      <c r="U261" s="15" t="n">
        <v>39.924</v>
      </c>
      <c r="V261" s="15" t="n">
        <v>0.034</v>
      </c>
      <c r="W261" s="15" t="n">
        <v>0</v>
      </c>
      <c r="X261" s="15" t="n">
        <v>77.554</v>
      </c>
      <c r="Y261" s="15" t="n">
        <v>24.173</v>
      </c>
      <c r="Z261" s="15" t="n">
        <v>49.519</v>
      </c>
      <c r="AA261" s="15" t="n">
        <v>28.661</v>
      </c>
      <c r="AB261" s="15" t="n">
        <v>15.585</v>
      </c>
      <c r="AC261" s="15" t="n">
        <v>14.879</v>
      </c>
      <c r="AD261" s="16" t="n">
        <v>1673</v>
      </c>
      <c r="AE261" s="17">
        <f>IF(ISNUMBER(K261),K261,IF(AND(ISNUMBER(H261),ISNUMBER(I261)),H261+I261,IF(ISNUMBER(H261),H261,"")))</f>
        <v/>
      </c>
      <c r="AF261" s="18">
        <f>IF(OR(NOT(ISNUMBER(J261)),NOT(ISNUMBER(H261)),H261&lt;=0),기준표!$B$8,MIN(MAX(J261/H261,기준표!$B$6),기준표!$B$7))</f>
        <v/>
      </c>
      <c r="AG261" s="17">
        <f>IF(ISNUMBER(AE261),AE261*(1-AF261),"")</f>
        <v/>
      </c>
      <c r="AH261" s="17">
        <f>IF(AND(NOT(ISNUMBER(V261)),NOT(ISNUMBER(X261))),"",IF(ISNUMBER(V261),V261,0)+IF(ISNUMBER(X261),X261,0))</f>
        <v/>
      </c>
      <c r="AI261" s="17">
        <f>IF(E261="금융","",IF(AND(ISNUMBER(R261),ISNUMBER(AH261),ISNUMBER(T261)),R261+AH261-T261,""))</f>
        <v/>
      </c>
      <c r="AJ261" s="17">
        <f>IF(E261="금융","",IF(NOT(ISNUMBER(AI261)),"",IF(ISNUMBER(AC261),(AI261+AC261)/2,AI261)))</f>
        <v/>
      </c>
      <c r="AK261" s="19">
        <f>IF(AND(ISNUMBER(AG261),ISNUMBER(AJ261),AJ261&gt;0),AG261/AJ261,"")</f>
        <v/>
      </c>
      <c r="AL261" s="17">
        <f>IF(E261="금융","",IF(AND(ISNUMBER(R261),ISNUMBER(AH261)),R261+AH261,""))</f>
        <v/>
      </c>
      <c r="AM261" s="19">
        <f>IF(OR(NOT(ISNUMBER(AG261)),NOT(ISNUMBER(AL261)),AL261&lt;=0),"",IF(AND(ISNUMBER(G261),AL261&lt;0.1*G261),"",AG261/AL261))</f>
        <v/>
      </c>
      <c r="AN261" s="17">
        <f>IF(NOT(ISNUMBER(R261)),"",IF(ISNUMBER(S261),(R261+S261)/2,R261))</f>
        <v/>
      </c>
      <c r="AO261" s="19">
        <f>IF(AND(ISNUMBER(L261),ISNUMBER(AN261),AN261&gt;0),L261/AN261,"")</f>
        <v/>
      </c>
      <c r="AP261" s="19">
        <f>IF(AND(ISNUMBER(AO261),ISNUMBER({ROIC})),AO261-{ROIC},"")</f>
        <v/>
      </c>
      <c r="AQ261" s="17">
        <f>IF(AND(ISNUMBER(AE261),ISNUMBER(N261)),AE261+N261,"")</f>
        <v/>
      </c>
      <c r="AR261" s="20">
        <f>IF(AND(ISNUMBER(AH261),ISNUMBER(T261),ISNUMBER(AQ261),AQ261&gt;0),(AH261-T261)/AQ261,"")</f>
        <v/>
      </c>
      <c r="AS261" s="20">
        <f>IF(AND(ISNUMBER(AE261),ISNUMBER(I261),I261&lt;&gt;0,AE261&gt;0),AE261/I261,"")</f>
        <v/>
      </c>
      <c r="AT261" s="17">
        <f>IF(AND(ISNUMBER(Y261),ISNUMBER(AA261)),Y261-IF(ISNUMBER(T261),T261,0)-(AA261-IF(ISNUMBER(V261),V261,0)),"")</f>
        <v/>
      </c>
      <c r="AU261" s="17">
        <f>IF(AND(ISNUMBER(Z261),ISNUMBER(AB261)),Z261-IF(ISNUMBER(U261),U261,0)-(AB261-IF(ISNUMBER(W261),W261,0)),"")</f>
        <v/>
      </c>
      <c r="AV261" s="17">
        <f>IF(AND(ISNUMBER(AT261),ISNUMBER(AU261)),AT261-AU261,"")</f>
        <v/>
      </c>
      <c r="AW261" s="17">
        <f>IF(AND(ISNUMBER(L261),ISNUMBER(M261),ISNUMBER(AF261)),L261-M261*(1-AF261),IF(ISNUMBER(L261),L261,""))</f>
        <v/>
      </c>
      <c r="AX261" s="17">
        <f>IF(E261="금융","",IF(AND(ISNUMBER(AW261),ISNUMBER(N261),ISNUMBER(O261),ISNUMBER(AV261)),AW261+N261-O261-AV261,IF(AND(ISNUMBER(P261),ISNUMBER(O261)),P261-O261-IF(ISNUMBER(Q261),Q261,0),"")))</f>
        <v/>
      </c>
      <c r="AY261" s="8">
        <f>IF(E261="금융","금융업 - 정의되지 않음",IF(AND(ISNUMBER(AW261),ISNUMBER(N261),ISNUMBER(O261),ISNUMBER(AV261)),"영업순이익+감가상각-설비투자-운전자본증감",IF(AND(ISNUMBER(P261),ISNUMBER(O261)),IF(ISNUMBER(Q261),"영업현금흐름-설비투자-주식보상비용","영업현금흐름-설비투자(주식보상비용 미태깅)"),"산출불가")))</f>
        <v/>
      </c>
      <c r="AZ261" s="19">
        <f>IF(AND(ISNUMBER(AX261),ISNUMBER(G261),G261&lt;&gt;0),AX261/G261,"")</f>
        <v/>
      </c>
      <c r="BA261" s="19">
        <f>IF(AND(ISNUMBER(AE261),ISNUMBER(G261),G261&lt;&gt;0),AE261/G261,"")</f>
        <v/>
      </c>
    </row>
    <row r="262">
      <c r="A262" s="8" t="inlineStr">
        <is>
          <t>ABBV</t>
        </is>
      </c>
      <c r="B262" s="8" t="inlineStr">
        <is>
          <t>AbbVie Inc.</t>
        </is>
      </c>
      <c r="C262" s="8" t="n">
        <v>2021</v>
      </c>
      <c r="D262" s="8" t="inlineStr">
        <is>
          <t>2021-12-31</t>
        </is>
      </c>
      <c r="E262" s="8" t="inlineStr">
        <is>
          <t>일반</t>
        </is>
      </c>
      <c r="F262" s="8" t="inlineStr">
        <is>
          <t>0001551152-24-000011</t>
        </is>
      </c>
      <c r="G262" s="15" t="n">
        <v>56.197</v>
      </c>
      <c r="H262" s="15" t="n">
        <v>12.989</v>
      </c>
      <c r="I262" s="15" t="n">
        <v>2.423</v>
      </c>
      <c r="J262" s="15" t="n">
        <v>1.44</v>
      </c>
      <c r="K262" s="15" t="n">
        <v>17.924</v>
      </c>
      <c r="L262" s="15" t="n">
        <v>11.542</v>
      </c>
      <c r="M262" s="15" t="n"/>
      <c r="N262" s="15" t="n">
        <v>0.803</v>
      </c>
      <c r="O262" s="15" t="n">
        <v>0.787</v>
      </c>
      <c r="P262" s="15" t="n">
        <v>22.777</v>
      </c>
      <c r="Q262" s="15" t="n">
        <v>0.6919999999999999</v>
      </c>
      <c r="R262" s="15" t="n">
        <v>15.408</v>
      </c>
      <c r="S262" s="15" t="n">
        <v>13.076</v>
      </c>
      <c r="T262" s="15" t="n">
        <v>9.83</v>
      </c>
      <c r="U262" s="15" t="n">
        <v>8.478999999999999</v>
      </c>
      <c r="V262" s="15" t="n">
        <v>0.014</v>
      </c>
      <c r="W262" s="15" t="n">
        <v>0.034</v>
      </c>
      <c r="X262" s="15" t="n">
        <v>64.18899999999999</v>
      </c>
      <c r="Y262" s="15" t="n">
        <v>27.928</v>
      </c>
      <c r="Z262" s="15" t="n">
        <v>24.173</v>
      </c>
      <c r="AA262" s="15" t="n">
        <v>35.194</v>
      </c>
      <c r="AB262" s="15" t="n">
        <v>28.661</v>
      </c>
      <c r="AC262" s="15" t="n">
        <v>82.185</v>
      </c>
      <c r="AD262" s="16" t="n">
        <v>1777</v>
      </c>
      <c r="AE262" s="17">
        <f>IF(ISNUMBER(K262),K262,IF(AND(ISNUMBER(H262),ISNUMBER(I262)),H262+I262,IF(ISNUMBER(H262),H262,"")))</f>
        <v/>
      </c>
      <c r="AF262" s="18">
        <f>IF(OR(NOT(ISNUMBER(J262)),NOT(ISNUMBER(H262)),H262&lt;=0),기준표!$B$8,MIN(MAX(J262/H262,기준표!$B$6),기준표!$B$7))</f>
        <v/>
      </c>
      <c r="AG262" s="17">
        <f>IF(ISNUMBER(AE262),AE262*(1-AF262),"")</f>
        <v/>
      </c>
      <c r="AH262" s="17">
        <f>IF(AND(NOT(ISNUMBER(V262)),NOT(ISNUMBER(X262))),"",IF(ISNUMBER(V262),V262,0)+IF(ISNUMBER(X262),X262,0))</f>
        <v/>
      </c>
      <c r="AI262" s="17">
        <f>IF(E262="금융","",IF(AND(ISNUMBER(R262),ISNUMBER(AH262),ISNUMBER(T262)),R262+AH262-T262,""))</f>
        <v/>
      </c>
      <c r="AJ262" s="17">
        <f>IF(E262="금융","",IF(NOT(ISNUMBER(AI262)),"",IF(ISNUMBER(AC262),(AI262+AC262)/2,AI262)))</f>
        <v/>
      </c>
      <c r="AK262" s="19">
        <f>IF(AND(ISNUMBER(AG262),ISNUMBER(AJ262),AJ262&gt;0),AG262/AJ262,"")</f>
        <v/>
      </c>
      <c r="AL262" s="17">
        <f>IF(E262="금융","",IF(AND(ISNUMBER(R262),ISNUMBER(AH262)),R262+AH262,""))</f>
        <v/>
      </c>
      <c r="AM262" s="19">
        <f>IF(OR(NOT(ISNUMBER(AG262)),NOT(ISNUMBER(AL262)),AL262&lt;=0),"",IF(AND(ISNUMBER(G262),AL262&lt;0.1*G262),"",AG262/AL262))</f>
        <v/>
      </c>
      <c r="AN262" s="17">
        <f>IF(NOT(ISNUMBER(R262)),"",IF(ISNUMBER(S262),(R262+S262)/2,R262))</f>
        <v/>
      </c>
      <c r="AO262" s="19">
        <f>IF(AND(ISNUMBER(L262),ISNUMBER(AN262),AN262&gt;0),L262/AN262,"")</f>
        <v/>
      </c>
      <c r="AP262" s="19">
        <f>IF(AND(ISNUMBER(AO262),ISNUMBER({ROIC})),AO262-{ROIC},"")</f>
        <v/>
      </c>
      <c r="AQ262" s="17">
        <f>IF(AND(ISNUMBER(AE262),ISNUMBER(N262)),AE262+N262,"")</f>
        <v/>
      </c>
      <c r="AR262" s="20">
        <f>IF(AND(ISNUMBER(AH262),ISNUMBER(T262),ISNUMBER(AQ262),AQ262&gt;0),(AH262-T262)/AQ262,"")</f>
        <v/>
      </c>
      <c r="AS262" s="20">
        <f>IF(AND(ISNUMBER(AE262),ISNUMBER(I262),I262&lt;&gt;0,AE262&gt;0),AE262/I262,"")</f>
        <v/>
      </c>
      <c r="AT262" s="17">
        <f>IF(AND(ISNUMBER(Y262),ISNUMBER(AA262)),Y262-IF(ISNUMBER(T262),T262,0)-(AA262-IF(ISNUMBER(V262),V262,0)),"")</f>
        <v/>
      </c>
      <c r="AU262" s="17">
        <f>IF(AND(ISNUMBER(Z262),ISNUMBER(AB262)),Z262-IF(ISNUMBER(U262),U262,0)-(AB262-IF(ISNUMBER(W262),W262,0)),"")</f>
        <v/>
      </c>
      <c r="AV262" s="17">
        <f>IF(AND(ISNUMBER(AT262),ISNUMBER(AU262)),AT262-AU262,"")</f>
        <v/>
      </c>
      <c r="AW262" s="17">
        <f>IF(AND(ISNUMBER(L262),ISNUMBER(M262),ISNUMBER(AF262)),L262-M262*(1-AF262),IF(ISNUMBER(L262),L262,""))</f>
        <v/>
      </c>
      <c r="AX262" s="17">
        <f>IF(E262="금융","",IF(AND(ISNUMBER(AW262),ISNUMBER(N262),ISNUMBER(O262),ISNUMBER(AV262)),AW262+N262-O262-AV262,IF(AND(ISNUMBER(P262),ISNUMBER(O262)),P262-O262-IF(ISNUMBER(Q262),Q262,0),"")))</f>
        <v/>
      </c>
      <c r="AY262" s="8">
        <f>IF(E262="금융","금융업 - 정의되지 않음",IF(AND(ISNUMBER(AW262),ISNUMBER(N262),ISNUMBER(O262),ISNUMBER(AV262)),"영업순이익+감가상각-설비투자-운전자본증감",IF(AND(ISNUMBER(P262),ISNUMBER(O262)),IF(ISNUMBER(Q262),"영업현금흐름-설비투자-주식보상비용","영업현금흐름-설비투자(주식보상비용 미태깅)"),"산출불가")))</f>
        <v/>
      </c>
      <c r="AZ262" s="19">
        <f>IF(AND(ISNUMBER(AX262),ISNUMBER(G262),G262&lt;&gt;0),AX262/G262,"")</f>
        <v/>
      </c>
      <c r="BA262" s="19">
        <f>IF(AND(ISNUMBER(AE262),ISNUMBER(G262),G262&lt;&gt;0),AE262/G262,"")</f>
        <v/>
      </c>
    </row>
    <row r="263">
      <c r="A263" s="8" t="inlineStr">
        <is>
          <t>ABBV</t>
        </is>
      </c>
      <c r="B263" s="8" t="inlineStr">
        <is>
          <t>AbbVie Inc.</t>
        </is>
      </c>
      <c r="C263" s="8" t="n">
        <v>2022</v>
      </c>
      <c r="D263" s="8" t="inlineStr">
        <is>
          <t>2022-12-31</t>
        </is>
      </c>
      <c r="E263" s="8" t="inlineStr">
        <is>
          <t>일반</t>
        </is>
      </c>
      <c r="F263" s="8" t="inlineStr">
        <is>
          <t>0001551152-25-000020</t>
        </is>
      </c>
      <c r="G263" s="15" t="n">
        <v>58.054</v>
      </c>
      <c r="H263" s="15" t="n">
        <v>13.477</v>
      </c>
      <c r="I263" s="15" t="n">
        <v>2.23</v>
      </c>
      <c r="J263" s="15" t="n">
        <v>1.632</v>
      </c>
      <c r="K263" s="15" t="n">
        <v>18.117</v>
      </c>
      <c r="L263" s="15" t="n">
        <v>11.836</v>
      </c>
      <c r="M263" s="15" t="n"/>
      <c r="N263" s="15" t="n">
        <v>0.778</v>
      </c>
      <c r="O263" s="15" t="n">
        <v>0.695</v>
      </c>
      <c r="P263" s="15" t="n">
        <v>24.943</v>
      </c>
      <c r="Q263" s="15" t="n">
        <v>0.671</v>
      </c>
      <c r="R263" s="15" t="n">
        <v>17.254</v>
      </c>
      <c r="S263" s="15" t="n">
        <v>15.408</v>
      </c>
      <c r="T263" s="15" t="n">
        <v>9.228999999999999</v>
      </c>
      <c r="U263" s="15" t="n">
        <v>9.83</v>
      </c>
      <c r="V263" s="15" t="n">
        <v>0.001</v>
      </c>
      <c r="W263" s="15" t="n">
        <v>0.014</v>
      </c>
      <c r="X263" s="15" t="n">
        <v>59.135</v>
      </c>
      <c r="Y263" s="15" t="n">
        <v>28.463</v>
      </c>
      <c r="Z263" s="15" t="n">
        <v>27.928</v>
      </c>
      <c r="AA263" s="15" t="n">
        <v>29.538</v>
      </c>
      <c r="AB263" s="15" t="n">
        <v>35.194</v>
      </c>
      <c r="AC263" s="15" t="n">
        <v>69.78100000000001</v>
      </c>
      <c r="AD263" s="16" t="n">
        <v>1778</v>
      </c>
      <c r="AE263" s="17">
        <f>IF(ISNUMBER(K263),K263,IF(AND(ISNUMBER(H263),ISNUMBER(I263)),H263+I263,IF(ISNUMBER(H263),H263,"")))</f>
        <v/>
      </c>
      <c r="AF263" s="18">
        <f>IF(OR(NOT(ISNUMBER(J263)),NOT(ISNUMBER(H263)),H263&lt;=0),기준표!$B$8,MIN(MAX(J263/H263,기준표!$B$6),기준표!$B$7))</f>
        <v/>
      </c>
      <c r="AG263" s="17">
        <f>IF(ISNUMBER(AE263),AE263*(1-AF263),"")</f>
        <v/>
      </c>
      <c r="AH263" s="17">
        <f>IF(AND(NOT(ISNUMBER(V263)),NOT(ISNUMBER(X263))),"",IF(ISNUMBER(V263),V263,0)+IF(ISNUMBER(X263),X263,0))</f>
        <v/>
      </c>
      <c r="AI263" s="17">
        <f>IF(E263="금융","",IF(AND(ISNUMBER(R263),ISNUMBER(AH263),ISNUMBER(T263)),R263+AH263-T263,""))</f>
        <v/>
      </c>
      <c r="AJ263" s="17">
        <f>IF(E263="금융","",IF(NOT(ISNUMBER(AI263)),"",IF(ISNUMBER(AC263),(AI263+AC263)/2,AI263)))</f>
        <v/>
      </c>
      <c r="AK263" s="19">
        <f>IF(AND(ISNUMBER(AG263),ISNUMBER(AJ263),AJ263&gt;0),AG263/AJ263,"")</f>
        <v/>
      </c>
      <c r="AL263" s="17">
        <f>IF(E263="금융","",IF(AND(ISNUMBER(R263),ISNUMBER(AH263)),R263+AH263,""))</f>
        <v/>
      </c>
      <c r="AM263" s="19">
        <f>IF(OR(NOT(ISNUMBER(AG263)),NOT(ISNUMBER(AL263)),AL263&lt;=0),"",IF(AND(ISNUMBER(G263),AL263&lt;0.1*G263),"",AG263/AL263))</f>
        <v/>
      </c>
      <c r="AN263" s="17">
        <f>IF(NOT(ISNUMBER(R263)),"",IF(ISNUMBER(S263),(R263+S263)/2,R263))</f>
        <v/>
      </c>
      <c r="AO263" s="19">
        <f>IF(AND(ISNUMBER(L263),ISNUMBER(AN263),AN263&gt;0),L263/AN263,"")</f>
        <v/>
      </c>
      <c r="AP263" s="19">
        <f>IF(AND(ISNUMBER(AO263),ISNUMBER({ROIC})),AO263-{ROIC},"")</f>
        <v/>
      </c>
      <c r="AQ263" s="17">
        <f>IF(AND(ISNUMBER(AE263),ISNUMBER(N263)),AE263+N263,"")</f>
        <v/>
      </c>
      <c r="AR263" s="20">
        <f>IF(AND(ISNUMBER(AH263),ISNUMBER(T263),ISNUMBER(AQ263),AQ263&gt;0),(AH263-T263)/AQ263,"")</f>
        <v/>
      </c>
      <c r="AS263" s="20">
        <f>IF(AND(ISNUMBER(AE263),ISNUMBER(I263),I263&lt;&gt;0,AE263&gt;0),AE263/I263,"")</f>
        <v/>
      </c>
      <c r="AT263" s="17">
        <f>IF(AND(ISNUMBER(Y263),ISNUMBER(AA263)),Y263-IF(ISNUMBER(T263),T263,0)-(AA263-IF(ISNUMBER(V263),V263,0)),"")</f>
        <v/>
      </c>
      <c r="AU263" s="17">
        <f>IF(AND(ISNUMBER(Z263),ISNUMBER(AB263)),Z263-IF(ISNUMBER(U263),U263,0)-(AB263-IF(ISNUMBER(W263),W263,0)),"")</f>
        <v/>
      </c>
      <c r="AV263" s="17">
        <f>IF(AND(ISNUMBER(AT263),ISNUMBER(AU263)),AT263-AU263,"")</f>
        <v/>
      </c>
      <c r="AW263" s="17">
        <f>IF(AND(ISNUMBER(L263),ISNUMBER(M263),ISNUMBER(AF263)),L263-M263*(1-AF263),IF(ISNUMBER(L263),L263,""))</f>
        <v/>
      </c>
      <c r="AX263" s="17">
        <f>IF(E263="금융","",IF(AND(ISNUMBER(AW263),ISNUMBER(N263),ISNUMBER(O263),ISNUMBER(AV263)),AW263+N263-O263-AV263,IF(AND(ISNUMBER(P263),ISNUMBER(O263)),P263-O263-IF(ISNUMBER(Q263),Q263,0),"")))</f>
        <v/>
      </c>
      <c r="AY263" s="8">
        <f>IF(E263="금융","금융업 - 정의되지 않음",IF(AND(ISNUMBER(AW263),ISNUMBER(N263),ISNUMBER(O263),ISNUMBER(AV263)),"영업순이익+감가상각-설비투자-운전자본증감",IF(AND(ISNUMBER(P263),ISNUMBER(O263)),IF(ISNUMBER(Q263),"영업현금흐름-설비투자-주식보상비용","영업현금흐름-설비투자(주식보상비용 미태깅)"),"산출불가")))</f>
        <v/>
      </c>
      <c r="AZ263" s="19">
        <f>IF(AND(ISNUMBER(AX263),ISNUMBER(G263),G263&lt;&gt;0),AX263/G263,"")</f>
        <v/>
      </c>
      <c r="BA263" s="19">
        <f>IF(AND(ISNUMBER(AE263),ISNUMBER(G263),G263&lt;&gt;0),AE263/G263,"")</f>
        <v/>
      </c>
    </row>
    <row r="264">
      <c r="A264" s="8" t="inlineStr">
        <is>
          <t>ABBV</t>
        </is>
      </c>
      <c r="B264" s="8" t="inlineStr">
        <is>
          <t>AbbVie Inc.</t>
        </is>
      </c>
      <c r="C264" s="8" t="n">
        <v>2023</v>
      </c>
      <c r="D264" s="8" t="inlineStr">
        <is>
          <t>2023-12-31</t>
        </is>
      </c>
      <c r="E264" s="8" t="inlineStr">
        <is>
          <t>일반</t>
        </is>
      </c>
      <c r="F264" s="8" t="inlineStr">
        <is>
          <t>0001551152-26-000008</t>
        </is>
      </c>
      <c r="G264" s="15" t="n">
        <v>54.318</v>
      </c>
      <c r="H264" s="15" t="n">
        <v>6.25</v>
      </c>
      <c r="I264" s="15" t="n">
        <v>2.224</v>
      </c>
      <c r="J264" s="15" t="n">
        <v>1.377</v>
      </c>
      <c r="K264" s="15" t="n">
        <v>12.757</v>
      </c>
      <c r="L264" s="15" t="n">
        <v>4.863</v>
      </c>
      <c r="M264" s="15" t="n"/>
      <c r="N264" s="15" t="n">
        <v>0.752</v>
      </c>
      <c r="O264" s="15" t="n">
        <v>0.777</v>
      </c>
      <c r="P264" s="15" t="n">
        <v>22.839</v>
      </c>
      <c r="Q264" s="15" t="n">
        <v>0.747</v>
      </c>
      <c r="R264" s="15" t="n">
        <v>10.36</v>
      </c>
      <c r="S264" s="15" t="n">
        <v>17.254</v>
      </c>
      <c r="T264" s="15" t="n">
        <v>12.816</v>
      </c>
      <c r="U264" s="15" t="n">
        <v>9.228999999999999</v>
      </c>
      <c r="V264" s="15" t="n">
        <v>0</v>
      </c>
      <c r="W264" s="15" t="n">
        <v>0.001</v>
      </c>
      <c r="X264" s="15" t="n">
        <v>52.194</v>
      </c>
      <c r="Y264" s="15" t="n">
        <v>33.002</v>
      </c>
      <c r="Z264" s="15" t="n">
        <v>28.463</v>
      </c>
      <c r="AA264" s="15" t="n">
        <v>37.841</v>
      </c>
      <c r="AB264" s="15" t="n">
        <v>29.538</v>
      </c>
      <c r="AC264" s="15" t="n">
        <v>67.161</v>
      </c>
      <c r="AD264" s="16" t="n">
        <v>1773</v>
      </c>
      <c r="AE264" s="17">
        <f>IF(ISNUMBER(K264),K264,IF(AND(ISNUMBER(H264),ISNUMBER(I264)),H264+I264,IF(ISNUMBER(H264),H264,"")))</f>
        <v/>
      </c>
      <c r="AF264" s="18">
        <f>IF(OR(NOT(ISNUMBER(J264)),NOT(ISNUMBER(H264)),H264&lt;=0),기준표!$B$8,MIN(MAX(J264/H264,기준표!$B$6),기준표!$B$7))</f>
        <v/>
      </c>
      <c r="AG264" s="17">
        <f>IF(ISNUMBER(AE264),AE264*(1-AF264),"")</f>
        <v/>
      </c>
      <c r="AH264" s="17">
        <f>IF(AND(NOT(ISNUMBER(V264)),NOT(ISNUMBER(X264))),"",IF(ISNUMBER(V264),V264,0)+IF(ISNUMBER(X264),X264,0))</f>
        <v/>
      </c>
      <c r="AI264" s="17">
        <f>IF(E264="금융","",IF(AND(ISNUMBER(R264),ISNUMBER(AH264),ISNUMBER(T264)),R264+AH264-T264,""))</f>
        <v/>
      </c>
      <c r="AJ264" s="17">
        <f>IF(E264="금융","",IF(NOT(ISNUMBER(AI264)),"",IF(ISNUMBER(AC264),(AI264+AC264)/2,AI264)))</f>
        <v/>
      </c>
      <c r="AK264" s="19">
        <f>IF(AND(ISNUMBER(AG264),ISNUMBER(AJ264),AJ264&gt;0),AG264/AJ264,"")</f>
        <v/>
      </c>
      <c r="AL264" s="17">
        <f>IF(E264="금융","",IF(AND(ISNUMBER(R264),ISNUMBER(AH264)),R264+AH264,""))</f>
        <v/>
      </c>
      <c r="AM264" s="19">
        <f>IF(OR(NOT(ISNUMBER(AG264)),NOT(ISNUMBER(AL264)),AL264&lt;=0),"",IF(AND(ISNUMBER(G264),AL264&lt;0.1*G264),"",AG264/AL264))</f>
        <v/>
      </c>
      <c r="AN264" s="17">
        <f>IF(NOT(ISNUMBER(R264)),"",IF(ISNUMBER(S264),(R264+S264)/2,R264))</f>
        <v/>
      </c>
      <c r="AO264" s="19">
        <f>IF(AND(ISNUMBER(L264),ISNUMBER(AN264),AN264&gt;0),L264/AN264,"")</f>
        <v/>
      </c>
      <c r="AP264" s="19">
        <f>IF(AND(ISNUMBER(AO264),ISNUMBER({ROIC})),AO264-{ROIC},"")</f>
        <v/>
      </c>
      <c r="AQ264" s="17">
        <f>IF(AND(ISNUMBER(AE264),ISNUMBER(N264)),AE264+N264,"")</f>
        <v/>
      </c>
      <c r="AR264" s="20">
        <f>IF(AND(ISNUMBER(AH264),ISNUMBER(T264),ISNUMBER(AQ264),AQ264&gt;0),(AH264-T264)/AQ264,"")</f>
        <v/>
      </c>
      <c r="AS264" s="20">
        <f>IF(AND(ISNUMBER(AE264),ISNUMBER(I264),I264&lt;&gt;0,AE264&gt;0),AE264/I264,"")</f>
        <v/>
      </c>
      <c r="AT264" s="17">
        <f>IF(AND(ISNUMBER(Y264),ISNUMBER(AA264)),Y264-IF(ISNUMBER(T264),T264,0)-(AA264-IF(ISNUMBER(V264),V264,0)),"")</f>
        <v/>
      </c>
      <c r="AU264" s="17">
        <f>IF(AND(ISNUMBER(Z264),ISNUMBER(AB264)),Z264-IF(ISNUMBER(U264),U264,0)-(AB264-IF(ISNUMBER(W264),W264,0)),"")</f>
        <v/>
      </c>
      <c r="AV264" s="17">
        <f>IF(AND(ISNUMBER(AT264),ISNUMBER(AU264)),AT264-AU264,"")</f>
        <v/>
      </c>
      <c r="AW264" s="17">
        <f>IF(AND(ISNUMBER(L264),ISNUMBER(M264),ISNUMBER(AF264)),L264-M264*(1-AF264),IF(ISNUMBER(L264),L264,""))</f>
        <v/>
      </c>
      <c r="AX264" s="17">
        <f>IF(E264="금융","",IF(AND(ISNUMBER(AW264),ISNUMBER(N264),ISNUMBER(O264),ISNUMBER(AV264)),AW264+N264-O264-AV264,IF(AND(ISNUMBER(P264),ISNUMBER(O264)),P264-O264-IF(ISNUMBER(Q264),Q264,0),"")))</f>
        <v/>
      </c>
      <c r="AY264" s="8">
        <f>IF(E264="금융","금융업 - 정의되지 않음",IF(AND(ISNUMBER(AW264),ISNUMBER(N264),ISNUMBER(O264),ISNUMBER(AV264)),"영업순이익+감가상각-설비투자-운전자본증감",IF(AND(ISNUMBER(P264),ISNUMBER(O264)),IF(ISNUMBER(Q264),"영업현금흐름-설비투자-주식보상비용","영업현금흐름-설비투자(주식보상비용 미태깅)"),"산출불가")))</f>
        <v/>
      </c>
      <c r="AZ264" s="19">
        <f>IF(AND(ISNUMBER(AX264),ISNUMBER(G264),G264&lt;&gt;0),AX264/G264,"")</f>
        <v/>
      </c>
      <c r="BA264" s="19">
        <f>IF(AND(ISNUMBER(AE264),ISNUMBER(G264),G264&lt;&gt;0),AE264/G264,"")</f>
        <v/>
      </c>
    </row>
    <row r="265">
      <c r="A265" s="8" t="inlineStr">
        <is>
          <t>ABBV</t>
        </is>
      </c>
      <c r="B265" s="8" t="inlineStr">
        <is>
          <t>AbbVie Inc.</t>
        </is>
      </c>
      <c r="C265" s="8" t="n">
        <v>2024</v>
      </c>
      <c r="D265" s="8" t="inlineStr">
        <is>
          <t>2024-12-31</t>
        </is>
      </c>
      <c r="E265" s="8" t="inlineStr">
        <is>
          <t>일반</t>
        </is>
      </c>
      <c r="F265" s="8" t="inlineStr">
        <is>
          <t>0001551152-26-000008</t>
        </is>
      </c>
      <c r="G265" s="15" t="n">
        <v>56.334</v>
      </c>
      <c r="H265" s="15" t="n">
        <v>3.716</v>
      </c>
      <c r="I265" s="15" t="n">
        <v>2.808</v>
      </c>
      <c r="J265" s="15" t="n">
        <v>-0.57</v>
      </c>
      <c r="K265" s="15" t="n">
        <v>9.137</v>
      </c>
      <c r="L265" s="15" t="n">
        <v>4.278</v>
      </c>
      <c r="M265" s="15" t="n"/>
      <c r="N265" s="15" t="n">
        <v>0.764</v>
      </c>
      <c r="O265" s="15" t="n">
        <v>0.974</v>
      </c>
      <c r="P265" s="15" t="n">
        <v>18.806</v>
      </c>
      <c r="Q265" s="15" t="n">
        <v>0.911</v>
      </c>
      <c r="R265" s="15" t="n">
        <v>3.325</v>
      </c>
      <c r="S265" s="15" t="n">
        <v>10.36</v>
      </c>
      <c r="T265" s="15" t="n">
        <v>5.555</v>
      </c>
      <c r="U265" s="15" t="n">
        <v>12.816</v>
      </c>
      <c r="V265" s="15" t="n">
        <v>0</v>
      </c>
      <c r="W265" s="15" t="n">
        <v>0</v>
      </c>
      <c r="X265" s="15" t="n">
        <v>60.34</v>
      </c>
      <c r="Y265" s="15" t="n">
        <v>25.582</v>
      </c>
      <c r="Z265" s="15" t="n">
        <v>33.002</v>
      </c>
      <c r="AA265" s="15" t="n">
        <v>38.749</v>
      </c>
      <c r="AB265" s="15" t="n">
        <v>37.841</v>
      </c>
      <c r="AC265" s="15" t="n">
        <v>49.738</v>
      </c>
      <c r="AD265" s="16" t="n">
        <v>1773</v>
      </c>
      <c r="AE265" s="17">
        <f>IF(ISNUMBER(K265),K265,IF(AND(ISNUMBER(H265),ISNUMBER(I265)),H265+I265,IF(ISNUMBER(H265),H265,"")))</f>
        <v/>
      </c>
      <c r="AF265" s="18">
        <f>IF(OR(NOT(ISNUMBER(J265)),NOT(ISNUMBER(H265)),H265&lt;=0),기준표!$B$8,MIN(MAX(J265/H265,기준표!$B$6),기준표!$B$7))</f>
        <v/>
      </c>
      <c r="AG265" s="17">
        <f>IF(ISNUMBER(AE265),AE265*(1-AF265),"")</f>
        <v/>
      </c>
      <c r="AH265" s="17">
        <f>IF(AND(NOT(ISNUMBER(V265)),NOT(ISNUMBER(X265))),"",IF(ISNUMBER(V265),V265,0)+IF(ISNUMBER(X265),X265,0))</f>
        <v/>
      </c>
      <c r="AI265" s="17">
        <f>IF(E265="금융","",IF(AND(ISNUMBER(R265),ISNUMBER(AH265),ISNUMBER(T265)),R265+AH265-T265,""))</f>
        <v/>
      </c>
      <c r="AJ265" s="17">
        <f>IF(E265="금융","",IF(NOT(ISNUMBER(AI265)),"",IF(ISNUMBER(AC265),(AI265+AC265)/2,AI265)))</f>
        <v/>
      </c>
      <c r="AK265" s="19">
        <f>IF(AND(ISNUMBER(AG265),ISNUMBER(AJ265),AJ265&gt;0),AG265/AJ265,"")</f>
        <v/>
      </c>
      <c r="AL265" s="17">
        <f>IF(E265="금융","",IF(AND(ISNUMBER(R265),ISNUMBER(AH265)),R265+AH265,""))</f>
        <v/>
      </c>
      <c r="AM265" s="19">
        <f>IF(OR(NOT(ISNUMBER(AG265)),NOT(ISNUMBER(AL265)),AL265&lt;=0),"",IF(AND(ISNUMBER(G265),AL265&lt;0.1*G265),"",AG265/AL265))</f>
        <v/>
      </c>
      <c r="AN265" s="17">
        <f>IF(NOT(ISNUMBER(R265)),"",IF(ISNUMBER(S265),(R265+S265)/2,R265))</f>
        <v/>
      </c>
      <c r="AO265" s="19">
        <f>IF(AND(ISNUMBER(L265),ISNUMBER(AN265),AN265&gt;0),L265/AN265,"")</f>
        <v/>
      </c>
      <c r="AP265" s="19">
        <f>IF(AND(ISNUMBER(AO265),ISNUMBER({ROIC})),AO265-{ROIC},"")</f>
        <v/>
      </c>
      <c r="AQ265" s="17">
        <f>IF(AND(ISNUMBER(AE265),ISNUMBER(N265)),AE265+N265,"")</f>
        <v/>
      </c>
      <c r="AR265" s="20">
        <f>IF(AND(ISNUMBER(AH265),ISNUMBER(T265),ISNUMBER(AQ265),AQ265&gt;0),(AH265-T265)/AQ265,"")</f>
        <v/>
      </c>
      <c r="AS265" s="20">
        <f>IF(AND(ISNUMBER(AE265),ISNUMBER(I265),I265&lt;&gt;0,AE265&gt;0),AE265/I265,"")</f>
        <v/>
      </c>
      <c r="AT265" s="17">
        <f>IF(AND(ISNUMBER(Y265),ISNUMBER(AA265)),Y265-IF(ISNUMBER(T265),T265,0)-(AA265-IF(ISNUMBER(V265),V265,0)),"")</f>
        <v/>
      </c>
      <c r="AU265" s="17">
        <f>IF(AND(ISNUMBER(Z265),ISNUMBER(AB265)),Z265-IF(ISNUMBER(U265),U265,0)-(AB265-IF(ISNUMBER(W265),W265,0)),"")</f>
        <v/>
      </c>
      <c r="AV265" s="17">
        <f>IF(AND(ISNUMBER(AT265),ISNUMBER(AU265)),AT265-AU265,"")</f>
        <v/>
      </c>
      <c r="AW265" s="17">
        <f>IF(AND(ISNUMBER(L265),ISNUMBER(M265),ISNUMBER(AF265)),L265-M265*(1-AF265),IF(ISNUMBER(L265),L265,""))</f>
        <v/>
      </c>
      <c r="AX265" s="17">
        <f>IF(E265="금융","",IF(AND(ISNUMBER(AW265),ISNUMBER(N265),ISNUMBER(O265),ISNUMBER(AV265)),AW265+N265-O265-AV265,IF(AND(ISNUMBER(P265),ISNUMBER(O265)),P265-O265-IF(ISNUMBER(Q265),Q265,0),"")))</f>
        <v/>
      </c>
      <c r="AY265" s="8">
        <f>IF(E265="금융","금융업 - 정의되지 않음",IF(AND(ISNUMBER(AW265),ISNUMBER(N265),ISNUMBER(O265),ISNUMBER(AV265)),"영업순이익+감가상각-설비투자-운전자본증감",IF(AND(ISNUMBER(P265),ISNUMBER(O265)),IF(ISNUMBER(Q265),"영업현금흐름-설비투자-주식보상비용","영업현금흐름-설비투자(주식보상비용 미태깅)"),"산출불가")))</f>
        <v/>
      </c>
      <c r="AZ265" s="19">
        <f>IF(AND(ISNUMBER(AX265),ISNUMBER(G265),G265&lt;&gt;0),AX265/G265,"")</f>
        <v/>
      </c>
      <c r="BA265" s="19">
        <f>IF(AND(ISNUMBER(AE265),ISNUMBER(G265),G265&lt;&gt;0),AE265/G265,"")</f>
        <v/>
      </c>
    </row>
    <row r="266">
      <c r="A266" s="8" t="inlineStr">
        <is>
          <t>ABBV</t>
        </is>
      </c>
      <c r="B266" s="8" t="inlineStr">
        <is>
          <t>AbbVie Inc.</t>
        </is>
      </c>
      <c r="C266" s="8" t="n">
        <v>2025</v>
      </c>
      <c r="D266" s="8" t="inlineStr">
        <is>
          <t>2025-12-31</t>
        </is>
      </c>
      <c r="E266" s="8" t="inlineStr">
        <is>
          <t>일반</t>
        </is>
      </c>
      <c r="F266" s="8" t="inlineStr">
        <is>
          <t>0001551152-26-000008</t>
        </is>
      </c>
      <c r="G266" s="15" t="n">
        <v>61.16</v>
      </c>
      <c r="H266" s="15" t="n">
        <v>6.597</v>
      </c>
      <c r="I266" s="15" t="n">
        <v>2.893</v>
      </c>
      <c r="J266" s="15" t="n">
        <v>2.364</v>
      </c>
      <c r="K266" s="15" t="n">
        <v>15.075</v>
      </c>
      <c r="L266" s="15" t="n">
        <v>4.226</v>
      </c>
      <c r="M266" s="15" t="n"/>
      <c r="N266" s="15" t="n">
        <v>0.762</v>
      </c>
      <c r="O266" s="15" t="n">
        <v>1.214</v>
      </c>
      <c r="P266" s="15" t="n">
        <v>19.03</v>
      </c>
      <c r="Q266" s="15" t="n">
        <v>0.955</v>
      </c>
      <c r="R266" s="15" t="n">
        <v>-3.27</v>
      </c>
      <c r="S266" s="15" t="n">
        <v>3.325</v>
      </c>
      <c r="T266" s="15" t="n">
        <v>5.257</v>
      </c>
      <c r="U266" s="15" t="n">
        <v>5.555</v>
      </c>
      <c r="V266" s="15" t="n">
        <v>2.499</v>
      </c>
      <c r="W266" s="15" t="n">
        <v>0</v>
      </c>
      <c r="X266" s="15" t="n">
        <v>58.941</v>
      </c>
      <c r="Y266" s="15" t="n">
        <v>29.062</v>
      </c>
      <c r="Z266" s="15" t="n">
        <v>25.582</v>
      </c>
      <c r="AA266" s="15" t="n">
        <v>43.289</v>
      </c>
      <c r="AB266" s="15" t="n">
        <v>38.749</v>
      </c>
      <c r="AC266" s="15" t="n">
        <v>58.11</v>
      </c>
      <c r="AD266" s="16" t="n">
        <v>1773</v>
      </c>
      <c r="AE266" s="17">
        <f>IF(ISNUMBER(K266),K266,IF(AND(ISNUMBER(H266),ISNUMBER(I266)),H266+I266,IF(ISNUMBER(H266),H266,"")))</f>
        <v/>
      </c>
      <c r="AF266" s="18">
        <f>IF(OR(NOT(ISNUMBER(J266)),NOT(ISNUMBER(H266)),H266&lt;=0),기준표!$B$8,MIN(MAX(J266/H266,기준표!$B$6),기준표!$B$7))</f>
        <v/>
      </c>
      <c r="AG266" s="17">
        <f>IF(ISNUMBER(AE266),AE266*(1-AF266),"")</f>
        <v/>
      </c>
      <c r="AH266" s="17">
        <f>IF(AND(NOT(ISNUMBER(V266)),NOT(ISNUMBER(X266))),"",IF(ISNUMBER(V266),V266,0)+IF(ISNUMBER(X266),X266,0))</f>
        <v/>
      </c>
      <c r="AI266" s="17">
        <f>IF(E266="금융","",IF(AND(ISNUMBER(R266),ISNUMBER(AH266),ISNUMBER(T266)),R266+AH266-T266,""))</f>
        <v/>
      </c>
      <c r="AJ266" s="17">
        <f>IF(E266="금융","",IF(NOT(ISNUMBER(AI266)),"",IF(ISNUMBER(AC266),(AI266+AC266)/2,AI266)))</f>
        <v/>
      </c>
      <c r="AK266" s="19">
        <f>IF(AND(ISNUMBER(AG266),ISNUMBER(AJ266),AJ266&gt;0),AG266/AJ266,"")</f>
        <v/>
      </c>
      <c r="AL266" s="17">
        <f>IF(E266="금융","",IF(AND(ISNUMBER(R266),ISNUMBER(AH266)),R266+AH266,""))</f>
        <v/>
      </c>
      <c r="AM266" s="19">
        <f>IF(OR(NOT(ISNUMBER(AG266)),NOT(ISNUMBER(AL266)),AL266&lt;=0),"",IF(AND(ISNUMBER(G266),AL266&lt;0.1*G266),"",AG266/AL266))</f>
        <v/>
      </c>
      <c r="AN266" s="17">
        <f>IF(NOT(ISNUMBER(R266)),"",IF(ISNUMBER(S266),(R266+S266)/2,R266))</f>
        <v/>
      </c>
      <c r="AO266" s="19">
        <f>IF(AND(ISNUMBER(L266),ISNUMBER(AN266),AN266&gt;0),L266/AN266,"")</f>
        <v/>
      </c>
      <c r="AP266" s="19">
        <f>IF(AND(ISNUMBER(AO266),ISNUMBER({ROIC})),AO266-{ROIC},"")</f>
        <v/>
      </c>
      <c r="AQ266" s="17">
        <f>IF(AND(ISNUMBER(AE266),ISNUMBER(N266)),AE266+N266,"")</f>
        <v/>
      </c>
      <c r="AR266" s="20">
        <f>IF(AND(ISNUMBER(AH266),ISNUMBER(T266),ISNUMBER(AQ266),AQ266&gt;0),(AH266-T266)/AQ266,"")</f>
        <v/>
      </c>
      <c r="AS266" s="20">
        <f>IF(AND(ISNUMBER(AE266),ISNUMBER(I266),I266&lt;&gt;0,AE266&gt;0),AE266/I266,"")</f>
        <v/>
      </c>
      <c r="AT266" s="17">
        <f>IF(AND(ISNUMBER(Y266),ISNUMBER(AA266)),Y266-IF(ISNUMBER(T266),T266,0)-(AA266-IF(ISNUMBER(V266),V266,0)),"")</f>
        <v/>
      </c>
      <c r="AU266" s="17">
        <f>IF(AND(ISNUMBER(Z266),ISNUMBER(AB266)),Z266-IF(ISNUMBER(U266),U266,0)-(AB266-IF(ISNUMBER(W266),W266,0)),"")</f>
        <v/>
      </c>
      <c r="AV266" s="17">
        <f>IF(AND(ISNUMBER(AT266),ISNUMBER(AU266)),AT266-AU266,"")</f>
        <v/>
      </c>
      <c r="AW266" s="17">
        <f>IF(AND(ISNUMBER(L266),ISNUMBER(M266),ISNUMBER(AF266)),L266-M266*(1-AF266),IF(ISNUMBER(L266),L266,""))</f>
        <v/>
      </c>
      <c r="AX266" s="17">
        <f>IF(E266="금융","",IF(AND(ISNUMBER(AW266),ISNUMBER(N266),ISNUMBER(O266),ISNUMBER(AV266)),AW266+N266-O266-AV266,IF(AND(ISNUMBER(P266),ISNUMBER(O266)),P266-O266-IF(ISNUMBER(Q266),Q266,0),"")))</f>
        <v/>
      </c>
      <c r="AY266" s="8">
        <f>IF(E266="금융","금융업 - 정의되지 않음",IF(AND(ISNUMBER(AW266),ISNUMBER(N266),ISNUMBER(O266),ISNUMBER(AV266)),"영업순이익+감가상각-설비투자-운전자본증감",IF(AND(ISNUMBER(P266),ISNUMBER(O266)),IF(ISNUMBER(Q266),"영업현금흐름-설비투자-주식보상비용","영업현금흐름-설비투자(주식보상비용 미태깅)"),"산출불가")))</f>
        <v/>
      </c>
      <c r="AZ266" s="19">
        <f>IF(AND(ISNUMBER(AX266),ISNUMBER(G266),G266&lt;&gt;0),AX266/G266,"")</f>
        <v/>
      </c>
      <c r="BA266" s="19">
        <f>IF(AND(ISNUMBER(AE266),ISNUMBER(G266),G266&lt;&gt;0),AE266/G266,"")</f>
        <v/>
      </c>
    </row>
    <row r="267">
      <c r="A267" s="8" t="inlineStr">
        <is>
          <t>AMAT</t>
        </is>
      </c>
      <c r="B267" s="8" t="inlineStr">
        <is>
          <t>APPLIED MATERIALS INC /DE</t>
        </is>
      </c>
      <c r="C267" s="8" t="n">
        <v>2014</v>
      </c>
      <c r="D267" s="8" t="inlineStr">
        <is>
          <t>2014-10-26</t>
        </is>
      </c>
      <c r="E267" s="8" t="inlineStr">
        <is>
          <t>일반</t>
        </is>
      </c>
      <c r="F267" s="8" t="inlineStr">
        <is>
          <t>0000006951-16-000068</t>
        </is>
      </c>
      <c r="G267" s="15" t="n"/>
      <c r="H267" s="15" t="n">
        <v>1.448</v>
      </c>
      <c r="I267" s="15" t="n"/>
      <c r="J267" s="15" t="n">
        <v>0.376</v>
      </c>
      <c r="K267" s="15" t="n">
        <v>1.52</v>
      </c>
      <c r="L267" s="15" t="n">
        <v>1.072</v>
      </c>
      <c r="M267" s="15" t="n"/>
      <c r="N267" s="15" t="n">
        <v>0.375</v>
      </c>
      <c r="O267" s="15" t="n">
        <v>0.241</v>
      </c>
      <c r="P267" s="15" t="n">
        <v>1.8</v>
      </c>
      <c r="Q267" s="15" t="n">
        <v>0.177</v>
      </c>
      <c r="R267" s="15" t="n">
        <v>7.868</v>
      </c>
      <c r="S267" s="15" t="n"/>
      <c r="T267" s="15" t="n">
        <v>3.162</v>
      </c>
      <c r="U267" s="15" t="n"/>
      <c r="V267" s="15" t="n"/>
      <c r="W267" s="15" t="n"/>
      <c r="X267" s="15" t="n">
        <v>1.947</v>
      </c>
      <c r="Y267" s="15" t="n">
        <v>6.967</v>
      </c>
      <c r="Z267" s="15" t="n"/>
      <c r="AA267" s="15" t="n">
        <v>2.823</v>
      </c>
      <c r="AB267" s="15" t="n"/>
      <c r="AC267" s="15" t="n"/>
      <c r="AD267" s="16" t="n">
        <v>1221</v>
      </c>
      <c r="AE267" s="17">
        <f>IF(ISNUMBER(K267),K267,IF(AND(ISNUMBER(H267),ISNUMBER(I267)),H267+I267,IF(ISNUMBER(H267),H267,"")))</f>
        <v/>
      </c>
      <c r="AF267" s="18">
        <f>IF(OR(NOT(ISNUMBER(J267)),NOT(ISNUMBER(H267)),H267&lt;=0),기준표!$B$8,MIN(MAX(J267/H267,기준표!$B$6),기준표!$B$7))</f>
        <v/>
      </c>
      <c r="AG267" s="17">
        <f>IF(ISNUMBER(AE267),AE267*(1-AF267),"")</f>
        <v/>
      </c>
      <c r="AH267" s="17">
        <f>IF(AND(NOT(ISNUMBER(V267)),NOT(ISNUMBER(X267))),"",IF(ISNUMBER(V267),V267,0)+IF(ISNUMBER(X267),X267,0))</f>
        <v/>
      </c>
      <c r="AI267" s="17">
        <f>IF(E267="금융","",IF(AND(ISNUMBER(R267),ISNUMBER(AH267),ISNUMBER(T267)),R267+AH267-T267,""))</f>
        <v/>
      </c>
      <c r="AJ267" s="17">
        <f>IF(E267="금융","",IF(NOT(ISNUMBER(AI267)),"",IF(ISNUMBER(AC267),(AI267+AC267)/2,AI267)))</f>
        <v/>
      </c>
      <c r="AK267" s="19">
        <f>IF(AND(ISNUMBER(AG267),ISNUMBER(AJ267),AJ267&gt;0),AG267/AJ267,"")</f>
        <v/>
      </c>
      <c r="AL267" s="17">
        <f>IF(E267="금융","",IF(AND(ISNUMBER(R267),ISNUMBER(AH267)),R267+AH267,""))</f>
        <v/>
      </c>
      <c r="AM267" s="19">
        <f>IF(OR(NOT(ISNUMBER(AG267)),NOT(ISNUMBER(AL267)),AL267&lt;=0),"",IF(AND(ISNUMBER(G267),AL267&lt;0.1*G267),"",AG267/AL267))</f>
        <v/>
      </c>
      <c r="AN267" s="17">
        <f>IF(NOT(ISNUMBER(R267)),"",IF(ISNUMBER(S267),(R267+S267)/2,R267))</f>
        <v/>
      </c>
      <c r="AO267" s="19">
        <f>IF(AND(ISNUMBER(L267),ISNUMBER(AN267),AN267&gt;0),L267/AN267,"")</f>
        <v/>
      </c>
      <c r="AP267" s="19">
        <f>IF(AND(ISNUMBER(AO267),ISNUMBER({ROIC})),AO267-{ROIC},"")</f>
        <v/>
      </c>
      <c r="AQ267" s="17">
        <f>IF(AND(ISNUMBER(AE267),ISNUMBER(N267)),AE267+N267,"")</f>
        <v/>
      </c>
      <c r="AR267" s="20">
        <f>IF(AND(ISNUMBER(AH267),ISNUMBER(T267),ISNUMBER(AQ267),AQ267&gt;0),(AH267-T267)/AQ267,"")</f>
        <v/>
      </c>
      <c r="AS267" s="20">
        <f>IF(AND(ISNUMBER(AE267),ISNUMBER(I267),I267&lt;&gt;0,AE267&gt;0),AE267/I267,"")</f>
        <v/>
      </c>
      <c r="AT267" s="17">
        <f>IF(AND(ISNUMBER(Y267),ISNUMBER(AA267)),Y267-IF(ISNUMBER(T267),T267,0)-(AA267-IF(ISNUMBER(V267),V267,0)),"")</f>
        <v/>
      </c>
      <c r="AU267" s="17">
        <f>IF(AND(ISNUMBER(Z267),ISNUMBER(AB267)),Z267-IF(ISNUMBER(U267),U267,0)-(AB267-IF(ISNUMBER(W267),W267,0)),"")</f>
        <v/>
      </c>
      <c r="AV267" s="17">
        <f>IF(AND(ISNUMBER(AT267),ISNUMBER(AU267)),AT267-AU267,"")</f>
        <v/>
      </c>
      <c r="AW267" s="17">
        <f>IF(AND(ISNUMBER(L267),ISNUMBER(M267),ISNUMBER(AF267)),L267-M267*(1-AF267),IF(ISNUMBER(L267),L267,""))</f>
        <v/>
      </c>
      <c r="AX267" s="17">
        <f>IF(E267="금융","",IF(AND(ISNUMBER(AW267),ISNUMBER(N267),ISNUMBER(O267),ISNUMBER(AV267)),AW267+N267-O267-AV267,IF(AND(ISNUMBER(P267),ISNUMBER(O267)),P267-O267-IF(ISNUMBER(Q267),Q267,0),"")))</f>
        <v/>
      </c>
      <c r="AY267" s="8">
        <f>IF(E267="금융","금융업 - 정의되지 않음",IF(AND(ISNUMBER(AW267),ISNUMBER(N267),ISNUMBER(O267),ISNUMBER(AV267)),"영업순이익+감가상각-설비투자-운전자본증감",IF(AND(ISNUMBER(P267),ISNUMBER(O267)),IF(ISNUMBER(Q267),"영업현금흐름-설비투자-주식보상비용","영업현금흐름-설비투자(주식보상비용 미태깅)"),"산출불가")))</f>
        <v/>
      </c>
      <c r="AZ267" s="19">
        <f>IF(AND(ISNUMBER(AX267),ISNUMBER(G267),G267&lt;&gt;0),AX267/G267,"")</f>
        <v/>
      </c>
      <c r="BA267" s="19">
        <f>IF(AND(ISNUMBER(AE267),ISNUMBER(G267),G267&lt;&gt;0),AE267/G267,"")</f>
        <v/>
      </c>
    </row>
    <row r="268">
      <c r="A268" s="8" t="inlineStr">
        <is>
          <t>AMAT</t>
        </is>
      </c>
      <c r="B268" s="8" t="inlineStr">
        <is>
          <t>APPLIED MATERIALS INC /DE</t>
        </is>
      </c>
      <c r="C268" s="8" t="n">
        <v>2015</v>
      </c>
      <c r="D268" s="8" t="inlineStr">
        <is>
          <t>2015-10-25</t>
        </is>
      </c>
      <c r="E268" s="8" t="inlineStr">
        <is>
          <t>일반</t>
        </is>
      </c>
      <c r="F268" s="8" t="inlineStr">
        <is>
          <t>0000006951-17-000038</t>
        </is>
      </c>
      <c r="G268" s="15" t="n"/>
      <c r="H268" s="15" t="n">
        <v>1.598</v>
      </c>
      <c r="I268" s="15" t="n"/>
      <c r="J268" s="15" t="n">
        <v>0.221</v>
      </c>
      <c r="K268" s="15" t="n">
        <v>1.693</v>
      </c>
      <c r="L268" s="15" t="n">
        <v>1.377</v>
      </c>
      <c r="M268" s="15" t="n"/>
      <c r="N268" s="15" t="n">
        <v>0.371</v>
      </c>
      <c r="O268" s="15" t="n">
        <v>0.215</v>
      </c>
      <c r="P268" s="15" t="n">
        <v>1.163</v>
      </c>
      <c r="Q268" s="15" t="n">
        <v>0.187</v>
      </c>
      <c r="R268" s="15" t="n">
        <v>7.613</v>
      </c>
      <c r="S268" s="15" t="n">
        <v>7.868</v>
      </c>
      <c r="T268" s="15" t="n">
        <v>4.965</v>
      </c>
      <c r="U268" s="15" t="n">
        <v>3.162</v>
      </c>
      <c r="V268" s="15" t="n">
        <v>1.2</v>
      </c>
      <c r="W268" s="15" t="n"/>
      <c r="X268" s="15" t="n">
        <v>3.342</v>
      </c>
      <c r="Y268" s="15" t="n">
        <v>9.260999999999999</v>
      </c>
      <c r="Z268" s="15" t="n">
        <v>6.967</v>
      </c>
      <c r="AA268" s="15" t="n">
        <v>3.798</v>
      </c>
      <c r="AB268" s="15" t="n">
        <v>2.823</v>
      </c>
      <c r="AC268" s="15" t="n">
        <v>6.653</v>
      </c>
      <c r="AD268" s="16" t="n">
        <v>1160</v>
      </c>
      <c r="AE268" s="17">
        <f>IF(ISNUMBER(K268),K268,IF(AND(ISNUMBER(H268),ISNUMBER(I268)),H268+I268,IF(ISNUMBER(H268),H268,"")))</f>
        <v/>
      </c>
      <c r="AF268" s="18">
        <f>IF(OR(NOT(ISNUMBER(J268)),NOT(ISNUMBER(H268)),H268&lt;=0),기준표!$B$8,MIN(MAX(J268/H268,기준표!$B$6),기준표!$B$7))</f>
        <v/>
      </c>
      <c r="AG268" s="17">
        <f>IF(ISNUMBER(AE268),AE268*(1-AF268),"")</f>
        <v/>
      </c>
      <c r="AH268" s="17">
        <f>IF(AND(NOT(ISNUMBER(V268)),NOT(ISNUMBER(X268))),"",IF(ISNUMBER(V268),V268,0)+IF(ISNUMBER(X268),X268,0))</f>
        <v/>
      </c>
      <c r="AI268" s="17">
        <f>IF(E268="금융","",IF(AND(ISNUMBER(R268),ISNUMBER(AH268),ISNUMBER(T268)),R268+AH268-T268,""))</f>
        <v/>
      </c>
      <c r="AJ268" s="17">
        <f>IF(E268="금융","",IF(NOT(ISNUMBER(AI268)),"",IF(ISNUMBER(AC268),(AI268+AC268)/2,AI268)))</f>
        <v/>
      </c>
      <c r="AK268" s="19">
        <f>IF(AND(ISNUMBER(AG268),ISNUMBER(AJ268),AJ268&gt;0),AG268/AJ268,"")</f>
        <v/>
      </c>
      <c r="AL268" s="17">
        <f>IF(E268="금융","",IF(AND(ISNUMBER(R268),ISNUMBER(AH268)),R268+AH268,""))</f>
        <v/>
      </c>
      <c r="AM268" s="19">
        <f>IF(OR(NOT(ISNUMBER(AG268)),NOT(ISNUMBER(AL268)),AL268&lt;=0),"",IF(AND(ISNUMBER(G268),AL268&lt;0.1*G268),"",AG268/AL268))</f>
        <v/>
      </c>
      <c r="AN268" s="17">
        <f>IF(NOT(ISNUMBER(R268)),"",IF(ISNUMBER(S268),(R268+S268)/2,R268))</f>
        <v/>
      </c>
      <c r="AO268" s="19">
        <f>IF(AND(ISNUMBER(L268),ISNUMBER(AN268),AN268&gt;0),L268/AN268,"")</f>
        <v/>
      </c>
      <c r="AP268" s="19">
        <f>IF(AND(ISNUMBER(AO268),ISNUMBER({ROIC})),AO268-{ROIC},"")</f>
        <v/>
      </c>
      <c r="AQ268" s="17">
        <f>IF(AND(ISNUMBER(AE268),ISNUMBER(N268)),AE268+N268,"")</f>
        <v/>
      </c>
      <c r="AR268" s="20">
        <f>IF(AND(ISNUMBER(AH268),ISNUMBER(T268),ISNUMBER(AQ268),AQ268&gt;0),(AH268-T268)/AQ268,"")</f>
        <v/>
      </c>
      <c r="AS268" s="20">
        <f>IF(AND(ISNUMBER(AE268),ISNUMBER(I268),I268&lt;&gt;0,AE268&gt;0),AE268/I268,"")</f>
        <v/>
      </c>
      <c r="AT268" s="17">
        <f>IF(AND(ISNUMBER(Y268),ISNUMBER(AA268)),Y268-IF(ISNUMBER(T268),T268,0)-(AA268-IF(ISNUMBER(V268),V268,0)),"")</f>
        <v/>
      </c>
      <c r="AU268" s="17">
        <f>IF(AND(ISNUMBER(Z268),ISNUMBER(AB268)),Z268-IF(ISNUMBER(U268),U268,0)-(AB268-IF(ISNUMBER(W268),W268,0)),"")</f>
        <v/>
      </c>
      <c r="AV268" s="17">
        <f>IF(AND(ISNUMBER(AT268),ISNUMBER(AU268)),AT268-AU268,"")</f>
        <v/>
      </c>
      <c r="AW268" s="17">
        <f>IF(AND(ISNUMBER(L268),ISNUMBER(M268),ISNUMBER(AF268)),L268-M268*(1-AF268),IF(ISNUMBER(L268),L268,""))</f>
        <v/>
      </c>
      <c r="AX268" s="17">
        <f>IF(E268="금융","",IF(AND(ISNUMBER(AW268),ISNUMBER(N268),ISNUMBER(O268),ISNUMBER(AV268)),AW268+N268-O268-AV268,IF(AND(ISNUMBER(P268),ISNUMBER(O268)),P268-O268-IF(ISNUMBER(Q268),Q268,0),"")))</f>
        <v/>
      </c>
      <c r="AY268" s="8">
        <f>IF(E268="금융","금융업 - 정의되지 않음",IF(AND(ISNUMBER(AW268),ISNUMBER(N268),ISNUMBER(O268),ISNUMBER(AV268)),"영업순이익+감가상각-설비투자-운전자본증감",IF(AND(ISNUMBER(P268),ISNUMBER(O268)),IF(ISNUMBER(Q268),"영업현금흐름-설비투자-주식보상비용","영업현금흐름-설비투자(주식보상비용 미태깅)"),"산출불가")))</f>
        <v/>
      </c>
      <c r="AZ268" s="19">
        <f>IF(AND(ISNUMBER(AX268),ISNUMBER(G268),G268&lt;&gt;0),AX268/G268,"")</f>
        <v/>
      </c>
      <c r="BA268" s="19">
        <f>IF(AND(ISNUMBER(AE268),ISNUMBER(G268),G268&lt;&gt;0),AE268/G268,"")</f>
        <v/>
      </c>
    </row>
    <row r="269">
      <c r="A269" s="8" t="inlineStr">
        <is>
          <t>AMAT</t>
        </is>
      </c>
      <c r="B269" s="8" t="inlineStr">
        <is>
          <t>APPLIED MATERIALS INC /DE</t>
        </is>
      </c>
      <c r="C269" s="8" t="n">
        <v>2016</v>
      </c>
      <c r="D269" s="8" t="inlineStr">
        <is>
          <t>2016-10-30</t>
        </is>
      </c>
      <c r="E269" s="8" t="inlineStr">
        <is>
          <t>일반</t>
        </is>
      </c>
      <c r="F269" s="8" t="inlineStr">
        <is>
          <t>0000006951-18-000041</t>
        </is>
      </c>
      <c r="G269" s="15" t="n"/>
      <c r="H269" s="15" t="n">
        <v>2.013</v>
      </c>
      <c r="I269" s="15" t="n"/>
      <c r="J269" s="15" t="n">
        <v>0.292</v>
      </c>
      <c r="K269" s="15" t="n">
        <v>2.152</v>
      </c>
      <c r="L269" s="15" t="n">
        <v>1.721</v>
      </c>
      <c r="M269" s="15" t="n"/>
      <c r="N269" s="15" t="n">
        <v>0.389</v>
      </c>
      <c r="O269" s="15" t="n">
        <v>0.253</v>
      </c>
      <c r="P269" s="15" t="n">
        <v>2.566</v>
      </c>
      <c r="Q269" s="15" t="n">
        <v>0.201</v>
      </c>
      <c r="R269" s="15" t="n">
        <v>7.413</v>
      </c>
      <c r="S269" s="15" t="n">
        <v>7.613</v>
      </c>
      <c r="T269" s="15" t="n">
        <v>3.749</v>
      </c>
      <c r="U269" s="15" t="n">
        <v>4.965</v>
      </c>
      <c r="V269" s="15" t="n">
        <v>0.2</v>
      </c>
      <c r="W269" s="15" t="n">
        <v>1.2</v>
      </c>
      <c r="X269" s="15" t="n">
        <v>3.125</v>
      </c>
      <c r="Y269" s="15" t="n">
        <v>8.353</v>
      </c>
      <c r="Z269" s="15" t="n">
        <v>9.260999999999999</v>
      </c>
      <c r="AA269" s="15" t="n">
        <v>3.632</v>
      </c>
      <c r="AB269" s="15" t="n">
        <v>3.798</v>
      </c>
      <c r="AC269" s="15" t="n">
        <v>7.19</v>
      </c>
      <c r="AD269" s="16" t="n">
        <v>1078</v>
      </c>
      <c r="AE269" s="17">
        <f>IF(ISNUMBER(K269),K269,IF(AND(ISNUMBER(H269),ISNUMBER(I269)),H269+I269,IF(ISNUMBER(H269),H269,"")))</f>
        <v/>
      </c>
      <c r="AF269" s="18">
        <f>IF(OR(NOT(ISNUMBER(J269)),NOT(ISNUMBER(H269)),H269&lt;=0),기준표!$B$8,MIN(MAX(J269/H269,기준표!$B$6),기준표!$B$7))</f>
        <v/>
      </c>
      <c r="AG269" s="17">
        <f>IF(ISNUMBER(AE269),AE269*(1-AF269),"")</f>
        <v/>
      </c>
      <c r="AH269" s="17">
        <f>IF(AND(NOT(ISNUMBER(V269)),NOT(ISNUMBER(X269))),"",IF(ISNUMBER(V269),V269,0)+IF(ISNUMBER(X269),X269,0))</f>
        <v/>
      </c>
      <c r="AI269" s="17">
        <f>IF(E269="금융","",IF(AND(ISNUMBER(R269),ISNUMBER(AH269),ISNUMBER(T269)),R269+AH269-T269,""))</f>
        <v/>
      </c>
      <c r="AJ269" s="17">
        <f>IF(E269="금융","",IF(NOT(ISNUMBER(AI269)),"",IF(ISNUMBER(AC269),(AI269+AC269)/2,AI269)))</f>
        <v/>
      </c>
      <c r="AK269" s="19">
        <f>IF(AND(ISNUMBER(AG269),ISNUMBER(AJ269),AJ269&gt;0),AG269/AJ269,"")</f>
        <v/>
      </c>
      <c r="AL269" s="17">
        <f>IF(E269="금융","",IF(AND(ISNUMBER(R269),ISNUMBER(AH269)),R269+AH269,""))</f>
        <v/>
      </c>
      <c r="AM269" s="19">
        <f>IF(OR(NOT(ISNUMBER(AG269)),NOT(ISNUMBER(AL269)),AL269&lt;=0),"",IF(AND(ISNUMBER(G269),AL269&lt;0.1*G269),"",AG269/AL269))</f>
        <v/>
      </c>
      <c r="AN269" s="17">
        <f>IF(NOT(ISNUMBER(R269)),"",IF(ISNUMBER(S269),(R269+S269)/2,R269))</f>
        <v/>
      </c>
      <c r="AO269" s="19">
        <f>IF(AND(ISNUMBER(L269),ISNUMBER(AN269),AN269&gt;0),L269/AN269,"")</f>
        <v/>
      </c>
      <c r="AP269" s="19">
        <f>IF(AND(ISNUMBER(AO269),ISNUMBER({ROIC})),AO269-{ROIC},"")</f>
        <v/>
      </c>
      <c r="AQ269" s="17">
        <f>IF(AND(ISNUMBER(AE269),ISNUMBER(N269)),AE269+N269,"")</f>
        <v/>
      </c>
      <c r="AR269" s="20">
        <f>IF(AND(ISNUMBER(AH269),ISNUMBER(T269),ISNUMBER(AQ269),AQ269&gt;0),(AH269-T269)/AQ269,"")</f>
        <v/>
      </c>
      <c r="AS269" s="20">
        <f>IF(AND(ISNUMBER(AE269),ISNUMBER(I269),I269&lt;&gt;0,AE269&gt;0),AE269/I269,"")</f>
        <v/>
      </c>
      <c r="AT269" s="17">
        <f>IF(AND(ISNUMBER(Y269),ISNUMBER(AA269)),Y269-IF(ISNUMBER(T269),T269,0)-(AA269-IF(ISNUMBER(V269),V269,0)),"")</f>
        <v/>
      </c>
      <c r="AU269" s="17">
        <f>IF(AND(ISNUMBER(Z269),ISNUMBER(AB269)),Z269-IF(ISNUMBER(U269),U269,0)-(AB269-IF(ISNUMBER(W269),W269,0)),"")</f>
        <v/>
      </c>
      <c r="AV269" s="17">
        <f>IF(AND(ISNUMBER(AT269),ISNUMBER(AU269)),AT269-AU269,"")</f>
        <v/>
      </c>
      <c r="AW269" s="17">
        <f>IF(AND(ISNUMBER(L269),ISNUMBER(M269),ISNUMBER(AF269)),L269-M269*(1-AF269),IF(ISNUMBER(L269),L269,""))</f>
        <v/>
      </c>
      <c r="AX269" s="17">
        <f>IF(E269="금융","",IF(AND(ISNUMBER(AW269),ISNUMBER(N269),ISNUMBER(O269),ISNUMBER(AV269)),AW269+N269-O269-AV269,IF(AND(ISNUMBER(P269),ISNUMBER(O269)),P269-O269-IF(ISNUMBER(Q269),Q269,0),"")))</f>
        <v/>
      </c>
      <c r="AY269" s="8">
        <f>IF(E269="금융","금융업 - 정의되지 않음",IF(AND(ISNUMBER(AW269),ISNUMBER(N269),ISNUMBER(O269),ISNUMBER(AV269)),"영업순이익+감가상각-설비투자-운전자본증감",IF(AND(ISNUMBER(P269),ISNUMBER(O269)),IF(ISNUMBER(Q269),"영업현금흐름-설비투자-주식보상비용","영업현금흐름-설비투자(주식보상비용 미태깅)"),"산출불가")))</f>
        <v/>
      </c>
      <c r="AZ269" s="19">
        <f>IF(AND(ISNUMBER(AX269),ISNUMBER(G269),G269&lt;&gt;0),AX269/G269,"")</f>
        <v/>
      </c>
      <c r="BA269" s="19">
        <f>IF(AND(ISNUMBER(AE269),ISNUMBER(G269),G269&lt;&gt;0),AE269/G269,"")</f>
        <v/>
      </c>
    </row>
    <row r="270">
      <c r="A270" s="8" t="inlineStr">
        <is>
          <t>AMAT</t>
        </is>
      </c>
      <c r="B270" s="8" t="inlineStr">
        <is>
          <t>APPLIED MATERIALS INC /DE</t>
        </is>
      </c>
      <c r="C270" s="8" t="n">
        <v>2017</v>
      </c>
      <c r="D270" s="8" t="inlineStr">
        <is>
          <t>2017-10-29</t>
        </is>
      </c>
      <c r="E270" s="8" t="inlineStr">
        <is>
          <t>일반</t>
        </is>
      </c>
      <c r="F270" s="8" t="inlineStr">
        <is>
          <t>0000006951-19-000046</t>
        </is>
      </c>
      <c r="G270" s="15" t="n"/>
      <c r="H270" s="15" t="n">
        <v>3.816</v>
      </c>
      <c r="I270" s="15" t="n"/>
      <c r="J270" s="15" t="n">
        <v>0.297</v>
      </c>
      <c r="K270" s="15" t="n">
        <v>3.936</v>
      </c>
      <c r="L270" s="15" t="n">
        <v>3.519</v>
      </c>
      <c r="M270" s="15" t="n"/>
      <c r="N270" s="15" t="n">
        <v>0.407</v>
      </c>
      <c r="O270" s="15" t="n">
        <v>0.345</v>
      </c>
      <c r="P270" s="15" t="n">
        <v>3.789</v>
      </c>
      <c r="Q270" s="15" t="n">
        <v>0.22</v>
      </c>
      <c r="R270" s="15" t="n">
        <v>9.630000000000001</v>
      </c>
      <c r="S270" s="15" t="n">
        <v>7.413</v>
      </c>
      <c r="T270" s="15" t="n">
        <v>7.276</v>
      </c>
      <c r="U270" s="15" t="n">
        <v>3.749</v>
      </c>
      <c r="V270" s="15" t="n">
        <v>0</v>
      </c>
      <c r="W270" s="15" t="n">
        <v>0.2</v>
      </c>
      <c r="X270" s="15" t="n">
        <v>5.304</v>
      </c>
      <c r="Y270" s="15" t="n">
        <v>12.918</v>
      </c>
      <c r="Z270" s="15" t="n">
        <v>8.353</v>
      </c>
      <c r="AA270" s="15" t="n">
        <v>4.115</v>
      </c>
      <c r="AB270" s="15" t="n">
        <v>3.632</v>
      </c>
      <c r="AC270" s="15" t="n">
        <v>6.989</v>
      </c>
      <c r="AD270" s="16" t="n">
        <v>1060</v>
      </c>
      <c r="AE270" s="17">
        <f>IF(ISNUMBER(K270),K270,IF(AND(ISNUMBER(H270),ISNUMBER(I270)),H270+I270,IF(ISNUMBER(H270),H270,"")))</f>
        <v/>
      </c>
      <c r="AF270" s="18">
        <f>IF(OR(NOT(ISNUMBER(J270)),NOT(ISNUMBER(H270)),H270&lt;=0),기준표!$B$8,MIN(MAX(J270/H270,기준표!$B$6),기준표!$B$7))</f>
        <v/>
      </c>
      <c r="AG270" s="17">
        <f>IF(ISNUMBER(AE270),AE270*(1-AF270),"")</f>
        <v/>
      </c>
      <c r="AH270" s="17">
        <f>IF(AND(NOT(ISNUMBER(V270)),NOT(ISNUMBER(X270))),"",IF(ISNUMBER(V270),V270,0)+IF(ISNUMBER(X270),X270,0))</f>
        <v/>
      </c>
      <c r="AI270" s="17">
        <f>IF(E270="금융","",IF(AND(ISNUMBER(R270),ISNUMBER(AH270),ISNUMBER(T270)),R270+AH270-T270,""))</f>
        <v/>
      </c>
      <c r="AJ270" s="17">
        <f>IF(E270="금융","",IF(NOT(ISNUMBER(AI270)),"",IF(ISNUMBER(AC270),(AI270+AC270)/2,AI270)))</f>
        <v/>
      </c>
      <c r="AK270" s="19">
        <f>IF(AND(ISNUMBER(AG270),ISNUMBER(AJ270),AJ270&gt;0),AG270/AJ270,"")</f>
        <v/>
      </c>
      <c r="AL270" s="17">
        <f>IF(E270="금융","",IF(AND(ISNUMBER(R270),ISNUMBER(AH270)),R270+AH270,""))</f>
        <v/>
      </c>
      <c r="AM270" s="19">
        <f>IF(OR(NOT(ISNUMBER(AG270)),NOT(ISNUMBER(AL270)),AL270&lt;=0),"",IF(AND(ISNUMBER(G270),AL270&lt;0.1*G270),"",AG270/AL270))</f>
        <v/>
      </c>
      <c r="AN270" s="17">
        <f>IF(NOT(ISNUMBER(R270)),"",IF(ISNUMBER(S270),(R270+S270)/2,R270))</f>
        <v/>
      </c>
      <c r="AO270" s="19">
        <f>IF(AND(ISNUMBER(L270),ISNUMBER(AN270),AN270&gt;0),L270/AN270,"")</f>
        <v/>
      </c>
      <c r="AP270" s="19">
        <f>IF(AND(ISNUMBER(AO270),ISNUMBER({ROIC})),AO270-{ROIC},"")</f>
        <v/>
      </c>
      <c r="AQ270" s="17">
        <f>IF(AND(ISNUMBER(AE270),ISNUMBER(N270)),AE270+N270,"")</f>
        <v/>
      </c>
      <c r="AR270" s="20">
        <f>IF(AND(ISNUMBER(AH270),ISNUMBER(T270),ISNUMBER(AQ270),AQ270&gt;0),(AH270-T270)/AQ270,"")</f>
        <v/>
      </c>
      <c r="AS270" s="20">
        <f>IF(AND(ISNUMBER(AE270),ISNUMBER(I270),I270&lt;&gt;0,AE270&gt;0),AE270/I270,"")</f>
        <v/>
      </c>
      <c r="AT270" s="17">
        <f>IF(AND(ISNUMBER(Y270),ISNUMBER(AA270)),Y270-IF(ISNUMBER(T270),T270,0)-(AA270-IF(ISNUMBER(V270),V270,0)),"")</f>
        <v/>
      </c>
      <c r="AU270" s="17">
        <f>IF(AND(ISNUMBER(Z270),ISNUMBER(AB270)),Z270-IF(ISNUMBER(U270),U270,0)-(AB270-IF(ISNUMBER(W270),W270,0)),"")</f>
        <v/>
      </c>
      <c r="AV270" s="17">
        <f>IF(AND(ISNUMBER(AT270),ISNUMBER(AU270)),AT270-AU270,"")</f>
        <v/>
      </c>
      <c r="AW270" s="17">
        <f>IF(AND(ISNUMBER(L270),ISNUMBER(M270),ISNUMBER(AF270)),L270-M270*(1-AF270),IF(ISNUMBER(L270),L270,""))</f>
        <v/>
      </c>
      <c r="AX270" s="17">
        <f>IF(E270="금융","",IF(AND(ISNUMBER(AW270),ISNUMBER(N270),ISNUMBER(O270),ISNUMBER(AV270)),AW270+N270-O270-AV270,IF(AND(ISNUMBER(P270),ISNUMBER(O270)),P270-O270-IF(ISNUMBER(Q270),Q270,0),"")))</f>
        <v/>
      </c>
      <c r="AY270" s="8">
        <f>IF(E270="금융","금융업 - 정의되지 않음",IF(AND(ISNUMBER(AW270),ISNUMBER(N270),ISNUMBER(O270),ISNUMBER(AV270)),"영업순이익+감가상각-설비투자-운전자본증감",IF(AND(ISNUMBER(P270),ISNUMBER(O270)),IF(ISNUMBER(Q270),"영업현금흐름-설비투자-주식보상비용","영업현금흐름-설비투자(주식보상비용 미태깅)"),"산출불가")))</f>
        <v/>
      </c>
      <c r="AZ270" s="19">
        <f>IF(AND(ISNUMBER(AX270),ISNUMBER(G270),G270&lt;&gt;0),AX270/G270,"")</f>
        <v/>
      </c>
      <c r="BA270" s="19">
        <f>IF(AND(ISNUMBER(AE270),ISNUMBER(G270),G270&lt;&gt;0),AE270/G270,"")</f>
        <v/>
      </c>
    </row>
    <row r="271">
      <c r="A271" s="8" t="inlineStr">
        <is>
          <t>AMAT</t>
        </is>
      </c>
      <c r="B271" s="8" t="inlineStr">
        <is>
          <t>APPLIED MATERIALS INC /DE</t>
        </is>
      </c>
      <c r="C271" s="8" t="n">
        <v>2018</v>
      </c>
      <c r="D271" s="8" t="inlineStr">
        <is>
          <t>2018-10-28</t>
        </is>
      </c>
      <c r="E271" s="8" t="inlineStr">
        <is>
          <t>일반</t>
        </is>
      </c>
      <c r="F271" s="8" t="inlineStr">
        <is>
          <t>0000006951-20-000048</t>
        </is>
      </c>
      <c r="G271" s="15" t="n">
        <v>16.705</v>
      </c>
      <c r="H271" s="15" t="n">
        <v>4.396</v>
      </c>
      <c r="I271" s="15" t="n"/>
      <c r="J271" s="15" t="n">
        <v>1.358</v>
      </c>
      <c r="K271" s="15" t="n">
        <v>4.491</v>
      </c>
      <c r="L271" s="15" t="n">
        <v>3.038</v>
      </c>
      <c r="M271" s="15" t="n"/>
      <c r="N271" s="15" t="n">
        <v>0.457</v>
      </c>
      <c r="O271" s="15" t="n">
        <v>0.622</v>
      </c>
      <c r="P271" s="15" t="n">
        <v>3.787</v>
      </c>
      <c r="Q271" s="15" t="n">
        <v>0.258</v>
      </c>
      <c r="R271" s="15" t="n">
        <v>6.845</v>
      </c>
      <c r="S271" s="15" t="n">
        <v>9.630000000000001</v>
      </c>
      <c r="T271" s="15" t="n">
        <v>4.03</v>
      </c>
      <c r="U271" s="15" t="n">
        <v>7.276</v>
      </c>
      <c r="V271" s="15" t="n">
        <v>0</v>
      </c>
      <c r="W271" s="15" t="n">
        <v>0</v>
      </c>
      <c r="X271" s="15" t="n">
        <v>5.309</v>
      </c>
      <c r="Y271" s="15" t="n">
        <v>10.604</v>
      </c>
      <c r="Z271" s="15" t="n">
        <v>12.918</v>
      </c>
      <c r="AA271" s="15" t="n">
        <v>3.922</v>
      </c>
      <c r="AB271" s="15" t="n">
        <v>4.115</v>
      </c>
      <c r="AC271" s="15" t="n">
        <v>7.658</v>
      </c>
      <c r="AD271" s="16" t="n">
        <v>967</v>
      </c>
      <c r="AE271" s="17">
        <f>IF(ISNUMBER(K271),K271,IF(AND(ISNUMBER(H271),ISNUMBER(I271)),H271+I271,IF(ISNUMBER(H271),H271,"")))</f>
        <v/>
      </c>
      <c r="AF271" s="18">
        <f>IF(OR(NOT(ISNUMBER(J271)),NOT(ISNUMBER(H271)),H271&lt;=0),기준표!$B$8,MIN(MAX(J271/H271,기준표!$B$6),기준표!$B$7))</f>
        <v/>
      </c>
      <c r="AG271" s="17">
        <f>IF(ISNUMBER(AE271),AE271*(1-AF271),"")</f>
        <v/>
      </c>
      <c r="AH271" s="17">
        <f>IF(AND(NOT(ISNUMBER(V271)),NOT(ISNUMBER(X271))),"",IF(ISNUMBER(V271),V271,0)+IF(ISNUMBER(X271),X271,0))</f>
        <v/>
      </c>
      <c r="AI271" s="17">
        <f>IF(E271="금융","",IF(AND(ISNUMBER(R271),ISNUMBER(AH271),ISNUMBER(T271)),R271+AH271-T271,""))</f>
        <v/>
      </c>
      <c r="AJ271" s="17">
        <f>IF(E271="금융","",IF(NOT(ISNUMBER(AI271)),"",IF(ISNUMBER(AC271),(AI271+AC271)/2,AI271)))</f>
        <v/>
      </c>
      <c r="AK271" s="19">
        <f>IF(AND(ISNUMBER(AG271),ISNUMBER(AJ271),AJ271&gt;0),AG271/AJ271,"")</f>
        <v/>
      </c>
      <c r="AL271" s="17">
        <f>IF(E271="금융","",IF(AND(ISNUMBER(R271),ISNUMBER(AH271)),R271+AH271,""))</f>
        <v/>
      </c>
      <c r="AM271" s="19">
        <f>IF(OR(NOT(ISNUMBER(AG271)),NOT(ISNUMBER(AL271)),AL271&lt;=0),"",IF(AND(ISNUMBER(G271),AL271&lt;0.1*G271),"",AG271/AL271))</f>
        <v/>
      </c>
      <c r="AN271" s="17">
        <f>IF(NOT(ISNUMBER(R271)),"",IF(ISNUMBER(S271),(R271+S271)/2,R271))</f>
        <v/>
      </c>
      <c r="AO271" s="19">
        <f>IF(AND(ISNUMBER(L271),ISNUMBER(AN271),AN271&gt;0),L271/AN271,"")</f>
        <v/>
      </c>
      <c r="AP271" s="19">
        <f>IF(AND(ISNUMBER(AO271),ISNUMBER({ROIC})),AO271-{ROIC},"")</f>
        <v/>
      </c>
      <c r="AQ271" s="17">
        <f>IF(AND(ISNUMBER(AE271),ISNUMBER(N271)),AE271+N271,"")</f>
        <v/>
      </c>
      <c r="AR271" s="20">
        <f>IF(AND(ISNUMBER(AH271),ISNUMBER(T271),ISNUMBER(AQ271),AQ271&gt;0),(AH271-T271)/AQ271,"")</f>
        <v/>
      </c>
      <c r="AS271" s="20">
        <f>IF(AND(ISNUMBER(AE271),ISNUMBER(I271),I271&lt;&gt;0,AE271&gt;0),AE271/I271,"")</f>
        <v/>
      </c>
      <c r="AT271" s="17">
        <f>IF(AND(ISNUMBER(Y271),ISNUMBER(AA271)),Y271-IF(ISNUMBER(T271),T271,0)-(AA271-IF(ISNUMBER(V271),V271,0)),"")</f>
        <v/>
      </c>
      <c r="AU271" s="17">
        <f>IF(AND(ISNUMBER(Z271),ISNUMBER(AB271)),Z271-IF(ISNUMBER(U271),U271,0)-(AB271-IF(ISNUMBER(W271),W271,0)),"")</f>
        <v/>
      </c>
      <c r="AV271" s="17">
        <f>IF(AND(ISNUMBER(AT271),ISNUMBER(AU271)),AT271-AU271,"")</f>
        <v/>
      </c>
      <c r="AW271" s="17">
        <f>IF(AND(ISNUMBER(L271),ISNUMBER(M271),ISNUMBER(AF271)),L271-M271*(1-AF271),IF(ISNUMBER(L271),L271,""))</f>
        <v/>
      </c>
      <c r="AX271" s="17">
        <f>IF(E271="금융","",IF(AND(ISNUMBER(AW271),ISNUMBER(N271),ISNUMBER(O271),ISNUMBER(AV271)),AW271+N271-O271-AV271,IF(AND(ISNUMBER(P271),ISNUMBER(O271)),P271-O271-IF(ISNUMBER(Q271),Q271,0),"")))</f>
        <v/>
      </c>
      <c r="AY271" s="8">
        <f>IF(E271="금융","금융업 - 정의되지 않음",IF(AND(ISNUMBER(AW271),ISNUMBER(N271),ISNUMBER(O271),ISNUMBER(AV271)),"영업순이익+감가상각-설비투자-운전자본증감",IF(AND(ISNUMBER(P271),ISNUMBER(O271)),IF(ISNUMBER(Q271),"영업현금흐름-설비투자-주식보상비용","영업현금흐름-설비투자(주식보상비용 미태깅)"),"산출불가")))</f>
        <v/>
      </c>
      <c r="AZ271" s="19">
        <f>IF(AND(ISNUMBER(AX271),ISNUMBER(G271),G271&lt;&gt;0),AX271/G271,"")</f>
        <v/>
      </c>
      <c r="BA271" s="19">
        <f>IF(AND(ISNUMBER(AE271),ISNUMBER(G271),G271&lt;&gt;0),AE271/G271,"")</f>
        <v/>
      </c>
    </row>
    <row r="272">
      <c r="A272" s="8" t="inlineStr">
        <is>
          <t>AMAT</t>
        </is>
      </c>
      <c r="B272" s="8" t="inlineStr">
        <is>
          <t>APPLIED MATERIALS INC /DE</t>
        </is>
      </c>
      <c r="C272" s="8" t="n">
        <v>2019</v>
      </c>
      <c r="D272" s="8" t="inlineStr">
        <is>
          <t>2019-10-27</t>
        </is>
      </c>
      <c r="E272" s="8" t="inlineStr">
        <is>
          <t>일반</t>
        </is>
      </c>
      <c r="F272" s="8" t="inlineStr">
        <is>
          <t>0000006951-21-000043</t>
        </is>
      </c>
      <c r="G272" s="15" t="n">
        <v>14.608</v>
      </c>
      <c r="H272" s="15" t="n">
        <v>3.269</v>
      </c>
      <c r="I272" s="15" t="n"/>
      <c r="J272" s="15" t="n">
        <v>0.5629999999999999</v>
      </c>
      <c r="K272" s="15" t="n">
        <v>3.35</v>
      </c>
      <c r="L272" s="15" t="n">
        <v>2.706</v>
      </c>
      <c r="M272" s="15" t="n"/>
      <c r="N272" s="15" t="n">
        <v>0.363</v>
      </c>
      <c r="O272" s="15" t="n">
        <v>0.441</v>
      </c>
      <c r="P272" s="15" t="n">
        <v>3.247</v>
      </c>
      <c r="Q272" s="15" t="n">
        <v>0.263</v>
      </c>
      <c r="R272" s="15" t="n">
        <v>8.214</v>
      </c>
      <c r="S272" s="15" t="n">
        <v>6.845</v>
      </c>
      <c r="T272" s="15" t="n">
        <v>3.618</v>
      </c>
      <c r="U272" s="15" t="n">
        <v>4.03</v>
      </c>
      <c r="V272" s="15" t="n">
        <v>0.6</v>
      </c>
      <c r="W272" s="15" t="n">
        <v>0</v>
      </c>
      <c r="X272" s="15" t="n">
        <v>4.713</v>
      </c>
      <c r="Y272" s="15" t="n">
        <v>10.206</v>
      </c>
      <c r="Z272" s="15" t="n">
        <v>10.604</v>
      </c>
      <c r="AA272" s="15" t="n">
        <v>4.447</v>
      </c>
      <c r="AB272" s="15" t="n">
        <v>3.922</v>
      </c>
      <c r="AC272" s="15" t="n">
        <v>8.124000000000001</v>
      </c>
      <c r="AD272" s="16" t="n">
        <v>916</v>
      </c>
      <c r="AE272" s="17">
        <f>IF(ISNUMBER(K272),K272,IF(AND(ISNUMBER(H272),ISNUMBER(I272)),H272+I272,IF(ISNUMBER(H272),H272,"")))</f>
        <v/>
      </c>
      <c r="AF272" s="18">
        <f>IF(OR(NOT(ISNUMBER(J272)),NOT(ISNUMBER(H272)),H272&lt;=0),기준표!$B$8,MIN(MAX(J272/H272,기준표!$B$6),기준표!$B$7))</f>
        <v/>
      </c>
      <c r="AG272" s="17">
        <f>IF(ISNUMBER(AE272),AE272*(1-AF272),"")</f>
        <v/>
      </c>
      <c r="AH272" s="17">
        <f>IF(AND(NOT(ISNUMBER(V272)),NOT(ISNUMBER(X272))),"",IF(ISNUMBER(V272),V272,0)+IF(ISNUMBER(X272),X272,0))</f>
        <v/>
      </c>
      <c r="AI272" s="17">
        <f>IF(E272="금융","",IF(AND(ISNUMBER(R272),ISNUMBER(AH272),ISNUMBER(T272)),R272+AH272-T272,""))</f>
        <v/>
      </c>
      <c r="AJ272" s="17">
        <f>IF(E272="금융","",IF(NOT(ISNUMBER(AI272)),"",IF(ISNUMBER(AC272),(AI272+AC272)/2,AI272)))</f>
        <v/>
      </c>
      <c r="AK272" s="19">
        <f>IF(AND(ISNUMBER(AG272),ISNUMBER(AJ272),AJ272&gt;0),AG272/AJ272,"")</f>
        <v/>
      </c>
      <c r="AL272" s="17">
        <f>IF(E272="금융","",IF(AND(ISNUMBER(R272),ISNUMBER(AH272)),R272+AH272,""))</f>
        <v/>
      </c>
      <c r="AM272" s="19">
        <f>IF(OR(NOT(ISNUMBER(AG272)),NOT(ISNUMBER(AL272)),AL272&lt;=0),"",IF(AND(ISNUMBER(G272),AL272&lt;0.1*G272),"",AG272/AL272))</f>
        <v/>
      </c>
      <c r="AN272" s="17">
        <f>IF(NOT(ISNUMBER(R272)),"",IF(ISNUMBER(S272),(R272+S272)/2,R272))</f>
        <v/>
      </c>
      <c r="AO272" s="19">
        <f>IF(AND(ISNUMBER(L272),ISNUMBER(AN272),AN272&gt;0),L272/AN272,"")</f>
        <v/>
      </c>
      <c r="AP272" s="19">
        <f>IF(AND(ISNUMBER(AO272),ISNUMBER({ROIC})),AO272-{ROIC},"")</f>
        <v/>
      </c>
      <c r="AQ272" s="17">
        <f>IF(AND(ISNUMBER(AE272),ISNUMBER(N272)),AE272+N272,"")</f>
        <v/>
      </c>
      <c r="AR272" s="20">
        <f>IF(AND(ISNUMBER(AH272),ISNUMBER(T272),ISNUMBER(AQ272),AQ272&gt;0),(AH272-T272)/AQ272,"")</f>
        <v/>
      </c>
      <c r="AS272" s="20">
        <f>IF(AND(ISNUMBER(AE272),ISNUMBER(I272),I272&lt;&gt;0,AE272&gt;0),AE272/I272,"")</f>
        <v/>
      </c>
      <c r="AT272" s="17">
        <f>IF(AND(ISNUMBER(Y272),ISNUMBER(AA272)),Y272-IF(ISNUMBER(T272),T272,0)-(AA272-IF(ISNUMBER(V272),V272,0)),"")</f>
        <v/>
      </c>
      <c r="AU272" s="17">
        <f>IF(AND(ISNUMBER(Z272),ISNUMBER(AB272)),Z272-IF(ISNUMBER(U272),U272,0)-(AB272-IF(ISNUMBER(W272),W272,0)),"")</f>
        <v/>
      </c>
      <c r="AV272" s="17">
        <f>IF(AND(ISNUMBER(AT272),ISNUMBER(AU272)),AT272-AU272,"")</f>
        <v/>
      </c>
      <c r="AW272" s="17">
        <f>IF(AND(ISNUMBER(L272),ISNUMBER(M272),ISNUMBER(AF272)),L272-M272*(1-AF272),IF(ISNUMBER(L272),L272,""))</f>
        <v/>
      </c>
      <c r="AX272" s="17">
        <f>IF(E272="금융","",IF(AND(ISNUMBER(AW272),ISNUMBER(N272),ISNUMBER(O272),ISNUMBER(AV272)),AW272+N272-O272-AV272,IF(AND(ISNUMBER(P272),ISNUMBER(O272)),P272-O272-IF(ISNUMBER(Q272),Q272,0),"")))</f>
        <v/>
      </c>
      <c r="AY272" s="8">
        <f>IF(E272="금융","금융업 - 정의되지 않음",IF(AND(ISNUMBER(AW272),ISNUMBER(N272),ISNUMBER(O272),ISNUMBER(AV272)),"영업순이익+감가상각-설비투자-운전자본증감",IF(AND(ISNUMBER(P272),ISNUMBER(O272)),IF(ISNUMBER(Q272),"영업현금흐름-설비투자-주식보상비용","영업현금흐름-설비투자(주식보상비용 미태깅)"),"산출불가")))</f>
        <v/>
      </c>
      <c r="AZ272" s="19">
        <f>IF(AND(ISNUMBER(AX272),ISNUMBER(G272),G272&lt;&gt;0),AX272/G272,"")</f>
        <v/>
      </c>
      <c r="BA272" s="19">
        <f>IF(AND(ISNUMBER(AE272),ISNUMBER(G272),G272&lt;&gt;0),AE272/G272,"")</f>
        <v/>
      </c>
    </row>
    <row r="273">
      <c r="A273" s="8" t="inlineStr">
        <is>
          <t>AMAT</t>
        </is>
      </c>
      <c r="B273" s="8" t="inlineStr">
        <is>
          <t>APPLIED MATERIALS INC /DE</t>
        </is>
      </c>
      <c r="C273" s="8" t="n">
        <v>2020</v>
      </c>
      <c r="D273" s="8" t="inlineStr">
        <is>
          <t>2020-10-25</t>
        </is>
      </c>
      <c r="E273" s="8" t="inlineStr">
        <is>
          <t>일반</t>
        </is>
      </c>
      <c r="F273" s="8" t="inlineStr">
        <is>
          <t>0000006951-22-000043</t>
        </is>
      </c>
      <c r="G273" s="15" t="n">
        <v>17.202</v>
      </c>
      <c r="H273" s="15" t="n">
        <v>4.166</v>
      </c>
      <c r="I273" s="15" t="n"/>
      <c r="J273" s="15" t="n">
        <v>0.547</v>
      </c>
      <c r="K273" s="15" t="n">
        <v>4.365</v>
      </c>
      <c r="L273" s="15" t="n">
        <v>3.619</v>
      </c>
      <c r="M273" s="15" t="n"/>
      <c r="N273" s="15" t="n">
        <v>0.376</v>
      </c>
      <c r="O273" s="15" t="n">
        <v>0.422</v>
      </c>
      <c r="P273" s="15" t="n">
        <v>3.804</v>
      </c>
      <c r="Q273" s="15" t="n">
        <v>0.307</v>
      </c>
      <c r="R273" s="15" t="n">
        <v>10.578</v>
      </c>
      <c r="S273" s="15" t="n">
        <v>8.214</v>
      </c>
      <c r="T273" s="15" t="n">
        <v>5.738</v>
      </c>
      <c r="U273" s="15" t="n">
        <v>3.618</v>
      </c>
      <c r="V273" s="15" t="n">
        <v>0</v>
      </c>
      <c r="W273" s="15" t="n">
        <v>0.6</v>
      </c>
      <c r="X273" s="15" t="n">
        <v>5.448</v>
      </c>
      <c r="Y273" s="15" t="n">
        <v>13.369</v>
      </c>
      <c r="Z273" s="15" t="n">
        <v>10.206</v>
      </c>
      <c r="AA273" s="15" t="n">
        <v>4.459</v>
      </c>
      <c r="AB273" s="15" t="n">
        <v>4.447</v>
      </c>
      <c r="AC273" s="15" t="n">
        <v>9.909000000000001</v>
      </c>
      <c r="AD273" s="16" t="n">
        <v>914</v>
      </c>
      <c r="AE273" s="17">
        <f>IF(ISNUMBER(K273),K273,IF(AND(ISNUMBER(H273),ISNUMBER(I273)),H273+I273,IF(ISNUMBER(H273),H273,"")))</f>
        <v/>
      </c>
      <c r="AF273" s="18">
        <f>IF(OR(NOT(ISNUMBER(J273)),NOT(ISNUMBER(H273)),H273&lt;=0),기준표!$B$8,MIN(MAX(J273/H273,기준표!$B$6),기준표!$B$7))</f>
        <v/>
      </c>
      <c r="AG273" s="17">
        <f>IF(ISNUMBER(AE273),AE273*(1-AF273),"")</f>
        <v/>
      </c>
      <c r="AH273" s="17">
        <f>IF(AND(NOT(ISNUMBER(V273)),NOT(ISNUMBER(X273))),"",IF(ISNUMBER(V273),V273,0)+IF(ISNUMBER(X273),X273,0))</f>
        <v/>
      </c>
      <c r="AI273" s="17">
        <f>IF(E273="금융","",IF(AND(ISNUMBER(R273),ISNUMBER(AH273),ISNUMBER(T273)),R273+AH273-T273,""))</f>
        <v/>
      </c>
      <c r="AJ273" s="17">
        <f>IF(E273="금융","",IF(NOT(ISNUMBER(AI273)),"",IF(ISNUMBER(AC273),(AI273+AC273)/2,AI273)))</f>
        <v/>
      </c>
      <c r="AK273" s="19">
        <f>IF(AND(ISNUMBER(AG273),ISNUMBER(AJ273),AJ273&gt;0),AG273/AJ273,"")</f>
        <v/>
      </c>
      <c r="AL273" s="17">
        <f>IF(E273="금융","",IF(AND(ISNUMBER(R273),ISNUMBER(AH273)),R273+AH273,""))</f>
        <v/>
      </c>
      <c r="AM273" s="19">
        <f>IF(OR(NOT(ISNUMBER(AG273)),NOT(ISNUMBER(AL273)),AL273&lt;=0),"",IF(AND(ISNUMBER(G273),AL273&lt;0.1*G273),"",AG273/AL273))</f>
        <v/>
      </c>
      <c r="AN273" s="17">
        <f>IF(NOT(ISNUMBER(R273)),"",IF(ISNUMBER(S273),(R273+S273)/2,R273))</f>
        <v/>
      </c>
      <c r="AO273" s="19">
        <f>IF(AND(ISNUMBER(L273),ISNUMBER(AN273),AN273&gt;0),L273/AN273,"")</f>
        <v/>
      </c>
      <c r="AP273" s="19">
        <f>IF(AND(ISNUMBER(AO273),ISNUMBER({ROIC})),AO273-{ROIC},"")</f>
        <v/>
      </c>
      <c r="AQ273" s="17">
        <f>IF(AND(ISNUMBER(AE273),ISNUMBER(N273)),AE273+N273,"")</f>
        <v/>
      </c>
      <c r="AR273" s="20">
        <f>IF(AND(ISNUMBER(AH273),ISNUMBER(T273),ISNUMBER(AQ273),AQ273&gt;0),(AH273-T273)/AQ273,"")</f>
        <v/>
      </c>
      <c r="AS273" s="20">
        <f>IF(AND(ISNUMBER(AE273),ISNUMBER(I273),I273&lt;&gt;0,AE273&gt;0),AE273/I273,"")</f>
        <v/>
      </c>
      <c r="AT273" s="17">
        <f>IF(AND(ISNUMBER(Y273),ISNUMBER(AA273)),Y273-IF(ISNUMBER(T273),T273,0)-(AA273-IF(ISNUMBER(V273),V273,0)),"")</f>
        <v/>
      </c>
      <c r="AU273" s="17">
        <f>IF(AND(ISNUMBER(Z273),ISNUMBER(AB273)),Z273-IF(ISNUMBER(U273),U273,0)-(AB273-IF(ISNUMBER(W273),W273,0)),"")</f>
        <v/>
      </c>
      <c r="AV273" s="17">
        <f>IF(AND(ISNUMBER(AT273),ISNUMBER(AU273)),AT273-AU273,"")</f>
        <v/>
      </c>
      <c r="AW273" s="17">
        <f>IF(AND(ISNUMBER(L273),ISNUMBER(M273),ISNUMBER(AF273)),L273-M273*(1-AF273),IF(ISNUMBER(L273),L273,""))</f>
        <v/>
      </c>
      <c r="AX273" s="17">
        <f>IF(E273="금융","",IF(AND(ISNUMBER(AW273),ISNUMBER(N273),ISNUMBER(O273),ISNUMBER(AV273)),AW273+N273-O273-AV273,IF(AND(ISNUMBER(P273),ISNUMBER(O273)),P273-O273-IF(ISNUMBER(Q273),Q273,0),"")))</f>
        <v/>
      </c>
      <c r="AY273" s="8">
        <f>IF(E273="금융","금융업 - 정의되지 않음",IF(AND(ISNUMBER(AW273),ISNUMBER(N273),ISNUMBER(O273),ISNUMBER(AV273)),"영업순이익+감가상각-설비투자-운전자본증감",IF(AND(ISNUMBER(P273),ISNUMBER(O273)),IF(ISNUMBER(Q273),"영업현금흐름-설비투자-주식보상비용","영업현금흐름-설비투자(주식보상비용 미태깅)"),"산출불가")))</f>
        <v/>
      </c>
      <c r="AZ273" s="19">
        <f>IF(AND(ISNUMBER(AX273),ISNUMBER(G273),G273&lt;&gt;0),AX273/G273,"")</f>
        <v/>
      </c>
      <c r="BA273" s="19">
        <f>IF(AND(ISNUMBER(AE273),ISNUMBER(G273),G273&lt;&gt;0),AE273/G273,"")</f>
        <v/>
      </c>
    </row>
    <row r="274">
      <c r="A274" s="8" t="inlineStr">
        <is>
          <t>AMAT</t>
        </is>
      </c>
      <c r="B274" s="8" t="inlineStr">
        <is>
          <t>APPLIED MATERIALS INC /DE</t>
        </is>
      </c>
      <c r="C274" s="8" t="n">
        <v>2021</v>
      </c>
      <c r="D274" s="8" t="inlineStr">
        <is>
          <t>2021-10-31</t>
        </is>
      </c>
      <c r="E274" s="8" t="inlineStr">
        <is>
          <t>일반</t>
        </is>
      </c>
      <c r="F274" s="8" t="inlineStr">
        <is>
          <t>0000006951-23-000041</t>
        </is>
      </c>
      <c r="G274" s="15" t="n">
        <v>23.063</v>
      </c>
      <c r="H274" s="15" t="n">
        <v>6.771</v>
      </c>
      <c r="I274" s="15" t="n"/>
      <c r="J274" s="15" t="n">
        <v>0.883</v>
      </c>
      <c r="K274" s="15" t="n">
        <v>6.889</v>
      </c>
      <c r="L274" s="15" t="n">
        <v>5.888</v>
      </c>
      <c r="M274" s="15" t="n"/>
      <c r="N274" s="15" t="n">
        <v>0.394</v>
      </c>
      <c r="O274" s="15" t="n">
        <v>0.668</v>
      </c>
      <c r="P274" s="15" t="n">
        <v>5.442</v>
      </c>
      <c r="Q274" s="15" t="n">
        <v>0.346</v>
      </c>
      <c r="R274" s="15" t="n">
        <v>12.247</v>
      </c>
      <c r="S274" s="15" t="n">
        <v>10.578</v>
      </c>
      <c r="T274" s="15" t="n">
        <v>5.459</v>
      </c>
      <c r="U274" s="15" t="n">
        <v>5.738</v>
      </c>
      <c r="V274" s="15" t="n"/>
      <c r="W274" s="15" t="n">
        <v>0</v>
      </c>
      <c r="X274" s="15" t="n">
        <v>5.452</v>
      </c>
      <c r="Y274" s="15" t="n">
        <v>16.107</v>
      </c>
      <c r="Z274" s="15" t="n">
        <v>13.369</v>
      </c>
      <c r="AA274" s="15" t="n">
        <v>6.344</v>
      </c>
      <c r="AB274" s="15" t="n">
        <v>4.459</v>
      </c>
      <c r="AC274" s="15" t="n">
        <v>10.288</v>
      </c>
      <c r="AD274" s="16" t="n">
        <v>892</v>
      </c>
      <c r="AE274" s="17">
        <f>IF(ISNUMBER(K274),K274,IF(AND(ISNUMBER(H274),ISNUMBER(I274)),H274+I274,IF(ISNUMBER(H274),H274,"")))</f>
        <v/>
      </c>
      <c r="AF274" s="18">
        <f>IF(OR(NOT(ISNUMBER(J274)),NOT(ISNUMBER(H274)),H274&lt;=0),기준표!$B$8,MIN(MAX(J274/H274,기준표!$B$6),기준표!$B$7))</f>
        <v/>
      </c>
      <c r="AG274" s="17">
        <f>IF(ISNUMBER(AE274),AE274*(1-AF274),"")</f>
        <v/>
      </c>
      <c r="AH274" s="17">
        <f>IF(AND(NOT(ISNUMBER(V274)),NOT(ISNUMBER(X274))),"",IF(ISNUMBER(V274),V274,0)+IF(ISNUMBER(X274),X274,0))</f>
        <v/>
      </c>
      <c r="AI274" s="17">
        <f>IF(E274="금융","",IF(AND(ISNUMBER(R274),ISNUMBER(AH274),ISNUMBER(T274)),R274+AH274-T274,""))</f>
        <v/>
      </c>
      <c r="AJ274" s="17">
        <f>IF(E274="금융","",IF(NOT(ISNUMBER(AI274)),"",IF(ISNUMBER(AC274),(AI274+AC274)/2,AI274)))</f>
        <v/>
      </c>
      <c r="AK274" s="19">
        <f>IF(AND(ISNUMBER(AG274),ISNUMBER(AJ274),AJ274&gt;0),AG274/AJ274,"")</f>
        <v/>
      </c>
      <c r="AL274" s="17">
        <f>IF(E274="금융","",IF(AND(ISNUMBER(R274),ISNUMBER(AH274)),R274+AH274,""))</f>
        <v/>
      </c>
      <c r="AM274" s="19">
        <f>IF(OR(NOT(ISNUMBER(AG274)),NOT(ISNUMBER(AL274)),AL274&lt;=0),"",IF(AND(ISNUMBER(G274),AL274&lt;0.1*G274),"",AG274/AL274))</f>
        <v/>
      </c>
      <c r="AN274" s="17">
        <f>IF(NOT(ISNUMBER(R274)),"",IF(ISNUMBER(S274),(R274+S274)/2,R274))</f>
        <v/>
      </c>
      <c r="AO274" s="19">
        <f>IF(AND(ISNUMBER(L274),ISNUMBER(AN274),AN274&gt;0),L274/AN274,"")</f>
        <v/>
      </c>
      <c r="AP274" s="19">
        <f>IF(AND(ISNUMBER(AO274),ISNUMBER({ROIC})),AO274-{ROIC},"")</f>
        <v/>
      </c>
      <c r="AQ274" s="17">
        <f>IF(AND(ISNUMBER(AE274),ISNUMBER(N274)),AE274+N274,"")</f>
        <v/>
      </c>
      <c r="AR274" s="20">
        <f>IF(AND(ISNUMBER(AH274),ISNUMBER(T274),ISNUMBER(AQ274),AQ274&gt;0),(AH274-T274)/AQ274,"")</f>
        <v/>
      </c>
      <c r="AS274" s="20">
        <f>IF(AND(ISNUMBER(AE274),ISNUMBER(I274),I274&lt;&gt;0,AE274&gt;0),AE274/I274,"")</f>
        <v/>
      </c>
      <c r="AT274" s="17">
        <f>IF(AND(ISNUMBER(Y274),ISNUMBER(AA274)),Y274-IF(ISNUMBER(T274),T274,0)-(AA274-IF(ISNUMBER(V274),V274,0)),"")</f>
        <v/>
      </c>
      <c r="AU274" s="17">
        <f>IF(AND(ISNUMBER(Z274),ISNUMBER(AB274)),Z274-IF(ISNUMBER(U274),U274,0)-(AB274-IF(ISNUMBER(W274),W274,0)),"")</f>
        <v/>
      </c>
      <c r="AV274" s="17">
        <f>IF(AND(ISNUMBER(AT274),ISNUMBER(AU274)),AT274-AU274,"")</f>
        <v/>
      </c>
      <c r="AW274" s="17">
        <f>IF(AND(ISNUMBER(L274),ISNUMBER(M274),ISNUMBER(AF274)),L274-M274*(1-AF274),IF(ISNUMBER(L274),L274,""))</f>
        <v/>
      </c>
      <c r="AX274" s="17">
        <f>IF(E274="금융","",IF(AND(ISNUMBER(AW274),ISNUMBER(N274),ISNUMBER(O274),ISNUMBER(AV274)),AW274+N274-O274-AV274,IF(AND(ISNUMBER(P274),ISNUMBER(O274)),P274-O274-IF(ISNUMBER(Q274),Q274,0),"")))</f>
        <v/>
      </c>
      <c r="AY274" s="8">
        <f>IF(E274="금융","금융업 - 정의되지 않음",IF(AND(ISNUMBER(AW274),ISNUMBER(N274),ISNUMBER(O274),ISNUMBER(AV274)),"영업순이익+감가상각-설비투자-운전자본증감",IF(AND(ISNUMBER(P274),ISNUMBER(O274)),IF(ISNUMBER(Q274),"영업현금흐름-설비투자-주식보상비용","영업현금흐름-설비투자(주식보상비용 미태깅)"),"산출불가")))</f>
        <v/>
      </c>
      <c r="AZ274" s="19">
        <f>IF(AND(ISNUMBER(AX274),ISNUMBER(G274),G274&lt;&gt;0),AX274/G274,"")</f>
        <v/>
      </c>
      <c r="BA274" s="19">
        <f>IF(AND(ISNUMBER(AE274),ISNUMBER(G274),G274&lt;&gt;0),AE274/G274,"")</f>
        <v/>
      </c>
    </row>
    <row r="275">
      <c r="A275" s="8" t="inlineStr">
        <is>
          <t>AMAT</t>
        </is>
      </c>
      <c r="B275" s="8" t="inlineStr">
        <is>
          <t>APPLIED MATERIALS INC /DE</t>
        </is>
      </c>
      <c r="C275" s="8" t="n">
        <v>2022</v>
      </c>
      <c r="D275" s="8" t="inlineStr">
        <is>
          <t>2022-10-30</t>
        </is>
      </c>
      <c r="E275" s="8" t="inlineStr">
        <is>
          <t>일반</t>
        </is>
      </c>
      <c r="F275" s="8" t="inlineStr">
        <is>
          <t>0000006951-24-000044</t>
        </is>
      </c>
      <c r="G275" s="15" t="n">
        <v>25.785</v>
      </c>
      <c r="H275" s="15" t="n">
        <v>7.599</v>
      </c>
      <c r="I275" s="15" t="n">
        <v>0.228</v>
      </c>
      <c r="J275" s="15" t="n">
        <v>1.074</v>
      </c>
      <c r="K275" s="15" t="n">
        <v>7.788</v>
      </c>
      <c r="L275" s="15" t="n">
        <v>6.525</v>
      </c>
      <c r="M275" s="15" t="n"/>
      <c r="N275" s="15" t="n">
        <v>0.444</v>
      </c>
      <c r="O275" s="15" t="n">
        <v>0.787</v>
      </c>
      <c r="P275" s="15" t="n">
        <v>5.399</v>
      </c>
      <c r="Q275" s="15" t="n">
        <v>0.413</v>
      </c>
      <c r="R275" s="15" t="n">
        <v>12.194</v>
      </c>
      <c r="S275" s="15" t="n">
        <v>12.247</v>
      </c>
      <c r="T275" s="15" t="n">
        <v>2.581</v>
      </c>
      <c r="U275" s="15" t="n">
        <v>5.459</v>
      </c>
      <c r="V275" s="15" t="n"/>
      <c r="W275" s="15" t="n"/>
      <c r="X275" s="15" t="n">
        <v>5.457</v>
      </c>
      <c r="Y275" s="15" t="n">
        <v>15.925</v>
      </c>
      <c r="Z275" s="15" t="n">
        <v>16.107</v>
      </c>
      <c r="AA275" s="15" t="n">
        <v>7.379</v>
      </c>
      <c r="AB275" s="15" t="n">
        <v>6.344</v>
      </c>
      <c r="AC275" s="15" t="n">
        <v>12.24</v>
      </c>
      <c r="AD275" s="16" t="n">
        <v>844</v>
      </c>
      <c r="AE275" s="17">
        <f>IF(ISNUMBER(K275),K275,IF(AND(ISNUMBER(H275),ISNUMBER(I275)),H275+I275,IF(ISNUMBER(H275),H275,"")))</f>
        <v/>
      </c>
      <c r="AF275" s="18">
        <f>IF(OR(NOT(ISNUMBER(J275)),NOT(ISNUMBER(H275)),H275&lt;=0),기준표!$B$8,MIN(MAX(J275/H275,기준표!$B$6),기준표!$B$7))</f>
        <v/>
      </c>
      <c r="AG275" s="17">
        <f>IF(ISNUMBER(AE275),AE275*(1-AF275),"")</f>
        <v/>
      </c>
      <c r="AH275" s="17">
        <f>IF(AND(NOT(ISNUMBER(V275)),NOT(ISNUMBER(X275))),"",IF(ISNUMBER(V275),V275,0)+IF(ISNUMBER(X275),X275,0))</f>
        <v/>
      </c>
      <c r="AI275" s="17">
        <f>IF(E275="금융","",IF(AND(ISNUMBER(R275),ISNUMBER(AH275),ISNUMBER(T275)),R275+AH275-T275,""))</f>
        <v/>
      </c>
      <c r="AJ275" s="17">
        <f>IF(E275="금융","",IF(NOT(ISNUMBER(AI275)),"",IF(ISNUMBER(AC275),(AI275+AC275)/2,AI275)))</f>
        <v/>
      </c>
      <c r="AK275" s="19">
        <f>IF(AND(ISNUMBER(AG275),ISNUMBER(AJ275),AJ275&gt;0),AG275/AJ275,"")</f>
        <v/>
      </c>
      <c r="AL275" s="17">
        <f>IF(E275="금융","",IF(AND(ISNUMBER(R275),ISNUMBER(AH275)),R275+AH275,""))</f>
        <v/>
      </c>
      <c r="AM275" s="19">
        <f>IF(OR(NOT(ISNUMBER(AG275)),NOT(ISNUMBER(AL275)),AL275&lt;=0),"",IF(AND(ISNUMBER(G275),AL275&lt;0.1*G275),"",AG275/AL275))</f>
        <v/>
      </c>
      <c r="AN275" s="17">
        <f>IF(NOT(ISNUMBER(R275)),"",IF(ISNUMBER(S275),(R275+S275)/2,R275))</f>
        <v/>
      </c>
      <c r="AO275" s="19">
        <f>IF(AND(ISNUMBER(L275),ISNUMBER(AN275),AN275&gt;0),L275/AN275,"")</f>
        <v/>
      </c>
      <c r="AP275" s="19">
        <f>IF(AND(ISNUMBER(AO275),ISNUMBER({ROIC})),AO275-{ROIC},"")</f>
        <v/>
      </c>
      <c r="AQ275" s="17">
        <f>IF(AND(ISNUMBER(AE275),ISNUMBER(N275)),AE275+N275,"")</f>
        <v/>
      </c>
      <c r="AR275" s="20">
        <f>IF(AND(ISNUMBER(AH275),ISNUMBER(T275),ISNUMBER(AQ275),AQ275&gt;0),(AH275-T275)/AQ275,"")</f>
        <v/>
      </c>
      <c r="AS275" s="20">
        <f>IF(AND(ISNUMBER(AE275),ISNUMBER(I275),I275&lt;&gt;0,AE275&gt;0),AE275/I275,"")</f>
        <v/>
      </c>
      <c r="AT275" s="17">
        <f>IF(AND(ISNUMBER(Y275),ISNUMBER(AA275)),Y275-IF(ISNUMBER(T275),T275,0)-(AA275-IF(ISNUMBER(V275),V275,0)),"")</f>
        <v/>
      </c>
      <c r="AU275" s="17">
        <f>IF(AND(ISNUMBER(Z275),ISNUMBER(AB275)),Z275-IF(ISNUMBER(U275),U275,0)-(AB275-IF(ISNUMBER(W275),W275,0)),"")</f>
        <v/>
      </c>
      <c r="AV275" s="17">
        <f>IF(AND(ISNUMBER(AT275),ISNUMBER(AU275)),AT275-AU275,"")</f>
        <v/>
      </c>
      <c r="AW275" s="17">
        <f>IF(AND(ISNUMBER(L275),ISNUMBER(M275),ISNUMBER(AF275)),L275-M275*(1-AF275),IF(ISNUMBER(L275),L275,""))</f>
        <v/>
      </c>
      <c r="AX275" s="17">
        <f>IF(E275="금융","",IF(AND(ISNUMBER(AW275),ISNUMBER(N275),ISNUMBER(O275),ISNUMBER(AV275)),AW275+N275-O275-AV275,IF(AND(ISNUMBER(P275),ISNUMBER(O275)),P275-O275-IF(ISNUMBER(Q275),Q275,0),"")))</f>
        <v/>
      </c>
      <c r="AY275" s="8">
        <f>IF(E275="금융","금융업 - 정의되지 않음",IF(AND(ISNUMBER(AW275),ISNUMBER(N275),ISNUMBER(O275),ISNUMBER(AV275)),"영업순이익+감가상각-설비투자-운전자본증감",IF(AND(ISNUMBER(P275),ISNUMBER(O275)),IF(ISNUMBER(Q275),"영업현금흐름-설비투자-주식보상비용","영업현금흐름-설비투자(주식보상비용 미태깅)"),"산출불가")))</f>
        <v/>
      </c>
      <c r="AZ275" s="19">
        <f>IF(AND(ISNUMBER(AX275),ISNUMBER(G275),G275&lt;&gt;0),AX275/G275,"")</f>
        <v/>
      </c>
      <c r="BA275" s="19">
        <f>IF(AND(ISNUMBER(AE275),ISNUMBER(G275),G275&lt;&gt;0),AE275/G275,"")</f>
        <v/>
      </c>
    </row>
    <row r="276">
      <c r="A276" s="8" t="inlineStr">
        <is>
          <t>AMAT</t>
        </is>
      </c>
      <c r="B276" s="8" t="inlineStr">
        <is>
          <t>APPLIED MATERIALS INC /DE</t>
        </is>
      </c>
      <c r="C276" s="8" t="n">
        <v>2023</v>
      </c>
      <c r="D276" s="8" t="inlineStr">
        <is>
          <t>2023-10-29</t>
        </is>
      </c>
      <c r="E276" s="8" t="inlineStr">
        <is>
          <t>일반</t>
        </is>
      </c>
      <c r="F276" s="8" t="inlineStr">
        <is>
          <t>0001628280-25-056742</t>
        </is>
      </c>
      <c r="G276" s="15" t="n">
        <v>26.517</v>
      </c>
      <c r="H276" s="15" t="n">
        <v>7.716</v>
      </c>
      <c r="I276" s="15" t="n">
        <v>0.238</v>
      </c>
      <c r="J276" s="15" t="n">
        <v>0.86</v>
      </c>
      <c r="K276" s="15" t="n">
        <v>7.654</v>
      </c>
      <c r="L276" s="15" t="n">
        <v>6.856</v>
      </c>
      <c r="M276" s="15" t="n">
        <v>0.016</v>
      </c>
      <c r="N276" s="15" t="n">
        <v>0.515</v>
      </c>
      <c r="O276" s="15" t="n">
        <v>1.106</v>
      </c>
      <c r="P276" s="15" t="n">
        <v>8.699999999999999</v>
      </c>
      <c r="Q276" s="15" t="n">
        <v>0.49</v>
      </c>
      <c r="R276" s="15" t="n">
        <v>16.349</v>
      </c>
      <c r="S276" s="15" t="n">
        <v>12.194</v>
      </c>
      <c r="T276" s="15" t="n">
        <v>6.869</v>
      </c>
      <c r="U276" s="15" t="n">
        <v>2.581</v>
      </c>
      <c r="V276" s="15" t="n">
        <v>0</v>
      </c>
      <c r="W276" s="15" t="n"/>
      <c r="X276" s="15" t="n">
        <v>5.461</v>
      </c>
      <c r="Y276" s="15" t="n">
        <v>19.147</v>
      </c>
      <c r="Z276" s="15" t="n">
        <v>15.925</v>
      </c>
      <c r="AA276" s="15" t="n">
        <v>7.372</v>
      </c>
      <c r="AB276" s="15" t="n">
        <v>7.379</v>
      </c>
      <c r="AC276" s="15" t="n">
        <v>15.07</v>
      </c>
      <c r="AD276" s="16" t="n">
        <v>833</v>
      </c>
      <c r="AE276" s="17">
        <f>IF(ISNUMBER(K276),K276,IF(AND(ISNUMBER(H276),ISNUMBER(I276)),H276+I276,IF(ISNUMBER(H276),H276,"")))</f>
        <v/>
      </c>
      <c r="AF276" s="18">
        <f>IF(OR(NOT(ISNUMBER(J276)),NOT(ISNUMBER(H276)),H276&lt;=0),기준표!$B$8,MIN(MAX(J276/H276,기준표!$B$6),기준표!$B$7))</f>
        <v/>
      </c>
      <c r="AG276" s="17">
        <f>IF(ISNUMBER(AE276),AE276*(1-AF276),"")</f>
        <v/>
      </c>
      <c r="AH276" s="17">
        <f>IF(AND(NOT(ISNUMBER(V276)),NOT(ISNUMBER(X276))),"",IF(ISNUMBER(V276),V276,0)+IF(ISNUMBER(X276),X276,0))</f>
        <v/>
      </c>
      <c r="AI276" s="17">
        <f>IF(E276="금융","",IF(AND(ISNUMBER(R276),ISNUMBER(AH276),ISNUMBER(T276)),R276+AH276-T276,""))</f>
        <v/>
      </c>
      <c r="AJ276" s="17">
        <f>IF(E276="금융","",IF(NOT(ISNUMBER(AI276)),"",IF(ISNUMBER(AC276),(AI276+AC276)/2,AI276)))</f>
        <v/>
      </c>
      <c r="AK276" s="19">
        <f>IF(AND(ISNUMBER(AG276),ISNUMBER(AJ276),AJ276&gt;0),AG276/AJ276,"")</f>
        <v/>
      </c>
      <c r="AL276" s="17">
        <f>IF(E276="금융","",IF(AND(ISNUMBER(R276),ISNUMBER(AH276)),R276+AH276,""))</f>
        <v/>
      </c>
      <c r="AM276" s="19">
        <f>IF(OR(NOT(ISNUMBER(AG276)),NOT(ISNUMBER(AL276)),AL276&lt;=0),"",IF(AND(ISNUMBER(G276),AL276&lt;0.1*G276),"",AG276/AL276))</f>
        <v/>
      </c>
      <c r="AN276" s="17">
        <f>IF(NOT(ISNUMBER(R276)),"",IF(ISNUMBER(S276),(R276+S276)/2,R276))</f>
        <v/>
      </c>
      <c r="AO276" s="19">
        <f>IF(AND(ISNUMBER(L276),ISNUMBER(AN276),AN276&gt;0),L276/AN276,"")</f>
        <v/>
      </c>
      <c r="AP276" s="19">
        <f>IF(AND(ISNUMBER(AO276),ISNUMBER({ROIC})),AO276-{ROIC},"")</f>
        <v/>
      </c>
      <c r="AQ276" s="17">
        <f>IF(AND(ISNUMBER(AE276),ISNUMBER(N276)),AE276+N276,"")</f>
        <v/>
      </c>
      <c r="AR276" s="20">
        <f>IF(AND(ISNUMBER(AH276),ISNUMBER(T276),ISNUMBER(AQ276),AQ276&gt;0),(AH276-T276)/AQ276,"")</f>
        <v/>
      </c>
      <c r="AS276" s="20">
        <f>IF(AND(ISNUMBER(AE276),ISNUMBER(I276),I276&lt;&gt;0,AE276&gt;0),AE276/I276,"")</f>
        <v/>
      </c>
      <c r="AT276" s="17">
        <f>IF(AND(ISNUMBER(Y276),ISNUMBER(AA276)),Y276-IF(ISNUMBER(T276),T276,0)-(AA276-IF(ISNUMBER(V276),V276,0)),"")</f>
        <v/>
      </c>
      <c r="AU276" s="17">
        <f>IF(AND(ISNUMBER(Z276),ISNUMBER(AB276)),Z276-IF(ISNUMBER(U276),U276,0)-(AB276-IF(ISNUMBER(W276),W276,0)),"")</f>
        <v/>
      </c>
      <c r="AV276" s="17">
        <f>IF(AND(ISNUMBER(AT276),ISNUMBER(AU276)),AT276-AU276,"")</f>
        <v/>
      </c>
      <c r="AW276" s="17">
        <f>IF(AND(ISNUMBER(L276),ISNUMBER(M276),ISNUMBER(AF276)),L276-M276*(1-AF276),IF(ISNUMBER(L276),L276,""))</f>
        <v/>
      </c>
      <c r="AX276" s="17">
        <f>IF(E276="금융","",IF(AND(ISNUMBER(AW276),ISNUMBER(N276),ISNUMBER(O276),ISNUMBER(AV276)),AW276+N276-O276-AV276,IF(AND(ISNUMBER(P276),ISNUMBER(O276)),P276-O276-IF(ISNUMBER(Q276),Q276,0),"")))</f>
        <v/>
      </c>
      <c r="AY276" s="8">
        <f>IF(E276="금융","금융업 - 정의되지 않음",IF(AND(ISNUMBER(AW276),ISNUMBER(N276),ISNUMBER(O276),ISNUMBER(AV276)),"영업순이익+감가상각-설비투자-운전자본증감",IF(AND(ISNUMBER(P276),ISNUMBER(O276)),IF(ISNUMBER(Q276),"영업현금흐름-설비투자-주식보상비용","영업현금흐름-설비투자(주식보상비용 미태깅)"),"산출불가")))</f>
        <v/>
      </c>
      <c r="AZ276" s="19">
        <f>IF(AND(ISNUMBER(AX276),ISNUMBER(G276),G276&lt;&gt;0),AX276/G276,"")</f>
        <v/>
      </c>
      <c r="BA276" s="19">
        <f>IF(AND(ISNUMBER(AE276),ISNUMBER(G276),G276&lt;&gt;0),AE276/G276,"")</f>
        <v/>
      </c>
    </row>
    <row r="277">
      <c r="A277" s="8" t="inlineStr">
        <is>
          <t>AMAT</t>
        </is>
      </c>
      <c r="B277" s="8" t="inlineStr">
        <is>
          <t>APPLIED MATERIALS INC /DE</t>
        </is>
      </c>
      <c r="C277" s="8" t="n">
        <v>2024</v>
      </c>
      <c r="D277" s="8" t="inlineStr">
        <is>
          <t>2024-10-27</t>
        </is>
      </c>
      <c r="E277" s="8" t="inlineStr">
        <is>
          <t>일반</t>
        </is>
      </c>
      <c r="F277" s="8" t="inlineStr">
        <is>
          <t>0001628280-25-056742</t>
        </is>
      </c>
      <c r="G277" s="15" t="n">
        <v>27.176</v>
      </c>
      <c r="H277" s="15" t="n">
        <v>8.151999999999999</v>
      </c>
      <c r="I277" s="15" t="n">
        <v>0.247</v>
      </c>
      <c r="J277" s="15" t="n">
        <v>0.975</v>
      </c>
      <c r="K277" s="15" t="n">
        <v>7.867</v>
      </c>
      <c r="L277" s="15" t="n">
        <v>7.177</v>
      </c>
      <c r="M277" s="15" t="n">
        <v>0.015</v>
      </c>
      <c r="N277" s="15" t="n">
        <v>0.392</v>
      </c>
      <c r="O277" s="15" t="n">
        <v>1.19</v>
      </c>
      <c r="P277" s="15" t="n">
        <v>8.677</v>
      </c>
      <c r="Q277" s="15" t="n">
        <v>0.577</v>
      </c>
      <c r="R277" s="15" t="n">
        <v>19.001</v>
      </c>
      <c r="S277" s="15" t="n">
        <v>16.349</v>
      </c>
      <c r="T277" s="15" t="n">
        <v>9.471</v>
      </c>
      <c r="U277" s="15" t="n">
        <v>6.869</v>
      </c>
      <c r="V277" s="15" t="n">
        <v>0.7</v>
      </c>
      <c r="W277" s="15" t="n">
        <v>0</v>
      </c>
      <c r="X277" s="15" t="n">
        <v>5.46</v>
      </c>
      <c r="Y277" s="15" t="n">
        <v>21.22</v>
      </c>
      <c r="Z277" s="15" t="n">
        <v>19.147</v>
      </c>
      <c r="AA277" s="15" t="n">
        <v>8.468</v>
      </c>
      <c r="AB277" s="15" t="n">
        <v>7.372</v>
      </c>
      <c r="AC277" s="15" t="n">
        <v>14.941</v>
      </c>
      <c r="AD277" s="16" t="n">
        <v>818</v>
      </c>
      <c r="AE277" s="17">
        <f>IF(ISNUMBER(K277),K277,IF(AND(ISNUMBER(H277),ISNUMBER(I277)),H277+I277,IF(ISNUMBER(H277),H277,"")))</f>
        <v/>
      </c>
      <c r="AF277" s="18">
        <f>IF(OR(NOT(ISNUMBER(J277)),NOT(ISNUMBER(H277)),H277&lt;=0),기준표!$B$8,MIN(MAX(J277/H277,기준표!$B$6),기준표!$B$7))</f>
        <v/>
      </c>
      <c r="AG277" s="17">
        <f>IF(ISNUMBER(AE277),AE277*(1-AF277),"")</f>
        <v/>
      </c>
      <c r="AH277" s="17">
        <f>IF(AND(NOT(ISNUMBER(V277)),NOT(ISNUMBER(X277))),"",IF(ISNUMBER(V277),V277,0)+IF(ISNUMBER(X277),X277,0))</f>
        <v/>
      </c>
      <c r="AI277" s="17">
        <f>IF(E277="금융","",IF(AND(ISNUMBER(R277),ISNUMBER(AH277),ISNUMBER(T277)),R277+AH277-T277,""))</f>
        <v/>
      </c>
      <c r="AJ277" s="17">
        <f>IF(E277="금융","",IF(NOT(ISNUMBER(AI277)),"",IF(ISNUMBER(AC277),(AI277+AC277)/2,AI277)))</f>
        <v/>
      </c>
      <c r="AK277" s="19">
        <f>IF(AND(ISNUMBER(AG277),ISNUMBER(AJ277),AJ277&gt;0),AG277/AJ277,"")</f>
        <v/>
      </c>
      <c r="AL277" s="17">
        <f>IF(E277="금융","",IF(AND(ISNUMBER(R277),ISNUMBER(AH277)),R277+AH277,""))</f>
        <v/>
      </c>
      <c r="AM277" s="19">
        <f>IF(OR(NOT(ISNUMBER(AG277)),NOT(ISNUMBER(AL277)),AL277&lt;=0),"",IF(AND(ISNUMBER(G277),AL277&lt;0.1*G277),"",AG277/AL277))</f>
        <v/>
      </c>
      <c r="AN277" s="17">
        <f>IF(NOT(ISNUMBER(R277)),"",IF(ISNUMBER(S277),(R277+S277)/2,R277))</f>
        <v/>
      </c>
      <c r="AO277" s="19">
        <f>IF(AND(ISNUMBER(L277),ISNUMBER(AN277),AN277&gt;0),L277/AN277,"")</f>
        <v/>
      </c>
      <c r="AP277" s="19">
        <f>IF(AND(ISNUMBER(AO277),ISNUMBER({ROIC})),AO277-{ROIC},"")</f>
        <v/>
      </c>
      <c r="AQ277" s="17">
        <f>IF(AND(ISNUMBER(AE277),ISNUMBER(N277)),AE277+N277,"")</f>
        <v/>
      </c>
      <c r="AR277" s="20">
        <f>IF(AND(ISNUMBER(AH277),ISNUMBER(T277),ISNUMBER(AQ277),AQ277&gt;0),(AH277-T277)/AQ277,"")</f>
        <v/>
      </c>
      <c r="AS277" s="20">
        <f>IF(AND(ISNUMBER(AE277),ISNUMBER(I277),I277&lt;&gt;0,AE277&gt;0),AE277/I277,"")</f>
        <v/>
      </c>
      <c r="AT277" s="17">
        <f>IF(AND(ISNUMBER(Y277),ISNUMBER(AA277)),Y277-IF(ISNUMBER(T277),T277,0)-(AA277-IF(ISNUMBER(V277),V277,0)),"")</f>
        <v/>
      </c>
      <c r="AU277" s="17">
        <f>IF(AND(ISNUMBER(Z277),ISNUMBER(AB277)),Z277-IF(ISNUMBER(U277),U277,0)-(AB277-IF(ISNUMBER(W277),W277,0)),"")</f>
        <v/>
      </c>
      <c r="AV277" s="17">
        <f>IF(AND(ISNUMBER(AT277),ISNUMBER(AU277)),AT277-AU277,"")</f>
        <v/>
      </c>
      <c r="AW277" s="17">
        <f>IF(AND(ISNUMBER(L277),ISNUMBER(M277),ISNUMBER(AF277)),L277-M277*(1-AF277),IF(ISNUMBER(L277),L277,""))</f>
        <v/>
      </c>
      <c r="AX277" s="17">
        <f>IF(E277="금융","",IF(AND(ISNUMBER(AW277),ISNUMBER(N277),ISNUMBER(O277),ISNUMBER(AV277)),AW277+N277-O277-AV277,IF(AND(ISNUMBER(P277),ISNUMBER(O277)),P277-O277-IF(ISNUMBER(Q277),Q277,0),"")))</f>
        <v/>
      </c>
      <c r="AY277" s="8">
        <f>IF(E277="금융","금융업 - 정의되지 않음",IF(AND(ISNUMBER(AW277),ISNUMBER(N277),ISNUMBER(O277),ISNUMBER(AV277)),"영업순이익+감가상각-설비투자-운전자본증감",IF(AND(ISNUMBER(P277),ISNUMBER(O277)),IF(ISNUMBER(Q277),"영업현금흐름-설비투자-주식보상비용","영업현금흐름-설비투자(주식보상비용 미태깅)"),"산출불가")))</f>
        <v/>
      </c>
      <c r="AZ277" s="19">
        <f>IF(AND(ISNUMBER(AX277),ISNUMBER(G277),G277&lt;&gt;0),AX277/G277,"")</f>
        <v/>
      </c>
      <c r="BA277" s="19">
        <f>IF(AND(ISNUMBER(AE277),ISNUMBER(G277),G277&lt;&gt;0),AE277/G277,"")</f>
        <v/>
      </c>
    </row>
    <row r="278">
      <c r="A278" s="8" t="inlineStr">
        <is>
          <t>AMAT</t>
        </is>
      </c>
      <c r="B278" s="8" t="inlineStr">
        <is>
          <t>APPLIED MATERIALS INC /DE</t>
        </is>
      </c>
      <c r="C278" s="8" t="n">
        <v>2025</v>
      </c>
      <c r="D278" s="8" t="inlineStr">
        <is>
          <t>2025-10-26</t>
        </is>
      </c>
      <c r="E278" s="8" t="inlineStr">
        <is>
          <t>일반</t>
        </is>
      </c>
      <c r="F278" s="8" t="inlineStr">
        <is>
          <t>0001628280-25-056742</t>
        </is>
      </c>
      <c r="G278" s="15" t="n">
        <v>28.368</v>
      </c>
      <c r="H278" s="15" t="n">
        <v>9.271000000000001</v>
      </c>
      <c r="I278" s="15" t="n">
        <v>0.269</v>
      </c>
      <c r="J278" s="15" t="n">
        <v>2.273</v>
      </c>
      <c r="K278" s="15" t="n">
        <v>8.289</v>
      </c>
      <c r="L278" s="15" t="n">
        <v>6.998</v>
      </c>
      <c r="M278" s="15" t="n">
        <v>0.792</v>
      </c>
      <c r="N278" s="15" t="n">
        <v>0.435</v>
      </c>
      <c r="O278" s="15" t="n">
        <v>2.26</v>
      </c>
      <c r="P278" s="15" t="n">
        <v>7.958</v>
      </c>
      <c r="Q278" s="15" t="n">
        <v>0.668</v>
      </c>
      <c r="R278" s="15" t="n">
        <v>20.415</v>
      </c>
      <c r="S278" s="15" t="n">
        <v>19.001</v>
      </c>
      <c r="T278" s="15" t="n">
        <v>8.573</v>
      </c>
      <c r="U278" s="15" t="n">
        <v>9.471</v>
      </c>
      <c r="V278" s="15" t="n">
        <v>0</v>
      </c>
      <c r="W278" s="15" t="n">
        <v>0.7</v>
      </c>
      <c r="X278" s="15" t="n">
        <v>6.455</v>
      </c>
      <c r="Y278" s="15" t="n">
        <v>20.881</v>
      </c>
      <c r="Z278" s="15" t="n">
        <v>21.22</v>
      </c>
      <c r="AA278" s="15" t="n">
        <v>7.999</v>
      </c>
      <c r="AB278" s="15" t="n">
        <v>8.468</v>
      </c>
      <c r="AC278" s="15" t="n">
        <v>15.69</v>
      </c>
      <c r="AD278" s="16" t="n">
        <v>793</v>
      </c>
      <c r="AE278" s="17">
        <f>IF(ISNUMBER(K278),K278,IF(AND(ISNUMBER(H278),ISNUMBER(I278)),H278+I278,IF(ISNUMBER(H278),H278,"")))</f>
        <v/>
      </c>
      <c r="AF278" s="18">
        <f>IF(OR(NOT(ISNUMBER(J278)),NOT(ISNUMBER(H278)),H278&lt;=0),기준표!$B$8,MIN(MAX(J278/H278,기준표!$B$6),기준표!$B$7))</f>
        <v/>
      </c>
      <c r="AG278" s="17">
        <f>IF(ISNUMBER(AE278),AE278*(1-AF278),"")</f>
        <v/>
      </c>
      <c r="AH278" s="17">
        <f>IF(AND(NOT(ISNUMBER(V278)),NOT(ISNUMBER(X278))),"",IF(ISNUMBER(V278),V278,0)+IF(ISNUMBER(X278),X278,0))</f>
        <v/>
      </c>
      <c r="AI278" s="17">
        <f>IF(E278="금융","",IF(AND(ISNUMBER(R278),ISNUMBER(AH278),ISNUMBER(T278)),R278+AH278-T278,""))</f>
        <v/>
      </c>
      <c r="AJ278" s="17">
        <f>IF(E278="금융","",IF(NOT(ISNUMBER(AI278)),"",IF(ISNUMBER(AC278),(AI278+AC278)/2,AI278)))</f>
        <v/>
      </c>
      <c r="AK278" s="19">
        <f>IF(AND(ISNUMBER(AG278),ISNUMBER(AJ278),AJ278&gt;0),AG278/AJ278,"")</f>
        <v/>
      </c>
      <c r="AL278" s="17">
        <f>IF(E278="금융","",IF(AND(ISNUMBER(R278),ISNUMBER(AH278)),R278+AH278,""))</f>
        <v/>
      </c>
      <c r="AM278" s="19">
        <f>IF(OR(NOT(ISNUMBER(AG278)),NOT(ISNUMBER(AL278)),AL278&lt;=0),"",IF(AND(ISNUMBER(G278),AL278&lt;0.1*G278),"",AG278/AL278))</f>
        <v/>
      </c>
      <c r="AN278" s="17">
        <f>IF(NOT(ISNUMBER(R278)),"",IF(ISNUMBER(S278),(R278+S278)/2,R278))</f>
        <v/>
      </c>
      <c r="AO278" s="19">
        <f>IF(AND(ISNUMBER(L278),ISNUMBER(AN278),AN278&gt;0),L278/AN278,"")</f>
        <v/>
      </c>
      <c r="AP278" s="19">
        <f>IF(AND(ISNUMBER(AO278),ISNUMBER({ROIC})),AO278-{ROIC},"")</f>
        <v/>
      </c>
      <c r="AQ278" s="17">
        <f>IF(AND(ISNUMBER(AE278),ISNUMBER(N278)),AE278+N278,"")</f>
        <v/>
      </c>
      <c r="AR278" s="20">
        <f>IF(AND(ISNUMBER(AH278),ISNUMBER(T278),ISNUMBER(AQ278),AQ278&gt;0),(AH278-T278)/AQ278,"")</f>
        <v/>
      </c>
      <c r="AS278" s="20">
        <f>IF(AND(ISNUMBER(AE278),ISNUMBER(I278),I278&lt;&gt;0,AE278&gt;0),AE278/I278,"")</f>
        <v/>
      </c>
      <c r="AT278" s="17">
        <f>IF(AND(ISNUMBER(Y278),ISNUMBER(AA278)),Y278-IF(ISNUMBER(T278),T278,0)-(AA278-IF(ISNUMBER(V278),V278,0)),"")</f>
        <v/>
      </c>
      <c r="AU278" s="17">
        <f>IF(AND(ISNUMBER(Z278),ISNUMBER(AB278)),Z278-IF(ISNUMBER(U278),U278,0)-(AB278-IF(ISNUMBER(W278),W278,0)),"")</f>
        <v/>
      </c>
      <c r="AV278" s="17">
        <f>IF(AND(ISNUMBER(AT278),ISNUMBER(AU278)),AT278-AU278,"")</f>
        <v/>
      </c>
      <c r="AW278" s="17">
        <f>IF(AND(ISNUMBER(L278),ISNUMBER(M278),ISNUMBER(AF278)),L278-M278*(1-AF278),IF(ISNUMBER(L278),L278,""))</f>
        <v/>
      </c>
      <c r="AX278" s="17">
        <f>IF(E278="금융","",IF(AND(ISNUMBER(AW278),ISNUMBER(N278),ISNUMBER(O278),ISNUMBER(AV278)),AW278+N278-O278-AV278,IF(AND(ISNUMBER(P278),ISNUMBER(O278)),P278-O278-IF(ISNUMBER(Q278),Q278,0),"")))</f>
        <v/>
      </c>
      <c r="AY278" s="8">
        <f>IF(E278="금융","금융업 - 정의되지 않음",IF(AND(ISNUMBER(AW278),ISNUMBER(N278),ISNUMBER(O278),ISNUMBER(AV278)),"영업순이익+감가상각-설비투자-운전자본증감",IF(AND(ISNUMBER(P278),ISNUMBER(O278)),IF(ISNUMBER(Q278),"영업현금흐름-설비투자-주식보상비용","영업현금흐름-설비투자(주식보상비용 미태깅)"),"산출불가")))</f>
        <v/>
      </c>
      <c r="AZ278" s="19">
        <f>IF(AND(ISNUMBER(AX278),ISNUMBER(G278),G278&lt;&gt;0),AX278/G278,"")</f>
        <v/>
      </c>
      <c r="BA278" s="19">
        <f>IF(AND(ISNUMBER(AE278),ISNUMBER(G278),G278&lt;&gt;0),AE278/G278,"")</f>
        <v/>
      </c>
    </row>
    <row r="279">
      <c r="A279" s="8" t="inlineStr">
        <is>
          <t>ORCL</t>
        </is>
      </c>
      <c r="B279" s="8" t="inlineStr">
        <is>
          <t>ORACLE CORP</t>
        </is>
      </c>
      <c r="C279" s="8" t="n">
        <v>2014</v>
      </c>
      <c r="D279" s="8" t="inlineStr">
        <is>
          <t>2015-05-31</t>
        </is>
      </c>
      <c r="E279" s="8" t="inlineStr">
        <is>
          <t>일반</t>
        </is>
      </c>
      <c r="F279" s="8" t="inlineStr">
        <is>
          <t>0001193125-17-214833</t>
        </is>
      </c>
      <c r="G279" s="15" t="n"/>
      <c r="H279" s="15" t="n">
        <v>12.834</v>
      </c>
      <c r="I279" s="15" t="n">
        <v>1.143</v>
      </c>
      <c r="J279" s="15" t="n">
        <v>2.896</v>
      </c>
      <c r="K279" s="15" t="n">
        <v>13.871</v>
      </c>
      <c r="L279" s="15" t="n">
        <v>9.938000000000001</v>
      </c>
      <c r="M279" s="15" t="n"/>
      <c r="N279" s="15" t="n">
        <v>0.712</v>
      </c>
      <c r="O279" s="15" t="n">
        <v>1.391</v>
      </c>
      <c r="P279" s="15" t="n">
        <v>14.58</v>
      </c>
      <c r="Q279" s="15" t="n">
        <v>0.9330000000000001</v>
      </c>
      <c r="R279" s="15" t="n">
        <v>48.663</v>
      </c>
      <c r="S279" s="15" t="n"/>
      <c r="T279" s="15" t="n">
        <v>21.716</v>
      </c>
      <c r="U279" s="15" t="n"/>
      <c r="V279" s="15" t="n">
        <v>1.999</v>
      </c>
      <c r="W279" s="15" t="n"/>
      <c r="X279" s="15" t="n"/>
      <c r="Y279" s="15" t="n">
        <v>62.52</v>
      </c>
      <c r="Z279" s="15" t="n"/>
      <c r="AA279" s="15" t="n">
        <v>15.206</v>
      </c>
      <c r="AB279" s="15" t="n"/>
      <c r="AC279" s="15" t="n"/>
      <c r="AD279" s="16" t="n">
        <v>4454.889</v>
      </c>
      <c r="AE279" s="17">
        <f>IF(ISNUMBER(K279),K279,IF(AND(ISNUMBER(H279),ISNUMBER(I279)),H279+I279,IF(ISNUMBER(H279),H279,"")))</f>
        <v/>
      </c>
      <c r="AF279" s="18">
        <f>IF(OR(NOT(ISNUMBER(J279)),NOT(ISNUMBER(H279)),H279&lt;=0),기준표!$B$8,MIN(MAX(J279/H279,기준표!$B$6),기준표!$B$7))</f>
        <v/>
      </c>
      <c r="AG279" s="17">
        <f>IF(ISNUMBER(AE279),AE279*(1-AF279),"")</f>
        <v/>
      </c>
      <c r="AH279" s="17">
        <f>IF(AND(NOT(ISNUMBER(V279)),NOT(ISNUMBER(X279))),"",IF(ISNUMBER(V279),V279,0)+IF(ISNUMBER(X279),X279,0))</f>
        <v/>
      </c>
      <c r="AI279" s="17">
        <f>IF(E279="금융","",IF(AND(ISNUMBER(R279),ISNUMBER(AH279),ISNUMBER(T279)),R279+AH279-T279,""))</f>
        <v/>
      </c>
      <c r="AJ279" s="17">
        <f>IF(E279="금융","",IF(NOT(ISNUMBER(AI279)),"",IF(ISNUMBER(AC279),(AI279+AC279)/2,AI279)))</f>
        <v/>
      </c>
      <c r="AK279" s="19">
        <f>IF(AND(ISNUMBER(AG279),ISNUMBER(AJ279),AJ279&gt;0),AG279/AJ279,"")</f>
        <v/>
      </c>
      <c r="AL279" s="17">
        <f>IF(E279="금융","",IF(AND(ISNUMBER(R279),ISNUMBER(AH279)),R279+AH279,""))</f>
        <v/>
      </c>
      <c r="AM279" s="19">
        <f>IF(OR(NOT(ISNUMBER(AG279)),NOT(ISNUMBER(AL279)),AL279&lt;=0),"",IF(AND(ISNUMBER(G279),AL279&lt;0.1*G279),"",AG279/AL279))</f>
        <v/>
      </c>
      <c r="AN279" s="17">
        <f>IF(NOT(ISNUMBER(R279)),"",IF(ISNUMBER(S279),(R279+S279)/2,R279))</f>
        <v/>
      </c>
      <c r="AO279" s="19">
        <f>IF(AND(ISNUMBER(L279),ISNUMBER(AN279),AN279&gt;0),L279/AN279,"")</f>
        <v/>
      </c>
      <c r="AP279" s="19">
        <f>IF(AND(ISNUMBER(AO279),ISNUMBER({ROIC})),AO279-{ROIC},"")</f>
        <v/>
      </c>
      <c r="AQ279" s="17">
        <f>IF(AND(ISNUMBER(AE279),ISNUMBER(N279)),AE279+N279,"")</f>
        <v/>
      </c>
      <c r="AR279" s="20">
        <f>IF(AND(ISNUMBER(AH279),ISNUMBER(T279),ISNUMBER(AQ279),AQ279&gt;0),(AH279-T279)/AQ279,"")</f>
        <v/>
      </c>
      <c r="AS279" s="20">
        <f>IF(AND(ISNUMBER(AE279),ISNUMBER(I279),I279&lt;&gt;0,AE279&gt;0),AE279/I279,"")</f>
        <v/>
      </c>
      <c r="AT279" s="17">
        <f>IF(AND(ISNUMBER(Y279),ISNUMBER(AA279)),Y279-IF(ISNUMBER(T279),T279,0)-(AA279-IF(ISNUMBER(V279),V279,0)),"")</f>
        <v/>
      </c>
      <c r="AU279" s="17">
        <f>IF(AND(ISNUMBER(Z279),ISNUMBER(AB279)),Z279-IF(ISNUMBER(U279),U279,0)-(AB279-IF(ISNUMBER(W279),W279,0)),"")</f>
        <v/>
      </c>
      <c r="AV279" s="17">
        <f>IF(AND(ISNUMBER(AT279),ISNUMBER(AU279)),AT279-AU279,"")</f>
        <v/>
      </c>
      <c r="AW279" s="17">
        <f>IF(AND(ISNUMBER(L279),ISNUMBER(M279),ISNUMBER(AF279)),L279-M279*(1-AF279),IF(ISNUMBER(L279),L279,""))</f>
        <v/>
      </c>
      <c r="AX279" s="17">
        <f>IF(E279="금융","",IF(AND(ISNUMBER(AW279),ISNUMBER(N279),ISNUMBER(O279),ISNUMBER(AV279)),AW279+N279-O279-AV279,IF(AND(ISNUMBER(P279),ISNUMBER(O279)),P279-O279-IF(ISNUMBER(Q279),Q279,0),"")))</f>
        <v/>
      </c>
      <c r="AY279" s="8">
        <f>IF(E279="금융","금융업 - 정의되지 않음",IF(AND(ISNUMBER(AW279),ISNUMBER(N279),ISNUMBER(O279),ISNUMBER(AV279)),"영업순이익+감가상각-설비투자-운전자본증감",IF(AND(ISNUMBER(P279),ISNUMBER(O279)),IF(ISNUMBER(Q279),"영업현금흐름-설비투자-주식보상비용","영업현금흐름-설비투자(주식보상비용 미태깅)"),"산출불가")))</f>
        <v/>
      </c>
      <c r="AZ279" s="19">
        <f>IF(AND(ISNUMBER(AX279),ISNUMBER(G279),G279&lt;&gt;0),AX279/G279,"")</f>
        <v/>
      </c>
      <c r="BA279" s="19">
        <f>IF(AND(ISNUMBER(AE279),ISNUMBER(G279),G279&lt;&gt;0),AE279/G279,"")</f>
        <v/>
      </c>
    </row>
    <row r="280">
      <c r="A280" s="8" t="inlineStr">
        <is>
          <t>ORCL</t>
        </is>
      </c>
      <c r="B280" s="8" t="inlineStr">
        <is>
          <t>ORACLE CORP</t>
        </is>
      </c>
      <c r="C280" s="8" t="n">
        <v>2015</v>
      </c>
      <c r="D280" s="8" t="inlineStr">
        <is>
          <t>2016-05-31</t>
        </is>
      </c>
      <c r="E280" s="8" t="inlineStr">
        <is>
          <t>일반</t>
        </is>
      </c>
      <c r="F280" s="8" t="inlineStr">
        <is>
          <t>0001193125-18-201034</t>
        </is>
      </c>
      <c r="G280" s="15" t="n"/>
      <c r="H280" s="15" t="n">
        <v>11.442</v>
      </c>
      <c r="I280" s="15" t="n">
        <v>1.467</v>
      </c>
      <c r="J280" s="15" t="n">
        <v>2.541</v>
      </c>
      <c r="K280" s="15" t="n">
        <v>12.604</v>
      </c>
      <c r="L280" s="15" t="n">
        <v>8.901</v>
      </c>
      <c r="M280" s="15" t="n"/>
      <c r="N280" s="15" t="n">
        <v>0.871</v>
      </c>
      <c r="O280" s="15" t="n">
        <v>1.189</v>
      </c>
      <c r="P280" s="15" t="n">
        <v>13.685</v>
      </c>
      <c r="Q280" s="15" t="n">
        <v>1.037</v>
      </c>
      <c r="R280" s="15" t="n">
        <v>47.289</v>
      </c>
      <c r="S280" s="15" t="n">
        <v>48.663</v>
      </c>
      <c r="T280" s="15" t="n">
        <v>20.152</v>
      </c>
      <c r="U280" s="15" t="n">
        <v>21.716</v>
      </c>
      <c r="V280" s="15" t="n">
        <v>3.75</v>
      </c>
      <c r="W280" s="15" t="n">
        <v>1.999</v>
      </c>
      <c r="X280" s="15" t="n"/>
      <c r="Y280" s="15" t="n">
        <v>64.313</v>
      </c>
      <c r="Z280" s="15" t="n">
        <v>62.52</v>
      </c>
      <c r="AA280" s="15" t="n">
        <v>17.208</v>
      </c>
      <c r="AB280" s="15" t="n">
        <v>15.206</v>
      </c>
      <c r="AC280" s="15" t="n">
        <v>28.946</v>
      </c>
      <c r="AD280" s="16" t="n">
        <v>4336.077</v>
      </c>
      <c r="AE280" s="17">
        <f>IF(ISNUMBER(K280),K280,IF(AND(ISNUMBER(H280),ISNUMBER(I280)),H280+I280,IF(ISNUMBER(H280),H280,"")))</f>
        <v/>
      </c>
      <c r="AF280" s="18">
        <f>IF(OR(NOT(ISNUMBER(J280)),NOT(ISNUMBER(H280)),H280&lt;=0),기준표!$B$8,MIN(MAX(J280/H280,기준표!$B$6),기준표!$B$7))</f>
        <v/>
      </c>
      <c r="AG280" s="17">
        <f>IF(ISNUMBER(AE280),AE280*(1-AF280),"")</f>
        <v/>
      </c>
      <c r="AH280" s="17">
        <f>IF(AND(NOT(ISNUMBER(V280)),NOT(ISNUMBER(X280))),"",IF(ISNUMBER(V280),V280,0)+IF(ISNUMBER(X280),X280,0))</f>
        <v/>
      </c>
      <c r="AI280" s="17">
        <f>IF(E280="금융","",IF(AND(ISNUMBER(R280),ISNUMBER(AH280),ISNUMBER(T280)),R280+AH280-T280,""))</f>
        <v/>
      </c>
      <c r="AJ280" s="17">
        <f>IF(E280="금융","",IF(NOT(ISNUMBER(AI280)),"",IF(ISNUMBER(AC280),(AI280+AC280)/2,AI280)))</f>
        <v/>
      </c>
      <c r="AK280" s="19">
        <f>IF(AND(ISNUMBER(AG280),ISNUMBER(AJ280),AJ280&gt;0),AG280/AJ280,"")</f>
        <v/>
      </c>
      <c r="AL280" s="17">
        <f>IF(E280="금융","",IF(AND(ISNUMBER(R280),ISNUMBER(AH280)),R280+AH280,""))</f>
        <v/>
      </c>
      <c r="AM280" s="19">
        <f>IF(OR(NOT(ISNUMBER(AG280)),NOT(ISNUMBER(AL280)),AL280&lt;=0),"",IF(AND(ISNUMBER(G280),AL280&lt;0.1*G280),"",AG280/AL280))</f>
        <v/>
      </c>
      <c r="AN280" s="17">
        <f>IF(NOT(ISNUMBER(R280)),"",IF(ISNUMBER(S280),(R280+S280)/2,R280))</f>
        <v/>
      </c>
      <c r="AO280" s="19">
        <f>IF(AND(ISNUMBER(L280),ISNUMBER(AN280),AN280&gt;0),L280/AN280,"")</f>
        <v/>
      </c>
      <c r="AP280" s="19">
        <f>IF(AND(ISNUMBER(AO280),ISNUMBER({ROIC})),AO280-{ROIC},"")</f>
        <v/>
      </c>
      <c r="AQ280" s="17">
        <f>IF(AND(ISNUMBER(AE280),ISNUMBER(N280)),AE280+N280,"")</f>
        <v/>
      </c>
      <c r="AR280" s="20">
        <f>IF(AND(ISNUMBER(AH280),ISNUMBER(T280),ISNUMBER(AQ280),AQ280&gt;0),(AH280-T280)/AQ280,"")</f>
        <v/>
      </c>
      <c r="AS280" s="20">
        <f>IF(AND(ISNUMBER(AE280),ISNUMBER(I280),I280&lt;&gt;0,AE280&gt;0),AE280/I280,"")</f>
        <v/>
      </c>
      <c r="AT280" s="17">
        <f>IF(AND(ISNUMBER(Y280),ISNUMBER(AA280)),Y280-IF(ISNUMBER(T280),T280,0)-(AA280-IF(ISNUMBER(V280),V280,0)),"")</f>
        <v/>
      </c>
      <c r="AU280" s="17">
        <f>IF(AND(ISNUMBER(Z280),ISNUMBER(AB280)),Z280-IF(ISNUMBER(U280),U280,0)-(AB280-IF(ISNUMBER(W280),W280,0)),"")</f>
        <v/>
      </c>
      <c r="AV280" s="17">
        <f>IF(AND(ISNUMBER(AT280),ISNUMBER(AU280)),AT280-AU280,"")</f>
        <v/>
      </c>
      <c r="AW280" s="17">
        <f>IF(AND(ISNUMBER(L280),ISNUMBER(M280),ISNUMBER(AF280)),L280-M280*(1-AF280),IF(ISNUMBER(L280),L280,""))</f>
        <v/>
      </c>
      <c r="AX280" s="17">
        <f>IF(E280="금융","",IF(AND(ISNUMBER(AW280),ISNUMBER(N280),ISNUMBER(O280),ISNUMBER(AV280)),AW280+N280-O280-AV280,IF(AND(ISNUMBER(P280),ISNUMBER(O280)),P280-O280-IF(ISNUMBER(Q280),Q280,0),"")))</f>
        <v/>
      </c>
      <c r="AY280" s="8">
        <f>IF(E280="금융","금융업 - 정의되지 않음",IF(AND(ISNUMBER(AW280),ISNUMBER(N280),ISNUMBER(O280),ISNUMBER(AV280)),"영업순이익+감가상각-설비투자-운전자본증감",IF(AND(ISNUMBER(P280),ISNUMBER(O280)),IF(ISNUMBER(Q280),"영업현금흐름-설비투자-주식보상비용","영업현금흐름-설비투자(주식보상비용 미태깅)"),"산출불가")))</f>
        <v/>
      </c>
      <c r="AZ280" s="19">
        <f>IF(AND(ISNUMBER(AX280),ISNUMBER(G280),G280&lt;&gt;0),AX280/G280,"")</f>
        <v/>
      </c>
      <c r="BA280" s="19">
        <f>IF(AND(ISNUMBER(AE280),ISNUMBER(G280),G280&lt;&gt;0),AE280/G280,"")</f>
        <v/>
      </c>
    </row>
    <row r="281">
      <c r="A281" s="8" t="inlineStr">
        <is>
          <t>ORCL</t>
        </is>
      </c>
      <c r="B281" s="8" t="inlineStr">
        <is>
          <t>ORACLE CORP</t>
        </is>
      </c>
      <c r="C281" s="8" t="n">
        <v>2016</v>
      </c>
      <c r="D281" s="8" t="inlineStr">
        <is>
          <t>2017-05-31</t>
        </is>
      </c>
      <c r="E281" s="8" t="inlineStr">
        <is>
          <t>일반</t>
        </is>
      </c>
      <c r="F281" s="8" t="inlineStr">
        <is>
          <t>0001564590-19-023119</t>
        </is>
      </c>
      <c r="G281" s="15" t="n">
        <v>37.792</v>
      </c>
      <c r="H281" s="15" t="n">
        <v>11.517</v>
      </c>
      <c r="I281" s="15" t="n">
        <v>1.798</v>
      </c>
      <c r="J281" s="15" t="n">
        <v>2.228</v>
      </c>
      <c r="K281" s="15" t="n">
        <v>12.913</v>
      </c>
      <c r="L281" s="15" t="n">
        <v>9.452</v>
      </c>
      <c r="M281" s="15" t="n"/>
      <c r="N281" s="15" t="n">
        <v>1</v>
      </c>
      <c r="O281" s="15" t="n">
        <v>2.021</v>
      </c>
      <c r="P281" s="15" t="n">
        <v>14.126</v>
      </c>
      <c r="Q281" s="15" t="n">
        <v>1.35</v>
      </c>
      <c r="R281" s="15" t="n">
        <v>53.86</v>
      </c>
      <c r="S281" s="15" t="n">
        <v>47.289</v>
      </c>
      <c r="T281" s="15" t="n">
        <v>21.784</v>
      </c>
      <c r="U281" s="15" t="n">
        <v>20.152</v>
      </c>
      <c r="V281" s="15" t="n">
        <v>9.797000000000001</v>
      </c>
      <c r="W281" s="15" t="n">
        <v>3.75</v>
      </c>
      <c r="X281" s="15" t="n"/>
      <c r="Y281" s="15" t="n">
        <v>74.515</v>
      </c>
      <c r="Z281" s="15" t="n">
        <v>64.313</v>
      </c>
      <c r="AA281" s="15" t="n">
        <v>24.178</v>
      </c>
      <c r="AB281" s="15" t="n">
        <v>17.208</v>
      </c>
      <c r="AC281" s="15" t="n">
        <v>30.887</v>
      </c>
      <c r="AD281" s="16" t="n">
        <v>4122.73</v>
      </c>
      <c r="AE281" s="17">
        <f>IF(ISNUMBER(K281),K281,IF(AND(ISNUMBER(H281),ISNUMBER(I281)),H281+I281,IF(ISNUMBER(H281),H281,"")))</f>
        <v/>
      </c>
      <c r="AF281" s="18">
        <f>IF(OR(NOT(ISNUMBER(J281)),NOT(ISNUMBER(H281)),H281&lt;=0),기준표!$B$8,MIN(MAX(J281/H281,기준표!$B$6),기준표!$B$7))</f>
        <v/>
      </c>
      <c r="AG281" s="17">
        <f>IF(ISNUMBER(AE281),AE281*(1-AF281),"")</f>
        <v/>
      </c>
      <c r="AH281" s="17">
        <f>IF(AND(NOT(ISNUMBER(V281)),NOT(ISNUMBER(X281))),"",IF(ISNUMBER(V281),V281,0)+IF(ISNUMBER(X281),X281,0))</f>
        <v/>
      </c>
      <c r="AI281" s="17">
        <f>IF(E281="금융","",IF(AND(ISNUMBER(R281),ISNUMBER(AH281),ISNUMBER(T281)),R281+AH281-T281,""))</f>
        <v/>
      </c>
      <c r="AJ281" s="17">
        <f>IF(E281="금융","",IF(NOT(ISNUMBER(AI281)),"",IF(ISNUMBER(AC281),(AI281+AC281)/2,AI281)))</f>
        <v/>
      </c>
      <c r="AK281" s="19">
        <f>IF(AND(ISNUMBER(AG281),ISNUMBER(AJ281),AJ281&gt;0),AG281/AJ281,"")</f>
        <v/>
      </c>
      <c r="AL281" s="17">
        <f>IF(E281="금융","",IF(AND(ISNUMBER(R281),ISNUMBER(AH281)),R281+AH281,""))</f>
        <v/>
      </c>
      <c r="AM281" s="19">
        <f>IF(OR(NOT(ISNUMBER(AG281)),NOT(ISNUMBER(AL281)),AL281&lt;=0),"",IF(AND(ISNUMBER(G281),AL281&lt;0.1*G281),"",AG281/AL281))</f>
        <v/>
      </c>
      <c r="AN281" s="17">
        <f>IF(NOT(ISNUMBER(R281)),"",IF(ISNUMBER(S281),(R281+S281)/2,R281))</f>
        <v/>
      </c>
      <c r="AO281" s="19">
        <f>IF(AND(ISNUMBER(L281),ISNUMBER(AN281),AN281&gt;0),L281/AN281,"")</f>
        <v/>
      </c>
      <c r="AP281" s="19">
        <f>IF(AND(ISNUMBER(AO281),ISNUMBER({ROIC})),AO281-{ROIC},"")</f>
        <v/>
      </c>
      <c r="AQ281" s="17">
        <f>IF(AND(ISNUMBER(AE281),ISNUMBER(N281)),AE281+N281,"")</f>
        <v/>
      </c>
      <c r="AR281" s="20">
        <f>IF(AND(ISNUMBER(AH281),ISNUMBER(T281),ISNUMBER(AQ281),AQ281&gt;0),(AH281-T281)/AQ281,"")</f>
        <v/>
      </c>
      <c r="AS281" s="20">
        <f>IF(AND(ISNUMBER(AE281),ISNUMBER(I281),I281&lt;&gt;0,AE281&gt;0),AE281/I281,"")</f>
        <v/>
      </c>
      <c r="AT281" s="17">
        <f>IF(AND(ISNUMBER(Y281),ISNUMBER(AA281)),Y281-IF(ISNUMBER(T281),T281,0)-(AA281-IF(ISNUMBER(V281),V281,0)),"")</f>
        <v/>
      </c>
      <c r="AU281" s="17">
        <f>IF(AND(ISNUMBER(Z281),ISNUMBER(AB281)),Z281-IF(ISNUMBER(U281),U281,0)-(AB281-IF(ISNUMBER(W281),W281,0)),"")</f>
        <v/>
      </c>
      <c r="AV281" s="17">
        <f>IF(AND(ISNUMBER(AT281),ISNUMBER(AU281)),AT281-AU281,"")</f>
        <v/>
      </c>
      <c r="AW281" s="17">
        <f>IF(AND(ISNUMBER(L281),ISNUMBER(M281),ISNUMBER(AF281)),L281-M281*(1-AF281),IF(ISNUMBER(L281),L281,""))</f>
        <v/>
      </c>
      <c r="AX281" s="17">
        <f>IF(E281="금융","",IF(AND(ISNUMBER(AW281),ISNUMBER(N281),ISNUMBER(O281),ISNUMBER(AV281)),AW281+N281-O281-AV281,IF(AND(ISNUMBER(P281),ISNUMBER(O281)),P281-O281-IF(ISNUMBER(Q281),Q281,0),"")))</f>
        <v/>
      </c>
      <c r="AY281" s="8">
        <f>IF(E281="금융","금융업 - 정의되지 않음",IF(AND(ISNUMBER(AW281),ISNUMBER(N281),ISNUMBER(O281),ISNUMBER(AV281)),"영업순이익+감가상각-설비투자-운전자본증감",IF(AND(ISNUMBER(P281),ISNUMBER(O281)),IF(ISNUMBER(Q281),"영업현금흐름-설비투자-주식보상비용","영업현금흐름-설비투자(주식보상비용 미태깅)"),"산출불가")))</f>
        <v/>
      </c>
      <c r="AZ281" s="19">
        <f>IF(AND(ISNUMBER(AX281),ISNUMBER(G281),G281&lt;&gt;0),AX281/G281,"")</f>
        <v/>
      </c>
      <c r="BA281" s="19">
        <f>IF(AND(ISNUMBER(AE281),ISNUMBER(G281),G281&lt;&gt;0),AE281/G281,"")</f>
        <v/>
      </c>
    </row>
    <row r="282">
      <c r="A282" s="8" t="inlineStr">
        <is>
          <t>ORCL</t>
        </is>
      </c>
      <c r="B282" s="8" t="inlineStr">
        <is>
          <t>ORACLE CORP</t>
        </is>
      </c>
      <c r="C282" s="8" t="n">
        <v>2017</v>
      </c>
      <c r="D282" s="8" t="inlineStr">
        <is>
          <t>2018-05-31</t>
        </is>
      </c>
      <c r="E282" s="8" t="inlineStr">
        <is>
          <t>일반</t>
        </is>
      </c>
      <c r="F282" s="8" t="inlineStr">
        <is>
          <t>0001564590-20-030125</t>
        </is>
      </c>
      <c r="G282" s="15" t="n">
        <v>39.383</v>
      </c>
      <c r="H282" s="15" t="n">
        <v>12.891</v>
      </c>
      <c r="I282" s="15" t="n">
        <v>2.025</v>
      </c>
      <c r="J282" s="15" t="n">
        <v>8.837</v>
      </c>
      <c r="K282" s="15" t="n">
        <v>13.264</v>
      </c>
      <c r="L282" s="15" t="n">
        <v>3.587</v>
      </c>
      <c r="M282" s="15" t="n"/>
      <c r="N282" s="15" t="n">
        <v>1.165</v>
      </c>
      <c r="O282" s="15" t="n">
        <v>1.736</v>
      </c>
      <c r="P282" s="15" t="n">
        <v>15.386</v>
      </c>
      <c r="Q282" s="15" t="n">
        <v>1.607</v>
      </c>
      <c r="R282" s="15" t="n">
        <v>46.372</v>
      </c>
      <c r="S282" s="15" t="n">
        <v>53.86</v>
      </c>
      <c r="T282" s="15" t="n">
        <v>67.261</v>
      </c>
      <c r="U282" s="15" t="n">
        <v>21.784</v>
      </c>
      <c r="V282" s="15" t="n">
        <v>4.491</v>
      </c>
      <c r="W282" s="15" t="n">
        <v>9.797000000000001</v>
      </c>
      <c r="X282" s="15" t="n"/>
      <c r="Y282" s="15" t="n">
        <v>76.15900000000001</v>
      </c>
      <c r="Z282" s="15" t="n">
        <v>74.515</v>
      </c>
      <c r="AA282" s="15" t="n">
        <v>19.124</v>
      </c>
      <c r="AB282" s="15" t="n">
        <v>24.178</v>
      </c>
      <c r="AC282" s="15" t="n">
        <v>41.873</v>
      </c>
      <c r="AD282" s="16" t="n">
        <v>4136.682</v>
      </c>
      <c r="AE282" s="17">
        <f>IF(ISNUMBER(K282),K282,IF(AND(ISNUMBER(H282),ISNUMBER(I282)),H282+I282,IF(ISNUMBER(H282),H282,"")))</f>
        <v/>
      </c>
      <c r="AF282" s="18">
        <f>IF(OR(NOT(ISNUMBER(J282)),NOT(ISNUMBER(H282)),H282&lt;=0),기준표!$B$8,MIN(MAX(J282/H282,기준표!$B$6),기준표!$B$7))</f>
        <v/>
      </c>
      <c r="AG282" s="17">
        <f>IF(ISNUMBER(AE282),AE282*(1-AF282),"")</f>
        <v/>
      </c>
      <c r="AH282" s="17">
        <f>IF(AND(NOT(ISNUMBER(V282)),NOT(ISNUMBER(X282))),"",IF(ISNUMBER(V282),V282,0)+IF(ISNUMBER(X282),X282,0))</f>
        <v/>
      </c>
      <c r="AI282" s="17">
        <f>IF(E282="금융","",IF(AND(ISNUMBER(R282),ISNUMBER(AH282),ISNUMBER(T282)),R282+AH282-T282,""))</f>
        <v/>
      </c>
      <c r="AJ282" s="17">
        <f>IF(E282="금융","",IF(NOT(ISNUMBER(AI282)),"",IF(ISNUMBER(AC282),(AI282+AC282)/2,AI282)))</f>
        <v/>
      </c>
      <c r="AK282" s="19">
        <f>IF(AND(ISNUMBER(AG282),ISNUMBER(AJ282),AJ282&gt;0),AG282/AJ282,"")</f>
        <v/>
      </c>
      <c r="AL282" s="17">
        <f>IF(E282="금융","",IF(AND(ISNUMBER(R282),ISNUMBER(AH282)),R282+AH282,""))</f>
        <v/>
      </c>
      <c r="AM282" s="19">
        <f>IF(OR(NOT(ISNUMBER(AG282)),NOT(ISNUMBER(AL282)),AL282&lt;=0),"",IF(AND(ISNUMBER(G282),AL282&lt;0.1*G282),"",AG282/AL282))</f>
        <v/>
      </c>
      <c r="AN282" s="17">
        <f>IF(NOT(ISNUMBER(R282)),"",IF(ISNUMBER(S282),(R282+S282)/2,R282))</f>
        <v/>
      </c>
      <c r="AO282" s="19">
        <f>IF(AND(ISNUMBER(L282),ISNUMBER(AN282),AN282&gt;0),L282/AN282,"")</f>
        <v/>
      </c>
      <c r="AP282" s="19">
        <f>IF(AND(ISNUMBER(AO282),ISNUMBER({ROIC})),AO282-{ROIC},"")</f>
        <v/>
      </c>
      <c r="AQ282" s="17">
        <f>IF(AND(ISNUMBER(AE282),ISNUMBER(N282)),AE282+N282,"")</f>
        <v/>
      </c>
      <c r="AR282" s="20">
        <f>IF(AND(ISNUMBER(AH282),ISNUMBER(T282),ISNUMBER(AQ282),AQ282&gt;0),(AH282-T282)/AQ282,"")</f>
        <v/>
      </c>
      <c r="AS282" s="20">
        <f>IF(AND(ISNUMBER(AE282),ISNUMBER(I282),I282&lt;&gt;0,AE282&gt;0),AE282/I282,"")</f>
        <v/>
      </c>
      <c r="AT282" s="17">
        <f>IF(AND(ISNUMBER(Y282),ISNUMBER(AA282)),Y282-IF(ISNUMBER(T282),T282,0)-(AA282-IF(ISNUMBER(V282),V282,0)),"")</f>
        <v/>
      </c>
      <c r="AU282" s="17">
        <f>IF(AND(ISNUMBER(Z282),ISNUMBER(AB282)),Z282-IF(ISNUMBER(U282),U282,0)-(AB282-IF(ISNUMBER(W282),W282,0)),"")</f>
        <v/>
      </c>
      <c r="AV282" s="17">
        <f>IF(AND(ISNUMBER(AT282),ISNUMBER(AU282)),AT282-AU282,"")</f>
        <v/>
      </c>
      <c r="AW282" s="17">
        <f>IF(AND(ISNUMBER(L282),ISNUMBER(M282),ISNUMBER(AF282)),L282-M282*(1-AF282),IF(ISNUMBER(L282),L282,""))</f>
        <v/>
      </c>
      <c r="AX282" s="17">
        <f>IF(E282="금융","",IF(AND(ISNUMBER(AW282),ISNUMBER(N282),ISNUMBER(O282),ISNUMBER(AV282)),AW282+N282-O282-AV282,IF(AND(ISNUMBER(P282),ISNUMBER(O282)),P282-O282-IF(ISNUMBER(Q282),Q282,0),"")))</f>
        <v/>
      </c>
      <c r="AY282" s="8">
        <f>IF(E282="금융","금융업 - 정의되지 않음",IF(AND(ISNUMBER(AW282),ISNUMBER(N282),ISNUMBER(O282),ISNUMBER(AV282)),"영업순이익+감가상각-설비투자-운전자본증감",IF(AND(ISNUMBER(P282),ISNUMBER(O282)),IF(ISNUMBER(Q282),"영업현금흐름-설비투자-주식보상비용","영업현금흐름-설비투자(주식보상비용 미태깅)"),"산출불가")))</f>
        <v/>
      </c>
      <c r="AZ282" s="19">
        <f>IF(AND(ISNUMBER(AX282),ISNUMBER(G282),G282&lt;&gt;0),AX282/G282,"")</f>
        <v/>
      </c>
      <c r="BA282" s="19">
        <f>IF(AND(ISNUMBER(AE282),ISNUMBER(G282),G282&lt;&gt;0),AE282/G282,"")</f>
        <v/>
      </c>
    </row>
    <row r="283">
      <c r="A283" s="8" t="inlineStr">
        <is>
          <t>ORCL</t>
        </is>
      </c>
      <c r="B283" s="8" t="inlineStr">
        <is>
          <t>ORACLE CORP</t>
        </is>
      </c>
      <c r="C283" s="8" t="n">
        <v>2018</v>
      </c>
      <c r="D283" s="8" t="inlineStr">
        <is>
          <t>2019-05-31</t>
        </is>
      </c>
      <c r="E283" s="8" t="inlineStr">
        <is>
          <t>일반</t>
        </is>
      </c>
      <c r="F283" s="8" t="inlineStr">
        <is>
          <t>0001564590-21-033616</t>
        </is>
      </c>
      <c r="G283" s="15" t="n">
        <v>39.506</v>
      </c>
      <c r="H283" s="15" t="n">
        <v>12.268</v>
      </c>
      <c r="I283" s="15" t="n">
        <v>2.082</v>
      </c>
      <c r="J283" s="15" t="n">
        <v>1.185</v>
      </c>
      <c r="K283" s="15" t="n">
        <v>13.535</v>
      </c>
      <c r="L283" s="15" t="n">
        <v>11.083</v>
      </c>
      <c r="M283" s="15" t="n"/>
      <c r="N283" s="15" t="n">
        <v>1.23</v>
      </c>
      <c r="O283" s="15" t="n">
        <v>1.66</v>
      </c>
      <c r="P283" s="15" t="n">
        <v>14.551</v>
      </c>
      <c r="Q283" s="15" t="n">
        <v>1.653</v>
      </c>
      <c r="R283" s="15" t="n">
        <v>21.785</v>
      </c>
      <c r="S283" s="15" t="n">
        <v>46.372</v>
      </c>
      <c r="T283" s="15" t="n">
        <v>37.827</v>
      </c>
      <c r="U283" s="15" t="n">
        <v>67.261</v>
      </c>
      <c r="V283" s="15" t="n">
        <v>4.494</v>
      </c>
      <c r="W283" s="15" t="n">
        <v>4.491</v>
      </c>
      <c r="X283" s="15" t="n"/>
      <c r="Y283" s="15" t="n">
        <v>46.386</v>
      </c>
      <c r="Z283" s="15" t="n">
        <v>76.15900000000001</v>
      </c>
      <c r="AA283" s="15" t="n">
        <v>18.63</v>
      </c>
      <c r="AB283" s="15" t="n">
        <v>19.124</v>
      </c>
      <c r="AC283" s="15" t="n">
        <v>-16.398</v>
      </c>
      <c r="AD283" s="16" t="n">
        <v>3981.155</v>
      </c>
      <c r="AE283" s="17">
        <f>IF(ISNUMBER(K283),K283,IF(AND(ISNUMBER(H283),ISNUMBER(I283)),H283+I283,IF(ISNUMBER(H283),H283,"")))</f>
        <v/>
      </c>
      <c r="AF283" s="18">
        <f>IF(OR(NOT(ISNUMBER(J283)),NOT(ISNUMBER(H283)),H283&lt;=0),기준표!$B$8,MIN(MAX(J283/H283,기준표!$B$6),기준표!$B$7))</f>
        <v/>
      </c>
      <c r="AG283" s="17">
        <f>IF(ISNUMBER(AE283),AE283*(1-AF283),"")</f>
        <v/>
      </c>
      <c r="AH283" s="17">
        <f>IF(AND(NOT(ISNUMBER(V283)),NOT(ISNUMBER(X283))),"",IF(ISNUMBER(V283),V283,0)+IF(ISNUMBER(X283),X283,0))</f>
        <v/>
      </c>
      <c r="AI283" s="17">
        <f>IF(E283="금융","",IF(AND(ISNUMBER(R283),ISNUMBER(AH283),ISNUMBER(T283)),R283+AH283-T283,""))</f>
        <v/>
      </c>
      <c r="AJ283" s="17">
        <f>IF(E283="금융","",IF(NOT(ISNUMBER(AI283)),"",IF(ISNUMBER(AC283),(AI283+AC283)/2,AI283)))</f>
        <v/>
      </c>
      <c r="AK283" s="19">
        <f>IF(AND(ISNUMBER(AG283),ISNUMBER(AJ283),AJ283&gt;0),AG283/AJ283,"")</f>
        <v/>
      </c>
      <c r="AL283" s="17">
        <f>IF(E283="금융","",IF(AND(ISNUMBER(R283),ISNUMBER(AH283)),R283+AH283,""))</f>
        <v/>
      </c>
      <c r="AM283" s="19">
        <f>IF(OR(NOT(ISNUMBER(AG283)),NOT(ISNUMBER(AL283)),AL283&lt;=0),"",IF(AND(ISNUMBER(G283),AL283&lt;0.1*G283),"",AG283/AL283))</f>
        <v/>
      </c>
      <c r="AN283" s="17">
        <f>IF(NOT(ISNUMBER(R283)),"",IF(ISNUMBER(S283),(R283+S283)/2,R283))</f>
        <v/>
      </c>
      <c r="AO283" s="19">
        <f>IF(AND(ISNUMBER(L283),ISNUMBER(AN283),AN283&gt;0),L283/AN283,"")</f>
        <v/>
      </c>
      <c r="AP283" s="19">
        <f>IF(AND(ISNUMBER(AO283),ISNUMBER({ROIC})),AO283-{ROIC},"")</f>
        <v/>
      </c>
      <c r="AQ283" s="17">
        <f>IF(AND(ISNUMBER(AE283),ISNUMBER(N283)),AE283+N283,"")</f>
        <v/>
      </c>
      <c r="AR283" s="20">
        <f>IF(AND(ISNUMBER(AH283),ISNUMBER(T283),ISNUMBER(AQ283),AQ283&gt;0),(AH283-T283)/AQ283,"")</f>
        <v/>
      </c>
      <c r="AS283" s="20">
        <f>IF(AND(ISNUMBER(AE283),ISNUMBER(I283),I283&lt;&gt;0,AE283&gt;0),AE283/I283,"")</f>
        <v/>
      </c>
      <c r="AT283" s="17">
        <f>IF(AND(ISNUMBER(Y283),ISNUMBER(AA283)),Y283-IF(ISNUMBER(T283),T283,0)-(AA283-IF(ISNUMBER(V283),V283,0)),"")</f>
        <v/>
      </c>
      <c r="AU283" s="17">
        <f>IF(AND(ISNUMBER(Z283),ISNUMBER(AB283)),Z283-IF(ISNUMBER(U283),U283,0)-(AB283-IF(ISNUMBER(W283),W283,0)),"")</f>
        <v/>
      </c>
      <c r="AV283" s="17">
        <f>IF(AND(ISNUMBER(AT283),ISNUMBER(AU283)),AT283-AU283,"")</f>
        <v/>
      </c>
      <c r="AW283" s="17">
        <f>IF(AND(ISNUMBER(L283),ISNUMBER(M283),ISNUMBER(AF283)),L283-M283*(1-AF283),IF(ISNUMBER(L283),L283,""))</f>
        <v/>
      </c>
      <c r="AX283" s="17">
        <f>IF(E283="금융","",IF(AND(ISNUMBER(AW283),ISNUMBER(N283),ISNUMBER(O283),ISNUMBER(AV283)),AW283+N283-O283-AV283,IF(AND(ISNUMBER(P283),ISNUMBER(O283)),P283-O283-IF(ISNUMBER(Q283),Q283,0),"")))</f>
        <v/>
      </c>
      <c r="AY283" s="8">
        <f>IF(E283="금융","금융업 - 정의되지 않음",IF(AND(ISNUMBER(AW283),ISNUMBER(N283),ISNUMBER(O283),ISNUMBER(AV283)),"영업순이익+감가상각-설비투자-운전자본증감",IF(AND(ISNUMBER(P283),ISNUMBER(O283)),IF(ISNUMBER(Q283),"영업현금흐름-설비투자-주식보상비용","영업현금흐름-설비투자(주식보상비용 미태깅)"),"산출불가")))</f>
        <v/>
      </c>
      <c r="AZ283" s="19">
        <f>IF(AND(ISNUMBER(AX283),ISNUMBER(G283),G283&lt;&gt;0),AX283/G283,"")</f>
        <v/>
      </c>
      <c r="BA283" s="19">
        <f>IF(AND(ISNUMBER(AE283),ISNUMBER(G283),G283&lt;&gt;0),AE283/G283,"")</f>
        <v/>
      </c>
    </row>
    <row r="284">
      <c r="A284" s="8" t="inlineStr">
        <is>
          <t>ORCL</t>
        </is>
      </c>
      <c r="B284" s="8" t="inlineStr">
        <is>
          <t>ORACLE CORP</t>
        </is>
      </c>
      <c r="C284" s="8" t="n">
        <v>2019</v>
      </c>
      <c r="D284" s="8" t="inlineStr">
        <is>
          <t>2020-05-31</t>
        </is>
      </c>
      <c r="E284" s="8" t="inlineStr">
        <is>
          <t>일반</t>
        </is>
      </c>
      <c r="F284" s="8" t="inlineStr">
        <is>
          <t>0001564590-22-023675</t>
        </is>
      </c>
      <c r="G284" s="15" t="n">
        <v>39.068</v>
      </c>
      <c r="H284" s="15" t="n">
        <v>12.063</v>
      </c>
      <c r="I284" s="15" t="n">
        <v>1.995</v>
      </c>
      <c r="J284" s="15" t="n">
        <v>1.928</v>
      </c>
      <c r="K284" s="15" t="n">
        <v>13.896</v>
      </c>
      <c r="L284" s="15" t="n">
        <v>10.135</v>
      </c>
      <c r="M284" s="15" t="n"/>
      <c r="N284" s="15" t="n">
        <v>1.382</v>
      </c>
      <c r="O284" s="15" t="n">
        <v>1.564</v>
      </c>
      <c r="P284" s="15" t="n">
        <v>13.139</v>
      </c>
      <c r="Q284" s="15" t="n">
        <v>1.59</v>
      </c>
      <c r="R284" s="15" t="n">
        <v>12.074</v>
      </c>
      <c r="S284" s="15" t="n">
        <v>21.785</v>
      </c>
      <c r="T284" s="15" t="n">
        <v>43.057</v>
      </c>
      <c r="U284" s="15" t="n">
        <v>37.827</v>
      </c>
      <c r="V284" s="15" t="n">
        <v>2.371</v>
      </c>
      <c r="W284" s="15" t="n">
        <v>4.494</v>
      </c>
      <c r="X284" s="15" t="n"/>
      <c r="Y284" s="15" t="n">
        <v>52.14</v>
      </c>
      <c r="Z284" s="15" t="n">
        <v>46.386</v>
      </c>
      <c r="AA284" s="15" t="n">
        <v>17.2</v>
      </c>
      <c r="AB284" s="15" t="n">
        <v>18.63</v>
      </c>
      <c r="AC284" s="15" t="n">
        <v>-11.548</v>
      </c>
      <c r="AD284" s="16" t="n">
        <v>3335.819</v>
      </c>
      <c r="AE284" s="17">
        <f>IF(ISNUMBER(K284),K284,IF(AND(ISNUMBER(H284),ISNUMBER(I284)),H284+I284,IF(ISNUMBER(H284),H284,"")))</f>
        <v/>
      </c>
      <c r="AF284" s="18">
        <f>IF(OR(NOT(ISNUMBER(J284)),NOT(ISNUMBER(H284)),H284&lt;=0),기준표!$B$8,MIN(MAX(J284/H284,기준표!$B$6),기준표!$B$7))</f>
        <v/>
      </c>
      <c r="AG284" s="17">
        <f>IF(ISNUMBER(AE284),AE284*(1-AF284),"")</f>
        <v/>
      </c>
      <c r="AH284" s="17">
        <f>IF(AND(NOT(ISNUMBER(V284)),NOT(ISNUMBER(X284))),"",IF(ISNUMBER(V284),V284,0)+IF(ISNUMBER(X284),X284,0))</f>
        <v/>
      </c>
      <c r="AI284" s="17">
        <f>IF(E284="금융","",IF(AND(ISNUMBER(R284),ISNUMBER(AH284),ISNUMBER(T284)),R284+AH284-T284,""))</f>
        <v/>
      </c>
      <c r="AJ284" s="17">
        <f>IF(E284="금융","",IF(NOT(ISNUMBER(AI284)),"",IF(ISNUMBER(AC284),(AI284+AC284)/2,AI284)))</f>
        <v/>
      </c>
      <c r="AK284" s="19">
        <f>IF(AND(ISNUMBER(AG284),ISNUMBER(AJ284),AJ284&gt;0),AG284/AJ284,"")</f>
        <v/>
      </c>
      <c r="AL284" s="17">
        <f>IF(E284="금융","",IF(AND(ISNUMBER(R284),ISNUMBER(AH284)),R284+AH284,""))</f>
        <v/>
      </c>
      <c r="AM284" s="19">
        <f>IF(OR(NOT(ISNUMBER(AG284)),NOT(ISNUMBER(AL284)),AL284&lt;=0),"",IF(AND(ISNUMBER(G284),AL284&lt;0.1*G284),"",AG284/AL284))</f>
        <v/>
      </c>
      <c r="AN284" s="17">
        <f>IF(NOT(ISNUMBER(R284)),"",IF(ISNUMBER(S284),(R284+S284)/2,R284))</f>
        <v/>
      </c>
      <c r="AO284" s="19">
        <f>IF(AND(ISNUMBER(L284),ISNUMBER(AN284),AN284&gt;0),L284/AN284,"")</f>
        <v/>
      </c>
      <c r="AP284" s="19">
        <f>IF(AND(ISNUMBER(AO284),ISNUMBER({ROIC})),AO284-{ROIC},"")</f>
        <v/>
      </c>
      <c r="AQ284" s="17">
        <f>IF(AND(ISNUMBER(AE284),ISNUMBER(N284)),AE284+N284,"")</f>
        <v/>
      </c>
      <c r="AR284" s="20">
        <f>IF(AND(ISNUMBER(AH284),ISNUMBER(T284),ISNUMBER(AQ284),AQ284&gt;0),(AH284-T284)/AQ284,"")</f>
        <v/>
      </c>
      <c r="AS284" s="20">
        <f>IF(AND(ISNUMBER(AE284),ISNUMBER(I284),I284&lt;&gt;0,AE284&gt;0),AE284/I284,"")</f>
        <v/>
      </c>
      <c r="AT284" s="17">
        <f>IF(AND(ISNUMBER(Y284),ISNUMBER(AA284)),Y284-IF(ISNUMBER(T284),T284,0)-(AA284-IF(ISNUMBER(V284),V284,0)),"")</f>
        <v/>
      </c>
      <c r="AU284" s="17">
        <f>IF(AND(ISNUMBER(Z284),ISNUMBER(AB284)),Z284-IF(ISNUMBER(U284),U284,0)-(AB284-IF(ISNUMBER(W284),W284,0)),"")</f>
        <v/>
      </c>
      <c r="AV284" s="17">
        <f>IF(AND(ISNUMBER(AT284),ISNUMBER(AU284)),AT284-AU284,"")</f>
        <v/>
      </c>
      <c r="AW284" s="17">
        <f>IF(AND(ISNUMBER(L284),ISNUMBER(M284),ISNUMBER(AF284)),L284-M284*(1-AF284),IF(ISNUMBER(L284),L284,""))</f>
        <v/>
      </c>
      <c r="AX284" s="17">
        <f>IF(E284="금융","",IF(AND(ISNUMBER(AW284),ISNUMBER(N284),ISNUMBER(O284),ISNUMBER(AV284)),AW284+N284-O284-AV284,IF(AND(ISNUMBER(P284),ISNUMBER(O284)),P284-O284-IF(ISNUMBER(Q284),Q284,0),"")))</f>
        <v/>
      </c>
      <c r="AY284" s="8">
        <f>IF(E284="금융","금융업 - 정의되지 않음",IF(AND(ISNUMBER(AW284),ISNUMBER(N284),ISNUMBER(O284),ISNUMBER(AV284)),"영업순이익+감가상각-설비투자-운전자본증감",IF(AND(ISNUMBER(P284),ISNUMBER(O284)),IF(ISNUMBER(Q284),"영업현금흐름-설비투자-주식보상비용","영업현금흐름-설비투자(주식보상비용 미태깅)"),"산출불가")))</f>
        <v/>
      </c>
      <c r="AZ284" s="19">
        <f>IF(AND(ISNUMBER(AX284),ISNUMBER(G284),G284&lt;&gt;0),AX284/G284,"")</f>
        <v/>
      </c>
      <c r="BA284" s="19">
        <f>IF(AND(ISNUMBER(AE284),ISNUMBER(G284),G284&lt;&gt;0),AE284/G284,"")</f>
        <v/>
      </c>
    </row>
    <row r="285">
      <c r="A285" s="8" t="inlineStr">
        <is>
          <t>ORCL</t>
        </is>
      </c>
      <c r="B285" s="8" t="inlineStr">
        <is>
          <t>ORACLE CORP</t>
        </is>
      </c>
      <c r="C285" s="8" t="n">
        <v>2020</v>
      </c>
      <c r="D285" s="8" t="inlineStr">
        <is>
          <t>2021-05-31</t>
        </is>
      </c>
      <c r="E285" s="8" t="inlineStr">
        <is>
          <t>일반</t>
        </is>
      </c>
      <c r="F285" s="8" t="inlineStr">
        <is>
          <t>0000950170-23-028914</t>
        </is>
      </c>
      <c r="G285" s="15" t="n">
        <v>40.479</v>
      </c>
      <c r="H285" s="15" t="n">
        <v>12.999</v>
      </c>
      <c r="I285" s="15" t="n">
        <v>2.496</v>
      </c>
      <c r="J285" s="15" t="n">
        <v>-0.747</v>
      </c>
      <c r="K285" s="15" t="n">
        <v>15.213</v>
      </c>
      <c r="L285" s="15" t="n">
        <v>13.746</v>
      </c>
      <c r="M285" s="15" t="n">
        <v>0.262</v>
      </c>
      <c r="N285" s="15" t="n">
        <v>1.537</v>
      </c>
      <c r="O285" s="15" t="n">
        <v>2.135</v>
      </c>
      <c r="P285" s="15" t="n">
        <v>15.887</v>
      </c>
      <c r="Q285" s="15" t="n">
        <v>1.837</v>
      </c>
      <c r="R285" s="15" t="n">
        <v>5.238</v>
      </c>
      <c r="S285" s="15" t="n">
        <v>12.074</v>
      </c>
      <c r="T285" s="15" t="n">
        <v>46.554</v>
      </c>
      <c r="U285" s="15" t="n">
        <v>43.057</v>
      </c>
      <c r="V285" s="15" t="n">
        <v>8.25</v>
      </c>
      <c r="W285" s="15" t="n">
        <v>2.371</v>
      </c>
      <c r="X285" s="15" t="n"/>
      <c r="Y285" s="15" t="n">
        <v>55.567</v>
      </c>
      <c r="Z285" s="15" t="n">
        <v>52.14</v>
      </c>
      <c r="AA285" s="15" t="n">
        <v>24.164</v>
      </c>
      <c r="AB285" s="15" t="n">
        <v>17.2</v>
      </c>
      <c r="AC285" s="15" t="n">
        <v>-28.612</v>
      </c>
      <c r="AD285" s="16" t="n">
        <v>3068.682</v>
      </c>
      <c r="AE285" s="17">
        <f>IF(ISNUMBER(K285),K285,IF(AND(ISNUMBER(H285),ISNUMBER(I285)),H285+I285,IF(ISNUMBER(H285),H285,"")))</f>
        <v/>
      </c>
      <c r="AF285" s="18">
        <f>IF(OR(NOT(ISNUMBER(J285)),NOT(ISNUMBER(H285)),H285&lt;=0),기준표!$B$8,MIN(MAX(J285/H285,기준표!$B$6),기준표!$B$7))</f>
        <v/>
      </c>
      <c r="AG285" s="17">
        <f>IF(ISNUMBER(AE285),AE285*(1-AF285),"")</f>
        <v/>
      </c>
      <c r="AH285" s="17">
        <f>IF(AND(NOT(ISNUMBER(V285)),NOT(ISNUMBER(X285))),"",IF(ISNUMBER(V285),V285,0)+IF(ISNUMBER(X285),X285,0))</f>
        <v/>
      </c>
      <c r="AI285" s="17">
        <f>IF(E285="금융","",IF(AND(ISNUMBER(R285),ISNUMBER(AH285),ISNUMBER(T285)),R285+AH285-T285,""))</f>
        <v/>
      </c>
      <c r="AJ285" s="17">
        <f>IF(E285="금융","",IF(NOT(ISNUMBER(AI285)),"",IF(ISNUMBER(AC285),(AI285+AC285)/2,AI285)))</f>
        <v/>
      </c>
      <c r="AK285" s="19">
        <f>IF(AND(ISNUMBER(AG285),ISNUMBER(AJ285),AJ285&gt;0),AG285/AJ285,"")</f>
        <v/>
      </c>
      <c r="AL285" s="17">
        <f>IF(E285="금융","",IF(AND(ISNUMBER(R285),ISNUMBER(AH285)),R285+AH285,""))</f>
        <v/>
      </c>
      <c r="AM285" s="19">
        <f>IF(OR(NOT(ISNUMBER(AG285)),NOT(ISNUMBER(AL285)),AL285&lt;=0),"",IF(AND(ISNUMBER(G285),AL285&lt;0.1*G285),"",AG285/AL285))</f>
        <v/>
      </c>
      <c r="AN285" s="17">
        <f>IF(NOT(ISNUMBER(R285)),"",IF(ISNUMBER(S285),(R285+S285)/2,R285))</f>
        <v/>
      </c>
      <c r="AO285" s="19">
        <f>IF(AND(ISNUMBER(L285),ISNUMBER(AN285),AN285&gt;0),L285/AN285,"")</f>
        <v/>
      </c>
      <c r="AP285" s="19">
        <f>IF(AND(ISNUMBER(AO285),ISNUMBER({ROIC})),AO285-{ROIC},"")</f>
        <v/>
      </c>
      <c r="AQ285" s="17">
        <f>IF(AND(ISNUMBER(AE285),ISNUMBER(N285)),AE285+N285,"")</f>
        <v/>
      </c>
      <c r="AR285" s="20">
        <f>IF(AND(ISNUMBER(AH285),ISNUMBER(T285),ISNUMBER(AQ285),AQ285&gt;0),(AH285-T285)/AQ285,"")</f>
        <v/>
      </c>
      <c r="AS285" s="20">
        <f>IF(AND(ISNUMBER(AE285),ISNUMBER(I285),I285&lt;&gt;0,AE285&gt;0),AE285/I285,"")</f>
        <v/>
      </c>
      <c r="AT285" s="17">
        <f>IF(AND(ISNUMBER(Y285),ISNUMBER(AA285)),Y285-IF(ISNUMBER(T285),T285,0)-(AA285-IF(ISNUMBER(V285),V285,0)),"")</f>
        <v/>
      </c>
      <c r="AU285" s="17">
        <f>IF(AND(ISNUMBER(Z285),ISNUMBER(AB285)),Z285-IF(ISNUMBER(U285),U285,0)-(AB285-IF(ISNUMBER(W285),W285,0)),"")</f>
        <v/>
      </c>
      <c r="AV285" s="17">
        <f>IF(AND(ISNUMBER(AT285),ISNUMBER(AU285)),AT285-AU285,"")</f>
        <v/>
      </c>
      <c r="AW285" s="17">
        <f>IF(AND(ISNUMBER(L285),ISNUMBER(M285),ISNUMBER(AF285)),L285-M285*(1-AF285),IF(ISNUMBER(L285),L285,""))</f>
        <v/>
      </c>
      <c r="AX285" s="17">
        <f>IF(E285="금융","",IF(AND(ISNUMBER(AW285),ISNUMBER(N285),ISNUMBER(O285),ISNUMBER(AV285)),AW285+N285-O285-AV285,IF(AND(ISNUMBER(P285),ISNUMBER(O285)),P285-O285-IF(ISNUMBER(Q285),Q285,0),"")))</f>
        <v/>
      </c>
      <c r="AY285" s="8">
        <f>IF(E285="금융","금융업 - 정의되지 않음",IF(AND(ISNUMBER(AW285),ISNUMBER(N285),ISNUMBER(O285),ISNUMBER(AV285)),"영업순이익+감가상각-설비투자-운전자본증감",IF(AND(ISNUMBER(P285),ISNUMBER(O285)),IF(ISNUMBER(Q285),"영업현금흐름-설비투자-주식보상비용","영업현금흐름-설비투자(주식보상비용 미태깅)"),"산출불가")))</f>
        <v/>
      </c>
      <c r="AZ285" s="19">
        <f>IF(AND(ISNUMBER(AX285),ISNUMBER(G285),G285&lt;&gt;0),AX285/G285,"")</f>
        <v/>
      </c>
      <c r="BA285" s="19">
        <f>IF(AND(ISNUMBER(AE285),ISNUMBER(G285),G285&lt;&gt;0),AE285/G285,"")</f>
        <v/>
      </c>
    </row>
    <row r="286">
      <c r="A286" s="8" t="inlineStr">
        <is>
          <t>ORCL</t>
        </is>
      </c>
      <c r="B286" s="8" t="inlineStr">
        <is>
          <t>ORACLE CORP</t>
        </is>
      </c>
      <c r="C286" s="8" t="n">
        <v>2021</v>
      </c>
      <c r="D286" s="8" t="inlineStr">
        <is>
          <t>2022-05-31</t>
        </is>
      </c>
      <c r="E286" s="8" t="inlineStr">
        <is>
          <t>일반</t>
        </is>
      </c>
      <c r="F286" s="8" t="inlineStr">
        <is>
          <t>0000950170-24-075605</t>
        </is>
      </c>
      <c r="G286" s="15" t="n">
        <v>42.44</v>
      </c>
      <c r="H286" s="15" t="n">
        <v>7.649</v>
      </c>
      <c r="I286" s="15" t="n">
        <v>2.755</v>
      </c>
      <c r="J286" s="15" t="n">
        <v>0.9320000000000001</v>
      </c>
      <c r="K286" s="15" t="n">
        <v>10.926</v>
      </c>
      <c r="L286" s="15" t="n">
        <v>6.717</v>
      </c>
      <c r="M286" s="15" t="n">
        <v>-0.147</v>
      </c>
      <c r="N286" s="15" t="n">
        <v>1.972</v>
      </c>
      <c r="O286" s="15" t="n">
        <v>4.511</v>
      </c>
      <c r="P286" s="15" t="n">
        <v>9.539</v>
      </c>
      <c r="Q286" s="15" t="n">
        <v>2.613</v>
      </c>
      <c r="R286" s="15" t="n">
        <v>-6.22</v>
      </c>
      <c r="S286" s="15" t="n">
        <v>5.238</v>
      </c>
      <c r="T286" s="15" t="n">
        <v>21.902</v>
      </c>
      <c r="U286" s="15" t="n">
        <v>46.554</v>
      </c>
      <c r="V286" s="15" t="n">
        <v>3.749</v>
      </c>
      <c r="W286" s="15" t="n">
        <v>8.25</v>
      </c>
      <c r="X286" s="15" t="n">
        <v>0</v>
      </c>
      <c r="Y286" s="15" t="n">
        <v>31.633</v>
      </c>
      <c r="Z286" s="15" t="n">
        <v>55.567</v>
      </c>
      <c r="AA286" s="15" t="n">
        <v>19.511</v>
      </c>
      <c r="AB286" s="15" t="n">
        <v>24.164</v>
      </c>
      <c r="AC286" s="15" t="n">
        <v>-33.066</v>
      </c>
      <c r="AD286" s="16" t="n">
        <v>2792</v>
      </c>
      <c r="AE286" s="17">
        <f>IF(ISNUMBER(K286),K286,IF(AND(ISNUMBER(H286),ISNUMBER(I286)),H286+I286,IF(ISNUMBER(H286),H286,"")))</f>
        <v/>
      </c>
      <c r="AF286" s="18">
        <f>IF(OR(NOT(ISNUMBER(J286)),NOT(ISNUMBER(H286)),H286&lt;=0),기준표!$B$8,MIN(MAX(J286/H286,기준표!$B$6),기준표!$B$7))</f>
        <v/>
      </c>
      <c r="AG286" s="17">
        <f>IF(ISNUMBER(AE286),AE286*(1-AF286),"")</f>
        <v/>
      </c>
      <c r="AH286" s="17">
        <f>IF(AND(NOT(ISNUMBER(V286)),NOT(ISNUMBER(X286))),"",IF(ISNUMBER(V286),V286,0)+IF(ISNUMBER(X286),X286,0))</f>
        <v/>
      </c>
      <c r="AI286" s="17">
        <f>IF(E286="금융","",IF(AND(ISNUMBER(R286),ISNUMBER(AH286),ISNUMBER(T286)),R286+AH286-T286,""))</f>
        <v/>
      </c>
      <c r="AJ286" s="17">
        <f>IF(E286="금융","",IF(NOT(ISNUMBER(AI286)),"",IF(ISNUMBER(AC286),(AI286+AC286)/2,AI286)))</f>
        <v/>
      </c>
      <c r="AK286" s="19">
        <f>IF(AND(ISNUMBER(AG286),ISNUMBER(AJ286),AJ286&gt;0),AG286/AJ286,"")</f>
        <v/>
      </c>
      <c r="AL286" s="17">
        <f>IF(E286="금융","",IF(AND(ISNUMBER(R286),ISNUMBER(AH286)),R286+AH286,""))</f>
        <v/>
      </c>
      <c r="AM286" s="19">
        <f>IF(OR(NOT(ISNUMBER(AG286)),NOT(ISNUMBER(AL286)),AL286&lt;=0),"",IF(AND(ISNUMBER(G286),AL286&lt;0.1*G286),"",AG286/AL286))</f>
        <v/>
      </c>
      <c r="AN286" s="17">
        <f>IF(NOT(ISNUMBER(R286)),"",IF(ISNUMBER(S286),(R286+S286)/2,R286))</f>
        <v/>
      </c>
      <c r="AO286" s="19">
        <f>IF(AND(ISNUMBER(L286),ISNUMBER(AN286),AN286&gt;0),L286/AN286,"")</f>
        <v/>
      </c>
      <c r="AP286" s="19">
        <f>IF(AND(ISNUMBER(AO286),ISNUMBER({ROIC})),AO286-{ROIC},"")</f>
        <v/>
      </c>
      <c r="AQ286" s="17">
        <f>IF(AND(ISNUMBER(AE286),ISNUMBER(N286)),AE286+N286,"")</f>
        <v/>
      </c>
      <c r="AR286" s="20">
        <f>IF(AND(ISNUMBER(AH286),ISNUMBER(T286),ISNUMBER(AQ286),AQ286&gt;0),(AH286-T286)/AQ286,"")</f>
        <v/>
      </c>
      <c r="AS286" s="20">
        <f>IF(AND(ISNUMBER(AE286),ISNUMBER(I286),I286&lt;&gt;0,AE286&gt;0),AE286/I286,"")</f>
        <v/>
      </c>
      <c r="AT286" s="17">
        <f>IF(AND(ISNUMBER(Y286),ISNUMBER(AA286)),Y286-IF(ISNUMBER(T286),T286,0)-(AA286-IF(ISNUMBER(V286),V286,0)),"")</f>
        <v/>
      </c>
      <c r="AU286" s="17">
        <f>IF(AND(ISNUMBER(Z286),ISNUMBER(AB286)),Z286-IF(ISNUMBER(U286),U286,0)-(AB286-IF(ISNUMBER(W286),W286,0)),"")</f>
        <v/>
      </c>
      <c r="AV286" s="17">
        <f>IF(AND(ISNUMBER(AT286),ISNUMBER(AU286)),AT286-AU286,"")</f>
        <v/>
      </c>
      <c r="AW286" s="17">
        <f>IF(AND(ISNUMBER(L286),ISNUMBER(M286),ISNUMBER(AF286)),L286-M286*(1-AF286),IF(ISNUMBER(L286),L286,""))</f>
        <v/>
      </c>
      <c r="AX286" s="17">
        <f>IF(E286="금융","",IF(AND(ISNUMBER(AW286),ISNUMBER(N286),ISNUMBER(O286),ISNUMBER(AV286)),AW286+N286-O286-AV286,IF(AND(ISNUMBER(P286),ISNUMBER(O286)),P286-O286-IF(ISNUMBER(Q286),Q286,0),"")))</f>
        <v/>
      </c>
      <c r="AY286" s="8">
        <f>IF(E286="금융","금융업 - 정의되지 않음",IF(AND(ISNUMBER(AW286),ISNUMBER(N286),ISNUMBER(O286),ISNUMBER(AV286)),"영업순이익+감가상각-설비투자-운전자본증감",IF(AND(ISNUMBER(P286),ISNUMBER(O286)),IF(ISNUMBER(Q286),"영업현금흐름-설비투자-주식보상비용","영업현금흐름-설비투자(주식보상비용 미태깅)"),"산출불가")))</f>
        <v/>
      </c>
      <c r="AZ286" s="19">
        <f>IF(AND(ISNUMBER(AX286),ISNUMBER(G286),G286&lt;&gt;0),AX286/G286,"")</f>
        <v/>
      </c>
      <c r="BA286" s="19">
        <f>IF(AND(ISNUMBER(AE286),ISNUMBER(G286),G286&lt;&gt;0),AE286/G286,"")</f>
        <v/>
      </c>
    </row>
    <row r="287">
      <c r="A287" s="8" t="inlineStr">
        <is>
          <t>ORCL</t>
        </is>
      </c>
      <c r="B287" s="8" t="inlineStr">
        <is>
          <t>ORACLE CORP</t>
        </is>
      </c>
      <c r="C287" s="8" t="n">
        <v>2022</v>
      </c>
      <c r="D287" s="8" t="inlineStr">
        <is>
          <t>2023-05-31</t>
        </is>
      </c>
      <c r="E287" s="8" t="inlineStr">
        <is>
          <t>일반</t>
        </is>
      </c>
      <c r="F287" s="8" t="inlineStr">
        <is>
          <t>0000950170-25-087926</t>
        </is>
      </c>
      <c r="G287" s="15" t="n">
        <v>49.954</v>
      </c>
      <c r="H287" s="15" t="n">
        <v>9.125999999999999</v>
      </c>
      <c r="I287" s="15" t="n">
        <v>3.505</v>
      </c>
      <c r="J287" s="15" t="n">
        <v>0.623</v>
      </c>
      <c r="K287" s="15" t="n">
        <v>13.093</v>
      </c>
      <c r="L287" s="15" t="n">
        <v>8.503</v>
      </c>
      <c r="M287" s="15" t="n">
        <v>-0.327</v>
      </c>
      <c r="N287" s="15" t="n">
        <v>2.526</v>
      </c>
      <c r="O287" s="15" t="n">
        <v>8.695</v>
      </c>
      <c r="P287" s="15" t="n">
        <v>17.165</v>
      </c>
      <c r="Q287" s="15" t="n">
        <v>3.547</v>
      </c>
      <c r="R287" s="15" t="n">
        <v>1.073</v>
      </c>
      <c r="S287" s="15" t="n">
        <v>-6.22</v>
      </c>
      <c r="T287" s="15" t="n">
        <v>10.187</v>
      </c>
      <c r="U287" s="15" t="n">
        <v>21.902</v>
      </c>
      <c r="V287" s="15" t="n">
        <v>4.061</v>
      </c>
      <c r="W287" s="15" t="n">
        <v>3.749</v>
      </c>
      <c r="X287" s="15" t="n"/>
      <c r="Y287" s="15" t="n">
        <v>21.004</v>
      </c>
      <c r="Z287" s="15" t="n">
        <v>31.633</v>
      </c>
      <c r="AA287" s="15" t="n">
        <v>23.09</v>
      </c>
      <c r="AB287" s="15" t="n">
        <v>19.511</v>
      </c>
      <c r="AC287" s="15" t="n">
        <v>-24.373</v>
      </c>
      <c r="AD287" s="16" t="n">
        <v>2664.926</v>
      </c>
      <c r="AE287" s="17">
        <f>IF(ISNUMBER(K287),K287,IF(AND(ISNUMBER(H287),ISNUMBER(I287)),H287+I287,IF(ISNUMBER(H287),H287,"")))</f>
        <v/>
      </c>
      <c r="AF287" s="18">
        <f>IF(OR(NOT(ISNUMBER(J287)),NOT(ISNUMBER(H287)),H287&lt;=0),기준표!$B$8,MIN(MAX(J287/H287,기준표!$B$6),기준표!$B$7))</f>
        <v/>
      </c>
      <c r="AG287" s="17">
        <f>IF(ISNUMBER(AE287),AE287*(1-AF287),"")</f>
        <v/>
      </c>
      <c r="AH287" s="17">
        <f>IF(AND(NOT(ISNUMBER(V287)),NOT(ISNUMBER(X287))),"",IF(ISNUMBER(V287),V287,0)+IF(ISNUMBER(X287),X287,0))</f>
        <v/>
      </c>
      <c r="AI287" s="17">
        <f>IF(E287="금융","",IF(AND(ISNUMBER(R287),ISNUMBER(AH287),ISNUMBER(T287)),R287+AH287-T287,""))</f>
        <v/>
      </c>
      <c r="AJ287" s="17">
        <f>IF(E287="금융","",IF(NOT(ISNUMBER(AI287)),"",IF(ISNUMBER(AC287),(AI287+AC287)/2,AI287)))</f>
        <v/>
      </c>
      <c r="AK287" s="19">
        <f>IF(AND(ISNUMBER(AG287),ISNUMBER(AJ287),AJ287&gt;0),AG287/AJ287,"")</f>
        <v/>
      </c>
      <c r="AL287" s="17">
        <f>IF(E287="금융","",IF(AND(ISNUMBER(R287),ISNUMBER(AH287)),R287+AH287,""))</f>
        <v/>
      </c>
      <c r="AM287" s="19">
        <f>IF(OR(NOT(ISNUMBER(AG287)),NOT(ISNUMBER(AL287)),AL287&lt;=0),"",IF(AND(ISNUMBER(G287),AL287&lt;0.1*G287),"",AG287/AL287))</f>
        <v/>
      </c>
      <c r="AN287" s="17">
        <f>IF(NOT(ISNUMBER(R287)),"",IF(ISNUMBER(S287),(R287+S287)/2,R287))</f>
        <v/>
      </c>
      <c r="AO287" s="19">
        <f>IF(AND(ISNUMBER(L287),ISNUMBER(AN287),AN287&gt;0),L287/AN287,"")</f>
        <v/>
      </c>
      <c r="AP287" s="19">
        <f>IF(AND(ISNUMBER(AO287),ISNUMBER({ROIC})),AO287-{ROIC},"")</f>
        <v/>
      </c>
      <c r="AQ287" s="17">
        <f>IF(AND(ISNUMBER(AE287),ISNUMBER(N287)),AE287+N287,"")</f>
        <v/>
      </c>
      <c r="AR287" s="20">
        <f>IF(AND(ISNUMBER(AH287),ISNUMBER(T287),ISNUMBER(AQ287),AQ287&gt;0),(AH287-T287)/AQ287,"")</f>
        <v/>
      </c>
      <c r="AS287" s="20">
        <f>IF(AND(ISNUMBER(AE287),ISNUMBER(I287),I287&lt;&gt;0,AE287&gt;0),AE287/I287,"")</f>
        <v/>
      </c>
      <c r="AT287" s="17">
        <f>IF(AND(ISNUMBER(Y287),ISNUMBER(AA287)),Y287-IF(ISNUMBER(T287),T287,0)-(AA287-IF(ISNUMBER(V287),V287,0)),"")</f>
        <v/>
      </c>
      <c r="AU287" s="17">
        <f>IF(AND(ISNUMBER(Z287),ISNUMBER(AB287)),Z287-IF(ISNUMBER(U287),U287,0)-(AB287-IF(ISNUMBER(W287),W287,0)),"")</f>
        <v/>
      </c>
      <c r="AV287" s="17">
        <f>IF(AND(ISNUMBER(AT287),ISNUMBER(AU287)),AT287-AU287,"")</f>
        <v/>
      </c>
      <c r="AW287" s="17">
        <f>IF(AND(ISNUMBER(L287),ISNUMBER(M287),ISNUMBER(AF287)),L287-M287*(1-AF287),IF(ISNUMBER(L287),L287,""))</f>
        <v/>
      </c>
      <c r="AX287" s="17">
        <f>IF(E287="금융","",IF(AND(ISNUMBER(AW287),ISNUMBER(N287),ISNUMBER(O287),ISNUMBER(AV287)),AW287+N287-O287-AV287,IF(AND(ISNUMBER(P287),ISNUMBER(O287)),P287-O287-IF(ISNUMBER(Q287),Q287,0),"")))</f>
        <v/>
      </c>
      <c r="AY287" s="8">
        <f>IF(E287="금융","금융업 - 정의되지 않음",IF(AND(ISNUMBER(AW287),ISNUMBER(N287),ISNUMBER(O287),ISNUMBER(AV287)),"영업순이익+감가상각-설비투자-운전자본증감",IF(AND(ISNUMBER(P287),ISNUMBER(O287)),IF(ISNUMBER(Q287),"영업현금흐름-설비투자-주식보상비용","영업현금흐름-설비투자(주식보상비용 미태깅)"),"산출불가")))</f>
        <v/>
      </c>
      <c r="AZ287" s="19">
        <f>IF(AND(ISNUMBER(AX287),ISNUMBER(G287),G287&lt;&gt;0),AX287/G287,"")</f>
        <v/>
      </c>
      <c r="BA287" s="19">
        <f>IF(AND(ISNUMBER(AE287),ISNUMBER(G287),G287&lt;&gt;0),AE287/G287,"")</f>
        <v/>
      </c>
    </row>
    <row r="288">
      <c r="A288" s="8" t="inlineStr">
        <is>
          <t>ORCL</t>
        </is>
      </c>
      <c r="B288" s="8" t="inlineStr">
        <is>
          <t>ORACLE CORP</t>
        </is>
      </c>
      <c r="C288" s="8" t="n">
        <v>2023</v>
      </c>
      <c r="D288" s="8" t="inlineStr">
        <is>
          <t>2024-05-31</t>
        </is>
      </c>
      <c r="E288" s="8" t="inlineStr">
        <is>
          <t>일반</t>
        </is>
      </c>
      <c r="F288" s="8" t="inlineStr">
        <is>
          <t>0001193125-26-277521</t>
        </is>
      </c>
      <c r="G288" s="15" t="n">
        <v>52.961</v>
      </c>
      <c r="H288" s="15" t="n">
        <v>11.741</v>
      </c>
      <c r="I288" s="15" t="n">
        <v>3.514</v>
      </c>
      <c r="J288" s="15" t="n">
        <v>1.274</v>
      </c>
      <c r="K288" s="15" t="n">
        <v>15.353</v>
      </c>
      <c r="L288" s="15" t="n">
        <v>10.467</v>
      </c>
      <c r="M288" s="15" t="n">
        <v>-0.303</v>
      </c>
      <c r="N288" s="15" t="n">
        <v>3.129</v>
      </c>
      <c r="O288" s="15" t="n">
        <v>6.866</v>
      </c>
      <c r="P288" s="15" t="n">
        <v>18.673</v>
      </c>
      <c r="Q288" s="15" t="n">
        <v>3.974</v>
      </c>
      <c r="R288" s="15" t="n">
        <v>8.704000000000001</v>
      </c>
      <c r="S288" s="15" t="n">
        <v>1.073</v>
      </c>
      <c r="T288" s="15" t="n">
        <v>10.661</v>
      </c>
      <c r="U288" s="15" t="n">
        <v>10.187</v>
      </c>
      <c r="V288" s="15" t="n">
        <v>10.605</v>
      </c>
      <c r="W288" s="15" t="n">
        <v>4.061</v>
      </c>
      <c r="X288" s="15" t="n"/>
      <c r="Y288" s="15" t="n">
        <v>22.554</v>
      </c>
      <c r="Z288" s="15" t="n">
        <v>21.004</v>
      </c>
      <c r="AA288" s="15" t="n">
        <v>31.544</v>
      </c>
      <c r="AB288" s="15" t="n">
        <v>23.09</v>
      </c>
      <c r="AC288" s="15" t="n">
        <v>-5.053</v>
      </c>
      <c r="AD288" s="16" t="n">
        <v>2714.259</v>
      </c>
      <c r="AE288" s="17">
        <f>IF(ISNUMBER(K288),K288,IF(AND(ISNUMBER(H288),ISNUMBER(I288)),H288+I288,IF(ISNUMBER(H288),H288,"")))</f>
        <v/>
      </c>
      <c r="AF288" s="18">
        <f>IF(OR(NOT(ISNUMBER(J288)),NOT(ISNUMBER(H288)),H288&lt;=0),기준표!$B$8,MIN(MAX(J288/H288,기준표!$B$6),기준표!$B$7))</f>
        <v/>
      </c>
      <c r="AG288" s="17">
        <f>IF(ISNUMBER(AE288),AE288*(1-AF288),"")</f>
        <v/>
      </c>
      <c r="AH288" s="17">
        <f>IF(AND(NOT(ISNUMBER(V288)),NOT(ISNUMBER(X288))),"",IF(ISNUMBER(V288),V288,0)+IF(ISNUMBER(X288),X288,0))</f>
        <v/>
      </c>
      <c r="AI288" s="17">
        <f>IF(E288="금융","",IF(AND(ISNUMBER(R288),ISNUMBER(AH288),ISNUMBER(T288)),R288+AH288-T288,""))</f>
        <v/>
      </c>
      <c r="AJ288" s="17">
        <f>IF(E288="금융","",IF(NOT(ISNUMBER(AI288)),"",IF(ISNUMBER(AC288),(AI288+AC288)/2,AI288)))</f>
        <v/>
      </c>
      <c r="AK288" s="19">
        <f>IF(AND(ISNUMBER(AG288),ISNUMBER(AJ288),AJ288&gt;0),AG288/AJ288,"")</f>
        <v/>
      </c>
      <c r="AL288" s="17">
        <f>IF(E288="금융","",IF(AND(ISNUMBER(R288),ISNUMBER(AH288)),R288+AH288,""))</f>
        <v/>
      </c>
      <c r="AM288" s="19">
        <f>IF(OR(NOT(ISNUMBER(AG288)),NOT(ISNUMBER(AL288)),AL288&lt;=0),"",IF(AND(ISNUMBER(G288),AL288&lt;0.1*G288),"",AG288/AL288))</f>
        <v/>
      </c>
      <c r="AN288" s="17">
        <f>IF(NOT(ISNUMBER(R288)),"",IF(ISNUMBER(S288),(R288+S288)/2,R288))</f>
        <v/>
      </c>
      <c r="AO288" s="19">
        <f>IF(AND(ISNUMBER(L288),ISNUMBER(AN288),AN288&gt;0),L288/AN288,"")</f>
        <v/>
      </c>
      <c r="AP288" s="19">
        <f>IF(AND(ISNUMBER(AO288),ISNUMBER({ROIC})),AO288-{ROIC},"")</f>
        <v/>
      </c>
      <c r="AQ288" s="17">
        <f>IF(AND(ISNUMBER(AE288),ISNUMBER(N288)),AE288+N288,"")</f>
        <v/>
      </c>
      <c r="AR288" s="20">
        <f>IF(AND(ISNUMBER(AH288),ISNUMBER(T288),ISNUMBER(AQ288),AQ288&gt;0),(AH288-T288)/AQ288,"")</f>
        <v/>
      </c>
      <c r="AS288" s="20">
        <f>IF(AND(ISNUMBER(AE288),ISNUMBER(I288),I288&lt;&gt;0,AE288&gt;0),AE288/I288,"")</f>
        <v/>
      </c>
      <c r="AT288" s="17">
        <f>IF(AND(ISNUMBER(Y288),ISNUMBER(AA288)),Y288-IF(ISNUMBER(T288),T288,0)-(AA288-IF(ISNUMBER(V288),V288,0)),"")</f>
        <v/>
      </c>
      <c r="AU288" s="17">
        <f>IF(AND(ISNUMBER(Z288),ISNUMBER(AB288)),Z288-IF(ISNUMBER(U288),U288,0)-(AB288-IF(ISNUMBER(W288),W288,0)),"")</f>
        <v/>
      </c>
      <c r="AV288" s="17">
        <f>IF(AND(ISNUMBER(AT288),ISNUMBER(AU288)),AT288-AU288,"")</f>
        <v/>
      </c>
      <c r="AW288" s="17">
        <f>IF(AND(ISNUMBER(L288),ISNUMBER(M288),ISNUMBER(AF288)),L288-M288*(1-AF288),IF(ISNUMBER(L288),L288,""))</f>
        <v/>
      </c>
      <c r="AX288" s="17">
        <f>IF(E288="금융","",IF(AND(ISNUMBER(AW288),ISNUMBER(N288),ISNUMBER(O288),ISNUMBER(AV288)),AW288+N288-O288-AV288,IF(AND(ISNUMBER(P288),ISNUMBER(O288)),P288-O288-IF(ISNUMBER(Q288),Q288,0),"")))</f>
        <v/>
      </c>
      <c r="AY288" s="8">
        <f>IF(E288="금융","금융업 - 정의되지 않음",IF(AND(ISNUMBER(AW288),ISNUMBER(N288),ISNUMBER(O288),ISNUMBER(AV288)),"영업순이익+감가상각-설비투자-운전자본증감",IF(AND(ISNUMBER(P288),ISNUMBER(O288)),IF(ISNUMBER(Q288),"영업현금흐름-설비투자-주식보상비용","영업현금흐름-설비투자(주식보상비용 미태깅)"),"산출불가")))</f>
        <v/>
      </c>
      <c r="AZ288" s="19">
        <f>IF(AND(ISNUMBER(AX288),ISNUMBER(G288),G288&lt;&gt;0),AX288/G288,"")</f>
        <v/>
      </c>
      <c r="BA288" s="19">
        <f>IF(AND(ISNUMBER(AE288),ISNUMBER(G288),G288&lt;&gt;0),AE288/G288,"")</f>
        <v/>
      </c>
    </row>
    <row r="289">
      <c r="A289" s="8" t="inlineStr">
        <is>
          <t>ORCL</t>
        </is>
      </c>
      <c r="B289" s="8" t="inlineStr">
        <is>
          <t>ORACLE CORP</t>
        </is>
      </c>
      <c r="C289" s="8" t="n">
        <v>2024</v>
      </c>
      <c r="D289" s="8" t="inlineStr">
        <is>
          <t>2025-05-31</t>
        </is>
      </c>
      <c r="E289" s="8" t="inlineStr">
        <is>
          <t>일반</t>
        </is>
      </c>
      <c r="F289" s="8" t="inlineStr">
        <is>
          <t>0001193125-26-277521</t>
        </is>
      </c>
      <c r="G289" s="15" t="n">
        <v>57.399</v>
      </c>
      <c r="H289" s="15" t="n">
        <v>14.16</v>
      </c>
      <c r="I289" s="15" t="n">
        <v>3.578</v>
      </c>
      <c r="J289" s="15" t="n">
        <v>1.717</v>
      </c>
      <c r="K289" s="15" t="n">
        <v>17.678</v>
      </c>
      <c r="L289" s="15" t="n">
        <v>12.443</v>
      </c>
      <c r="M289" s="15" t="n">
        <v>-0.278</v>
      </c>
      <c r="N289" s="15" t="n">
        <v>3.867</v>
      </c>
      <c r="O289" s="15" t="n">
        <v>21.215</v>
      </c>
      <c r="P289" s="15" t="n">
        <v>20.821</v>
      </c>
      <c r="Q289" s="15" t="n">
        <v>4.674</v>
      </c>
      <c r="R289" s="15" t="n">
        <v>20.451</v>
      </c>
      <c r="S289" s="15" t="n">
        <v>8.704000000000001</v>
      </c>
      <c r="T289" s="15" t="n">
        <v>11.203</v>
      </c>
      <c r="U289" s="15" t="n">
        <v>10.661</v>
      </c>
      <c r="V289" s="15" t="n">
        <v>7.271</v>
      </c>
      <c r="W289" s="15" t="n">
        <v>10.605</v>
      </c>
      <c r="X289" s="15" t="n"/>
      <c r="Y289" s="15" t="n">
        <v>24.579</v>
      </c>
      <c r="Z289" s="15" t="n">
        <v>22.554</v>
      </c>
      <c r="AA289" s="15" t="n">
        <v>32.643</v>
      </c>
      <c r="AB289" s="15" t="n">
        <v>31.544</v>
      </c>
      <c r="AC289" s="15" t="n">
        <v>8.648</v>
      </c>
      <c r="AD289" s="16" t="n">
        <v>2755.86</v>
      </c>
      <c r="AE289" s="17">
        <f>IF(ISNUMBER(K289),K289,IF(AND(ISNUMBER(H289),ISNUMBER(I289)),H289+I289,IF(ISNUMBER(H289),H289,"")))</f>
        <v/>
      </c>
      <c r="AF289" s="18">
        <f>IF(OR(NOT(ISNUMBER(J289)),NOT(ISNUMBER(H289)),H289&lt;=0),기준표!$B$8,MIN(MAX(J289/H289,기준표!$B$6),기준표!$B$7))</f>
        <v/>
      </c>
      <c r="AG289" s="17">
        <f>IF(ISNUMBER(AE289),AE289*(1-AF289),"")</f>
        <v/>
      </c>
      <c r="AH289" s="17">
        <f>IF(AND(NOT(ISNUMBER(V289)),NOT(ISNUMBER(X289))),"",IF(ISNUMBER(V289),V289,0)+IF(ISNUMBER(X289),X289,0))</f>
        <v/>
      </c>
      <c r="AI289" s="17">
        <f>IF(E289="금융","",IF(AND(ISNUMBER(R289),ISNUMBER(AH289),ISNUMBER(T289)),R289+AH289-T289,""))</f>
        <v/>
      </c>
      <c r="AJ289" s="17">
        <f>IF(E289="금융","",IF(NOT(ISNUMBER(AI289)),"",IF(ISNUMBER(AC289),(AI289+AC289)/2,AI289)))</f>
        <v/>
      </c>
      <c r="AK289" s="19">
        <f>IF(AND(ISNUMBER(AG289),ISNUMBER(AJ289),AJ289&gt;0),AG289/AJ289,"")</f>
        <v/>
      </c>
      <c r="AL289" s="17">
        <f>IF(E289="금융","",IF(AND(ISNUMBER(R289),ISNUMBER(AH289)),R289+AH289,""))</f>
        <v/>
      </c>
      <c r="AM289" s="19">
        <f>IF(OR(NOT(ISNUMBER(AG289)),NOT(ISNUMBER(AL289)),AL289&lt;=0),"",IF(AND(ISNUMBER(G289),AL289&lt;0.1*G289),"",AG289/AL289))</f>
        <v/>
      </c>
      <c r="AN289" s="17">
        <f>IF(NOT(ISNUMBER(R289)),"",IF(ISNUMBER(S289),(R289+S289)/2,R289))</f>
        <v/>
      </c>
      <c r="AO289" s="19">
        <f>IF(AND(ISNUMBER(L289),ISNUMBER(AN289),AN289&gt;0),L289/AN289,"")</f>
        <v/>
      </c>
      <c r="AP289" s="19">
        <f>IF(AND(ISNUMBER(AO289),ISNUMBER({ROIC})),AO289-{ROIC},"")</f>
        <v/>
      </c>
      <c r="AQ289" s="17">
        <f>IF(AND(ISNUMBER(AE289),ISNUMBER(N289)),AE289+N289,"")</f>
        <v/>
      </c>
      <c r="AR289" s="20">
        <f>IF(AND(ISNUMBER(AH289),ISNUMBER(T289),ISNUMBER(AQ289),AQ289&gt;0),(AH289-T289)/AQ289,"")</f>
        <v/>
      </c>
      <c r="AS289" s="20">
        <f>IF(AND(ISNUMBER(AE289),ISNUMBER(I289),I289&lt;&gt;0,AE289&gt;0),AE289/I289,"")</f>
        <v/>
      </c>
      <c r="AT289" s="17">
        <f>IF(AND(ISNUMBER(Y289),ISNUMBER(AA289)),Y289-IF(ISNUMBER(T289),T289,0)-(AA289-IF(ISNUMBER(V289),V289,0)),"")</f>
        <v/>
      </c>
      <c r="AU289" s="17">
        <f>IF(AND(ISNUMBER(Z289),ISNUMBER(AB289)),Z289-IF(ISNUMBER(U289),U289,0)-(AB289-IF(ISNUMBER(W289),W289,0)),"")</f>
        <v/>
      </c>
      <c r="AV289" s="17">
        <f>IF(AND(ISNUMBER(AT289),ISNUMBER(AU289)),AT289-AU289,"")</f>
        <v/>
      </c>
      <c r="AW289" s="17">
        <f>IF(AND(ISNUMBER(L289),ISNUMBER(M289),ISNUMBER(AF289)),L289-M289*(1-AF289),IF(ISNUMBER(L289),L289,""))</f>
        <v/>
      </c>
      <c r="AX289" s="17">
        <f>IF(E289="금융","",IF(AND(ISNUMBER(AW289),ISNUMBER(N289),ISNUMBER(O289),ISNUMBER(AV289)),AW289+N289-O289-AV289,IF(AND(ISNUMBER(P289),ISNUMBER(O289)),P289-O289-IF(ISNUMBER(Q289),Q289,0),"")))</f>
        <v/>
      </c>
      <c r="AY289" s="8">
        <f>IF(E289="금융","금융업 - 정의되지 않음",IF(AND(ISNUMBER(AW289),ISNUMBER(N289),ISNUMBER(O289),ISNUMBER(AV289)),"영업순이익+감가상각-설비투자-운전자본증감",IF(AND(ISNUMBER(P289),ISNUMBER(O289)),IF(ISNUMBER(Q289),"영업현금흐름-설비투자-주식보상비용","영업현금흐름-설비투자(주식보상비용 미태깅)"),"산출불가")))</f>
        <v/>
      </c>
      <c r="AZ289" s="19">
        <f>IF(AND(ISNUMBER(AX289),ISNUMBER(G289),G289&lt;&gt;0),AX289/G289,"")</f>
        <v/>
      </c>
      <c r="BA289" s="19">
        <f>IF(AND(ISNUMBER(AE289),ISNUMBER(G289),G289&lt;&gt;0),AE289/G289,"")</f>
        <v/>
      </c>
    </row>
    <row r="290">
      <c r="A290" s="8" t="inlineStr">
        <is>
          <t>ORCL</t>
        </is>
      </c>
      <c r="B290" s="8" t="inlineStr">
        <is>
          <t>ORACLE CORP</t>
        </is>
      </c>
      <c r="C290" s="8" t="n">
        <v>2025</v>
      </c>
      <c r="D290" s="8" t="inlineStr">
        <is>
          <t>2026-05-31</t>
        </is>
      </c>
      <c r="E290" s="8" t="inlineStr">
        <is>
          <t>일반</t>
        </is>
      </c>
      <c r="F290" s="8" t="inlineStr">
        <is>
          <t>0001193125-26-277521</t>
        </is>
      </c>
      <c r="G290" s="15" t="n">
        <v>67.357</v>
      </c>
      <c r="H290" s="15" t="n">
        <v>19.554</v>
      </c>
      <c r="I290" s="15" t="n">
        <v>4.599</v>
      </c>
      <c r="J290" s="15" t="n">
        <v>2.467</v>
      </c>
      <c r="K290" s="15" t="n">
        <v>20.606</v>
      </c>
      <c r="L290" s="15" t="n">
        <v>17.087</v>
      </c>
      <c r="M290" s="15" t="n">
        <v>2.811</v>
      </c>
      <c r="N290" s="15" t="n">
        <v>7.623</v>
      </c>
      <c r="O290" s="15" t="n">
        <v>55.663</v>
      </c>
      <c r="P290" s="15" t="n">
        <v>31.977</v>
      </c>
      <c r="Q290" s="15" t="n">
        <v>4.811</v>
      </c>
      <c r="R290" s="15" t="n">
        <v>42.508</v>
      </c>
      <c r="S290" s="15" t="n">
        <v>20.451</v>
      </c>
      <c r="T290" s="15" t="n">
        <v>31.894</v>
      </c>
      <c r="U290" s="15" t="n">
        <v>11.203</v>
      </c>
      <c r="V290" s="15" t="n">
        <v>7.199</v>
      </c>
      <c r="W290" s="15" t="n">
        <v>7.271</v>
      </c>
      <c r="X290" s="15" t="n"/>
      <c r="Y290" s="15" t="n">
        <v>46.567</v>
      </c>
      <c r="Z290" s="15" t="n">
        <v>24.579</v>
      </c>
      <c r="AA290" s="15" t="n">
        <v>41.764</v>
      </c>
      <c r="AB290" s="15" t="n">
        <v>32.643</v>
      </c>
      <c r="AC290" s="15" t="n">
        <v>16.519</v>
      </c>
      <c r="AD290" s="16" t="n">
        <v>2808.833</v>
      </c>
      <c r="AE290" s="17">
        <f>IF(ISNUMBER(K290),K290,IF(AND(ISNUMBER(H290),ISNUMBER(I290)),H290+I290,IF(ISNUMBER(H290),H290,"")))</f>
        <v/>
      </c>
      <c r="AF290" s="18">
        <f>IF(OR(NOT(ISNUMBER(J290)),NOT(ISNUMBER(H290)),H290&lt;=0),기준표!$B$8,MIN(MAX(J290/H290,기준표!$B$6),기준표!$B$7))</f>
        <v/>
      </c>
      <c r="AG290" s="17">
        <f>IF(ISNUMBER(AE290),AE290*(1-AF290),"")</f>
        <v/>
      </c>
      <c r="AH290" s="17">
        <f>IF(AND(NOT(ISNUMBER(V290)),NOT(ISNUMBER(X290))),"",IF(ISNUMBER(V290),V290,0)+IF(ISNUMBER(X290),X290,0))</f>
        <v/>
      </c>
      <c r="AI290" s="17">
        <f>IF(E290="금융","",IF(AND(ISNUMBER(R290),ISNUMBER(AH290),ISNUMBER(T290)),R290+AH290-T290,""))</f>
        <v/>
      </c>
      <c r="AJ290" s="17">
        <f>IF(E290="금융","",IF(NOT(ISNUMBER(AI290)),"",IF(ISNUMBER(AC290),(AI290+AC290)/2,AI290)))</f>
        <v/>
      </c>
      <c r="AK290" s="19">
        <f>IF(AND(ISNUMBER(AG290),ISNUMBER(AJ290),AJ290&gt;0),AG290/AJ290,"")</f>
        <v/>
      </c>
      <c r="AL290" s="17">
        <f>IF(E290="금융","",IF(AND(ISNUMBER(R290),ISNUMBER(AH290)),R290+AH290,""))</f>
        <v/>
      </c>
      <c r="AM290" s="19">
        <f>IF(OR(NOT(ISNUMBER(AG290)),NOT(ISNUMBER(AL290)),AL290&lt;=0),"",IF(AND(ISNUMBER(G290),AL290&lt;0.1*G290),"",AG290/AL290))</f>
        <v/>
      </c>
      <c r="AN290" s="17">
        <f>IF(NOT(ISNUMBER(R290)),"",IF(ISNUMBER(S290),(R290+S290)/2,R290))</f>
        <v/>
      </c>
      <c r="AO290" s="19">
        <f>IF(AND(ISNUMBER(L290),ISNUMBER(AN290),AN290&gt;0),L290/AN290,"")</f>
        <v/>
      </c>
      <c r="AP290" s="19">
        <f>IF(AND(ISNUMBER(AO290),ISNUMBER({ROIC})),AO290-{ROIC},"")</f>
        <v/>
      </c>
      <c r="AQ290" s="17">
        <f>IF(AND(ISNUMBER(AE290),ISNUMBER(N290)),AE290+N290,"")</f>
        <v/>
      </c>
      <c r="AR290" s="20">
        <f>IF(AND(ISNUMBER(AH290),ISNUMBER(T290),ISNUMBER(AQ290),AQ290&gt;0),(AH290-T290)/AQ290,"")</f>
        <v/>
      </c>
      <c r="AS290" s="20">
        <f>IF(AND(ISNUMBER(AE290),ISNUMBER(I290),I290&lt;&gt;0,AE290&gt;0),AE290/I290,"")</f>
        <v/>
      </c>
      <c r="AT290" s="17">
        <f>IF(AND(ISNUMBER(Y290),ISNUMBER(AA290)),Y290-IF(ISNUMBER(T290),T290,0)-(AA290-IF(ISNUMBER(V290),V290,0)),"")</f>
        <v/>
      </c>
      <c r="AU290" s="17">
        <f>IF(AND(ISNUMBER(Z290),ISNUMBER(AB290)),Z290-IF(ISNUMBER(U290),U290,0)-(AB290-IF(ISNUMBER(W290),W290,0)),"")</f>
        <v/>
      </c>
      <c r="AV290" s="17">
        <f>IF(AND(ISNUMBER(AT290),ISNUMBER(AU290)),AT290-AU290,"")</f>
        <v/>
      </c>
      <c r="AW290" s="17">
        <f>IF(AND(ISNUMBER(L290),ISNUMBER(M290),ISNUMBER(AF290)),L290-M290*(1-AF290),IF(ISNUMBER(L290),L290,""))</f>
        <v/>
      </c>
      <c r="AX290" s="17">
        <f>IF(E290="금융","",IF(AND(ISNUMBER(AW290),ISNUMBER(N290),ISNUMBER(O290),ISNUMBER(AV290)),AW290+N290-O290-AV290,IF(AND(ISNUMBER(P290),ISNUMBER(O290)),P290-O290-IF(ISNUMBER(Q290),Q290,0),"")))</f>
        <v/>
      </c>
      <c r="AY290" s="8">
        <f>IF(E290="금융","금융업 - 정의되지 않음",IF(AND(ISNUMBER(AW290),ISNUMBER(N290),ISNUMBER(O290),ISNUMBER(AV290)),"영업순이익+감가상각-설비투자-운전자본증감",IF(AND(ISNUMBER(P290),ISNUMBER(O290)),IF(ISNUMBER(Q290),"영업현금흐름-설비투자-주식보상비용","영업현금흐름-설비투자(주식보상비용 미태깅)"),"산출불가")))</f>
        <v/>
      </c>
      <c r="AZ290" s="19">
        <f>IF(AND(ISNUMBER(AX290),ISNUMBER(G290),G290&lt;&gt;0),AX290/G290,"")</f>
        <v/>
      </c>
      <c r="BA290" s="19">
        <f>IF(AND(ISNUMBER(AE290),ISNUMBER(G290),G290&lt;&gt;0),AE290/G290,"")</f>
        <v/>
      </c>
    </row>
    <row r="291">
      <c r="A291" s="8" t="inlineStr">
        <is>
          <t>COST</t>
        </is>
      </c>
      <c r="B291" s="8" t="inlineStr">
        <is>
          <t>COSTCO WHOLESALE CORP /NEW</t>
        </is>
      </c>
      <c r="C291" s="8" t="n">
        <v>2014</v>
      </c>
      <c r="D291" s="8" t="inlineStr">
        <is>
          <t>2014-08-31</t>
        </is>
      </c>
      <c r="E291" s="8" t="inlineStr">
        <is>
          <t>일반</t>
        </is>
      </c>
      <c r="F291" s="8" t="inlineStr">
        <is>
          <t>0000909832-16-000032</t>
        </is>
      </c>
      <c r="G291" s="15" t="n"/>
      <c r="H291" s="15" t="n">
        <v>3.197</v>
      </c>
      <c r="I291" s="15" t="n">
        <v>0.113</v>
      </c>
      <c r="J291" s="15" t="n">
        <v>1.109</v>
      </c>
      <c r="K291" s="15" t="n">
        <v>3.22</v>
      </c>
      <c r="L291" s="15" t="n">
        <v>2.058</v>
      </c>
      <c r="M291" s="15" t="n"/>
      <c r="N291" s="15" t="n">
        <v>1.029</v>
      </c>
      <c r="O291" s="15" t="n">
        <v>1.993</v>
      </c>
      <c r="P291" s="15" t="n">
        <v>3.984</v>
      </c>
      <c r="Q291" s="15" t="n">
        <v>0.327</v>
      </c>
      <c r="R291" s="15" t="n">
        <v>12.303</v>
      </c>
      <c r="S291" s="15" t="n"/>
      <c r="T291" s="15" t="n">
        <v>7.315</v>
      </c>
      <c r="U291" s="15" t="n"/>
      <c r="V291" s="15" t="n">
        <v>0</v>
      </c>
      <c r="W291" s="15" t="n"/>
      <c r="X291" s="15" t="n">
        <v>5.093</v>
      </c>
      <c r="Y291" s="15" t="n">
        <v>17.588</v>
      </c>
      <c r="Z291" s="15" t="n"/>
      <c r="AA291" s="15" t="n">
        <v>14.412</v>
      </c>
      <c r="AB291" s="15" t="n"/>
      <c r="AC291" s="15" t="n"/>
      <c r="AD291" s="16" t="n">
        <v>437.683</v>
      </c>
      <c r="AE291" s="17">
        <f>IF(ISNUMBER(K291),K291,IF(AND(ISNUMBER(H291),ISNUMBER(I291)),H291+I291,IF(ISNUMBER(H291),H291,"")))</f>
        <v/>
      </c>
      <c r="AF291" s="18">
        <f>IF(OR(NOT(ISNUMBER(J291)),NOT(ISNUMBER(H291)),H291&lt;=0),기준표!$B$8,MIN(MAX(J291/H291,기준표!$B$6),기준표!$B$7))</f>
        <v/>
      </c>
      <c r="AG291" s="17">
        <f>IF(ISNUMBER(AE291),AE291*(1-AF291),"")</f>
        <v/>
      </c>
      <c r="AH291" s="17">
        <f>IF(AND(NOT(ISNUMBER(V291)),NOT(ISNUMBER(X291))),"",IF(ISNUMBER(V291),V291,0)+IF(ISNUMBER(X291),X291,0))</f>
        <v/>
      </c>
      <c r="AI291" s="17">
        <f>IF(E291="금융","",IF(AND(ISNUMBER(R291),ISNUMBER(AH291),ISNUMBER(T291)),R291+AH291-T291,""))</f>
        <v/>
      </c>
      <c r="AJ291" s="17">
        <f>IF(E291="금융","",IF(NOT(ISNUMBER(AI291)),"",IF(ISNUMBER(AC291),(AI291+AC291)/2,AI291)))</f>
        <v/>
      </c>
      <c r="AK291" s="19">
        <f>IF(AND(ISNUMBER(AG291),ISNUMBER(AJ291),AJ291&gt;0),AG291/AJ291,"")</f>
        <v/>
      </c>
      <c r="AL291" s="17">
        <f>IF(E291="금융","",IF(AND(ISNUMBER(R291),ISNUMBER(AH291)),R291+AH291,""))</f>
        <v/>
      </c>
      <c r="AM291" s="19">
        <f>IF(OR(NOT(ISNUMBER(AG291)),NOT(ISNUMBER(AL291)),AL291&lt;=0),"",IF(AND(ISNUMBER(G291),AL291&lt;0.1*G291),"",AG291/AL291))</f>
        <v/>
      </c>
      <c r="AN291" s="17">
        <f>IF(NOT(ISNUMBER(R291)),"",IF(ISNUMBER(S291),(R291+S291)/2,R291))</f>
        <v/>
      </c>
      <c r="AO291" s="19">
        <f>IF(AND(ISNUMBER(L291),ISNUMBER(AN291),AN291&gt;0),L291/AN291,"")</f>
        <v/>
      </c>
      <c r="AP291" s="19">
        <f>IF(AND(ISNUMBER(AO291),ISNUMBER({ROIC})),AO291-{ROIC},"")</f>
        <v/>
      </c>
      <c r="AQ291" s="17">
        <f>IF(AND(ISNUMBER(AE291),ISNUMBER(N291)),AE291+N291,"")</f>
        <v/>
      </c>
      <c r="AR291" s="20">
        <f>IF(AND(ISNUMBER(AH291),ISNUMBER(T291),ISNUMBER(AQ291),AQ291&gt;0),(AH291-T291)/AQ291,"")</f>
        <v/>
      </c>
      <c r="AS291" s="20">
        <f>IF(AND(ISNUMBER(AE291),ISNUMBER(I291),I291&lt;&gt;0,AE291&gt;0),AE291/I291,"")</f>
        <v/>
      </c>
      <c r="AT291" s="17">
        <f>IF(AND(ISNUMBER(Y291),ISNUMBER(AA291)),Y291-IF(ISNUMBER(T291),T291,0)-(AA291-IF(ISNUMBER(V291),V291,0)),"")</f>
        <v/>
      </c>
      <c r="AU291" s="17">
        <f>IF(AND(ISNUMBER(Z291),ISNUMBER(AB291)),Z291-IF(ISNUMBER(U291),U291,0)-(AB291-IF(ISNUMBER(W291),W291,0)),"")</f>
        <v/>
      </c>
      <c r="AV291" s="17">
        <f>IF(AND(ISNUMBER(AT291),ISNUMBER(AU291)),AT291-AU291,"")</f>
        <v/>
      </c>
      <c r="AW291" s="17">
        <f>IF(AND(ISNUMBER(L291),ISNUMBER(M291),ISNUMBER(AF291)),L291-M291*(1-AF291),IF(ISNUMBER(L291),L291,""))</f>
        <v/>
      </c>
      <c r="AX291" s="17">
        <f>IF(E291="금융","",IF(AND(ISNUMBER(AW291),ISNUMBER(N291),ISNUMBER(O291),ISNUMBER(AV291)),AW291+N291-O291-AV291,IF(AND(ISNUMBER(P291),ISNUMBER(O291)),P291-O291-IF(ISNUMBER(Q291),Q291,0),"")))</f>
        <v/>
      </c>
      <c r="AY291" s="8">
        <f>IF(E291="금융","금융업 - 정의되지 않음",IF(AND(ISNUMBER(AW291),ISNUMBER(N291),ISNUMBER(O291),ISNUMBER(AV291)),"영업순이익+감가상각-설비투자-운전자본증감",IF(AND(ISNUMBER(P291),ISNUMBER(O291)),IF(ISNUMBER(Q291),"영업현금흐름-설비투자-주식보상비용","영업현금흐름-설비투자(주식보상비용 미태깅)"),"산출불가")))</f>
        <v/>
      </c>
      <c r="AZ291" s="19">
        <f>IF(AND(ISNUMBER(AX291),ISNUMBER(G291),G291&lt;&gt;0),AX291/G291,"")</f>
        <v/>
      </c>
      <c r="BA291" s="19">
        <f>IF(AND(ISNUMBER(AE291),ISNUMBER(G291),G291&lt;&gt;0),AE291/G291,"")</f>
        <v/>
      </c>
    </row>
    <row r="292">
      <c r="A292" s="8" t="inlineStr">
        <is>
          <t>COST</t>
        </is>
      </c>
      <c r="B292" s="8" t="inlineStr">
        <is>
          <t>COSTCO WHOLESALE CORP /NEW</t>
        </is>
      </c>
      <c r="C292" s="8" t="n">
        <v>2015</v>
      </c>
      <c r="D292" s="8" t="inlineStr">
        <is>
          <t>2015-08-30</t>
        </is>
      </c>
      <c r="E292" s="8" t="inlineStr">
        <is>
          <t>일반</t>
        </is>
      </c>
      <c r="F292" s="8" t="inlineStr">
        <is>
          <t>0000909832-17-000014</t>
        </is>
      </c>
      <c r="G292" s="15" t="n"/>
      <c r="H292" s="15" t="n">
        <v>3.604</v>
      </c>
      <c r="I292" s="15" t="n">
        <v>0.124</v>
      </c>
      <c r="J292" s="15" t="n">
        <v>1.195</v>
      </c>
      <c r="K292" s="15" t="n">
        <v>3.624</v>
      </c>
      <c r="L292" s="15" t="n">
        <v>2.377</v>
      </c>
      <c r="M292" s="15" t="n"/>
      <c r="N292" s="15" t="n">
        <v>1.127</v>
      </c>
      <c r="O292" s="15" t="n">
        <v>2.393</v>
      </c>
      <c r="P292" s="15" t="n">
        <v>4.285</v>
      </c>
      <c r="Q292" s="15" t="n">
        <v>0.394</v>
      </c>
      <c r="R292" s="15" t="n">
        <v>10.617</v>
      </c>
      <c r="S292" s="15" t="n">
        <v>12.303</v>
      </c>
      <c r="T292" s="15" t="n">
        <v>6.419</v>
      </c>
      <c r="U292" s="15" t="n">
        <v>7.315</v>
      </c>
      <c r="V292" s="15" t="n">
        <v>1.283</v>
      </c>
      <c r="W292" s="15" t="n">
        <v>0</v>
      </c>
      <c r="X292" s="15" t="n">
        <v>4.852</v>
      </c>
      <c r="Y292" s="15" t="n">
        <v>16.779</v>
      </c>
      <c r="Z292" s="15" t="n">
        <v>17.588</v>
      </c>
      <c r="AA292" s="15" t="n">
        <v>16.539</v>
      </c>
      <c r="AB292" s="15" t="n">
        <v>14.412</v>
      </c>
      <c r="AC292" s="15" t="n">
        <v>10.081</v>
      </c>
      <c r="AD292" s="16" t="n">
        <v>437.952</v>
      </c>
      <c r="AE292" s="17">
        <f>IF(ISNUMBER(K292),K292,IF(AND(ISNUMBER(H292),ISNUMBER(I292)),H292+I292,IF(ISNUMBER(H292),H292,"")))</f>
        <v/>
      </c>
      <c r="AF292" s="18">
        <f>IF(OR(NOT(ISNUMBER(J292)),NOT(ISNUMBER(H292)),H292&lt;=0),기준표!$B$8,MIN(MAX(J292/H292,기준표!$B$6),기준표!$B$7))</f>
        <v/>
      </c>
      <c r="AG292" s="17">
        <f>IF(ISNUMBER(AE292),AE292*(1-AF292),"")</f>
        <v/>
      </c>
      <c r="AH292" s="17">
        <f>IF(AND(NOT(ISNUMBER(V292)),NOT(ISNUMBER(X292))),"",IF(ISNUMBER(V292),V292,0)+IF(ISNUMBER(X292),X292,0))</f>
        <v/>
      </c>
      <c r="AI292" s="17">
        <f>IF(E292="금융","",IF(AND(ISNUMBER(R292),ISNUMBER(AH292),ISNUMBER(T292)),R292+AH292-T292,""))</f>
        <v/>
      </c>
      <c r="AJ292" s="17">
        <f>IF(E292="금융","",IF(NOT(ISNUMBER(AI292)),"",IF(ISNUMBER(AC292),(AI292+AC292)/2,AI292)))</f>
        <v/>
      </c>
      <c r="AK292" s="19">
        <f>IF(AND(ISNUMBER(AG292),ISNUMBER(AJ292),AJ292&gt;0),AG292/AJ292,"")</f>
        <v/>
      </c>
      <c r="AL292" s="17">
        <f>IF(E292="금융","",IF(AND(ISNUMBER(R292),ISNUMBER(AH292)),R292+AH292,""))</f>
        <v/>
      </c>
      <c r="AM292" s="19">
        <f>IF(OR(NOT(ISNUMBER(AG292)),NOT(ISNUMBER(AL292)),AL292&lt;=0),"",IF(AND(ISNUMBER(G292),AL292&lt;0.1*G292),"",AG292/AL292))</f>
        <v/>
      </c>
      <c r="AN292" s="17">
        <f>IF(NOT(ISNUMBER(R292)),"",IF(ISNUMBER(S292),(R292+S292)/2,R292))</f>
        <v/>
      </c>
      <c r="AO292" s="19">
        <f>IF(AND(ISNUMBER(L292),ISNUMBER(AN292),AN292&gt;0),L292/AN292,"")</f>
        <v/>
      </c>
      <c r="AP292" s="19">
        <f>IF(AND(ISNUMBER(AO292),ISNUMBER({ROIC})),AO292-{ROIC},"")</f>
        <v/>
      </c>
      <c r="AQ292" s="17">
        <f>IF(AND(ISNUMBER(AE292),ISNUMBER(N292)),AE292+N292,"")</f>
        <v/>
      </c>
      <c r="AR292" s="20">
        <f>IF(AND(ISNUMBER(AH292),ISNUMBER(T292),ISNUMBER(AQ292),AQ292&gt;0),(AH292-T292)/AQ292,"")</f>
        <v/>
      </c>
      <c r="AS292" s="20">
        <f>IF(AND(ISNUMBER(AE292),ISNUMBER(I292),I292&lt;&gt;0,AE292&gt;0),AE292/I292,"")</f>
        <v/>
      </c>
      <c r="AT292" s="17">
        <f>IF(AND(ISNUMBER(Y292),ISNUMBER(AA292)),Y292-IF(ISNUMBER(T292),T292,0)-(AA292-IF(ISNUMBER(V292),V292,0)),"")</f>
        <v/>
      </c>
      <c r="AU292" s="17">
        <f>IF(AND(ISNUMBER(Z292),ISNUMBER(AB292)),Z292-IF(ISNUMBER(U292),U292,0)-(AB292-IF(ISNUMBER(W292),W292,0)),"")</f>
        <v/>
      </c>
      <c r="AV292" s="17">
        <f>IF(AND(ISNUMBER(AT292),ISNUMBER(AU292)),AT292-AU292,"")</f>
        <v/>
      </c>
      <c r="AW292" s="17">
        <f>IF(AND(ISNUMBER(L292),ISNUMBER(M292),ISNUMBER(AF292)),L292-M292*(1-AF292),IF(ISNUMBER(L292),L292,""))</f>
        <v/>
      </c>
      <c r="AX292" s="17">
        <f>IF(E292="금융","",IF(AND(ISNUMBER(AW292),ISNUMBER(N292),ISNUMBER(O292),ISNUMBER(AV292)),AW292+N292-O292-AV292,IF(AND(ISNUMBER(P292),ISNUMBER(O292)),P292-O292-IF(ISNUMBER(Q292),Q292,0),"")))</f>
        <v/>
      </c>
      <c r="AY292" s="8">
        <f>IF(E292="금융","금융업 - 정의되지 않음",IF(AND(ISNUMBER(AW292),ISNUMBER(N292),ISNUMBER(O292),ISNUMBER(AV292)),"영업순이익+감가상각-설비투자-운전자본증감",IF(AND(ISNUMBER(P292),ISNUMBER(O292)),IF(ISNUMBER(Q292),"영업현금흐름-설비투자-주식보상비용","영업현금흐름-설비투자(주식보상비용 미태깅)"),"산출불가")))</f>
        <v/>
      </c>
      <c r="AZ292" s="19">
        <f>IF(AND(ISNUMBER(AX292),ISNUMBER(G292),G292&lt;&gt;0),AX292/G292,"")</f>
        <v/>
      </c>
      <c r="BA292" s="19">
        <f>IF(AND(ISNUMBER(AE292),ISNUMBER(G292),G292&lt;&gt;0),AE292/G292,"")</f>
        <v/>
      </c>
    </row>
    <row r="293">
      <c r="A293" s="8" t="inlineStr">
        <is>
          <t>COST</t>
        </is>
      </c>
      <c r="B293" s="8" t="inlineStr">
        <is>
          <t>COSTCO WHOLESALE CORP /NEW</t>
        </is>
      </c>
      <c r="C293" s="8" t="n">
        <v>2016</v>
      </c>
      <c r="D293" s="8" t="inlineStr">
        <is>
          <t>2016-08-28</t>
        </is>
      </c>
      <c r="E293" s="8" t="inlineStr">
        <is>
          <t>일반</t>
        </is>
      </c>
      <c r="F293" s="8" t="inlineStr">
        <is>
          <t>0000909832-18-000013</t>
        </is>
      </c>
      <c r="G293" s="15" t="n">
        <v>118.719</v>
      </c>
      <c r="H293" s="15" t="n">
        <v>3.619</v>
      </c>
      <c r="I293" s="15" t="n">
        <v>0.133</v>
      </c>
      <c r="J293" s="15" t="n">
        <v>1.243</v>
      </c>
      <c r="K293" s="15" t="n">
        <v>3.672</v>
      </c>
      <c r="L293" s="15" t="n">
        <v>2.35</v>
      </c>
      <c r="M293" s="15" t="n"/>
      <c r="N293" s="15" t="n">
        <v>1.255</v>
      </c>
      <c r="O293" s="15" t="n">
        <v>2.649</v>
      </c>
      <c r="P293" s="15" t="n">
        <v>3.292</v>
      </c>
      <c r="Q293" s="15" t="n">
        <v>0.459</v>
      </c>
      <c r="R293" s="15" t="n">
        <v>12.079</v>
      </c>
      <c r="S293" s="15" t="n">
        <v>10.617</v>
      </c>
      <c r="T293" s="15" t="n">
        <v>4.729</v>
      </c>
      <c r="U293" s="15" t="n">
        <v>6.419</v>
      </c>
      <c r="V293" s="15" t="n">
        <v>1.1</v>
      </c>
      <c r="W293" s="15" t="n">
        <v>1.283</v>
      </c>
      <c r="X293" s="15" t="n">
        <v>4.061</v>
      </c>
      <c r="Y293" s="15" t="n">
        <v>15.218</v>
      </c>
      <c r="Z293" s="15" t="n">
        <v>16.779</v>
      </c>
      <c r="AA293" s="15" t="n">
        <v>15.575</v>
      </c>
      <c r="AB293" s="15" t="n">
        <v>16.539</v>
      </c>
      <c r="AC293" s="15" t="n">
        <v>10.333</v>
      </c>
      <c r="AD293" s="16" t="n">
        <v>437.524</v>
      </c>
      <c r="AE293" s="17">
        <f>IF(ISNUMBER(K293),K293,IF(AND(ISNUMBER(H293),ISNUMBER(I293)),H293+I293,IF(ISNUMBER(H293),H293,"")))</f>
        <v/>
      </c>
      <c r="AF293" s="18">
        <f>IF(OR(NOT(ISNUMBER(J293)),NOT(ISNUMBER(H293)),H293&lt;=0),기준표!$B$8,MIN(MAX(J293/H293,기준표!$B$6),기준표!$B$7))</f>
        <v/>
      </c>
      <c r="AG293" s="17">
        <f>IF(ISNUMBER(AE293),AE293*(1-AF293),"")</f>
        <v/>
      </c>
      <c r="AH293" s="17">
        <f>IF(AND(NOT(ISNUMBER(V293)),NOT(ISNUMBER(X293))),"",IF(ISNUMBER(V293),V293,0)+IF(ISNUMBER(X293),X293,0))</f>
        <v/>
      </c>
      <c r="AI293" s="17">
        <f>IF(E293="금융","",IF(AND(ISNUMBER(R293),ISNUMBER(AH293),ISNUMBER(T293)),R293+AH293-T293,""))</f>
        <v/>
      </c>
      <c r="AJ293" s="17">
        <f>IF(E293="금융","",IF(NOT(ISNUMBER(AI293)),"",IF(ISNUMBER(AC293),(AI293+AC293)/2,AI293)))</f>
        <v/>
      </c>
      <c r="AK293" s="19">
        <f>IF(AND(ISNUMBER(AG293),ISNUMBER(AJ293),AJ293&gt;0),AG293/AJ293,"")</f>
        <v/>
      </c>
      <c r="AL293" s="17">
        <f>IF(E293="금융","",IF(AND(ISNUMBER(R293),ISNUMBER(AH293)),R293+AH293,""))</f>
        <v/>
      </c>
      <c r="AM293" s="19">
        <f>IF(OR(NOT(ISNUMBER(AG293)),NOT(ISNUMBER(AL293)),AL293&lt;=0),"",IF(AND(ISNUMBER(G293),AL293&lt;0.1*G293),"",AG293/AL293))</f>
        <v/>
      </c>
      <c r="AN293" s="17">
        <f>IF(NOT(ISNUMBER(R293)),"",IF(ISNUMBER(S293),(R293+S293)/2,R293))</f>
        <v/>
      </c>
      <c r="AO293" s="19">
        <f>IF(AND(ISNUMBER(L293),ISNUMBER(AN293),AN293&gt;0),L293/AN293,"")</f>
        <v/>
      </c>
      <c r="AP293" s="19">
        <f>IF(AND(ISNUMBER(AO293),ISNUMBER({ROIC})),AO293-{ROIC},"")</f>
        <v/>
      </c>
      <c r="AQ293" s="17">
        <f>IF(AND(ISNUMBER(AE293),ISNUMBER(N293)),AE293+N293,"")</f>
        <v/>
      </c>
      <c r="AR293" s="20">
        <f>IF(AND(ISNUMBER(AH293),ISNUMBER(T293),ISNUMBER(AQ293),AQ293&gt;0),(AH293-T293)/AQ293,"")</f>
        <v/>
      </c>
      <c r="AS293" s="20">
        <f>IF(AND(ISNUMBER(AE293),ISNUMBER(I293),I293&lt;&gt;0,AE293&gt;0),AE293/I293,"")</f>
        <v/>
      </c>
      <c r="AT293" s="17">
        <f>IF(AND(ISNUMBER(Y293),ISNUMBER(AA293)),Y293-IF(ISNUMBER(T293),T293,0)-(AA293-IF(ISNUMBER(V293),V293,0)),"")</f>
        <v/>
      </c>
      <c r="AU293" s="17">
        <f>IF(AND(ISNUMBER(Z293),ISNUMBER(AB293)),Z293-IF(ISNUMBER(U293),U293,0)-(AB293-IF(ISNUMBER(W293),W293,0)),"")</f>
        <v/>
      </c>
      <c r="AV293" s="17">
        <f>IF(AND(ISNUMBER(AT293),ISNUMBER(AU293)),AT293-AU293,"")</f>
        <v/>
      </c>
      <c r="AW293" s="17">
        <f>IF(AND(ISNUMBER(L293),ISNUMBER(M293),ISNUMBER(AF293)),L293-M293*(1-AF293),IF(ISNUMBER(L293),L293,""))</f>
        <v/>
      </c>
      <c r="AX293" s="17">
        <f>IF(E293="금융","",IF(AND(ISNUMBER(AW293),ISNUMBER(N293),ISNUMBER(O293),ISNUMBER(AV293)),AW293+N293-O293-AV293,IF(AND(ISNUMBER(P293),ISNUMBER(O293)),P293-O293-IF(ISNUMBER(Q293),Q293,0),"")))</f>
        <v/>
      </c>
      <c r="AY293" s="8">
        <f>IF(E293="금융","금융업 - 정의되지 않음",IF(AND(ISNUMBER(AW293),ISNUMBER(N293),ISNUMBER(O293),ISNUMBER(AV293)),"영업순이익+감가상각-설비투자-운전자본증감",IF(AND(ISNUMBER(P293),ISNUMBER(O293)),IF(ISNUMBER(Q293),"영업현금흐름-설비투자-주식보상비용","영업현금흐름-설비투자(주식보상비용 미태깅)"),"산출불가")))</f>
        <v/>
      </c>
      <c r="AZ293" s="19">
        <f>IF(AND(ISNUMBER(AX293),ISNUMBER(G293),G293&lt;&gt;0),AX293/G293,"")</f>
        <v/>
      </c>
      <c r="BA293" s="19">
        <f>IF(AND(ISNUMBER(AE293),ISNUMBER(G293),G293&lt;&gt;0),AE293/G293,"")</f>
        <v/>
      </c>
    </row>
    <row r="294">
      <c r="A294" s="8" t="inlineStr">
        <is>
          <t>COST</t>
        </is>
      </c>
      <c r="B294" s="8" t="inlineStr">
        <is>
          <t>COSTCO WHOLESALE CORP /NEW</t>
        </is>
      </c>
      <c r="C294" s="8" t="n">
        <v>2017</v>
      </c>
      <c r="D294" s="8" t="inlineStr">
        <is>
          <t>2017-09-03</t>
        </is>
      </c>
      <c r="E294" s="8" t="inlineStr">
        <is>
          <t>일반</t>
        </is>
      </c>
      <c r="F294" s="8" t="inlineStr">
        <is>
          <t>0000909832-19-000019</t>
        </is>
      </c>
      <c r="G294" s="15" t="n">
        <v>129.025</v>
      </c>
      <c r="H294" s="15" t="n">
        <v>4.039</v>
      </c>
      <c r="I294" s="15" t="n">
        <v>0.134</v>
      </c>
      <c r="J294" s="15" t="n">
        <v>1.325</v>
      </c>
      <c r="K294" s="15" t="n">
        <v>4.111</v>
      </c>
      <c r="L294" s="15" t="n">
        <v>2.679</v>
      </c>
      <c r="M294" s="15" t="n"/>
      <c r="N294" s="15" t="n">
        <v>1.37</v>
      </c>
      <c r="O294" s="15" t="n">
        <v>2.502</v>
      </c>
      <c r="P294" s="15" t="n">
        <v>6.726</v>
      </c>
      <c r="Q294" s="15" t="n">
        <v>0.514</v>
      </c>
      <c r="R294" s="15" t="n">
        <v>10.778</v>
      </c>
      <c r="S294" s="15" t="n">
        <v>12.079</v>
      </c>
      <c r="T294" s="15" t="n">
        <v>5.779</v>
      </c>
      <c r="U294" s="15" t="n">
        <v>4.729</v>
      </c>
      <c r="V294" s="15" t="n">
        <v>0.08599999999999999</v>
      </c>
      <c r="W294" s="15" t="n">
        <v>1.1</v>
      </c>
      <c r="X294" s="15" t="n">
        <v>6.573</v>
      </c>
      <c r="Y294" s="15" t="n">
        <v>17.317</v>
      </c>
      <c r="Z294" s="15" t="n">
        <v>15.218</v>
      </c>
      <c r="AA294" s="15" t="n">
        <v>17.495</v>
      </c>
      <c r="AB294" s="15" t="n">
        <v>15.575</v>
      </c>
      <c r="AC294" s="15" t="n">
        <v>12.511</v>
      </c>
      <c r="AD294" s="16" t="n">
        <v>437.204</v>
      </c>
      <c r="AE294" s="17">
        <f>IF(ISNUMBER(K294),K294,IF(AND(ISNUMBER(H294),ISNUMBER(I294)),H294+I294,IF(ISNUMBER(H294),H294,"")))</f>
        <v/>
      </c>
      <c r="AF294" s="18">
        <f>IF(OR(NOT(ISNUMBER(J294)),NOT(ISNUMBER(H294)),H294&lt;=0),기준표!$B$8,MIN(MAX(J294/H294,기준표!$B$6),기준표!$B$7))</f>
        <v/>
      </c>
      <c r="AG294" s="17">
        <f>IF(ISNUMBER(AE294),AE294*(1-AF294),"")</f>
        <v/>
      </c>
      <c r="AH294" s="17">
        <f>IF(AND(NOT(ISNUMBER(V294)),NOT(ISNUMBER(X294))),"",IF(ISNUMBER(V294),V294,0)+IF(ISNUMBER(X294),X294,0))</f>
        <v/>
      </c>
      <c r="AI294" s="17">
        <f>IF(E294="금융","",IF(AND(ISNUMBER(R294),ISNUMBER(AH294),ISNUMBER(T294)),R294+AH294-T294,""))</f>
        <v/>
      </c>
      <c r="AJ294" s="17">
        <f>IF(E294="금융","",IF(NOT(ISNUMBER(AI294)),"",IF(ISNUMBER(AC294),(AI294+AC294)/2,AI294)))</f>
        <v/>
      </c>
      <c r="AK294" s="19">
        <f>IF(AND(ISNUMBER(AG294),ISNUMBER(AJ294),AJ294&gt;0),AG294/AJ294,"")</f>
        <v/>
      </c>
      <c r="AL294" s="17">
        <f>IF(E294="금융","",IF(AND(ISNUMBER(R294),ISNUMBER(AH294)),R294+AH294,""))</f>
        <v/>
      </c>
      <c r="AM294" s="19">
        <f>IF(OR(NOT(ISNUMBER(AG294)),NOT(ISNUMBER(AL294)),AL294&lt;=0),"",IF(AND(ISNUMBER(G294),AL294&lt;0.1*G294),"",AG294/AL294))</f>
        <v/>
      </c>
      <c r="AN294" s="17">
        <f>IF(NOT(ISNUMBER(R294)),"",IF(ISNUMBER(S294),(R294+S294)/2,R294))</f>
        <v/>
      </c>
      <c r="AO294" s="19">
        <f>IF(AND(ISNUMBER(L294),ISNUMBER(AN294),AN294&gt;0),L294/AN294,"")</f>
        <v/>
      </c>
      <c r="AP294" s="19">
        <f>IF(AND(ISNUMBER(AO294),ISNUMBER({ROIC})),AO294-{ROIC},"")</f>
        <v/>
      </c>
      <c r="AQ294" s="17">
        <f>IF(AND(ISNUMBER(AE294),ISNUMBER(N294)),AE294+N294,"")</f>
        <v/>
      </c>
      <c r="AR294" s="20">
        <f>IF(AND(ISNUMBER(AH294),ISNUMBER(T294),ISNUMBER(AQ294),AQ294&gt;0),(AH294-T294)/AQ294,"")</f>
        <v/>
      </c>
      <c r="AS294" s="20">
        <f>IF(AND(ISNUMBER(AE294),ISNUMBER(I294),I294&lt;&gt;0,AE294&gt;0),AE294/I294,"")</f>
        <v/>
      </c>
      <c r="AT294" s="17">
        <f>IF(AND(ISNUMBER(Y294),ISNUMBER(AA294)),Y294-IF(ISNUMBER(T294),T294,0)-(AA294-IF(ISNUMBER(V294),V294,0)),"")</f>
        <v/>
      </c>
      <c r="AU294" s="17">
        <f>IF(AND(ISNUMBER(Z294),ISNUMBER(AB294)),Z294-IF(ISNUMBER(U294),U294,0)-(AB294-IF(ISNUMBER(W294),W294,0)),"")</f>
        <v/>
      </c>
      <c r="AV294" s="17">
        <f>IF(AND(ISNUMBER(AT294),ISNUMBER(AU294)),AT294-AU294,"")</f>
        <v/>
      </c>
      <c r="AW294" s="17">
        <f>IF(AND(ISNUMBER(L294),ISNUMBER(M294),ISNUMBER(AF294)),L294-M294*(1-AF294),IF(ISNUMBER(L294),L294,""))</f>
        <v/>
      </c>
      <c r="AX294" s="17">
        <f>IF(E294="금융","",IF(AND(ISNUMBER(AW294),ISNUMBER(N294),ISNUMBER(O294),ISNUMBER(AV294)),AW294+N294-O294-AV294,IF(AND(ISNUMBER(P294),ISNUMBER(O294)),P294-O294-IF(ISNUMBER(Q294),Q294,0),"")))</f>
        <v/>
      </c>
      <c r="AY294" s="8">
        <f>IF(E294="금융","금융업 - 정의되지 않음",IF(AND(ISNUMBER(AW294),ISNUMBER(N294),ISNUMBER(O294),ISNUMBER(AV294)),"영업순이익+감가상각-설비투자-운전자본증감",IF(AND(ISNUMBER(P294),ISNUMBER(O294)),IF(ISNUMBER(Q294),"영업현금흐름-설비투자-주식보상비용","영업현금흐름-설비투자(주식보상비용 미태깅)"),"산출불가")))</f>
        <v/>
      </c>
      <c r="AZ294" s="19">
        <f>IF(AND(ISNUMBER(AX294),ISNUMBER(G294),G294&lt;&gt;0),AX294/G294,"")</f>
        <v/>
      </c>
      <c r="BA294" s="19">
        <f>IF(AND(ISNUMBER(AE294),ISNUMBER(G294),G294&lt;&gt;0),AE294/G294,"")</f>
        <v/>
      </c>
    </row>
    <row r="295">
      <c r="A295" s="8" t="inlineStr">
        <is>
          <t>COST</t>
        </is>
      </c>
      <c r="B295" s="8" t="inlineStr">
        <is>
          <t>COSTCO WHOLESALE CORP /NEW</t>
        </is>
      </c>
      <c r="C295" s="8" t="n">
        <v>2018</v>
      </c>
      <c r="D295" s="8" t="inlineStr">
        <is>
          <t>2018-09-02</t>
        </is>
      </c>
      <c r="E295" s="8" t="inlineStr">
        <is>
          <t>일반</t>
        </is>
      </c>
      <c r="F295" s="8" t="inlineStr">
        <is>
          <t>0000909832-20-000017</t>
        </is>
      </c>
      <c r="G295" s="15" t="n">
        <v>141.576</v>
      </c>
      <c r="H295" s="15" t="n">
        <v>4.442</v>
      </c>
      <c r="I295" s="15" t="n">
        <v>0.159</v>
      </c>
      <c r="J295" s="15" t="n">
        <v>1.263</v>
      </c>
      <c r="K295" s="15" t="n">
        <v>4.48</v>
      </c>
      <c r="L295" s="15" t="n">
        <v>3.134</v>
      </c>
      <c r="M295" s="15" t="n"/>
      <c r="N295" s="15" t="n">
        <v>1.437</v>
      </c>
      <c r="O295" s="15" t="n">
        <v>2.969</v>
      </c>
      <c r="P295" s="15" t="n">
        <v>5.774</v>
      </c>
      <c r="Q295" s="15" t="n">
        <v>0.544</v>
      </c>
      <c r="R295" s="15" t="n">
        <v>12.799</v>
      </c>
      <c r="S295" s="15" t="n">
        <v>10.778</v>
      </c>
      <c r="T295" s="15" t="n">
        <v>7.259</v>
      </c>
      <c r="U295" s="15" t="n">
        <v>5.779</v>
      </c>
      <c r="V295" s="15" t="n">
        <v>0.09</v>
      </c>
      <c r="W295" s="15" t="n">
        <v>0.08599999999999999</v>
      </c>
      <c r="X295" s="15" t="n">
        <v>6.487</v>
      </c>
      <c r="Y295" s="15" t="n">
        <v>20.289</v>
      </c>
      <c r="Z295" s="15" t="n">
        <v>17.317</v>
      </c>
      <c r="AA295" s="15" t="n">
        <v>19.926</v>
      </c>
      <c r="AB295" s="15" t="n">
        <v>17.495</v>
      </c>
      <c r="AC295" s="15" t="n">
        <v>11.658</v>
      </c>
      <c r="AD295" s="16" t="n">
        <v>438.189</v>
      </c>
      <c r="AE295" s="17">
        <f>IF(ISNUMBER(K295),K295,IF(AND(ISNUMBER(H295),ISNUMBER(I295)),H295+I295,IF(ISNUMBER(H295),H295,"")))</f>
        <v/>
      </c>
      <c r="AF295" s="18">
        <f>IF(OR(NOT(ISNUMBER(J295)),NOT(ISNUMBER(H295)),H295&lt;=0),기준표!$B$8,MIN(MAX(J295/H295,기준표!$B$6),기준표!$B$7))</f>
        <v/>
      </c>
      <c r="AG295" s="17">
        <f>IF(ISNUMBER(AE295),AE295*(1-AF295),"")</f>
        <v/>
      </c>
      <c r="AH295" s="17">
        <f>IF(AND(NOT(ISNUMBER(V295)),NOT(ISNUMBER(X295))),"",IF(ISNUMBER(V295),V295,0)+IF(ISNUMBER(X295),X295,0))</f>
        <v/>
      </c>
      <c r="AI295" s="17">
        <f>IF(E295="금융","",IF(AND(ISNUMBER(R295),ISNUMBER(AH295),ISNUMBER(T295)),R295+AH295-T295,""))</f>
        <v/>
      </c>
      <c r="AJ295" s="17">
        <f>IF(E295="금융","",IF(NOT(ISNUMBER(AI295)),"",IF(ISNUMBER(AC295),(AI295+AC295)/2,AI295)))</f>
        <v/>
      </c>
      <c r="AK295" s="19">
        <f>IF(AND(ISNUMBER(AG295),ISNUMBER(AJ295),AJ295&gt;0),AG295/AJ295,"")</f>
        <v/>
      </c>
      <c r="AL295" s="17">
        <f>IF(E295="금융","",IF(AND(ISNUMBER(R295),ISNUMBER(AH295)),R295+AH295,""))</f>
        <v/>
      </c>
      <c r="AM295" s="19">
        <f>IF(OR(NOT(ISNUMBER(AG295)),NOT(ISNUMBER(AL295)),AL295&lt;=0),"",IF(AND(ISNUMBER(G295),AL295&lt;0.1*G295),"",AG295/AL295))</f>
        <v/>
      </c>
      <c r="AN295" s="17">
        <f>IF(NOT(ISNUMBER(R295)),"",IF(ISNUMBER(S295),(R295+S295)/2,R295))</f>
        <v/>
      </c>
      <c r="AO295" s="19">
        <f>IF(AND(ISNUMBER(L295),ISNUMBER(AN295),AN295&gt;0),L295/AN295,"")</f>
        <v/>
      </c>
      <c r="AP295" s="19">
        <f>IF(AND(ISNUMBER(AO295),ISNUMBER({ROIC})),AO295-{ROIC},"")</f>
        <v/>
      </c>
      <c r="AQ295" s="17">
        <f>IF(AND(ISNUMBER(AE295),ISNUMBER(N295)),AE295+N295,"")</f>
        <v/>
      </c>
      <c r="AR295" s="20">
        <f>IF(AND(ISNUMBER(AH295),ISNUMBER(T295),ISNUMBER(AQ295),AQ295&gt;0),(AH295-T295)/AQ295,"")</f>
        <v/>
      </c>
      <c r="AS295" s="20">
        <f>IF(AND(ISNUMBER(AE295),ISNUMBER(I295),I295&lt;&gt;0,AE295&gt;0),AE295/I295,"")</f>
        <v/>
      </c>
      <c r="AT295" s="17">
        <f>IF(AND(ISNUMBER(Y295),ISNUMBER(AA295)),Y295-IF(ISNUMBER(T295),T295,0)-(AA295-IF(ISNUMBER(V295),V295,0)),"")</f>
        <v/>
      </c>
      <c r="AU295" s="17">
        <f>IF(AND(ISNUMBER(Z295),ISNUMBER(AB295)),Z295-IF(ISNUMBER(U295),U295,0)-(AB295-IF(ISNUMBER(W295),W295,0)),"")</f>
        <v/>
      </c>
      <c r="AV295" s="17">
        <f>IF(AND(ISNUMBER(AT295),ISNUMBER(AU295)),AT295-AU295,"")</f>
        <v/>
      </c>
      <c r="AW295" s="17">
        <f>IF(AND(ISNUMBER(L295),ISNUMBER(M295),ISNUMBER(AF295)),L295-M295*(1-AF295),IF(ISNUMBER(L295),L295,""))</f>
        <v/>
      </c>
      <c r="AX295" s="17">
        <f>IF(E295="금융","",IF(AND(ISNUMBER(AW295),ISNUMBER(N295),ISNUMBER(O295),ISNUMBER(AV295)),AW295+N295-O295-AV295,IF(AND(ISNUMBER(P295),ISNUMBER(O295)),P295-O295-IF(ISNUMBER(Q295),Q295,0),"")))</f>
        <v/>
      </c>
      <c r="AY295" s="8">
        <f>IF(E295="금융","금융업 - 정의되지 않음",IF(AND(ISNUMBER(AW295),ISNUMBER(N295),ISNUMBER(O295),ISNUMBER(AV295)),"영업순이익+감가상각-설비투자-운전자본증감",IF(AND(ISNUMBER(P295),ISNUMBER(O295)),IF(ISNUMBER(Q295),"영업현금흐름-설비투자-주식보상비용","영업현금흐름-설비투자(주식보상비용 미태깅)"),"산출불가")))</f>
        <v/>
      </c>
      <c r="AZ295" s="19">
        <f>IF(AND(ISNUMBER(AX295),ISNUMBER(G295),G295&lt;&gt;0),AX295/G295,"")</f>
        <v/>
      </c>
      <c r="BA295" s="19">
        <f>IF(AND(ISNUMBER(AE295),ISNUMBER(G295),G295&lt;&gt;0),AE295/G295,"")</f>
        <v/>
      </c>
    </row>
    <row r="296">
      <c r="A296" s="8" t="inlineStr">
        <is>
          <t>COST</t>
        </is>
      </c>
      <c r="B296" s="8" t="inlineStr">
        <is>
          <t>COSTCO WHOLESALE CORP /NEW</t>
        </is>
      </c>
      <c r="C296" s="8" t="n">
        <v>2019</v>
      </c>
      <c r="D296" s="8" t="inlineStr">
        <is>
          <t>2019-09-01</t>
        </is>
      </c>
      <c r="E296" s="8" t="inlineStr">
        <is>
          <t>일반</t>
        </is>
      </c>
      <c r="F296" s="8" t="inlineStr">
        <is>
          <t>0000909832-21-000014</t>
        </is>
      </c>
      <c r="G296" s="15" t="n">
        <v>152.703</v>
      </c>
      <c r="H296" s="15" t="n">
        <v>4.765</v>
      </c>
      <c r="I296" s="15" t="n">
        <v>0.15</v>
      </c>
      <c r="J296" s="15" t="n">
        <v>1.061</v>
      </c>
      <c r="K296" s="15" t="n">
        <v>4.737</v>
      </c>
      <c r="L296" s="15" t="n">
        <v>3.659</v>
      </c>
      <c r="M296" s="15" t="n"/>
      <c r="N296" s="15" t="n">
        <v>1.492</v>
      </c>
      <c r="O296" s="15" t="n">
        <v>2.998</v>
      </c>
      <c r="P296" s="15" t="n">
        <v>6.356</v>
      </c>
      <c r="Q296" s="15" t="n">
        <v>0.595</v>
      </c>
      <c r="R296" s="15" t="n">
        <v>15.243</v>
      </c>
      <c r="S296" s="15" t="n">
        <v>12.799</v>
      </c>
      <c r="T296" s="15" t="n">
        <v>9.444000000000001</v>
      </c>
      <c r="U296" s="15" t="n">
        <v>7.259</v>
      </c>
      <c r="V296" s="15" t="n">
        <v>1.699</v>
      </c>
      <c r="W296" s="15" t="n">
        <v>0.09</v>
      </c>
      <c r="X296" s="15" t="n">
        <v>5.124</v>
      </c>
      <c r="Y296" s="15" t="n">
        <v>23.485</v>
      </c>
      <c r="Z296" s="15" t="n">
        <v>20.289</v>
      </c>
      <c r="AA296" s="15" t="n">
        <v>23.237</v>
      </c>
      <c r="AB296" s="15" t="n">
        <v>19.926</v>
      </c>
      <c r="AC296" s="15" t="n">
        <v>12.117</v>
      </c>
      <c r="AD296" s="16" t="n">
        <v>439.625</v>
      </c>
      <c r="AE296" s="17">
        <f>IF(ISNUMBER(K296),K296,IF(AND(ISNUMBER(H296),ISNUMBER(I296)),H296+I296,IF(ISNUMBER(H296),H296,"")))</f>
        <v/>
      </c>
      <c r="AF296" s="18">
        <f>IF(OR(NOT(ISNUMBER(J296)),NOT(ISNUMBER(H296)),H296&lt;=0),기준표!$B$8,MIN(MAX(J296/H296,기준표!$B$6),기준표!$B$7))</f>
        <v/>
      </c>
      <c r="AG296" s="17">
        <f>IF(ISNUMBER(AE296),AE296*(1-AF296),"")</f>
        <v/>
      </c>
      <c r="AH296" s="17">
        <f>IF(AND(NOT(ISNUMBER(V296)),NOT(ISNUMBER(X296))),"",IF(ISNUMBER(V296),V296,0)+IF(ISNUMBER(X296),X296,0))</f>
        <v/>
      </c>
      <c r="AI296" s="17">
        <f>IF(E296="금융","",IF(AND(ISNUMBER(R296),ISNUMBER(AH296),ISNUMBER(T296)),R296+AH296-T296,""))</f>
        <v/>
      </c>
      <c r="AJ296" s="17">
        <f>IF(E296="금융","",IF(NOT(ISNUMBER(AI296)),"",IF(ISNUMBER(AC296),(AI296+AC296)/2,AI296)))</f>
        <v/>
      </c>
      <c r="AK296" s="19">
        <f>IF(AND(ISNUMBER(AG296),ISNUMBER(AJ296),AJ296&gt;0),AG296/AJ296,"")</f>
        <v/>
      </c>
      <c r="AL296" s="17">
        <f>IF(E296="금융","",IF(AND(ISNUMBER(R296),ISNUMBER(AH296)),R296+AH296,""))</f>
        <v/>
      </c>
      <c r="AM296" s="19">
        <f>IF(OR(NOT(ISNUMBER(AG296)),NOT(ISNUMBER(AL296)),AL296&lt;=0),"",IF(AND(ISNUMBER(G296),AL296&lt;0.1*G296),"",AG296/AL296))</f>
        <v/>
      </c>
      <c r="AN296" s="17">
        <f>IF(NOT(ISNUMBER(R296)),"",IF(ISNUMBER(S296),(R296+S296)/2,R296))</f>
        <v/>
      </c>
      <c r="AO296" s="19">
        <f>IF(AND(ISNUMBER(L296),ISNUMBER(AN296),AN296&gt;0),L296/AN296,"")</f>
        <v/>
      </c>
      <c r="AP296" s="19">
        <f>IF(AND(ISNUMBER(AO296),ISNUMBER({ROIC})),AO296-{ROIC},"")</f>
        <v/>
      </c>
      <c r="AQ296" s="17">
        <f>IF(AND(ISNUMBER(AE296),ISNUMBER(N296)),AE296+N296,"")</f>
        <v/>
      </c>
      <c r="AR296" s="20">
        <f>IF(AND(ISNUMBER(AH296),ISNUMBER(T296),ISNUMBER(AQ296),AQ296&gt;0),(AH296-T296)/AQ296,"")</f>
        <v/>
      </c>
      <c r="AS296" s="20">
        <f>IF(AND(ISNUMBER(AE296),ISNUMBER(I296),I296&lt;&gt;0,AE296&gt;0),AE296/I296,"")</f>
        <v/>
      </c>
      <c r="AT296" s="17">
        <f>IF(AND(ISNUMBER(Y296),ISNUMBER(AA296)),Y296-IF(ISNUMBER(T296),T296,0)-(AA296-IF(ISNUMBER(V296),V296,0)),"")</f>
        <v/>
      </c>
      <c r="AU296" s="17">
        <f>IF(AND(ISNUMBER(Z296),ISNUMBER(AB296)),Z296-IF(ISNUMBER(U296),U296,0)-(AB296-IF(ISNUMBER(W296),W296,0)),"")</f>
        <v/>
      </c>
      <c r="AV296" s="17">
        <f>IF(AND(ISNUMBER(AT296),ISNUMBER(AU296)),AT296-AU296,"")</f>
        <v/>
      </c>
      <c r="AW296" s="17">
        <f>IF(AND(ISNUMBER(L296),ISNUMBER(M296),ISNUMBER(AF296)),L296-M296*(1-AF296),IF(ISNUMBER(L296),L296,""))</f>
        <v/>
      </c>
      <c r="AX296" s="17">
        <f>IF(E296="금융","",IF(AND(ISNUMBER(AW296),ISNUMBER(N296),ISNUMBER(O296),ISNUMBER(AV296)),AW296+N296-O296-AV296,IF(AND(ISNUMBER(P296),ISNUMBER(O296)),P296-O296-IF(ISNUMBER(Q296),Q296,0),"")))</f>
        <v/>
      </c>
      <c r="AY296" s="8">
        <f>IF(E296="금융","금융업 - 정의되지 않음",IF(AND(ISNUMBER(AW296),ISNUMBER(N296),ISNUMBER(O296),ISNUMBER(AV296)),"영업순이익+감가상각-설비투자-운전자본증감",IF(AND(ISNUMBER(P296),ISNUMBER(O296)),IF(ISNUMBER(Q296),"영업현금흐름-설비투자-주식보상비용","영업현금흐름-설비투자(주식보상비용 미태깅)"),"산출불가")))</f>
        <v/>
      </c>
      <c r="AZ296" s="19">
        <f>IF(AND(ISNUMBER(AX296),ISNUMBER(G296),G296&lt;&gt;0),AX296/G296,"")</f>
        <v/>
      </c>
      <c r="BA296" s="19">
        <f>IF(AND(ISNUMBER(AE296),ISNUMBER(G296),G296&lt;&gt;0),AE296/G296,"")</f>
        <v/>
      </c>
    </row>
    <row r="297">
      <c r="A297" s="8" t="inlineStr">
        <is>
          <t>COST</t>
        </is>
      </c>
      <c r="B297" s="8" t="inlineStr">
        <is>
          <t>COSTCO WHOLESALE CORP /NEW</t>
        </is>
      </c>
      <c r="C297" s="8" t="n">
        <v>2020</v>
      </c>
      <c r="D297" s="8" t="inlineStr">
        <is>
          <t>2020-08-30</t>
        </is>
      </c>
      <c r="E297" s="8" t="inlineStr">
        <is>
          <t>일반</t>
        </is>
      </c>
      <c r="F297" s="8" t="inlineStr">
        <is>
          <t>0000909832-22-000021</t>
        </is>
      </c>
      <c r="G297" s="15" t="n">
        <v>166.761</v>
      </c>
      <c r="H297" s="15" t="n">
        <v>5.367</v>
      </c>
      <c r="I297" s="15" t="n">
        <v>0.16</v>
      </c>
      <c r="J297" s="15" t="n">
        <v>1.308</v>
      </c>
      <c r="K297" s="15" t="n">
        <v>5.435</v>
      </c>
      <c r="L297" s="15" t="n">
        <v>4.002</v>
      </c>
      <c r="M297" s="15" t="n"/>
      <c r="N297" s="15" t="n">
        <v>1.645</v>
      </c>
      <c r="O297" s="15" t="n">
        <v>2.81</v>
      </c>
      <c r="P297" s="15" t="n">
        <v>8.861000000000001</v>
      </c>
      <c r="Q297" s="15" t="n">
        <v>0.619</v>
      </c>
      <c r="R297" s="15" t="n">
        <v>18.284</v>
      </c>
      <c r="S297" s="15" t="n">
        <v>15.243</v>
      </c>
      <c r="T297" s="15" t="n">
        <v>13.305</v>
      </c>
      <c r="U297" s="15" t="n">
        <v>9.444000000000001</v>
      </c>
      <c r="V297" s="15" t="n">
        <v>0.095</v>
      </c>
      <c r="W297" s="15" t="n">
        <v>1.699</v>
      </c>
      <c r="X297" s="15" t="n">
        <v>7.514</v>
      </c>
      <c r="Y297" s="15" t="n">
        <v>28.12</v>
      </c>
      <c r="Z297" s="15" t="n">
        <v>23.485</v>
      </c>
      <c r="AA297" s="15" t="n">
        <v>24.844</v>
      </c>
      <c r="AB297" s="15" t="n">
        <v>23.237</v>
      </c>
      <c r="AC297" s="15" t="n">
        <v>12.622</v>
      </c>
      <c r="AD297" s="16" t="n">
        <v>441.255</v>
      </c>
      <c r="AE297" s="17">
        <f>IF(ISNUMBER(K297),K297,IF(AND(ISNUMBER(H297),ISNUMBER(I297)),H297+I297,IF(ISNUMBER(H297),H297,"")))</f>
        <v/>
      </c>
      <c r="AF297" s="18">
        <f>IF(OR(NOT(ISNUMBER(J297)),NOT(ISNUMBER(H297)),H297&lt;=0),기준표!$B$8,MIN(MAX(J297/H297,기준표!$B$6),기준표!$B$7))</f>
        <v/>
      </c>
      <c r="AG297" s="17">
        <f>IF(ISNUMBER(AE297),AE297*(1-AF297),"")</f>
        <v/>
      </c>
      <c r="AH297" s="17">
        <f>IF(AND(NOT(ISNUMBER(V297)),NOT(ISNUMBER(X297))),"",IF(ISNUMBER(V297),V297,0)+IF(ISNUMBER(X297),X297,0))</f>
        <v/>
      </c>
      <c r="AI297" s="17">
        <f>IF(E297="금융","",IF(AND(ISNUMBER(R297),ISNUMBER(AH297),ISNUMBER(T297)),R297+AH297-T297,""))</f>
        <v/>
      </c>
      <c r="AJ297" s="17">
        <f>IF(E297="금융","",IF(NOT(ISNUMBER(AI297)),"",IF(ISNUMBER(AC297),(AI297+AC297)/2,AI297)))</f>
        <v/>
      </c>
      <c r="AK297" s="19">
        <f>IF(AND(ISNUMBER(AG297),ISNUMBER(AJ297),AJ297&gt;0),AG297/AJ297,"")</f>
        <v/>
      </c>
      <c r="AL297" s="17">
        <f>IF(E297="금융","",IF(AND(ISNUMBER(R297),ISNUMBER(AH297)),R297+AH297,""))</f>
        <v/>
      </c>
      <c r="AM297" s="19">
        <f>IF(OR(NOT(ISNUMBER(AG297)),NOT(ISNUMBER(AL297)),AL297&lt;=0),"",IF(AND(ISNUMBER(G297),AL297&lt;0.1*G297),"",AG297/AL297))</f>
        <v/>
      </c>
      <c r="AN297" s="17">
        <f>IF(NOT(ISNUMBER(R297)),"",IF(ISNUMBER(S297),(R297+S297)/2,R297))</f>
        <v/>
      </c>
      <c r="AO297" s="19">
        <f>IF(AND(ISNUMBER(L297),ISNUMBER(AN297),AN297&gt;0),L297/AN297,"")</f>
        <v/>
      </c>
      <c r="AP297" s="19">
        <f>IF(AND(ISNUMBER(AO297),ISNUMBER({ROIC})),AO297-{ROIC},"")</f>
        <v/>
      </c>
      <c r="AQ297" s="17">
        <f>IF(AND(ISNUMBER(AE297),ISNUMBER(N297)),AE297+N297,"")</f>
        <v/>
      </c>
      <c r="AR297" s="20">
        <f>IF(AND(ISNUMBER(AH297),ISNUMBER(T297),ISNUMBER(AQ297),AQ297&gt;0),(AH297-T297)/AQ297,"")</f>
        <v/>
      </c>
      <c r="AS297" s="20">
        <f>IF(AND(ISNUMBER(AE297),ISNUMBER(I297),I297&lt;&gt;0,AE297&gt;0),AE297/I297,"")</f>
        <v/>
      </c>
      <c r="AT297" s="17">
        <f>IF(AND(ISNUMBER(Y297),ISNUMBER(AA297)),Y297-IF(ISNUMBER(T297),T297,0)-(AA297-IF(ISNUMBER(V297),V297,0)),"")</f>
        <v/>
      </c>
      <c r="AU297" s="17">
        <f>IF(AND(ISNUMBER(Z297),ISNUMBER(AB297)),Z297-IF(ISNUMBER(U297),U297,0)-(AB297-IF(ISNUMBER(W297),W297,0)),"")</f>
        <v/>
      </c>
      <c r="AV297" s="17">
        <f>IF(AND(ISNUMBER(AT297),ISNUMBER(AU297)),AT297-AU297,"")</f>
        <v/>
      </c>
      <c r="AW297" s="17">
        <f>IF(AND(ISNUMBER(L297),ISNUMBER(M297),ISNUMBER(AF297)),L297-M297*(1-AF297),IF(ISNUMBER(L297),L297,""))</f>
        <v/>
      </c>
      <c r="AX297" s="17">
        <f>IF(E297="금융","",IF(AND(ISNUMBER(AW297),ISNUMBER(N297),ISNUMBER(O297),ISNUMBER(AV297)),AW297+N297-O297-AV297,IF(AND(ISNUMBER(P297),ISNUMBER(O297)),P297-O297-IF(ISNUMBER(Q297),Q297,0),"")))</f>
        <v/>
      </c>
      <c r="AY297" s="8">
        <f>IF(E297="금융","금융업 - 정의되지 않음",IF(AND(ISNUMBER(AW297),ISNUMBER(N297),ISNUMBER(O297),ISNUMBER(AV297)),"영업순이익+감가상각-설비투자-운전자본증감",IF(AND(ISNUMBER(P297),ISNUMBER(O297)),IF(ISNUMBER(Q297),"영업현금흐름-설비투자-주식보상비용","영업현금흐름-설비투자(주식보상비용 미태깅)"),"산출불가")))</f>
        <v/>
      </c>
      <c r="AZ297" s="19">
        <f>IF(AND(ISNUMBER(AX297),ISNUMBER(G297),G297&lt;&gt;0),AX297/G297,"")</f>
        <v/>
      </c>
      <c r="BA297" s="19">
        <f>IF(AND(ISNUMBER(AE297),ISNUMBER(G297),G297&lt;&gt;0),AE297/G297,"")</f>
        <v/>
      </c>
    </row>
    <row r="298">
      <c r="A298" s="8" t="inlineStr">
        <is>
          <t>COST</t>
        </is>
      </c>
      <c r="B298" s="8" t="inlineStr">
        <is>
          <t>COSTCO WHOLESALE CORP /NEW</t>
        </is>
      </c>
      <c r="C298" s="8" t="n">
        <v>2021</v>
      </c>
      <c r="D298" s="8" t="inlineStr">
        <is>
          <t>2021-08-29</t>
        </is>
      </c>
      <c r="E298" s="8" t="inlineStr">
        <is>
          <t>일반</t>
        </is>
      </c>
      <c r="F298" s="8" t="inlineStr">
        <is>
          <t>0000909832-23-000042</t>
        </is>
      </c>
      <c r="G298" s="15" t="n">
        <v>195.929</v>
      </c>
      <c r="H298" s="15" t="n">
        <v>6.68</v>
      </c>
      <c r="I298" s="15" t="n">
        <v>0.171</v>
      </c>
      <c r="J298" s="15" t="n">
        <v>1.601</v>
      </c>
      <c r="K298" s="15" t="n">
        <v>6.708</v>
      </c>
      <c r="L298" s="15" t="n">
        <v>5.007</v>
      </c>
      <c r="M298" s="15" t="n"/>
      <c r="N298" s="15" t="n">
        <v>1.781</v>
      </c>
      <c r="O298" s="15" t="n">
        <v>3.588</v>
      </c>
      <c r="P298" s="15" t="n">
        <v>8.958</v>
      </c>
      <c r="Q298" s="15" t="n">
        <v>0.665</v>
      </c>
      <c r="R298" s="15" t="n">
        <v>17.564</v>
      </c>
      <c r="S298" s="15" t="n">
        <v>18.284</v>
      </c>
      <c r="T298" s="15" t="n">
        <v>12.175</v>
      </c>
      <c r="U298" s="15" t="n">
        <v>13.305</v>
      </c>
      <c r="V298" s="15" t="n">
        <v>0.799</v>
      </c>
      <c r="W298" s="15" t="n">
        <v>0.095</v>
      </c>
      <c r="X298" s="15" t="n">
        <v>6.692</v>
      </c>
      <c r="Y298" s="15" t="n">
        <v>29.505</v>
      </c>
      <c r="Z298" s="15" t="n">
        <v>28.12</v>
      </c>
      <c r="AA298" s="15" t="n">
        <v>29.441</v>
      </c>
      <c r="AB298" s="15" t="n">
        <v>24.844</v>
      </c>
      <c r="AC298" s="15" t="n">
        <v>12.588</v>
      </c>
      <c r="AD298" s="16" t="n">
        <v>441.825</v>
      </c>
      <c r="AE298" s="17">
        <f>IF(ISNUMBER(K298),K298,IF(AND(ISNUMBER(H298),ISNUMBER(I298)),H298+I298,IF(ISNUMBER(H298),H298,"")))</f>
        <v/>
      </c>
      <c r="AF298" s="18">
        <f>IF(OR(NOT(ISNUMBER(J298)),NOT(ISNUMBER(H298)),H298&lt;=0),기준표!$B$8,MIN(MAX(J298/H298,기준표!$B$6),기준표!$B$7))</f>
        <v/>
      </c>
      <c r="AG298" s="17">
        <f>IF(ISNUMBER(AE298),AE298*(1-AF298),"")</f>
        <v/>
      </c>
      <c r="AH298" s="17">
        <f>IF(AND(NOT(ISNUMBER(V298)),NOT(ISNUMBER(X298))),"",IF(ISNUMBER(V298),V298,0)+IF(ISNUMBER(X298),X298,0))</f>
        <v/>
      </c>
      <c r="AI298" s="17">
        <f>IF(E298="금융","",IF(AND(ISNUMBER(R298),ISNUMBER(AH298),ISNUMBER(T298)),R298+AH298-T298,""))</f>
        <v/>
      </c>
      <c r="AJ298" s="17">
        <f>IF(E298="금융","",IF(NOT(ISNUMBER(AI298)),"",IF(ISNUMBER(AC298),(AI298+AC298)/2,AI298)))</f>
        <v/>
      </c>
      <c r="AK298" s="19">
        <f>IF(AND(ISNUMBER(AG298),ISNUMBER(AJ298),AJ298&gt;0),AG298/AJ298,"")</f>
        <v/>
      </c>
      <c r="AL298" s="17">
        <f>IF(E298="금융","",IF(AND(ISNUMBER(R298),ISNUMBER(AH298)),R298+AH298,""))</f>
        <v/>
      </c>
      <c r="AM298" s="19">
        <f>IF(OR(NOT(ISNUMBER(AG298)),NOT(ISNUMBER(AL298)),AL298&lt;=0),"",IF(AND(ISNUMBER(G298),AL298&lt;0.1*G298),"",AG298/AL298))</f>
        <v/>
      </c>
      <c r="AN298" s="17">
        <f>IF(NOT(ISNUMBER(R298)),"",IF(ISNUMBER(S298),(R298+S298)/2,R298))</f>
        <v/>
      </c>
      <c r="AO298" s="19">
        <f>IF(AND(ISNUMBER(L298),ISNUMBER(AN298),AN298&gt;0),L298/AN298,"")</f>
        <v/>
      </c>
      <c r="AP298" s="19">
        <f>IF(AND(ISNUMBER(AO298),ISNUMBER({ROIC})),AO298-{ROIC},"")</f>
        <v/>
      </c>
      <c r="AQ298" s="17">
        <f>IF(AND(ISNUMBER(AE298),ISNUMBER(N298)),AE298+N298,"")</f>
        <v/>
      </c>
      <c r="AR298" s="20">
        <f>IF(AND(ISNUMBER(AH298),ISNUMBER(T298),ISNUMBER(AQ298),AQ298&gt;0),(AH298-T298)/AQ298,"")</f>
        <v/>
      </c>
      <c r="AS298" s="20">
        <f>IF(AND(ISNUMBER(AE298),ISNUMBER(I298),I298&lt;&gt;0,AE298&gt;0),AE298/I298,"")</f>
        <v/>
      </c>
      <c r="AT298" s="17">
        <f>IF(AND(ISNUMBER(Y298),ISNUMBER(AA298)),Y298-IF(ISNUMBER(T298),T298,0)-(AA298-IF(ISNUMBER(V298),V298,0)),"")</f>
        <v/>
      </c>
      <c r="AU298" s="17">
        <f>IF(AND(ISNUMBER(Z298),ISNUMBER(AB298)),Z298-IF(ISNUMBER(U298),U298,0)-(AB298-IF(ISNUMBER(W298),W298,0)),"")</f>
        <v/>
      </c>
      <c r="AV298" s="17">
        <f>IF(AND(ISNUMBER(AT298),ISNUMBER(AU298)),AT298-AU298,"")</f>
        <v/>
      </c>
      <c r="AW298" s="17">
        <f>IF(AND(ISNUMBER(L298),ISNUMBER(M298),ISNUMBER(AF298)),L298-M298*(1-AF298),IF(ISNUMBER(L298),L298,""))</f>
        <v/>
      </c>
      <c r="AX298" s="17">
        <f>IF(E298="금융","",IF(AND(ISNUMBER(AW298),ISNUMBER(N298),ISNUMBER(O298),ISNUMBER(AV298)),AW298+N298-O298-AV298,IF(AND(ISNUMBER(P298),ISNUMBER(O298)),P298-O298-IF(ISNUMBER(Q298),Q298,0),"")))</f>
        <v/>
      </c>
      <c r="AY298" s="8">
        <f>IF(E298="금융","금융업 - 정의되지 않음",IF(AND(ISNUMBER(AW298),ISNUMBER(N298),ISNUMBER(O298),ISNUMBER(AV298)),"영업순이익+감가상각-설비투자-운전자본증감",IF(AND(ISNUMBER(P298),ISNUMBER(O298)),IF(ISNUMBER(Q298),"영업현금흐름-설비투자-주식보상비용","영업현금흐름-설비투자(주식보상비용 미태깅)"),"산출불가")))</f>
        <v/>
      </c>
      <c r="AZ298" s="19">
        <f>IF(AND(ISNUMBER(AX298),ISNUMBER(G298),G298&lt;&gt;0),AX298/G298,"")</f>
        <v/>
      </c>
      <c r="BA298" s="19">
        <f>IF(AND(ISNUMBER(AE298),ISNUMBER(G298),G298&lt;&gt;0),AE298/G298,"")</f>
        <v/>
      </c>
    </row>
    <row r="299">
      <c r="A299" s="8" t="inlineStr">
        <is>
          <t>COST</t>
        </is>
      </c>
      <c r="B299" s="8" t="inlineStr">
        <is>
          <t>COSTCO WHOLESALE CORP /NEW</t>
        </is>
      </c>
      <c r="C299" s="8" t="n">
        <v>2022</v>
      </c>
      <c r="D299" s="8" t="inlineStr">
        <is>
          <t>2022-08-28</t>
        </is>
      </c>
      <c r="E299" s="8" t="inlineStr">
        <is>
          <t>일반</t>
        </is>
      </c>
      <c r="F299" s="8" t="inlineStr">
        <is>
          <t>0000909832-24-000049</t>
        </is>
      </c>
      <c r="G299" s="15" t="n">
        <v>226.954</v>
      </c>
      <c r="H299" s="15" t="n">
        <v>7.84</v>
      </c>
      <c r="I299" s="15" t="n">
        <v>0.158</v>
      </c>
      <c r="J299" s="15" t="n">
        <v>1.925</v>
      </c>
      <c r="K299" s="15" t="n">
        <v>7.793</v>
      </c>
      <c r="L299" s="15" t="n">
        <v>5.844</v>
      </c>
      <c r="M299" s="15" t="n"/>
      <c r="N299" s="15" t="n">
        <v>1.9</v>
      </c>
      <c r="O299" s="15" t="n">
        <v>3.891</v>
      </c>
      <c r="P299" s="15" t="n">
        <v>7.392</v>
      </c>
      <c r="Q299" s="15" t="n">
        <v>0.724</v>
      </c>
      <c r="R299" s="15" t="n">
        <v>20.642</v>
      </c>
      <c r="S299" s="15" t="n">
        <v>17.564</v>
      </c>
      <c r="T299" s="15" t="n">
        <v>11.049</v>
      </c>
      <c r="U299" s="15" t="n">
        <v>12.175</v>
      </c>
      <c r="V299" s="15" t="n">
        <v>0.073</v>
      </c>
      <c r="W299" s="15" t="n">
        <v>0.799</v>
      </c>
      <c r="X299" s="15" t="n">
        <v>6.484</v>
      </c>
      <c r="Y299" s="15" t="n">
        <v>32.696</v>
      </c>
      <c r="Z299" s="15" t="n">
        <v>29.505</v>
      </c>
      <c r="AA299" s="15" t="n">
        <v>31.998</v>
      </c>
      <c r="AB299" s="15" t="n">
        <v>29.441</v>
      </c>
      <c r="AC299" s="15" t="n">
        <v>12.88</v>
      </c>
      <c r="AD299" s="16" t="n">
        <v>442.664</v>
      </c>
      <c r="AE299" s="17">
        <f>IF(ISNUMBER(K299),K299,IF(AND(ISNUMBER(H299),ISNUMBER(I299)),H299+I299,IF(ISNUMBER(H299),H299,"")))</f>
        <v/>
      </c>
      <c r="AF299" s="18">
        <f>IF(OR(NOT(ISNUMBER(J299)),NOT(ISNUMBER(H299)),H299&lt;=0),기준표!$B$8,MIN(MAX(J299/H299,기준표!$B$6),기준표!$B$7))</f>
        <v/>
      </c>
      <c r="AG299" s="17">
        <f>IF(ISNUMBER(AE299),AE299*(1-AF299),"")</f>
        <v/>
      </c>
      <c r="AH299" s="17">
        <f>IF(AND(NOT(ISNUMBER(V299)),NOT(ISNUMBER(X299))),"",IF(ISNUMBER(V299),V299,0)+IF(ISNUMBER(X299),X299,0))</f>
        <v/>
      </c>
      <c r="AI299" s="17">
        <f>IF(E299="금융","",IF(AND(ISNUMBER(R299),ISNUMBER(AH299),ISNUMBER(T299)),R299+AH299-T299,""))</f>
        <v/>
      </c>
      <c r="AJ299" s="17">
        <f>IF(E299="금융","",IF(NOT(ISNUMBER(AI299)),"",IF(ISNUMBER(AC299),(AI299+AC299)/2,AI299)))</f>
        <v/>
      </c>
      <c r="AK299" s="19">
        <f>IF(AND(ISNUMBER(AG299),ISNUMBER(AJ299),AJ299&gt;0),AG299/AJ299,"")</f>
        <v/>
      </c>
      <c r="AL299" s="17">
        <f>IF(E299="금융","",IF(AND(ISNUMBER(R299),ISNUMBER(AH299)),R299+AH299,""))</f>
        <v/>
      </c>
      <c r="AM299" s="19">
        <f>IF(OR(NOT(ISNUMBER(AG299)),NOT(ISNUMBER(AL299)),AL299&lt;=0),"",IF(AND(ISNUMBER(G299),AL299&lt;0.1*G299),"",AG299/AL299))</f>
        <v/>
      </c>
      <c r="AN299" s="17">
        <f>IF(NOT(ISNUMBER(R299)),"",IF(ISNUMBER(S299),(R299+S299)/2,R299))</f>
        <v/>
      </c>
      <c r="AO299" s="19">
        <f>IF(AND(ISNUMBER(L299),ISNUMBER(AN299),AN299&gt;0),L299/AN299,"")</f>
        <v/>
      </c>
      <c r="AP299" s="19">
        <f>IF(AND(ISNUMBER(AO299),ISNUMBER({ROIC})),AO299-{ROIC},"")</f>
        <v/>
      </c>
      <c r="AQ299" s="17">
        <f>IF(AND(ISNUMBER(AE299),ISNUMBER(N299)),AE299+N299,"")</f>
        <v/>
      </c>
      <c r="AR299" s="20">
        <f>IF(AND(ISNUMBER(AH299),ISNUMBER(T299),ISNUMBER(AQ299),AQ299&gt;0),(AH299-T299)/AQ299,"")</f>
        <v/>
      </c>
      <c r="AS299" s="20">
        <f>IF(AND(ISNUMBER(AE299),ISNUMBER(I299),I299&lt;&gt;0,AE299&gt;0),AE299/I299,"")</f>
        <v/>
      </c>
      <c r="AT299" s="17">
        <f>IF(AND(ISNUMBER(Y299),ISNUMBER(AA299)),Y299-IF(ISNUMBER(T299),T299,0)-(AA299-IF(ISNUMBER(V299),V299,0)),"")</f>
        <v/>
      </c>
      <c r="AU299" s="17">
        <f>IF(AND(ISNUMBER(Z299),ISNUMBER(AB299)),Z299-IF(ISNUMBER(U299),U299,0)-(AB299-IF(ISNUMBER(W299),W299,0)),"")</f>
        <v/>
      </c>
      <c r="AV299" s="17">
        <f>IF(AND(ISNUMBER(AT299),ISNUMBER(AU299)),AT299-AU299,"")</f>
        <v/>
      </c>
      <c r="AW299" s="17">
        <f>IF(AND(ISNUMBER(L299),ISNUMBER(M299),ISNUMBER(AF299)),L299-M299*(1-AF299),IF(ISNUMBER(L299),L299,""))</f>
        <v/>
      </c>
      <c r="AX299" s="17">
        <f>IF(E299="금융","",IF(AND(ISNUMBER(AW299),ISNUMBER(N299),ISNUMBER(O299),ISNUMBER(AV299)),AW299+N299-O299-AV299,IF(AND(ISNUMBER(P299),ISNUMBER(O299)),P299-O299-IF(ISNUMBER(Q299),Q299,0),"")))</f>
        <v/>
      </c>
      <c r="AY299" s="8">
        <f>IF(E299="금융","금융업 - 정의되지 않음",IF(AND(ISNUMBER(AW299),ISNUMBER(N299),ISNUMBER(O299),ISNUMBER(AV299)),"영업순이익+감가상각-설비투자-운전자본증감",IF(AND(ISNUMBER(P299),ISNUMBER(O299)),IF(ISNUMBER(Q299),"영업현금흐름-설비투자-주식보상비용","영업현금흐름-설비투자(주식보상비용 미태깅)"),"산출불가")))</f>
        <v/>
      </c>
      <c r="AZ299" s="19">
        <f>IF(AND(ISNUMBER(AX299),ISNUMBER(G299),G299&lt;&gt;0),AX299/G299,"")</f>
        <v/>
      </c>
      <c r="BA299" s="19">
        <f>IF(AND(ISNUMBER(AE299),ISNUMBER(G299),G299&lt;&gt;0),AE299/G299,"")</f>
        <v/>
      </c>
    </row>
    <row r="300">
      <c r="A300" s="8" t="inlineStr">
        <is>
          <t>COST</t>
        </is>
      </c>
      <c r="B300" s="8" t="inlineStr">
        <is>
          <t>COSTCO WHOLESALE CORP /NEW</t>
        </is>
      </c>
      <c r="C300" s="8" t="n">
        <v>2023</v>
      </c>
      <c r="D300" s="8" t="inlineStr">
        <is>
          <t>2023-09-03</t>
        </is>
      </c>
      <c r="E300" s="8" t="inlineStr">
        <is>
          <t>일반</t>
        </is>
      </c>
      <c r="F300" s="8" t="inlineStr">
        <is>
          <t>0000909832-25-000101</t>
        </is>
      </c>
      <c r="G300" s="15" t="n">
        <v>242.29</v>
      </c>
      <c r="H300" s="15" t="n">
        <v>8.487</v>
      </c>
      <c r="I300" s="15" t="n">
        <v>0.16</v>
      </c>
      <c r="J300" s="15" t="n">
        <v>2.195</v>
      </c>
      <c r="K300" s="15" t="n">
        <v>8.114000000000001</v>
      </c>
      <c r="L300" s="15" t="n">
        <v>6.292</v>
      </c>
      <c r="M300" s="15" t="n"/>
      <c r="N300" s="15" t="n">
        <v>2.077</v>
      </c>
      <c r="O300" s="15" t="n">
        <v>4.323</v>
      </c>
      <c r="P300" s="15" t="n">
        <v>11.068</v>
      </c>
      <c r="Q300" s="15" t="n">
        <v>0.774</v>
      </c>
      <c r="R300" s="15" t="n">
        <v>25.058</v>
      </c>
      <c r="S300" s="15" t="n">
        <v>20.642</v>
      </c>
      <c r="T300" s="15" t="n">
        <v>15.234</v>
      </c>
      <c r="U300" s="15" t="n">
        <v>11.049</v>
      </c>
      <c r="V300" s="15" t="n">
        <v>1.081</v>
      </c>
      <c r="W300" s="15" t="n">
        <v>0.073</v>
      </c>
      <c r="X300" s="15" t="n">
        <v>5.377</v>
      </c>
      <c r="Y300" s="15" t="n">
        <v>35.879</v>
      </c>
      <c r="Z300" s="15" t="n">
        <v>32.696</v>
      </c>
      <c r="AA300" s="15" t="n">
        <v>33.583</v>
      </c>
      <c r="AB300" s="15" t="n">
        <v>31.998</v>
      </c>
      <c r="AC300" s="15" t="n">
        <v>16.15</v>
      </c>
      <c r="AD300" s="16" t="n">
        <v>442.793</v>
      </c>
      <c r="AE300" s="17">
        <f>IF(ISNUMBER(K300),K300,IF(AND(ISNUMBER(H300),ISNUMBER(I300)),H300+I300,IF(ISNUMBER(H300),H300,"")))</f>
        <v/>
      </c>
      <c r="AF300" s="18">
        <f>IF(OR(NOT(ISNUMBER(J300)),NOT(ISNUMBER(H300)),H300&lt;=0),기준표!$B$8,MIN(MAX(J300/H300,기준표!$B$6),기준표!$B$7))</f>
        <v/>
      </c>
      <c r="AG300" s="17">
        <f>IF(ISNUMBER(AE300),AE300*(1-AF300),"")</f>
        <v/>
      </c>
      <c r="AH300" s="17">
        <f>IF(AND(NOT(ISNUMBER(V300)),NOT(ISNUMBER(X300))),"",IF(ISNUMBER(V300),V300,0)+IF(ISNUMBER(X300),X300,0))</f>
        <v/>
      </c>
      <c r="AI300" s="17">
        <f>IF(E300="금융","",IF(AND(ISNUMBER(R300),ISNUMBER(AH300),ISNUMBER(T300)),R300+AH300-T300,""))</f>
        <v/>
      </c>
      <c r="AJ300" s="17">
        <f>IF(E300="금융","",IF(NOT(ISNUMBER(AI300)),"",IF(ISNUMBER(AC300),(AI300+AC300)/2,AI300)))</f>
        <v/>
      </c>
      <c r="AK300" s="19">
        <f>IF(AND(ISNUMBER(AG300),ISNUMBER(AJ300),AJ300&gt;0),AG300/AJ300,"")</f>
        <v/>
      </c>
      <c r="AL300" s="17">
        <f>IF(E300="금융","",IF(AND(ISNUMBER(R300),ISNUMBER(AH300)),R300+AH300,""))</f>
        <v/>
      </c>
      <c r="AM300" s="19">
        <f>IF(OR(NOT(ISNUMBER(AG300)),NOT(ISNUMBER(AL300)),AL300&lt;=0),"",IF(AND(ISNUMBER(G300),AL300&lt;0.1*G300),"",AG300/AL300))</f>
        <v/>
      </c>
      <c r="AN300" s="17">
        <f>IF(NOT(ISNUMBER(R300)),"",IF(ISNUMBER(S300),(R300+S300)/2,R300))</f>
        <v/>
      </c>
      <c r="AO300" s="19">
        <f>IF(AND(ISNUMBER(L300),ISNUMBER(AN300),AN300&gt;0),L300/AN300,"")</f>
        <v/>
      </c>
      <c r="AP300" s="19">
        <f>IF(AND(ISNUMBER(AO300),ISNUMBER({ROIC})),AO300-{ROIC},"")</f>
        <v/>
      </c>
      <c r="AQ300" s="17">
        <f>IF(AND(ISNUMBER(AE300),ISNUMBER(N300)),AE300+N300,"")</f>
        <v/>
      </c>
      <c r="AR300" s="20">
        <f>IF(AND(ISNUMBER(AH300),ISNUMBER(T300),ISNUMBER(AQ300),AQ300&gt;0),(AH300-T300)/AQ300,"")</f>
        <v/>
      </c>
      <c r="AS300" s="20">
        <f>IF(AND(ISNUMBER(AE300),ISNUMBER(I300),I300&lt;&gt;0,AE300&gt;0),AE300/I300,"")</f>
        <v/>
      </c>
      <c r="AT300" s="17">
        <f>IF(AND(ISNUMBER(Y300),ISNUMBER(AA300)),Y300-IF(ISNUMBER(T300),T300,0)-(AA300-IF(ISNUMBER(V300),V300,0)),"")</f>
        <v/>
      </c>
      <c r="AU300" s="17">
        <f>IF(AND(ISNUMBER(Z300),ISNUMBER(AB300)),Z300-IF(ISNUMBER(U300),U300,0)-(AB300-IF(ISNUMBER(W300),W300,0)),"")</f>
        <v/>
      </c>
      <c r="AV300" s="17">
        <f>IF(AND(ISNUMBER(AT300),ISNUMBER(AU300)),AT300-AU300,"")</f>
        <v/>
      </c>
      <c r="AW300" s="17">
        <f>IF(AND(ISNUMBER(L300),ISNUMBER(M300),ISNUMBER(AF300)),L300-M300*(1-AF300),IF(ISNUMBER(L300),L300,""))</f>
        <v/>
      </c>
      <c r="AX300" s="17">
        <f>IF(E300="금융","",IF(AND(ISNUMBER(AW300),ISNUMBER(N300),ISNUMBER(O300),ISNUMBER(AV300)),AW300+N300-O300-AV300,IF(AND(ISNUMBER(P300),ISNUMBER(O300)),P300-O300-IF(ISNUMBER(Q300),Q300,0),"")))</f>
        <v/>
      </c>
      <c r="AY300" s="8">
        <f>IF(E300="금융","금융업 - 정의되지 않음",IF(AND(ISNUMBER(AW300),ISNUMBER(N300),ISNUMBER(O300),ISNUMBER(AV300)),"영업순이익+감가상각-설비투자-운전자본증감",IF(AND(ISNUMBER(P300),ISNUMBER(O300)),IF(ISNUMBER(Q300),"영업현금흐름-설비투자-주식보상비용","영업현금흐름-설비투자(주식보상비용 미태깅)"),"산출불가")))</f>
        <v/>
      </c>
      <c r="AZ300" s="19">
        <f>IF(AND(ISNUMBER(AX300),ISNUMBER(G300),G300&lt;&gt;0),AX300/G300,"")</f>
        <v/>
      </c>
      <c r="BA300" s="19">
        <f>IF(AND(ISNUMBER(AE300),ISNUMBER(G300),G300&lt;&gt;0),AE300/G300,"")</f>
        <v/>
      </c>
    </row>
    <row r="301">
      <c r="A301" s="8" t="inlineStr">
        <is>
          <t>COST</t>
        </is>
      </c>
      <c r="B301" s="8" t="inlineStr">
        <is>
          <t>COSTCO WHOLESALE CORP /NEW</t>
        </is>
      </c>
      <c r="C301" s="8" t="n">
        <v>2024</v>
      </c>
      <c r="D301" s="8" t="inlineStr">
        <is>
          <t>2024-09-01</t>
        </is>
      </c>
      <c r="E301" s="8" t="inlineStr">
        <is>
          <t>일반</t>
        </is>
      </c>
      <c r="F301" s="8" t="inlineStr">
        <is>
          <t>0000909832-25-000101</t>
        </is>
      </c>
      <c r="G301" s="15" t="n">
        <v>254.453</v>
      </c>
      <c r="H301" s="15" t="n">
        <v>9.74</v>
      </c>
      <c r="I301" s="15" t="n">
        <v>0.169</v>
      </c>
      <c r="J301" s="15" t="n">
        <v>2.373</v>
      </c>
      <c r="K301" s="15" t="n">
        <v>9.285</v>
      </c>
      <c r="L301" s="15" t="n">
        <v>7.367</v>
      </c>
      <c r="M301" s="15" t="n"/>
      <c r="N301" s="15" t="n">
        <v>2.237</v>
      </c>
      <c r="O301" s="15" t="n">
        <v>4.71</v>
      </c>
      <c r="P301" s="15" t="n">
        <v>11.339</v>
      </c>
      <c r="Q301" s="15" t="n">
        <v>0.8179999999999999</v>
      </c>
      <c r="R301" s="15" t="n">
        <v>23.622</v>
      </c>
      <c r="S301" s="15" t="n">
        <v>25.058</v>
      </c>
      <c r="T301" s="15" t="n">
        <v>11.144</v>
      </c>
      <c r="U301" s="15" t="n">
        <v>15.234</v>
      </c>
      <c r="V301" s="15" t="n">
        <v>0.103</v>
      </c>
      <c r="W301" s="15" t="n">
        <v>1.081</v>
      </c>
      <c r="X301" s="15" t="n">
        <v>5.794</v>
      </c>
      <c r="Y301" s="15" t="n">
        <v>34.246</v>
      </c>
      <c r="Z301" s="15" t="n">
        <v>35.879</v>
      </c>
      <c r="AA301" s="15" t="n">
        <v>35.464</v>
      </c>
      <c r="AB301" s="15" t="n">
        <v>33.583</v>
      </c>
      <c r="AC301" s="15" t="n">
        <v>16.282</v>
      </c>
      <c r="AD301" s="16" t="n">
        <v>443.126</v>
      </c>
      <c r="AE301" s="17">
        <f>IF(ISNUMBER(K301),K301,IF(AND(ISNUMBER(H301),ISNUMBER(I301)),H301+I301,IF(ISNUMBER(H301),H301,"")))</f>
        <v/>
      </c>
      <c r="AF301" s="18">
        <f>IF(OR(NOT(ISNUMBER(J301)),NOT(ISNUMBER(H301)),H301&lt;=0),기준표!$B$8,MIN(MAX(J301/H301,기준표!$B$6),기준표!$B$7))</f>
        <v/>
      </c>
      <c r="AG301" s="17">
        <f>IF(ISNUMBER(AE301),AE301*(1-AF301),"")</f>
        <v/>
      </c>
      <c r="AH301" s="17">
        <f>IF(AND(NOT(ISNUMBER(V301)),NOT(ISNUMBER(X301))),"",IF(ISNUMBER(V301),V301,0)+IF(ISNUMBER(X301),X301,0))</f>
        <v/>
      </c>
      <c r="AI301" s="17">
        <f>IF(E301="금융","",IF(AND(ISNUMBER(R301),ISNUMBER(AH301),ISNUMBER(T301)),R301+AH301-T301,""))</f>
        <v/>
      </c>
      <c r="AJ301" s="17">
        <f>IF(E301="금융","",IF(NOT(ISNUMBER(AI301)),"",IF(ISNUMBER(AC301),(AI301+AC301)/2,AI301)))</f>
        <v/>
      </c>
      <c r="AK301" s="19">
        <f>IF(AND(ISNUMBER(AG301),ISNUMBER(AJ301),AJ301&gt;0),AG301/AJ301,"")</f>
        <v/>
      </c>
      <c r="AL301" s="17">
        <f>IF(E301="금융","",IF(AND(ISNUMBER(R301),ISNUMBER(AH301)),R301+AH301,""))</f>
        <v/>
      </c>
      <c r="AM301" s="19">
        <f>IF(OR(NOT(ISNUMBER(AG301)),NOT(ISNUMBER(AL301)),AL301&lt;=0),"",IF(AND(ISNUMBER(G301),AL301&lt;0.1*G301),"",AG301/AL301))</f>
        <v/>
      </c>
      <c r="AN301" s="17">
        <f>IF(NOT(ISNUMBER(R301)),"",IF(ISNUMBER(S301),(R301+S301)/2,R301))</f>
        <v/>
      </c>
      <c r="AO301" s="19">
        <f>IF(AND(ISNUMBER(L301),ISNUMBER(AN301),AN301&gt;0),L301/AN301,"")</f>
        <v/>
      </c>
      <c r="AP301" s="19">
        <f>IF(AND(ISNUMBER(AO301),ISNUMBER({ROIC})),AO301-{ROIC},"")</f>
        <v/>
      </c>
      <c r="AQ301" s="17">
        <f>IF(AND(ISNUMBER(AE301),ISNUMBER(N301)),AE301+N301,"")</f>
        <v/>
      </c>
      <c r="AR301" s="20">
        <f>IF(AND(ISNUMBER(AH301),ISNUMBER(T301),ISNUMBER(AQ301),AQ301&gt;0),(AH301-T301)/AQ301,"")</f>
        <v/>
      </c>
      <c r="AS301" s="20">
        <f>IF(AND(ISNUMBER(AE301),ISNUMBER(I301),I301&lt;&gt;0,AE301&gt;0),AE301/I301,"")</f>
        <v/>
      </c>
      <c r="AT301" s="17">
        <f>IF(AND(ISNUMBER(Y301),ISNUMBER(AA301)),Y301-IF(ISNUMBER(T301),T301,0)-(AA301-IF(ISNUMBER(V301),V301,0)),"")</f>
        <v/>
      </c>
      <c r="AU301" s="17">
        <f>IF(AND(ISNUMBER(Z301),ISNUMBER(AB301)),Z301-IF(ISNUMBER(U301),U301,0)-(AB301-IF(ISNUMBER(W301),W301,0)),"")</f>
        <v/>
      </c>
      <c r="AV301" s="17">
        <f>IF(AND(ISNUMBER(AT301),ISNUMBER(AU301)),AT301-AU301,"")</f>
        <v/>
      </c>
      <c r="AW301" s="17">
        <f>IF(AND(ISNUMBER(L301),ISNUMBER(M301),ISNUMBER(AF301)),L301-M301*(1-AF301),IF(ISNUMBER(L301),L301,""))</f>
        <v/>
      </c>
      <c r="AX301" s="17">
        <f>IF(E301="금융","",IF(AND(ISNUMBER(AW301),ISNUMBER(N301),ISNUMBER(O301),ISNUMBER(AV301)),AW301+N301-O301-AV301,IF(AND(ISNUMBER(P301),ISNUMBER(O301)),P301-O301-IF(ISNUMBER(Q301),Q301,0),"")))</f>
        <v/>
      </c>
      <c r="AY301" s="8">
        <f>IF(E301="금융","금융업 - 정의되지 않음",IF(AND(ISNUMBER(AW301),ISNUMBER(N301),ISNUMBER(O301),ISNUMBER(AV301)),"영업순이익+감가상각-설비투자-운전자본증감",IF(AND(ISNUMBER(P301),ISNUMBER(O301)),IF(ISNUMBER(Q301),"영업현금흐름-설비투자-주식보상비용","영업현금흐름-설비투자(주식보상비용 미태깅)"),"산출불가")))</f>
        <v/>
      </c>
      <c r="AZ301" s="19">
        <f>IF(AND(ISNUMBER(AX301),ISNUMBER(G301),G301&lt;&gt;0),AX301/G301,"")</f>
        <v/>
      </c>
      <c r="BA301" s="19">
        <f>IF(AND(ISNUMBER(AE301),ISNUMBER(G301),G301&lt;&gt;0),AE301/G301,"")</f>
        <v/>
      </c>
    </row>
    <row r="302">
      <c r="A302" s="8" t="inlineStr">
        <is>
          <t>COST</t>
        </is>
      </c>
      <c r="B302" s="8" t="inlineStr">
        <is>
          <t>COSTCO WHOLESALE CORP /NEW</t>
        </is>
      </c>
      <c r="C302" s="8" t="n">
        <v>2025</v>
      </c>
      <c r="D302" s="8" t="inlineStr">
        <is>
          <t>2025-08-31</t>
        </is>
      </c>
      <c r="E302" s="8" t="inlineStr">
        <is>
          <t>일반</t>
        </is>
      </c>
      <c r="F302" s="8" t="inlineStr">
        <is>
          <t>0000909832-25-000101</t>
        </is>
      </c>
      <c r="G302" s="15" t="n">
        <v>275.235</v>
      </c>
      <c r="H302" s="15" t="n">
        <v>10.818</v>
      </c>
      <c r="I302" s="15" t="n">
        <v>0.154</v>
      </c>
      <c r="J302" s="15" t="n">
        <v>2.719</v>
      </c>
      <c r="K302" s="15" t="n">
        <v>10.383</v>
      </c>
      <c r="L302" s="15" t="n">
        <v>8.099</v>
      </c>
      <c r="M302" s="15" t="n"/>
      <c r="N302" s="15" t="n">
        <v>2.426</v>
      </c>
      <c r="O302" s="15" t="n">
        <v>5.498</v>
      </c>
      <c r="P302" s="15" t="n">
        <v>13.335</v>
      </c>
      <c r="Q302" s="15" t="n">
        <v>0.86</v>
      </c>
      <c r="R302" s="15" t="n">
        <v>29.164</v>
      </c>
      <c r="S302" s="15" t="n">
        <v>23.622</v>
      </c>
      <c r="T302" s="15" t="n">
        <v>15.284</v>
      </c>
      <c r="U302" s="15" t="n">
        <v>11.144</v>
      </c>
      <c r="V302" s="15" t="n">
        <v>0.075</v>
      </c>
      <c r="W302" s="15" t="n">
        <v>0.103</v>
      </c>
      <c r="X302" s="15" t="n">
        <v>5.713</v>
      </c>
      <c r="Y302" s="15" t="n">
        <v>38.38</v>
      </c>
      <c r="Z302" s="15" t="n">
        <v>34.246</v>
      </c>
      <c r="AA302" s="15" t="n">
        <v>37.108</v>
      </c>
      <c r="AB302" s="15" t="n">
        <v>35.464</v>
      </c>
      <c r="AC302" s="15" t="n">
        <v>18.375</v>
      </c>
      <c r="AD302" s="16" t="n">
        <v>443.237</v>
      </c>
      <c r="AE302" s="17">
        <f>IF(ISNUMBER(K302),K302,IF(AND(ISNUMBER(H302),ISNUMBER(I302)),H302+I302,IF(ISNUMBER(H302),H302,"")))</f>
        <v/>
      </c>
      <c r="AF302" s="18">
        <f>IF(OR(NOT(ISNUMBER(J302)),NOT(ISNUMBER(H302)),H302&lt;=0),기준표!$B$8,MIN(MAX(J302/H302,기준표!$B$6),기준표!$B$7))</f>
        <v/>
      </c>
      <c r="AG302" s="17">
        <f>IF(ISNUMBER(AE302),AE302*(1-AF302),"")</f>
        <v/>
      </c>
      <c r="AH302" s="17">
        <f>IF(AND(NOT(ISNUMBER(V302)),NOT(ISNUMBER(X302))),"",IF(ISNUMBER(V302),V302,0)+IF(ISNUMBER(X302),X302,0))</f>
        <v/>
      </c>
      <c r="AI302" s="17">
        <f>IF(E302="금융","",IF(AND(ISNUMBER(R302),ISNUMBER(AH302),ISNUMBER(T302)),R302+AH302-T302,""))</f>
        <v/>
      </c>
      <c r="AJ302" s="17">
        <f>IF(E302="금융","",IF(NOT(ISNUMBER(AI302)),"",IF(ISNUMBER(AC302),(AI302+AC302)/2,AI302)))</f>
        <v/>
      </c>
      <c r="AK302" s="19">
        <f>IF(AND(ISNUMBER(AG302),ISNUMBER(AJ302),AJ302&gt;0),AG302/AJ302,"")</f>
        <v/>
      </c>
      <c r="AL302" s="17">
        <f>IF(E302="금융","",IF(AND(ISNUMBER(R302),ISNUMBER(AH302)),R302+AH302,""))</f>
        <v/>
      </c>
      <c r="AM302" s="19">
        <f>IF(OR(NOT(ISNUMBER(AG302)),NOT(ISNUMBER(AL302)),AL302&lt;=0),"",IF(AND(ISNUMBER(G302),AL302&lt;0.1*G302),"",AG302/AL302))</f>
        <v/>
      </c>
      <c r="AN302" s="17">
        <f>IF(NOT(ISNUMBER(R302)),"",IF(ISNUMBER(S302),(R302+S302)/2,R302))</f>
        <v/>
      </c>
      <c r="AO302" s="19">
        <f>IF(AND(ISNUMBER(L302),ISNUMBER(AN302),AN302&gt;0),L302/AN302,"")</f>
        <v/>
      </c>
      <c r="AP302" s="19">
        <f>IF(AND(ISNUMBER(AO302),ISNUMBER({ROIC})),AO302-{ROIC},"")</f>
        <v/>
      </c>
      <c r="AQ302" s="17">
        <f>IF(AND(ISNUMBER(AE302),ISNUMBER(N302)),AE302+N302,"")</f>
        <v/>
      </c>
      <c r="AR302" s="20">
        <f>IF(AND(ISNUMBER(AH302),ISNUMBER(T302),ISNUMBER(AQ302),AQ302&gt;0),(AH302-T302)/AQ302,"")</f>
        <v/>
      </c>
      <c r="AS302" s="20">
        <f>IF(AND(ISNUMBER(AE302),ISNUMBER(I302),I302&lt;&gt;0,AE302&gt;0),AE302/I302,"")</f>
        <v/>
      </c>
      <c r="AT302" s="17">
        <f>IF(AND(ISNUMBER(Y302),ISNUMBER(AA302)),Y302-IF(ISNUMBER(T302),T302,0)-(AA302-IF(ISNUMBER(V302),V302,0)),"")</f>
        <v/>
      </c>
      <c r="AU302" s="17">
        <f>IF(AND(ISNUMBER(Z302),ISNUMBER(AB302)),Z302-IF(ISNUMBER(U302),U302,0)-(AB302-IF(ISNUMBER(W302),W302,0)),"")</f>
        <v/>
      </c>
      <c r="AV302" s="17">
        <f>IF(AND(ISNUMBER(AT302),ISNUMBER(AU302)),AT302-AU302,"")</f>
        <v/>
      </c>
      <c r="AW302" s="17">
        <f>IF(AND(ISNUMBER(L302),ISNUMBER(M302),ISNUMBER(AF302)),L302-M302*(1-AF302),IF(ISNUMBER(L302),L302,""))</f>
        <v/>
      </c>
      <c r="AX302" s="17">
        <f>IF(E302="금융","",IF(AND(ISNUMBER(AW302),ISNUMBER(N302),ISNUMBER(O302),ISNUMBER(AV302)),AW302+N302-O302-AV302,IF(AND(ISNUMBER(P302),ISNUMBER(O302)),P302-O302-IF(ISNUMBER(Q302),Q302,0),"")))</f>
        <v/>
      </c>
      <c r="AY302" s="8">
        <f>IF(E302="금융","금융업 - 정의되지 않음",IF(AND(ISNUMBER(AW302),ISNUMBER(N302),ISNUMBER(O302),ISNUMBER(AV302)),"영업순이익+감가상각-설비투자-운전자본증감",IF(AND(ISNUMBER(P302),ISNUMBER(O302)),IF(ISNUMBER(Q302),"영업현금흐름-설비투자-주식보상비용","영업현금흐름-설비투자(주식보상비용 미태깅)"),"산출불가")))</f>
        <v/>
      </c>
      <c r="AZ302" s="19">
        <f>IF(AND(ISNUMBER(AX302),ISNUMBER(G302),G302&lt;&gt;0),AX302/G302,"")</f>
        <v/>
      </c>
      <c r="BA302" s="19">
        <f>IF(AND(ISNUMBER(AE302),ISNUMBER(G302),G302&lt;&gt;0),AE302/G302,"")</f>
        <v/>
      </c>
    </row>
    <row r="303">
      <c r="A303" s="8" t="inlineStr">
        <is>
          <t>PLTR</t>
        </is>
      </c>
      <c r="B303" s="8" t="inlineStr">
        <is>
          <t>Palantir Technologies Inc.</t>
        </is>
      </c>
      <c r="C303" s="8" t="n">
        <v>2018</v>
      </c>
      <c r="D303" s="8" t="inlineStr">
        <is>
          <t>2018-12-31</t>
        </is>
      </c>
      <c r="E303" s="8" t="inlineStr">
        <is>
          <t>일반</t>
        </is>
      </c>
      <c r="F303" s="8" t="inlineStr">
        <is>
          <t>0001193125-21-060650</t>
        </is>
      </c>
      <c r="G303" s="15" t="n">
        <v>0.595409</v>
      </c>
      <c r="H303" s="15" t="n">
        <v>-0.570925</v>
      </c>
      <c r="I303" s="15" t="n">
        <v>0.00344</v>
      </c>
      <c r="J303" s="15" t="n">
        <v>0.009102000000000001</v>
      </c>
      <c r="K303" s="15" t="n">
        <v>-0.62344</v>
      </c>
      <c r="L303" s="15" t="n">
        <v>-0.580027</v>
      </c>
      <c r="M303" s="15" t="n"/>
      <c r="N303" s="15" t="n">
        <v>0.01391</v>
      </c>
      <c r="O303" s="15" t="n">
        <v>0.013004</v>
      </c>
      <c r="P303" s="15" t="n">
        <v>-0.039012</v>
      </c>
      <c r="Q303" s="15" t="n">
        <v>0.248503</v>
      </c>
      <c r="R303" s="15" t="n">
        <v>-1.751428</v>
      </c>
      <c r="S303" s="15" t="n"/>
      <c r="T303" s="15" t="n">
        <v>1.266835</v>
      </c>
      <c r="U303" s="15" t="n"/>
      <c r="V303" s="15" t="n">
        <v>0</v>
      </c>
      <c r="W303" s="15" t="n"/>
      <c r="X303" s="15" t="n"/>
      <c r="Y303" s="15" t="n"/>
      <c r="Z303" s="15" t="n"/>
      <c r="AA303" s="15" t="n"/>
      <c r="AB303" s="15" t="n"/>
      <c r="AC303" s="15" t="n"/>
      <c r="AD303" s="16" t="n">
        <v>544.014393</v>
      </c>
      <c r="AE303" s="17">
        <f>IF(ISNUMBER(K303),K303,IF(AND(ISNUMBER(H303),ISNUMBER(I303)),H303+I303,IF(ISNUMBER(H303),H303,"")))</f>
        <v/>
      </c>
      <c r="AF303" s="18">
        <f>IF(OR(NOT(ISNUMBER(J303)),NOT(ISNUMBER(H303)),H303&lt;=0),기준표!$B$8,MIN(MAX(J303/H303,기준표!$B$6),기준표!$B$7))</f>
        <v/>
      </c>
      <c r="AG303" s="17">
        <f>IF(ISNUMBER(AE303),AE303*(1-AF303),"")</f>
        <v/>
      </c>
      <c r="AH303" s="17">
        <f>IF(AND(NOT(ISNUMBER(V303)),NOT(ISNUMBER(X303))),"",IF(ISNUMBER(V303),V303,0)+IF(ISNUMBER(X303),X303,0))</f>
        <v/>
      </c>
      <c r="AI303" s="17">
        <f>IF(E303="금융","",IF(AND(ISNUMBER(R303),ISNUMBER(AH303),ISNUMBER(T303)),R303+AH303-T303,""))</f>
        <v/>
      </c>
      <c r="AJ303" s="17">
        <f>IF(E303="금융","",IF(NOT(ISNUMBER(AI303)),"",IF(ISNUMBER(AC303),(AI303+AC303)/2,AI303)))</f>
        <v/>
      </c>
      <c r="AK303" s="19">
        <f>IF(AND(ISNUMBER(AG303),ISNUMBER(AJ303),AJ303&gt;0),AG303/AJ303,"")</f>
        <v/>
      </c>
      <c r="AL303" s="17">
        <f>IF(E303="금융","",IF(AND(ISNUMBER(R303),ISNUMBER(AH303)),R303+AH303,""))</f>
        <v/>
      </c>
      <c r="AM303" s="19">
        <f>IF(OR(NOT(ISNUMBER(AG303)),NOT(ISNUMBER(AL303)),AL303&lt;=0),"",IF(AND(ISNUMBER(G303),AL303&lt;0.1*G303),"",AG303/AL303))</f>
        <v/>
      </c>
      <c r="AN303" s="17">
        <f>IF(NOT(ISNUMBER(R303)),"",IF(ISNUMBER(S303),(R303+S303)/2,R303))</f>
        <v/>
      </c>
      <c r="AO303" s="19">
        <f>IF(AND(ISNUMBER(L303),ISNUMBER(AN303),AN303&gt;0),L303/AN303,"")</f>
        <v/>
      </c>
      <c r="AP303" s="19">
        <f>IF(AND(ISNUMBER(AO303),ISNUMBER({ROIC})),AO303-{ROIC},"")</f>
        <v/>
      </c>
      <c r="AQ303" s="17">
        <f>IF(AND(ISNUMBER(AE303),ISNUMBER(N303)),AE303+N303,"")</f>
        <v/>
      </c>
      <c r="AR303" s="20">
        <f>IF(AND(ISNUMBER(AH303),ISNUMBER(T303),ISNUMBER(AQ303),AQ303&gt;0),(AH303-T303)/AQ303,"")</f>
        <v/>
      </c>
      <c r="AS303" s="20">
        <f>IF(AND(ISNUMBER(AE303),ISNUMBER(I303),I303&lt;&gt;0,AE303&gt;0),AE303/I303,"")</f>
        <v/>
      </c>
      <c r="AT303" s="17">
        <f>IF(AND(ISNUMBER(Y303),ISNUMBER(AA303)),Y303-IF(ISNUMBER(T303),T303,0)-(AA303-IF(ISNUMBER(V303),V303,0)),"")</f>
        <v/>
      </c>
      <c r="AU303" s="17">
        <f>IF(AND(ISNUMBER(Z303),ISNUMBER(AB303)),Z303-IF(ISNUMBER(U303),U303,0)-(AB303-IF(ISNUMBER(W303),W303,0)),"")</f>
        <v/>
      </c>
      <c r="AV303" s="17">
        <f>IF(AND(ISNUMBER(AT303),ISNUMBER(AU303)),AT303-AU303,"")</f>
        <v/>
      </c>
      <c r="AW303" s="17">
        <f>IF(AND(ISNUMBER(L303),ISNUMBER(M303),ISNUMBER(AF303)),L303-M303*(1-AF303),IF(ISNUMBER(L303),L303,""))</f>
        <v/>
      </c>
      <c r="AX303" s="17">
        <f>IF(E303="금융","",IF(AND(ISNUMBER(AW303),ISNUMBER(N303),ISNUMBER(O303),ISNUMBER(AV303)),AW303+N303-O303-AV303,IF(AND(ISNUMBER(P303),ISNUMBER(O303)),P303-O303-IF(ISNUMBER(Q303),Q303,0),"")))</f>
        <v/>
      </c>
      <c r="AY303" s="8">
        <f>IF(E303="금융","금융업 - 정의되지 않음",IF(AND(ISNUMBER(AW303),ISNUMBER(N303),ISNUMBER(O303),ISNUMBER(AV303)),"영업순이익+감가상각-설비투자-운전자본증감",IF(AND(ISNUMBER(P303),ISNUMBER(O303)),IF(ISNUMBER(Q303),"영업현금흐름-설비투자-주식보상비용","영업현금흐름-설비투자(주식보상비용 미태깅)"),"산출불가")))</f>
        <v/>
      </c>
      <c r="AZ303" s="19">
        <f>IF(AND(ISNUMBER(AX303),ISNUMBER(G303),G303&lt;&gt;0),AX303/G303,"")</f>
        <v/>
      </c>
      <c r="BA303" s="19">
        <f>IF(AND(ISNUMBER(AE303),ISNUMBER(G303),G303&lt;&gt;0),AE303/G303,"")</f>
        <v/>
      </c>
    </row>
    <row r="304">
      <c r="A304" s="8" t="inlineStr">
        <is>
          <t>PLTR</t>
        </is>
      </c>
      <c r="B304" s="8" t="inlineStr">
        <is>
          <t>Palantir Technologies Inc.</t>
        </is>
      </c>
      <c r="C304" s="8" t="n">
        <v>2019</v>
      </c>
      <c r="D304" s="8" t="inlineStr">
        <is>
          <t>2019-12-31</t>
        </is>
      </c>
      <c r="E304" s="8" t="inlineStr">
        <is>
          <t>일반</t>
        </is>
      </c>
      <c r="F304" s="8" t="inlineStr">
        <is>
          <t>0001193125-22-050913</t>
        </is>
      </c>
      <c r="G304" s="15" t="n">
        <v>0.742555</v>
      </c>
      <c r="H304" s="15" t="n">
        <v>-0.567271</v>
      </c>
      <c r="I304" s="15" t="n">
        <v>0.003061</v>
      </c>
      <c r="J304" s="15" t="n">
        <v>0.012375</v>
      </c>
      <c r="K304" s="15" t="n">
        <v>-0.576444</v>
      </c>
      <c r="L304" s="15" t="n">
        <v>-0.579646</v>
      </c>
      <c r="M304" s="15" t="n"/>
      <c r="N304" s="15" t="n">
        <v>0.012255</v>
      </c>
      <c r="O304" s="15" t="n">
        <v>0.013096</v>
      </c>
      <c r="P304" s="15" t="n">
        <v>-0.165215</v>
      </c>
      <c r="Q304" s="15" t="n">
        <v>0.24197</v>
      </c>
      <c r="R304" s="15" t="n">
        <v>-1.980642</v>
      </c>
      <c r="S304" s="15" t="n">
        <v>-1.751428</v>
      </c>
      <c r="T304" s="15" t="n">
        <v>1.401962</v>
      </c>
      <c r="U304" s="15" t="n">
        <v>1.266835</v>
      </c>
      <c r="V304" s="15" t="n">
        <v>0</v>
      </c>
      <c r="W304" s="15" t="n">
        <v>0</v>
      </c>
      <c r="X304" s="15" t="n">
        <v>0.396065</v>
      </c>
      <c r="Y304" s="15" t="n">
        <v>1.214153</v>
      </c>
      <c r="Z304" s="15" t="n"/>
      <c r="AA304" s="15" t="n">
        <v>0.728598</v>
      </c>
      <c r="AB304" s="15" t="n"/>
      <c r="AC304" s="15" t="n">
        <v>-3.018263</v>
      </c>
      <c r="AD304" s="16" t="n">
        <v>576.9589999999999</v>
      </c>
      <c r="AE304" s="17">
        <f>IF(ISNUMBER(K304),K304,IF(AND(ISNUMBER(H304),ISNUMBER(I304)),H304+I304,IF(ISNUMBER(H304),H304,"")))</f>
        <v/>
      </c>
      <c r="AF304" s="18">
        <f>IF(OR(NOT(ISNUMBER(J304)),NOT(ISNUMBER(H304)),H304&lt;=0),기준표!$B$8,MIN(MAX(J304/H304,기준표!$B$6),기준표!$B$7))</f>
        <v/>
      </c>
      <c r="AG304" s="17">
        <f>IF(ISNUMBER(AE304),AE304*(1-AF304),"")</f>
        <v/>
      </c>
      <c r="AH304" s="17">
        <f>IF(AND(NOT(ISNUMBER(V304)),NOT(ISNUMBER(X304))),"",IF(ISNUMBER(V304),V304,0)+IF(ISNUMBER(X304),X304,0))</f>
        <v/>
      </c>
      <c r="AI304" s="17">
        <f>IF(E304="금융","",IF(AND(ISNUMBER(R304),ISNUMBER(AH304),ISNUMBER(T304)),R304+AH304-T304,""))</f>
        <v/>
      </c>
      <c r="AJ304" s="17">
        <f>IF(E304="금융","",IF(NOT(ISNUMBER(AI304)),"",IF(ISNUMBER(AC304),(AI304+AC304)/2,AI304)))</f>
        <v/>
      </c>
      <c r="AK304" s="19">
        <f>IF(AND(ISNUMBER(AG304),ISNUMBER(AJ304),AJ304&gt;0),AG304/AJ304,"")</f>
        <v/>
      </c>
      <c r="AL304" s="17">
        <f>IF(E304="금융","",IF(AND(ISNUMBER(R304),ISNUMBER(AH304)),R304+AH304,""))</f>
        <v/>
      </c>
      <c r="AM304" s="19">
        <f>IF(OR(NOT(ISNUMBER(AG304)),NOT(ISNUMBER(AL304)),AL304&lt;=0),"",IF(AND(ISNUMBER(G304),AL304&lt;0.1*G304),"",AG304/AL304))</f>
        <v/>
      </c>
      <c r="AN304" s="17">
        <f>IF(NOT(ISNUMBER(R304)),"",IF(ISNUMBER(S304),(R304+S304)/2,R304))</f>
        <v/>
      </c>
      <c r="AO304" s="19">
        <f>IF(AND(ISNUMBER(L304),ISNUMBER(AN304),AN304&gt;0),L304/AN304,"")</f>
        <v/>
      </c>
      <c r="AP304" s="19">
        <f>IF(AND(ISNUMBER(AO304),ISNUMBER({ROIC})),AO304-{ROIC},"")</f>
        <v/>
      </c>
      <c r="AQ304" s="17">
        <f>IF(AND(ISNUMBER(AE304),ISNUMBER(N304)),AE304+N304,"")</f>
        <v/>
      </c>
      <c r="AR304" s="20">
        <f>IF(AND(ISNUMBER(AH304),ISNUMBER(T304),ISNUMBER(AQ304),AQ304&gt;0),(AH304-T304)/AQ304,"")</f>
        <v/>
      </c>
      <c r="AS304" s="20">
        <f>IF(AND(ISNUMBER(AE304),ISNUMBER(I304),I304&lt;&gt;0,AE304&gt;0),AE304/I304,"")</f>
        <v/>
      </c>
      <c r="AT304" s="17">
        <f>IF(AND(ISNUMBER(Y304),ISNUMBER(AA304)),Y304-IF(ISNUMBER(T304),T304,0)-(AA304-IF(ISNUMBER(V304),V304,0)),"")</f>
        <v/>
      </c>
      <c r="AU304" s="17">
        <f>IF(AND(ISNUMBER(Z304),ISNUMBER(AB304)),Z304-IF(ISNUMBER(U304),U304,0)-(AB304-IF(ISNUMBER(W304),W304,0)),"")</f>
        <v/>
      </c>
      <c r="AV304" s="17">
        <f>IF(AND(ISNUMBER(AT304),ISNUMBER(AU304)),AT304-AU304,"")</f>
        <v/>
      </c>
      <c r="AW304" s="17">
        <f>IF(AND(ISNUMBER(L304),ISNUMBER(M304),ISNUMBER(AF304)),L304-M304*(1-AF304),IF(ISNUMBER(L304),L304,""))</f>
        <v/>
      </c>
      <c r="AX304" s="17">
        <f>IF(E304="금융","",IF(AND(ISNUMBER(AW304),ISNUMBER(N304),ISNUMBER(O304),ISNUMBER(AV304)),AW304+N304-O304-AV304,IF(AND(ISNUMBER(P304),ISNUMBER(O304)),P304-O304-IF(ISNUMBER(Q304),Q304,0),"")))</f>
        <v/>
      </c>
      <c r="AY304" s="8">
        <f>IF(E304="금융","금융업 - 정의되지 않음",IF(AND(ISNUMBER(AW304),ISNUMBER(N304),ISNUMBER(O304),ISNUMBER(AV304)),"영업순이익+감가상각-설비투자-운전자본증감",IF(AND(ISNUMBER(P304),ISNUMBER(O304)),IF(ISNUMBER(Q304),"영업현금흐름-설비투자-주식보상비용","영업현금흐름-설비투자(주식보상비용 미태깅)"),"산출불가")))</f>
        <v/>
      </c>
      <c r="AZ304" s="19">
        <f>IF(AND(ISNUMBER(AX304),ISNUMBER(G304),G304&lt;&gt;0),AX304/G304,"")</f>
        <v/>
      </c>
      <c r="BA304" s="19">
        <f>IF(AND(ISNUMBER(AE304),ISNUMBER(G304),G304&lt;&gt;0),AE304/G304,"")</f>
        <v/>
      </c>
    </row>
    <row r="305">
      <c r="A305" s="8" t="inlineStr">
        <is>
          <t>PLTR</t>
        </is>
      </c>
      <c r="B305" s="8" t="inlineStr">
        <is>
          <t>Palantir Technologies Inc.</t>
        </is>
      </c>
      <c r="C305" s="8" t="n">
        <v>2020</v>
      </c>
      <c r="D305" s="8" t="inlineStr">
        <is>
          <t>2020-12-31</t>
        </is>
      </c>
      <c r="E305" s="8" t="inlineStr">
        <is>
          <t>일반</t>
        </is>
      </c>
      <c r="F305" s="8" t="inlineStr">
        <is>
          <t>0001321655-23-000011</t>
        </is>
      </c>
      <c r="G305" s="15" t="n">
        <v>1.092673</v>
      </c>
      <c r="H305" s="15" t="n">
        <v>-1.179027</v>
      </c>
      <c r="I305" s="15" t="n">
        <v>0.014139</v>
      </c>
      <c r="J305" s="15" t="n">
        <v>-0.012636</v>
      </c>
      <c r="K305" s="15" t="n">
        <v>-1.173679</v>
      </c>
      <c r="L305" s="15" t="n">
        <v>-1.166391</v>
      </c>
      <c r="M305" s="15" t="n">
        <v>0</v>
      </c>
      <c r="N305" s="15" t="n">
        <v>0.013871</v>
      </c>
      <c r="O305" s="15" t="n">
        <v>0.012236</v>
      </c>
      <c r="P305" s="15" t="n">
        <v>-0.296608</v>
      </c>
      <c r="Q305" s="15" t="n">
        <v>1.270702</v>
      </c>
      <c r="R305" s="15" t="n">
        <v>1.52255</v>
      </c>
      <c r="S305" s="15" t="n">
        <v>-1.980642</v>
      </c>
      <c r="T305" s="15" t="n">
        <v>2.128146</v>
      </c>
      <c r="U305" s="15" t="n">
        <v>1.401962</v>
      </c>
      <c r="V305" s="15" t="n">
        <v>0</v>
      </c>
      <c r="W305" s="15" t="n">
        <v>0</v>
      </c>
      <c r="X305" s="15" t="n">
        <v>0.197977</v>
      </c>
      <c r="Y305" s="15" t="n">
        <v>2.257429</v>
      </c>
      <c r="Z305" s="15" t="n">
        <v>1.214153</v>
      </c>
      <c r="AA305" s="15" t="n">
        <v>0.603823</v>
      </c>
      <c r="AB305" s="15" t="n">
        <v>0.728598</v>
      </c>
      <c r="AC305" s="15" t="n">
        <v>-2.986539</v>
      </c>
      <c r="AD305" s="16" t="n">
        <v>979.33</v>
      </c>
      <c r="AE305" s="17">
        <f>IF(ISNUMBER(K305),K305,IF(AND(ISNUMBER(H305),ISNUMBER(I305)),H305+I305,IF(ISNUMBER(H305),H305,"")))</f>
        <v/>
      </c>
      <c r="AF305" s="18">
        <f>IF(OR(NOT(ISNUMBER(J305)),NOT(ISNUMBER(H305)),H305&lt;=0),기준표!$B$8,MIN(MAX(J305/H305,기준표!$B$6),기준표!$B$7))</f>
        <v/>
      </c>
      <c r="AG305" s="17">
        <f>IF(ISNUMBER(AE305),AE305*(1-AF305),"")</f>
        <v/>
      </c>
      <c r="AH305" s="17">
        <f>IF(AND(NOT(ISNUMBER(V305)),NOT(ISNUMBER(X305))),"",IF(ISNUMBER(V305),V305,0)+IF(ISNUMBER(X305),X305,0))</f>
        <v/>
      </c>
      <c r="AI305" s="17">
        <f>IF(E305="금융","",IF(AND(ISNUMBER(R305),ISNUMBER(AH305),ISNUMBER(T305)),R305+AH305-T305,""))</f>
        <v/>
      </c>
      <c r="AJ305" s="17">
        <f>IF(E305="금융","",IF(NOT(ISNUMBER(AI305)),"",IF(ISNUMBER(AC305),(AI305+AC305)/2,AI305)))</f>
        <v/>
      </c>
      <c r="AK305" s="19">
        <f>IF(AND(ISNUMBER(AG305),ISNUMBER(AJ305),AJ305&gt;0),AG305/AJ305,"")</f>
        <v/>
      </c>
      <c r="AL305" s="17">
        <f>IF(E305="금융","",IF(AND(ISNUMBER(R305),ISNUMBER(AH305)),R305+AH305,""))</f>
        <v/>
      </c>
      <c r="AM305" s="19">
        <f>IF(OR(NOT(ISNUMBER(AG305)),NOT(ISNUMBER(AL305)),AL305&lt;=0),"",IF(AND(ISNUMBER(G305),AL305&lt;0.1*G305),"",AG305/AL305))</f>
        <v/>
      </c>
      <c r="AN305" s="17">
        <f>IF(NOT(ISNUMBER(R305)),"",IF(ISNUMBER(S305),(R305+S305)/2,R305))</f>
        <v/>
      </c>
      <c r="AO305" s="19">
        <f>IF(AND(ISNUMBER(L305),ISNUMBER(AN305),AN305&gt;0),L305/AN305,"")</f>
        <v/>
      </c>
      <c r="AP305" s="19">
        <f>IF(AND(ISNUMBER(AO305),ISNUMBER({ROIC})),AO305-{ROIC},"")</f>
        <v/>
      </c>
      <c r="AQ305" s="17">
        <f>IF(AND(ISNUMBER(AE305),ISNUMBER(N305)),AE305+N305,"")</f>
        <v/>
      </c>
      <c r="AR305" s="20">
        <f>IF(AND(ISNUMBER(AH305),ISNUMBER(T305),ISNUMBER(AQ305),AQ305&gt;0),(AH305-T305)/AQ305,"")</f>
        <v/>
      </c>
      <c r="AS305" s="20">
        <f>IF(AND(ISNUMBER(AE305),ISNUMBER(I305),I305&lt;&gt;0,AE305&gt;0),AE305/I305,"")</f>
        <v/>
      </c>
      <c r="AT305" s="17">
        <f>IF(AND(ISNUMBER(Y305),ISNUMBER(AA305)),Y305-IF(ISNUMBER(T305),T305,0)-(AA305-IF(ISNUMBER(V305),V305,0)),"")</f>
        <v/>
      </c>
      <c r="AU305" s="17">
        <f>IF(AND(ISNUMBER(Z305),ISNUMBER(AB305)),Z305-IF(ISNUMBER(U305),U305,0)-(AB305-IF(ISNUMBER(W305),W305,0)),"")</f>
        <v/>
      </c>
      <c r="AV305" s="17">
        <f>IF(AND(ISNUMBER(AT305),ISNUMBER(AU305)),AT305-AU305,"")</f>
        <v/>
      </c>
      <c r="AW305" s="17">
        <f>IF(AND(ISNUMBER(L305),ISNUMBER(M305),ISNUMBER(AF305)),L305-M305*(1-AF305),IF(ISNUMBER(L305),L305,""))</f>
        <v/>
      </c>
      <c r="AX305" s="17">
        <f>IF(E305="금융","",IF(AND(ISNUMBER(AW305),ISNUMBER(N305),ISNUMBER(O305),ISNUMBER(AV305)),AW305+N305-O305-AV305,IF(AND(ISNUMBER(P305),ISNUMBER(O305)),P305-O305-IF(ISNUMBER(Q305),Q305,0),"")))</f>
        <v/>
      </c>
      <c r="AY305" s="8">
        <f>IF(E305="금융","금융업 - 정의되지 않음",IF(AND(ISNUMBER(AW305),ISNUMBER(N305),ISNUMBER(O305),ISNUMBER(AV305)),"영업순이익+감가상각-설비투자-운전자본증감",IF(AND(ISNUMBER(P305),ISNUMBER(O305)),IF(ISNUMBER(Q305),"영업현금흐름-설비투자-주식보상비용","영업현금흐름-설비투자(주식보상비용 미태깅)"),"산출불가")))</f>
        <v/>
      </c>
      <c r="AZ305" s="19">
        <f>IF(AND(ISNUMBER(AX305),ISNUMBER(G305),G305&lt;&gt;0),AX305/G305,"")</f>
        <v/>
      </c>
      <c r="BA305" s="19">
        <f>IF(AND(ISNUMBER(AE305),ISNUMBER(G305),G305&lt;&gt;0),AE305/G305,"")</f>
        <v/>
      </c>
    </row>
    <row r="306">
      <c r="A306" s="8" t="inlineStr">
        <is>
          <t>PLTR</t>
        </is>
      </c>
      <c r="B306" s="8" t="inlineStr">
        <is>
          <t>Palantir Technologies Inc.</t>
        </is>
      </c>
      <c r="C306" s="8" t="n">
        <v>2021</v>
      </c>
      <c r="D306" s="8" t="inlineStr">
        <is>
          <t>2021-12-31</t>
        </is>
      </c>
      <c r="E306" s="8" t="inlineStr">
        <is>
          <t>일반</t>
        </is>
      </c>
      <c r="F306" s="8" t="inlineStr">
        <is>
          <t>0001321655-24-000022</t>
        </is>
      </c>
      <c r="G306" s="15" t="n">
        <v>1.541889</v>
      </c>
      <c r="H306" s="15" t="n">
        <v>-0.488494</v>
      </c>
      <c r="I306" s="15" t="n">
        <v>0.00364</v>
      </c>
      <c r="J306" s="15" t="n">
        <v>0.031885</v>
      </c>
      <c r="K306" s="15" t="n">
        <v>-0.411046</v>
      </c>
      <c r="L306" s="15" t="n">
        <v>-0.520379</v>
      </c>
      <c r="M306" s="15" t="n">
        <v>-0.073311</v>
      </c>
      <c r="N306" s="15" t="n">
        <v>0.014897</v>
      </c>
      <c r="O306" s="15" t="n">
        <v>0.012627</v>
      </c>
      <c r="P306" s="15" t="n">
        <v>0.333851</v>
      </c>
      <c r="Q306" s="15" t="n">
        <v>0.778215</v>
      </c>
      <c r="R306" s="15" t="n">
        <v>2.29103</v>
      </c>
      <c r="S306" s="15" t="n">
        <v>1.52255</v>
      </c>
      <c r="T306" s="15" t="n">
        <v>2.601067</v>
      </c>
      <c r="U306" s="15" t="n">
        <v>2.128146</v>
      </c>
      <c r="V306" s="15" t="n">
        <v>0</v>
      </c>
      <c r="W306" s="15" t="n">
        <v>0</v>
      </c>
      <c r="X306" s="15" t="n">
        <v>0</v>
      </c>
      <c r="Y306" s="15" t="n">
        <v>2.86325</v>
      </c>
      <c r="Z306" s="15" t="n">
        <v>2.257429</v>
      </c>
      <c r="AA306" s="15" t="n">
        <v>0.660061</v>
      </c>
      <c r="AB306" s="15" t="n">
        <v>0.603823</v>
      </c>
      <c r="AC306" s="15" t="n">
        <v>-0.407619</v>
      </c>
      <c r="AD306" s="16" t="n">
        <v>1923.617</v>
      </c>
      <c r="AE306" s="17">
        <f>IF(ISNUMBER(K306),K306,IF(AND(ISNUMBER(H306),ISNUMBER(I306)),H306+I306,IF(ISNUMBER(H306),H306,"")))</f>
        <v/>
      </c>
      <c r="AF306" s="18">
        <f>IF(OR(NOT(ISNUMBER(J306)),NOT(ISNUMBER(H306)),H306&lt;=0),기준표!$B$8,MIN(MAX(J306/H306,기준표!$B$6),기준표!$B$7))</f>
        <v/>
      </c>
      <c r="AG306" s="17">
        <f>IF(ISNUMBER(AE306),AE306*(1-AF306),"")</f>
        <v/>
      </c>
      <c r="AH306" s="17">
        <f>IF(AND(NOT(ISNUMBER(V306)),NOT(ISNUMBER(X306))),"",IF(ISNUMBER(V306),V306,0)+IF(ISNUMBER(X306),X306,0))</f>
        <v/>
      </c>
      <c r="AI306" s="17">
        <f>IF(E306="금융","",IF(AND(ISNUMBER(R306),ISNUMBER(AH306),ISNUMBER(T306)),R306+AH306-T306,""))</f>
        <v/>
      </c>
      <c r="AJ306" s="17">
        <f>IF(E306="금융","",IF(NOT(ISNUMBER(AI306)),"",IF(ISNUMBER(AC306),(AI306+AC306)/2,AI306)))</f>
        <v/>
      </c>
      <c r="AK306" s="19">
        <f>IF(AND(ISNUMBER(AG306),ISNUMBER(AJ306),AJ306&gt;0),AG306/AJ306,"")</f>
        <v/>
      </c>
      <c r="AL306" s="17">
        <f>IF(E306="금융","",IF(AND(ISNUMBER(R306),ISNUMBER(AH306)),R306+AH306,""))</f>
        <v/>
      </c>
      <c r="AM306" s="19">
        <f>IF(OR(NOT(ISNUMBER(AG306)),NOT(ISNUMBER(AL306)),AL306&lt;=0),"",IF(AND(ISNUMBER(G306),AL306&lt;0.1*G306),"",AG306/AL306))</f>
        <v/>
      </c>
      <c r="AN306" s="17">
        <f>IF(NOT(ISNUMBER(R306)),"",IF(ISNUMBER(S306),(R306+S306)/2,R306))</f>
        <v/>
      </c>
      <c r="AO306" s="19">
        <f>IF(AND(ISNUMBER(L306),ISNUMBER(AN306),AN306&gt;0),L306/AN306,"")</f>
        <v/>
      </c>
      <c r="AP306" s="19">
        <f>IF(AND(ISNUMBER(AO306),ISNUMBER({ROIC})),AO306-{ROIC},"")</f>
        <v/>
      </c>
      <c r="AQ306" s="17">
        <f>IF(AND(ISNUMBER(AE306),ISNUMBER(N306)),AE306+N306,"")</f>
        <v/>
      </c>
      <c r="AR306" s="20">
        <f>IF(AND(ISNUMBER(AH306),ISNUMBER(T306),ISNUMBER(AQ306),AQ306&gt;0),(AH306-T306)/AQ306,"")</f>
        <v/>
      </c>
      <c r="AS306" s="20">
        <f>IF(AND(ISNUMBER(AE306),ISNUMBER(I306),I306&lt;&gt;0,AE306&gt;0),AE306/I306,"")</f>
        <v/>
      </c>
      <c r="AT306" s="17">
        <f>IF(AND(ISNUMBER(Y306),ISNUMBER(AA306)),Y306-IF(ISNUMBER(T306),T306,0)-(AA306-IF(ISNUMBER(V306),V306,0)),"")</f>
        <v/>
      </c>
      <c r="AU306" s="17">
        <f>IF(AND(ISNUMBER(Z306),ISNUMBER(AB306)),Z306-IF(ISNUMBER(U306),U306,0)-(AB306-IF(ISNUMBER(W306),W306,0)),"")</f>
        <v/>
      </c>
      <c r="AV306" s="17">
        <f>IF(AND(ISNUMBER(AT306),ISNUMBER(AU306)),AT306-AU306,"")</f>
        <v/>
      </c>
      <c r="AW306" s="17">
        <f>IF(AND(ISNUMBER(L306),ISNUMBER(M306),ISNUMBER(AF306)),L306-M306*(1-AF306),IF(ISNUMBER(L306),L306,""))</f>
        <v/>
      </c>
      <c r="AX306" s="17">
        <f>IF(E306="금융","",IF(AND(ISNUMBER(AW306),ISNUMBER(N306),ISNUMBER(O306),ISNUMBER(AV306)),AW306+N306-O306-AV306,IF(AND(ISNUMBER(P306),ISNUMBER(O306)),P306-O306-IF(ISNUMBER(Q306),Q306,0),"")))</f>
        <v/>
      </c>
      <c r="AY306" s="8">
        <f>IF(E306="금융","금융업 - 정의되지 않음",IF(AND(ISNUMBER(AW306),ISNUMBER(N306),ISNUMBER(O306),ISNUMBER(AV306)),"영업순이익+감가상각-설비투자-운전자본증감",IF(AND(ISNUMBER(P306),ISNUMBER(O306)),IF(ISNUMBER(Q306),"영업현금흐름-설비투자-주식보상비용","영업현금흐름-설비투자(주식보상비용 미태깅)"),"산출불가")))</f>
        <v/>
      </c>
      <c r="AZ306" s="19">
        <f>IF(AND(ISNUMBER(AX306),ISNUMBER(G306),G306&lt;&gt;0),AX306/G306,"")</f>
        <v/>
      </c>
      <c r="BA306" s="19">
        <f>IF(AND(ISNUMBER(AE306),ISNUMBER(G306),G306&lt;&gt;0),AE306/G306,"")</f>
        <v/>
      </c>
    </row>
    <row r="307">
      <c r="A307" s="8" t="inlineStr">
        <is>
          <t>PLTR</t>
        </is>
      </c>
      <c r="B307" s="8" t="inlineStr">
        <is>
          <t>Palantir Technologies Inc.</t>
        </is>
      </c>
      <c r="C307" s="8" t="n">
        <v>2022</v>
      </c>
      <c r="D307" s="8" t="inlineStr">
        <is>
          <t>2022-12-31</t>
        </is>
      </c>
      <c r="E307" s="8" t="inlineStr">
        <is>
          <t>일반</t>
        </is>
      </c>
      <c r="F307" s="8" t="inlineStr">
        <is>
          <t>0001321655-25-000022</t>
        </is>
      </c>
      <c r="G307" s="15" t="n">
        <v>1.905871</v>
      </c>
      <c r="H307" s="15" t="n">
        <v>-0.361027</v>
      </c>
      <c r="I307" s="15" t="n">
        <v>0.004058</v>
      </c>
      <c r="J307" s="15" t="n">
        <v>0.010067</v>
      </c>
      <c r="K307" s="15" t="n">
        <v>-0.161201</v>
      </c>
      <c r="L307" s="15" t="n">
        <v>-0.373705</v>
      </c>
      <c r="M307" s="15" t="n">
        <v>-0.272108</v>
      </c>
      <c r="N307" s="15" t="n">
        <v>0.022522</v>
      </c>
      <c r="O307" s="15" t="n">
        <v>0.040027</v>
      </c>
      <c r="P307" s="15" t="n">
        <v>0.223737</v>
      </c>
      <c r="Q307" s="15" t="n">
        <v>0.564798</v>
      </c>
      <c r="R307" s="15" t="n">
        <v>2.565326</v>
      </c>
      <c r="S307" s="15" t="n">
        <v>2.29103</v>
      </c>
      <c r="T307" s="15" t="n">
        <v>2.66247</v>
      </c>
      <c r="U307" s="15" t="n">
        <v>2.601067</v>
      </c>
      <c r="V307" s="15" t="n">
        <v>0</v>
      </c>
      <c r="W307" s="15" t="n">
        <v>0</v>
      </c>
      <c r="X307" s="15" t="n"/>
      <c r="Y307" s="15" t="n">
        <v>3.041577</v>
      </c>
      <c r="Z307" s="15" t="n">
        <v>2.86325</v>
      </c>
      <c r="AA307" s="15" t="n">
        <v>0.587941</v>
      </c>
      <c r="AB307" s="15" t="n">
        <v>0.660061</v>
      </c>
      <c r="AC307" s="15" t="n">
        <v>-0.310037</v>
      </c>
      <c r="AD307" s="16" t="n">
        <v>2063.793</v>
      </c>
      <c r="AE307" s="17">
        <f>IF(ISNUMBER(K307),K307,IF(AND(ISNUMBER(H307),ISNUMBER(I307)),H307+I307,IF(ISNUMBER(H307),H307,"")))</f>
        <v/>
      </c>
      <c r="AF307" s="18">
        <f>IF(OR(NOT(ISNUMBER(J307)),NOT(ISNUMBER(H307)),H307&lt;=0),기준표!$B$8,MIN(MAX(J307/H307,기준표!$B$6),기준표!$B$7))</f>
        <v/>
      </c>
      <c r="AG307" s="17">
        <f>IF(ISNUMBER(AE307),AE307*(1-AF307),"")</f>
        <v/>
      </c>
      <c r="AH307" s="17">
        <f>IF(AND(NOT(ISNUMBER(V307)),NOT(ISNUMBER(X307))),"",IF(ISNUMBER(V307),V307,0)+IF(ISNUMBER(X307),X307,0))</f>
        <v/>
      </c>
      <c r="AI307" s="17">
        <f>IF(E307="금융","",IF(AND(ISNUMBER(R307),ISNUMBER(AH307),ISNUMBER(T307)),R307+AH307-T307,""))</f>
        <v/>
      </c>
      <c r="AJ307" s="17">
        <f>IF(E307="금융","",IF(NOT(ISNUMBER(AI307)),"",IF(ISNUMBER(AC307),(AI307+AC307)/2,AI307)))</f>
        <v/>
      </c>
      <c r="AK307" s="19">
        <f>IF(AND(ISNUMBER(AG307),ISNUMBER(AJ307),AJ307&gt;0),AG307/AJ307,"")</f>
        <v/>
      </c>
      <c r="AL307" s="17">
        <f>IF(E307="금융","",IF(AND(ISNUMBER(R307),ISNUMBER(AH307)),R307+AH307,""))</f>
        <v/>
      </c>
      <c r="AM307" s="19">
        <f>IF(OR(NOT(ISNUMBER(AG307)),NOT(ISNUMBER(AL307)),AL307&lt;=0),"",IF(AND(ISNUMBER(G307),AL307&lt;0.1*G307),"",AG307/AL307))</f>
        <v/>
      </c>
      <c r="AN307" s="17">
        <f>IF(NOT(ISNUMBER(R307)),"",IF(ISNUMBER(S307),(R307+S307)/2,R307))</f>
        <v/>
      </c>
      <c r="AO307" s="19">
        <f>IF(AND(ISNUMBER(L307),ISNUMBER(AN307),AN307&gt;0),L307/AN307,"")</f>
        <v/>
      </c>
      <c r="AP307" s="19">
        <f>IF(AND(ISNUMBER(AO307),ISNUMBER({ROIC})),AO307-{ROIC},"")</f>
        <v/>
      </c>
      <c r="AQ307" s="17">
        <f>IF(AND(ISNUMBER(AE307),ISNUMBER(N307)),AE307+N307,"")</f>
        <v/>
      </c>
      <c r="AR307" s="20">
        <f>IF(AND(ISNUMBER(AH307),ISNUMBER(T307),ISNUMBER(AQ307),AQ307&gt;0),(AH307-T307)/AQ307,"")</f>
        <v/>
      </c>
      <c r="AS307" s="20">
        <f>IF(AND(ISNUMBER(AE307),ISNUMBER(I307),I307&lt;&gt;0,AE307&gt;0),AE307/I307,"")</f>
        <v/>
      </c>
      <c r="AT307" s="17">
        <f>IF(AND(ISNUMBER(Y307),ISNUMBER(AA307)),Y307-IF(ISNUMBER(T307),T307,0)-(AA307-IF(ISNUMBER(V307),V307,0)),"")</f>
        <v/>
      </c>
      <c r="AU307" s="17">
        <f>IF(AND(ISNUMBER(Z307),ISNUMBER(AB307)),Z307-IF(ISNUMBER(U307),U307,0)-(AB307-IF(ISNUMBER(W307),W307,0)),"")</f>
        <v/>
      </c>
      <c r="AV307" s="17">
        <f>IF(AND(ISNUMBER(AT307),ISNUMBER(AU307)),AT307-AU307,"")</f>
        <v/>
      </c>
      <c r="AW307" s="17">
        <f>IF(AND(ISNUMBER(L307),ISNUMBER(M307),ISNUMBER(AF307)),L307-M307*(1-AF307),IF(ISNUMBER(L307),L307,""))</f>
        <v/>
      </c>
      <c r="AX307" s="17">
        <f>IF(E307="금융","",IF(AND(ISNUMBER(AW307),ISNUMBER(N307),ISNUMBER(O307),ISNUMBER(AV307)),AW307+N307-O307-AV307,IF(AND(ISNUMBER(P307),ISNUMBER(O307)),P307-O307-IF(ISNUMBER(Q307),Q307,0),"")))</f>
        <v/>
      </c>
      <c r="AY307" s="8">
        <f>IF(E307="금융","금융업 - 정의되지 않음",IF(AND(ISNUMBER(AW307),ISNUMBER(N307),ISNUMBER(O307),ISNUMBER(AV307)),"영업순이익+감가상각-설비투자-운전자본증감",IF(AND(ISNUMBER(P307),ISNUMBER(O307)),IF(ISNUMBER(Q307),"영업현금흐름-설비투자-주식보상비용","영업현금흐름-설비투자(주식보상비용 미태깅)"),"산출불가")))</f>
        <v/>
      </c>
      <c r="AZ307" s="19">
        <f>IF(AND(ISNUMBER(AX307),ISNUMBER(G307),G307&lt;&gt;0),AX307/G307,"")</f>
        <v/>
      </c>
      <c r="BA307" s="19">
        <f>IF(AND(ISNUMBER(AE307),ISNUMBER(G307),G307&lt;&gt;0),AE307/G307,"")</f>
        <v/>
      </c>
    </row>
    <row r="308">
      <c r="A308" s="8" t="inlineStr">
        <is>
          <t>PLTR</t>
        </is>
      </c>
      <c r="B308" s="8" t="inlineStr">
        <is>
          <t>Palantir Technologies Inc.</t>
        </is>
      </c>
      <c r="C308" s="8" t="n">
        <v>2023</v>
      </c>
      <c r="D308" s="8" t="inlineStr">
        <is>
          <t>2023-12-31</t>
        </is>
      </c>
      <c r="E308" s="8" t="inlineStr">
        <is>
          <t>일반</t>
        </is>
      </c>
      <c r="F308" s="8" t="inlineStr">
        <is>
          <t>0001321655-26-000011</t>
        </is>
      </c>
      <c r="G308" s="15" t="n">
        <v>2.225012</v>
      </c>
      <c r="H308" s="15" t="n">
        <v>0.237091</v>
      </c>
      <c r="I308" s="15" t="n">
        <v>0.00347</v>
      </c>
      <c r="J308" s="15" t="n">
        <v>0.019716</v>
      </c>
      <c r="K308" s="15" t="n">
        <v>0.119966</v>
      </c>
      <c r="L308" s="15" t="n">
        <v>0.209825</v>
      </c>
      <c r="M308" s="15" t="n"/>
      <c r="N308" s="15" t="n">
        <v>0.033354</v>
      </c>
      <c r="O308" s="15" t="n">
        <v>0.015114</v>
      </c>
      <c r="P308" s="15" t="n">
        <v>0.712183</v>
      </c>
      <c r="Q308" s="15" t="n">
        <v>0.475903</v>
      </c>
      <c r="R308" s="15" t="n">
        <v>3.475561</v>
      </c>
      <c r="S308" s="15" t="n">
        <v>2.565326</v>
      </c>
      <c r="T308" s="15" t="n">
        <v>3.693239</v>
      </c>
      <c r="U308" s="15" t="n">
        <v>2.66247</v>
      </c>
      <c r="V308" s="15" t="n">
        <v>0</v>
      </c>
      <c r="W308" s="15" t="n">
        <v>0</v>
      </c>
      <c r="X308" s="15" t="n"/>
      <c r="Y308" s="15" t="n">
        <v>4.138618</v>
      </c>
      <c r="Z308" s="15" t="n">
        <v>3.041577</v>
      </c>
      <c r="AA308" s="15" t="n">
        <v>0.746018</v>
      </c>
      <c r="AB308" s="15" t="n">
        <v>0.587941</v>
      </c>
      <c r="AC308" s="15" t="n">
        <v>-0.09714399999999999</v>
      </c>
      <c r="AD308" s="16" t="n">
        <v>2297.927</v>
      </c>
      <c r="AE308" s="17">
        <f>IF(ISNUMBER(K308),K308,IF(AND(ISNUMBER(H308),ISNUMBER(I308)),H308+I308,IF(ISNUMBER(H308),H308,"")))</f>
        <v/>
      </c>
      <c r="AF308" s="18">
        <f>IF(OR(NOT(ISNUMBER(J308)),NOT(ISNUMBER(H308)),H308&lt;=0),기준표!$B$8,MIN(MAX(J308/H308,기준표!$B$6),기준표!$B$7))</f>
        <v/>
      </c>
      <c r="AG308" s="17">
        <f>IF(ISNUMBER(AE308),AE308*(1-AF308),"")</f>
        <v/>
      </c>
      <c r="AH308" s="17">
        <f>IF(AND(NOT(ISNUMBER(V308)),NOT(ISNUMBER(X308))),"",IF(ISNUMBER(V308),V308,0)+IF(ISNUMBER(X308),X308,0))</f>
        <v/>
      </c>
      <c r="AI308" s="17">
        <f>IF(E308="금융","",IF(AND(ISNUMBER(R308),ISNUMBER(AH308),ISNUMBER(T308)),R308+AH308-T308,""))</f>
        <v/>
      </c>
      <c r="AJ308" s="17">
        <f>IF(E308="금융","",IF(NOT(ISNUMBER(AI308)),"",IF(ISNUMBER(AC308),(AI308+AC308)/2,AI308)))</f>
        <v/>
      </c>
      <c r="AK308" s="19">
        <f>IF(AND(ISNUMBER(AG308),ISNUMBER(AJ308),AJ308&gt;0),AG308/AJ308,"")</f>
        <v/>
      </c>
      <c r="AL308" s="17">
        <f>IF(E308="금융","",IF(AND(ISNUMBER(R308),ISNUMBER(AH308)),R308+AH308,""))</f>
        <v/>
      </c>
      <c r="AM308" s="19">
        <f>IF(OR(NOT(ISNUMBER(AG308)),NOT(ISNUMBER(AL308)),AL308&lt;=0),"",IF(AND(ISNUMBER(G308),AL308&lt;0.1*G308),"",AG308/AL308))</f>
        <v/>
      </c>
      <c r="AN308" s="17">
        <f>IF(NOT(ISNUMBER(R308)),"",IF(ISNUMBER(S308),(R308+S308)/2,R308))</f>
        <v/>
      </c>
      <c r="AO308" s="19">
        <f>IF(AND(ISNUMBER(L308),ISNUMBER(AN308),AN308&gt;0),L308/AN308,"")</f>
        <v/>
      </c>
      <c r="AP308" s="19">
        <f>IF(AND(ISNUMBER(AO308),ISNUMBER({ROIC})),AO308-{ROIC},"")</f>
        <v/>
      </c>
      <c r="AQ308" s="17">
        <f>IF(AND(ISNUMBER(AE308),ISNUMBER(N308)),AE308+N308,"")</f>
        <v/>
      </c>
      <c r="AR308" s="20">
        <f>IF(AND(ISNUMBER(AH308),ISNUMBER(T308),ISNUMBER(AQ308),AQ308&gt;0),(AH308-T308)/AQ308,"")</f>
        <v/>
      </c>
      <c r="AS308" s="20">
        <f>IF(AND(ISNUMBER(AE308),ISNUMBER(I308),I308&lt;&gt;0,AE308&gt;0),AE308/I308,"")</f>
        <v/>
      </c>
      <c r="AT308" s="17">
        <f>IF(AND(ISNUMBER(Y308),ISNUMBER(AA308)),Y308-IF(ISNUMBER(T308),T308,0)-(AA308-IF(ISNUMBER(V308),V308,0)),"")</f>
        <v/>
      </c>
      <c r="AU308" s="17">
        <f>IF(AND(ISNUMBER(Z308),ISNUMBER(AB308)),Z308-IF(ISNUMBER(U308),U308,0)-(AB308-IF(ISNUMBER(W308),W308,0)),"")</f>
        <v/>
      </c>
      <c r="AV308" s="17">
        <f>IF(AND(ISNUMBER(AT308),ISNUMBER(AU308)),AT308-AU308,"")</f>
        <v/>
      </c>
      <c r="AW308" s="17">
        <f>IF(AND(ISNUMBER(L308),ISNUMBER(M308),ISNUMBER(AF308)),L308-M308*(1-AF308),IF(ISNUMBER(L308),L308,""))</f>
        <v/>
      </c>
      <c r="AX308" s="17">
        <f>IF(E308="금융","",IF(AND(ISNUMBER(AW308),ISNUMBER(N308),ISNUMBER(O308),ISNUMBER(AV308)),AW308+N308-O308-AV308,IF(AND(ISNUMBER(P308),ISNUMBER(O308)),P308-O308-IF(ISNUMBER(Q308),Q308,0),"")))</f>
        <v/>
      </c>
      <c r="AY308" s="8">
        <f>IF(E308="금융","금융업 - 정의되지 않음",IF(AND(ISNUMBER(AW308),ISNUMBER(N308),ISNUMBER(O308),ISNUMBER(AV308)),"영업순이익+감가상각-설비투자-운전자본증감",IF(AND(ISNUMBER(P308),ISNUMBER(O308)),IF(ISNUMBER(Q308),"영업현금흐름-설비투자-주식보상비용","영업현금흐름-설비투자(주식보상비용 미태깅)"),"산출불가")))</f>
        <v/>
      </c>
      <c r="AZ308" s="19">
        <f>IF(AND(ISNUMBER(AX308),ISNUMBER(G308),G308&lt;&gt;0),AX308/G308,"")</f>
        <v/>
      </c>
      <c r="BA308" s="19">
        <f>IF(AND(ISNUMBER(AE308),ISNUMBER(G308),G308&lt;&gt;0),AE308/G308,"")</f>
        <v/>
      </c>
    </row>
    <row r="309">
      <c r="A309" s="8" t="inlineStr">
        <is>
          <t>PLTR</t>
        </is>
      </c>
      <c r="B309" s="8" t="inlineStr">
        <is>
          <t>Palantir Technologies Inc.</t>
        </is>
      </c>
      <c r="C309" s="8" t="n">
        <v>2024</v>
      </c>
      <c r="D309" s="8" t="inlineStr">
        <is>
          <t>2024-12-31</t>
        </is>
      </c>
      <c r="E309" s="8" t="inlineStr">
        <is>
          <t>일반</t>
        </is>
      </c>
      <c r="F309" s="8" t="inlineStr">
        <is>
          <t>0001321655-26-000011</t>
        </is>
      </c>
      <c r="G309" s="15" t="n">
        <v>2.865507</v>
      </c>
      <c r="H309" s="15" t="n">
        <v>0.489173</v>
      </c>
      <c r="I309" s="15" t="n"/>
      <c r="J309" s="15" t="n">
        <v>0.021255</v>
      </c>
      <c r="K309" s="15" t="n">
        <v>0.310403</v>
      </c>
      <c r="L309" s="15" t="n">
        <v>0.46219</v>
      </c>
      <c r="M309" s="15" t="n"/>
      <c r="N309" s="15" t="n">
        <v>0.031587</v>
      </c>
      <c r="O309" s="15" t="n">
        <v>0.012634</v>
      </c>
      <c r="P309" s="15" t="n">
        <v>1.153865</v>
      </c>
      <c r="Q309" s="15" t="n">
        <v>0.691638</v>
      </c>
      <c r="R309" s="15" t="n">
        <v>5.003275</v>
      </c>
      <c r="S309" s="15" t="n">
        <v>3.475561</v>
      </c>
      <c r="T309" s="15" t="n">
        <v>5.251399</v>
      </c>
      <c r="U309" s="15" t="n">
        <v>3.693239</v>
      </c>
      <c r="V309" s="15" t="n">
        <v>0</v>
      </c>
      <c r="W309" s="15" t="n">
        <v>0</v>
      </c>
      <c r="X309" s="15" t="n"/>
      <c r="Y309" s="15" t="n">
        <v>5.934289</v>
      </c>
      <c r="Z309" s="15" t="n">
        <v>4.138618</v>
      </c>
      <c r="AA309" s="15" t="n">
        <v>0.996018</v>
      </c>
      <c r="AB309" s="15" t="n">
        <v>0.746018</v>
      </c>
      <c r="AC309" s="15" t="n">
        <v>-0.217678</v>
      </c>
      <c r="AD309" s="16" t="n">
        <v>2450.818</v>
      </c>
      <c r="AE309" s="17">
        <f>IF(ISNUMBER(K309),K309,IF(AND(ISNUMBER(H309),ISNUMBER(I309)),H309+I309,IF(ISNUMBER(H309),H309,"")))</f>
        <v/>
      </c>
      <c r="AF309" s="18">
        <f>IF(OR(NOT(ISNUMBER(J309)),NOT(ISNUMBER(H309)),H309&lt;=0),기준표!$B$8,MIN(MAX(J309/H309,기준표!$B$6),기준표!$B$7))</f>
        <v/>
      </c>
      <c r="AG309" s="17">
        <f>IF(ISNUMBER(AE309),AE309*(1-AF309),"")</f>
        <v/>
      </c>
      <c r="AH309" s="17">
        <f>IF(AND(NOT(ISNUMBER(V309)),NOT(ISNUMBER(X309))),"",IF(ISNUMBER(V309),V309,0)+IF(ISNUMBER(X309),X309,0))</f>
        <v/>
      </c>
      <c r="AI309" s="17">
        <f>IF(E309="금융","",IF(AND(ISNUMBER(R309),ISNUMBER(AH309),ISNUMBER(T309)),R309+AH309-T309,""))</f>
        <v/>
      </c>
      <c r="AJ309" s="17">
        <f>IF(E309="금융","",IF(NOT(ISNUMBER(AI309)),"",IF(ISNUMBER(AC309),(AI309+AC309)/2,AI309)))</f>
        <v/>
      </c>
      <c r="AK309" s="19">
        <f>IF(AND(ISNUMBER(AG309),ISNUMBER(AJ309),AJ309&gt;0),AG309/AJ309,"")</f>
        <v/>
      </c>
      <c r="AL309" s="17">
        <f>IF(E309="금융","",IF(AND(ISNUMBER(R309),ISNUMBER(AH309)),R309+AH309,""))</f>
        <v/>
      </c>
      <c r="AM309" s="19">
        <f>IF(OR(NOT(ISNUMBER(AG309)),NOT(ISNUMBER(AL309)),AL309&lt;=0),"",IF(AND(ISNUMBER(G309),AL309&lt;0.1*G309),"",AG309/AL309))</f>
        <v/>
      </c>
      <c r="AN309" s="17">
        <f>IF(NOT(ISNUMBER(R309)),"",IF(ISNUMBER(S309),(R309+S309)/2,R309))</f>
        <v/>
      </c>
      <c r="AO309" s="19">
        <f>IF(AND(ISNUMBER(L309),ISNUMBER(AN309),AN309&gt;0),L309/AN309,"")</f>
        <v/>
      </c>
      <c r="AP309" s="19">
        <f>IF(AND(ISNUMBER(AO309),ISNUMBER({ROIC})),AO309-{ROIC},"")</f>
        <v/>
      </c>
      <c r="AQ309" s="17">
        <f>IF(AND(ISNUMBER(AE309),ISNUMBER(N309)),AE309+N309,"")</f>
        <v/>
      </c>
      <c r="AR309" s="20">
        <f>IF(AND(ISNUMBER(AH309),ISNUMBER(T309),ISNUMBER(AQ309),AQ309&gt;0),(AH309-T309)/AQ309,"")</f>
        <v/>
      </c>
      <c r="AS309" s="20">
        <f>IF(AND(ISNUMBER(AE309),ISNUMBER(I309),I309&lt;&gt;0,AE309&gt;0),AE309/I309,"")</f>
        <v/>
      </c>
      <c r="AT309" s="17">
        <f>IF(AND(ISNUMBER(Y309),ISNUMBER(AA309)),Y309-IF(ISNUMBER(T309),T309,0)-(AA309-IF(ISNUMBER(V309),V309,0)),"")</f>
        <v/>
      </c>
      <c r="AU309" s="17">
        <f>IF(AND(ISNUMBER(Z309),ISNUMBER(AB309)),Z309-IF(ISNUMBER(U309),U309,0)-(AB309-IF(ISNUMBER(W309),W309,0)),"")</f>
        <v/>
      </c>
      <c r="AV309" s="17">
        <f>IF(AND(ISNUMBER(AT309),ISNUMBER(AU309)),AT309-AU309,"")</f>
        <v/>
      </c>
      <c r="AW309" s="17">
        <f>IF(AND(ISNUMBER(L309),ISNUMBER(M309),ISNUMBER(AF309)),L309-M309*(1-AF309),IF(ISNUMBER(L309),L309,""))</f>
        <v/>
      </c>
      <c r="AX309" s="17">
        <f>IF(E309="금융","",IF(AND(ISNUMBER(AW309),ISNUMBER(N309),ISNUMBER(O309),ISNUMBER(AV309)),AW309+N309-O309-AV309,IF(AND(ISNUMBER(P309),ISNUMBER(O309)),P309-O309-IF(ISNUMBER(Q309),Q309,0),"")))</f>
        <v/>
      </c>
      <c r="AY309" s="8">
        <f>IF(E309="금융","금융업 - 정의되지 않음",IF(AND(ISNUMBER(AW309),ISNUMBER(N309),ISNUMBER(O309),ISNUMBER(AV309)),"영업순이익+감가상각-설비투자-운전자본증감",IF(AND(ISNUMBER(P309),ISNUMBER(O309)),IF(ISNUMBER(Q309),"영업현금흐름-설비투자-주식보상비용","영업현금흐름-설비투자(주식보상비용 미태깅)"),"산출불가")))</f>
        <v/>
      </c>
      <c r="AZ309" s="19">
        <f>IF(AND(ISNUMBER(AX309),ISNUMBER(G309),G309&lt;&gt;0),AX309/G309,"")</f>
        <v/>
      </c>
      <c r="BA309" s="19">
        <f>IF(AND(ISNUMBER(AE309),ISNUMBER(G309),G309&lt;&gt;0),AE309/G309,"")</f>
        <v/>
      </c>
    </row>
    <row r="310">
      <c r="A310" s="8" t="inlineStr">
        <is>
          <t>PLTR</t>
        </is>
      </c>
      <c r="B310" s="8" t="inlineStr">
        <is>
          <t>Palantir Technologies Inc.</t>
        </is>
      </c>
      <c r="C310" s="8" t="n">
        <v>2025</v>
      </c>
      <c r="D310" s="8" t="inlineStr">
        <is>
          <t>2025-12-31</t>
        </is>
      </c>
      <c r="E310" s="8" t="inlineStr">
        <is>
          <t>일반</t>
        </is>
      </c>
      <c r="F310" s="8" t="inlineStr">
        <is>
          <t>0001321655-26-000011</t>
        </is>
      </c>
      <c r="G310" s="15" t="n">
        <v>4.475446</v>
      </c>
      <c r="H310" s="15" t="n">
        <v>1.657368</v>
      </c>
      <c r="I310" s="15" t="n"/>
      <c r="J310" s="15" t="n">
        <v>0.022724</v>
      </c>
      <c r="K310" s="15" t="n">
        <v>1.414015</v>
      </c>
      <c r="L310" s="15" t="n">
        <v>1.625033</v>
      </c>
      <c r="M310" s="15" t="n"/>
      <c r="N310" s="15" t="n">
        <v>0.026145</v>
      </c>
      <c r="O310" s="15" t="n">
        <v>0.033882</v>
      </c>
      <c r="P310" s="15" t="n">
        <v>2.134473</v>
      </c>
      <c r="Q310" s="15" t="n">
        <v>0.684033</v>
      </c>
      <c r="R310" s="15" t="n">
        <v>7.387268</v>
      </c>
      <c r="S310" s="15" t="n">
        <v>5.003275</v>
      </c>
      <c r="T310" s="15" t="n">
        <v>7.204672</v>
      </c>
      <c r="U310" s="15" t="n">
        <v>5.251399</v>
      </c>
      <c r="V310" s="15" t="n">
        <v>0</v>
      </c>
      <c r="W310" s="15" t="n">
        <v>0</v>
      </c>
      <c r="X310" s="15" t="n"/>
      <c r="Y310" s="15" t="n">
        <v>8.358174</v>
      </c>
      <c r="Z310" s="15" t="n">
        <v>5.934289</v>
      </c>
      <c r="AA310" s="15" t="n">
        <v>1.175581</v>
      </c>
      <c r="AB310" s="15" t="n">
        <v>0.996018</v>
      </c>
      <c r="AC310" s="15" t="n">
        <v>-0.248124</v>
      </c>
      <c r="AD310" s="16" t="n">
        <v>2565.197</v>
      </c>
      <c r="AE310" s="17">
        <f>IF(ISNUMBER(K310),K310,IF(AND(ISNUMBER(H310),ISNUMBER(I310)),H310+I310,IF(ISNUMBER(H310),H310,"")))</f>
        <v/>
      </c>
      <c r="AF310" s="18">
        <f>IF(OR(NOT(ISNUMBER(J310)),NOT(ISNUMBER(H310)),H310&lt;=0),기준표!$B$8,MIN(MAX(J310/H310,기준표!$B$6),기준표!$B$7))</f>
        <v/>
      </c>
      <c r="AG310" s="17">
        <f>IF(ISNUMBER(AE310),AE310*(1-AF310),"")</f>
        <v/>
      </c>
      <c r="AH310" s="17">
        <f>IF(AND(NOT(ISNUMBER(V310)),NOT(ISNUMBER(X310))),"",IF(ISNUMBER(V310),V310,0)+IF(ISNUMBER(X310),X310,0))</f>
        <v/>
      </c>
      <c r="AI310" s="17">
        <f>IF(E310="금융","",IF(AND(ISNUMBER(R310),ISNUMBER(AH310),ISNUMBER(T310)),R310+AH310-T310,""))</f>
        <v/>
      </c>
      <c r="AJ310" s="17">
        <f>IF(E310="금융","",IF(NOT(ISNUMBER(AI310)),"",IF(ISNUMBER(AC310),(AI310+AC310)/2,AI310)))</f>
        <v/>
      </c>
      <c r="AK310" s="19">
        <f>IF(AND(ISNUMBER(AG310),ISNUMBER(AJ310),AJ310&gt;0),AG310/AJ310,"")</f>
        <v/>
      </c>
      <c r="AL310" s="17">
        <f>IF(E310="금융","",IF(AND(ISNUMBER(R310),ISNUMBER(AH310)),R310+AH310,""))</f>
        <v/>
      </c>
      <c r="AM310" s="19">
        <f>IF(OR(NOT(ISNUMBER(AG310)),NOT(ISNUMBER(AL310)),AL310&lt;=0),"",IF(AND(ISNUMBER(G310),AL310&lt;0.1*G310),"",AG310/AL310))</f>
        <v/>
      </c>
      <c r="AN310" s="17">
        <f>IF(NOT(ISNUMBER(R310)),"",IF(ISNUMBER(S310),(R310+S310)/2,R310))</f>
        <v/>
      </c>
      <c r="AO310" s="19">
        <f>IF(AND(ISNUMBER(L310),ISNUMBER(AN310),AN310&gt;0),L310/AN310,"")</f>
        <v/>
      </c>
      <c r="AP310" s="19">
        <f>IF(AND(ISNUMBER(AO310),ISNUMBER({ROIC})),AO310-{ROIC},"")</f>
        <v/>
      </c>
      <c r="AQ310" s="17">
        <f>IF(AND(ISNUMBER(AE310),ISNUMBER(N310)),AE310+N310,"")</f>
        <v/>
      </c>
      <c r="AR310" s="20">
        <f>IF(AND(ISNUMBER(AH310),ISNUMBER(T310),ISNUMBER(AQ310),AQ310&gt;0),(AH310-T310)/AQ310,"")</f>
        <v/>
      </c>
      <c r="AS310" s="20">
        <f>IF(AND(ISNUMBER(AE310),ISNUMBER(I310),I310&lt;&gt;0,AE310&gt;0),AE310/I310,"")</f>
        <v/>
      </c>
      <c r="AT310" s="17">
        <f>IF(AND(ISNUMBER(Y310),ISNUMBER(AA310)),Y310-IF(ISNUMBER(T310),T310,0)-(AA310-IF(ISNUMBER(V310),V310,0)),"")</f>
        <v/>
      </c>
      <c r="AU310" s="17">
        <f>IF(AND(ISNUMBER(Z310),ISNUMBER(AB310)),Z310-IF(ISNUMBER(U310),U310,0)-(AB310-IF(ISNUMBER(W310),W310,0)),"")</f>
        <v/>
      </c>
      <c r="AV310" s="17">
        <f>IF(AND(ISNUMBER(AT310),ISNUMBER(AU310)),AT310-AU310,"")</f>
        <v/>
      </c>
      <c r="AW310" s="17">
        <f>IF(AND(ISNUMBER(L310),ISNUMBER(M310),ISNUMBER(AF310)),L310-M310*(1-AF310),IF(ISNUMBER(L310),L310,""))</f>
        <v/>
      </c>
      <c r="AX310" s="17">
        <f>IF(E310="금융","",IF(AND(ISNUMBER(AW310),ISNUMBER(N310),ISNUMBER(O310),ISNUMBER(AV310)),AW310+N310-O310-AV310,IF(AND(ISNUMBER(P310),ISNUMBER(O310)),P310-O310-IF(ISNUMBER(Q310),Q310,0),"")))</f>
        <v/>
      </c>
      <c r="AY310" s="8">
        <f>IF(E310="금융","금융업 - 정의되지 않음",IF(AND(ISNUMBER(AW310),ISNUMBER(N310),ISNUMBER(O310),ISNUMBER(AV310)),"영업순이익+감가상각-설비투자-운전자본증감",IF(AND(ISNUMBER(P310),ISNUMBER(O310)),IF(ISNUMBER(Q310),"영업현금흐름-설비투자-주식보상비용","영업현금흐름-설비투자(주식보상비용 미태깅)"),"산출불가")))</f>
        <v/>
      </c>
      <c r="AZ310" s="19">
        <f>IF(AND(ISNUMBER(AX310),ISNUMBER(G310),G310&lt;&gt;0),AX310/G310,"")</f>
        <v/>
      </c>
      <c r="BA310" s="19">
        <f>IF(AND(ISNUMBER(AE310),ISNUMBER(G310),G310&lt;&gt;0),AE310/G310,"")</f>
        <v/>
      </c>
    </row>
    <row r="311">
      <c r="A311" s="8" t="inlineStr">
        <is>
          <t>LRCX</t>
        </is>
      </c>
      <c r="B311" s="8" t="inlineStr">
        <is>
          <t>LAM RESEARCH CORP</t>
        </is>
      </c>
      <c r="C311" s="8" t="n">
        <v>2015</v>
      </c>
      <c r="D311" s="8" t="inlineStr">
        <is>
          <t>2015-06-28</t>
        </is>
      </c>
      <c r="E311" s="8" t="inlineStr">
        <is>
          <t>일반</t>
        </is>
      </c>
      <c r="F311" s="8" t="inlineStr">
        <is>
          <t>0000707549-17-000100</t>
        </is>
      </c>
      <c r="G311" s="15" t="n"/>
      <c r="H311" s="15" t="n">
        <v>0.74085</v>
      </c>
      <c r="I311" s="15" t="n">
        <v>0.073508</v>
      </c>
      <c r="J311" s="15" t="n">
        <v>0.085273</v>
      </c>
      <c r="K311" s="15" t="n">
        <v>0.788039</v>
      </c>
      <c r="L311" s="15" t="n">
        <v>0.655577</v>
      </c>
      <c r="M311" s="15" t="n"/>
      <c r="N311" s="15" t="n">
        <v>0.27792</v>
      </c>
      <c r="O311" s="15" t="n">
        <v>0.198265</v>
      </c>
      <c r="P311" s="15" t="n">
        <v>0.785503</v>
      </c>
      <c r="Q311" s="15" t="n">
        <v>0.135354</v>
      </c>
      <c r="R311" s="15" t="n">
        <v>5.103144</v>
      </c>
      <c r="S311" s="15" t="n"/>
      <c r="T311" s="15" t="n">
        <v>4.076486</v>
      </c>
      <c r="U311" s="15" t="n"/>
      <c r="V311" s="15" t="n">
        <v>1.358126</v>
      </c>
      <c r="W311" s="15" t="n"/>
      <c r="X311" s="15" t="n">
        <v>0.99396</v>
      </c>
      <c r="Y311" s="15" t="n">
        <v>6.270849</v>
      </c>
      <c r="Z311" s="15" t="n"/>
      <c r="AA311" s="15" t="n">
        <v>2.631361</v>
      </c>
      <c r="AB311" s="15" t="n"/>
      <c r="AC311" s="15" t="n"/>
      <c r="AD311" s="16" t="n">
        <v>1585.31</v>
      </c>
      <c r="AE311" s="17">
        <f>IF(ISNUMBER(K311),K311,IF(AND(ISNUMBER(H311),ISNUMBER(I311)),H311+I311,IF(ISNUMBER(H311),H311,"")))</f>
        <v/>
      </c>
      <c r="AF311" s="18">
        <f>IF(OR(NOT(ISNUMBER(J311)),NOT(ISNUMBER(H311)),H311&lt;=0),기준표!$B$8,MIN(MAX(J311/H311,기준표!$B$6),기준표!$B$7))</f>
        <v/>
      </c>
      <c r="AG311" s="17">
        <f>IF(ISNUMBER(AE311),AE311*(1-AF311),"")</f>
        <v/>
      </c>
      <c r="AH311" s="17">
        <f>IF(AND(NOT(ISNUMBER(V311)),NOT(ISNUMBER(X311))),"",IF(ISNUMBER(V311),V311,0)+IF(ISNUMBER(X311),X311,0))</f>
        <v/>
      </c>
      <c r="AI311" s="17">
        <f>IF(E311="금융","",IF(AND(ISNUMBER(R311),ISNUMBER(AH311),ISNUMBER(T311)),R311+AH311-T311,""))</f>
        <v/>
      </c>
      <c r="AJ311" s="17">
        <f>IF(E311="금융","",IF(NOT(ISNUMBER(AI311)),"",IF(ISNUMBER(AC311),(AI311+AC311)/2,AI311)))</f>
        <v/>
      </c>
      <c r="AK311" s="19">
        <f>IF(AND(ISNUMBER(AG311),ISNUMBER(AJ311),AJ311&gt;0),AG311/AJ311,"")</f>
        <v/>
      </c>
      <c r="AL311" s="17">
        <f>IF(E311="금융","",IF(AND(ISNUMBER(R311),ISNUMBER(AH311)),R311+AH311,""))</f>
        <v/>
      </c>
      <c r="AM311" s="19">
        <f>IF(OR(NOT(ISNUMBER(AG311)),NOT(ISNUMBER(AL311)),AL311&lt;=0),"",IF(AND(ISNUMBER(G311),AL311&lt;0.1*G311),"",AG311/AL311))</f>
        <v/>
      </c>
      <c r="AN311" s="17">
        <f>IF(NOT(ISNUMBER(R311)),"",IF(ISNUMBER(S311),(R311+S311)/2,R311))</f>
        <v/>
      </c>
      <c r="AO311" s="19">
        <f>IF(AND(ISNUMBER(L311),ISNUMBER(AN311),AN311&gt;0),L311/AN311,"")</f>
        <v/>
      </c>
      <c r="AP311" s="19">
        <f>IF(AND(ISNUMBER(AO311),ISNUMBER({ROIC})),AO311-{ROIC},"")</f>
        <v/>
      </c>
      <c r="AQ311" s="17">
        <f>IF(AND(ISNUMBER(AE311),ISNUMBER(N311)),AE311+N311,"")</f>
        <v/>
      </c>
      <c r="AR311" s="20">
        <f>IF(AND(ISNUMBER(AH311),ISNUMBER(T311),ISNUMBER(AQ311),AQ311&gt;0),(AH311-T311)/AQ311,"")</f>
        <v/>
      </c>
      <c r="AS311" s="20">
        <f>IF(AND(ISNUMBER(AE311),ISNUMBER(I311),I311&lt;&gt;0,AE311&gt;0),AE311/I311,"")</f>
        <v/>
      </c>
      <c r="AT311" s="17">
        <f>IF(AND(ISNUMBER(Y311),ISNUMBER(AA311)),Y311-IF(ISNUMBER(T311),T311,0)-(AA311-IF(ISNUMBER(V311),V311,0)),"")</f>
        <v/>
      </c>
      <c r="AU311" s="17">
        <f>IF(AND(ISNUMBER(Z311),ISNUMBER(AB311)),Z311-IF(ISNUMBER(U311),U311,0)-(AB311-IF(ISNUMBER(W311),W311,0)),"")</f>
        <v/>
      </c>
      <c r="AV311" s="17">
        <f>IF(AND(ISNUMBER(AT311),ISNUMBER(AU311)),AT311-AU311,"")</f>
        <v/>
      </c>
      <c r="AW311" s="17">
        <f>IF(AND(ISNUMBER(L311),ISNUMBER(M311),ISNUMBER(AF311)),L311-M311*(1-AF311),IF(ISNUMBER(L311),L311,""))</f>
        <v/>
      </c>
      <c r="AX311" s="17">
        <f>IF(E311="금융","",IF(AND(ISNUMBER(AW311),ISNUMBER(N311),ISNUMBER(O311),ISNUMBER(AV311)),AW311+N311-O311-AV311,IF(AND(ISNUMBER(P311),ISNUMBER(O311)),P311-O311-IF(ISNUMBER(Q311),Q311,0),"")))</f>
        <v/>
      </c>
      <c r="AY311" s="8">
        <f>IF(E311="금융","금융업 - 정의되지 않음",IF(AND(ISNUMBER(AW311),ISNUMBER(N311),ISNUMBER(O311),ISNUMBER(AV311)),"영업순이익+감가상각-설비투자-운전자본증감",IF(AND(ISNUMBER(P311),ISNUMBER(O311)),IF(ISNUMBER(Q311),"영업현금흐름-설비투자-주식보상비용","영업현금흐름-설비투자(주식보상비용 미태깅)"),"산출불가")))</f>
        <v/>
      </c>
      <c r="AZ311" s="19">
        <f>IF(AND(ISNUMBER(AX311),ISNUMBER(G311),G311&lt;&gt;0),AX311/G311,"")</f>
        <v/>
      </c>
      <c r="BA311" s="19">
        <f>IF(AND(ISNUMBER(AE311),ISNUMBER(G311),G311&lt;&gt;0),AE311/G311,"")</f>
        <v/>
      </c>
    </row>
    <row r="312">
      <c r="A312" s="8" t="inlineStr">
        <is>
          <t>LRCX</t>
        </is>
      </c>
      <c r="B312" s="8" t="inlineStr">
        <is>
          <t>LAM RESEARCH CORP</t>
        </is>
      </c>
      <c r="C312" s="8" t="n">
        <v>2016</v>
      </c>
      <c r="D312" s="8" t="inlineStr">
        <is>
          <t>2016-06-26</t>
        </is>
      </c>
      <c r="E312" s="8" t="inlineStr">
        <is>
          <t>일반</t>
        </is>
      </c>
      <c r="F312" s="8" t="inlineStr">
        <is>
          <t>0000707549-18-000115</t>
        </is>
      </c>
      <c r="G312" s="15" t="n"/>
      <c r="H312" s="15" t="n">
        <v>0.960117</v>
      </c>
      <c r="I312" s="15" t="n">
        <v>0.133933</v>
      </c>
      <c r="J312" s="15" t="n">
        <v>0.046068</v>
      </c>
      <c r="K312" s="15" t="n">
        <v>1.074256</v>
      </c>
      <c r="L312" s="15" t="n">
        <v>0.914049</v>
      </c>
      <c r="M312" s="15" t="n"/>
      <c r="N312" s="15" t="n">
        <v>0.291028</v>
      </c>
      <c r="O312" s="15" t="n">
        <v>0.17533</v>
      </c>
      <c r="P312" s="15" t="n">
        <v>1.350277</v>
      </c>
      <c r="Q312" s="15" t="n">
        <v>0.142348</v>
      </c>
      <c r="R312" s="15" t="n">
        <v>5.894517</v>
      </c>
      <c r="S312" s="15" t="n">
        <v>5.103144</v>
      </c>
      <c r="T312" s="15" t="n">
        <v>5.039322</v>
      </c>
      <c r="U312" s="15" t="n">
        <v>4.076486</v>
      </c>
      <c r="V312" s="15" t="n">
        <v>0.940537</v>
      </c>
      <c r="W312" s="15" t="n">
        <v>1.358126</v>
      </c>
      <c r="X312" s="15" t="n">
        <v>3.377924</v>
      </c>
      <c r="Y312" s="15" t="n">
        <v>9.213150000000001</v>
      </c>
      <c r="Z312" s="15" t="n">
        <v>6.270849</v>
      </c>
      <c r="AA312" s="15" t="n">
        <v>2.418041</v>
      </c>
      <c r="AB312" s="15" t="n">
        <v>2.631361</v>
      </c>
      <c r="AC312" s="15" t="n">
        <v>3.378744</v>
      </c>
      <c r="AD312" s="16" t="n">
        <v>1602.01</v>
      </c>
      <c r="AE312" s="17">
        <f>IF(ISNUMBER(K312),K312,IF(AND(ISNUMBER(H312),ISNUMBER(I312)),H312+I312,IF(ISNUMBER(H312),H312,"")))</f>
        <v/>
      </c>
      <c r="AF312" s="18">
        <f>IF(OR(NOT(ISNUMBER(J312)),NOT(ISNUMBER(H312)),H312&lt;=0),기준표!$B$8,MIN(MAX(J312/H312,기준표!$B$6),기준표!$B$7))</f>
        <v/>
      </c>
      <c r="AG312" s="17">
        <f>IF(ISNUMBER(AE312),AE312*(1-AF312),"")</f>
        <v/>
      </c>
      <c r="AH312" s="17">
        <f>IF(AND(NOT(ISNUMBER(V312)),NOT(ISNUMBER(X312))),"",IF(ISNUMBER(V312),V312,0)+IF(ISNUMBER(X312),X312,0))</f>
        <v/>
      </c>
      <c r="AI312" s="17">
        <f>IF(E312="금융","",IF(AND(ISNUMBER(R312),ISNUMBER(AH312),ISNUMBER(T312)),R312+AH312-T312,""))</f>
        <v/>
      </c>
      <c r="AJ312" s="17">
        <f>IF(E312="금융","",IF(NOT(ISNUMBER(AI312)),"",IF(ISNUMBER(AC312),(AI312+AC312)/2,AI312)))</f>
        <v/>
      </c>
      <c r="AK312" s="19">
        <f>IF(AND(ISNUMBER(AG312),ISNUMBER(AJ312),AJ312&gt;0),AG312/AJ312,"")</f>
        <v/>
      </c>
      <c r="AL312" s="17">
        <f>IF(E312="금융","",IF(AND(ISNUMBER(R312),ISNUMBER(AH312)),R312+AH312,""))</f>
        <v/>
      </c>
      <c r="AM312" s="19">
        <f>IF(OR(NOT(ISNUMBER(AG312)),NOT(ISNUMBER(AL312)),AL312&lt;=0),"",IF(AND(ISNUMBER(G312),AL312&lt;0.1*G312),"",AG312/AL312))</f>
        <v/>
      </c>
      <c r="AN312" s="17">
        <f>IF(NOT(ISNUMBER(R312)),"",IF(ISNUMBER(S312),(R312+S312)/2,R312))</f>
        <v/>
      </c>
      <c r="AO312" s="19">
        <f>IF(AND(ISNUMBER(L312),ISNUMBER(AN312),AN312&gt;0),L312/AN312,"")</f>
        <v/>
      </c>
      <c r="AP312" s="19">
        <f>IF(AND(ISNUMBER(AO312),ISNUMBER({ROIC})),AO312-{ROIC},"")</f>
        <v/>
      </c>
      <c r="AQ312" s="17">
        <f>IF(AND(ISNUMBER(AE312),ISNUMBER(N312)),AE312+N312,"")</f>
        <v/>
      </c>
      <c r="AR312" s="20">
        <f>IF(AND(ISNUMBER(AH312),ISNUMBER(T312),ISNUMBER(AQ312),AQ312&gt;0),(AH312-T312)/AQ312,"")</f>
        <v/>
      </c>
      <c r="AS312" s="20">
        <f>IF(AND(ISNUMBER(AE312),ISNUMBER(I312),I312&lt;&gt;0,AE312&gt;0),AE312/I312,"")</f>
        <v/>
      </c>
      <c r="AT312" s="17">
        <f>IF(AND(ISNUMBER(Y312),ISNUMBER(AA312)),Y312-IF(ISNUMBER(T312),T312,0)-(AA312-IF(ISNUMBER(V312),V312,0)),"")</f>
        <v/>
      </c>
      <c r="AU312" s="17">
        <f>IF(AND(ISNUMBER(Z312),ISNUMBER(AB312)),Z312-IF(ISNUMBER(U312),U312,0)-(AB312-IF(ISNUMBER(W312),W312,0)),"")</f>
        <v/>
      </c>
      <c r="AV312" s="17">
        <f>IF(AND(ISNUMBER(AT312),ISNUMBER(AU312)),AT312-AU312,"")</f>
        <v/>
      </c>
      <c r="AW312" s="17">
        <f>IF(AND(ISNUMBER(L312),ISNUMBER(M312),ISNUMBER(AF312)),L312-M312*(1-AF312),IF(ISNUMBER(L312),L312,""))</f>
        <v/>
      </c>
      <c r="AX312" s="17">
        <f>IF(E312="금융","",IF(AND(ISNUMBER(AW312),ISNUMBER(N312),ISNUMBER(O312),ISNUMBER(AV312)),AW312+N312-O312-AV312,IF(AND(ISNUMBER(P312),ISNUMBER(O312)),P312-O312-IF(ISNUMBER(Q312),Q312,0),"")))</f>
        <v/>
      </c>
      <c r="AY312" s="8">
        <f>IF(E312="금융","금융업 - 정의되지 않음",IF(AND(ISNUMBER(AW312),ISNUMBER(N312),ISNUMBER(O312),ISNUMBER(AV312)),"영업순이익+감가상각-설비투자-운전자본증감",IF(AND(ISNUMBER(P312),ISNUMBER(O312)),IF(ISNUMBER(Q312),"영업현금흐름-설비투자-주식보상비용","영업현금흐름-설비투자(주식보상비용 미태깅)"),"산출불가")))</f>
        <v/>
      </c>
      <c r="AZ312" s="19">
        <f>IF(AND(ISNUMBER(AX312),ISNUMBER(G312),G312&lt;&gt;0),AX312/G312,"")</f>
        <v/>
      </c>
      <c r="BA312" s="19">
        <f>IF(AND(ISNUMBER(AE312),ISNUMBER(G312),G312&lt;&gt;0),AE312/G312,"")</f>
        <v/>
      </c>
    </row>
    <row r="313">
      <c r="A313" s="8" t="inlineStr">
        <is>
          <t>LRCX</t>
        </is>
      </c>
      <c r="B313" s="8" t="inlineStr">
        <is>
          <t>LAM RESEARCH CORP</t>
        </is>
      </c>
      <c r="C313" s="8" t="n">
        <v>2017</v>
      </c>
      <c r="D313" s="8" t="inlineStr">
        <is>
          <t>2017-06-25</t>
        </is>
      </c>
      <c r="E313" s="8" t="inlineStr">
        <is>
          <t>일반</t>
        </is>
      </c>
      <c r="F313" s="8" t="inlineStr">
        <is>
          <t>0000707549-19-000124</t>
        </is>
      </c>
      <c r="G313" s="15" t="n">
        <v>8.01362</v>
      </c>
      <c r="H313" s="15" t="n">
        <v>1.811673</v>
      </c>
      <c r="I313" s="15" t="n">
        <v>0.115726</v>
      </c>
      <c r="J313" s="15" t="n">
        <v>0.11391</v>
      </c>
      <c r="K313" s="15" t="n">
        <v>1.902132</v>
      </c>
      <c r="L313" s="15" t="n">
        <v>1.697763</v>
      </c>
      <c r="M313" s="15" t="n"/>
      <c r="N313" s="15" t="n">
        <v>0.306905</v>
      </c>
      <c r="O313" s="15" t="n">
        <v>0.157419</v>
      </c>
      <c r="P313" s="15" t="n">
        <v>2.029282</v>
      </c>
      <c r="Q313" s="15" t="n">
        <v>0.149975</v>
      </c>
      <c r="R313" s="15" t="n">
        <v>6.817451</v>
      </c>
      <c r="S313" s="15" t="n">
        <v>5.894517</v>
      </c>
      <c r="T313" s="15" t="n">
        <v>2.377534</v>
      </c>
      <c r="U313" s="15" t="n">
        <v>5.039322</v>
      </c>
      <c r="V313" s="15" t="n">
        <v>0.9078270000000001</v>
      </c>
      <c r="W313" s="15" t="n">
        <v>0.940537</v>
      </c>
      <c r="X313" s="15" t="n">
        <v>1.778831</v>
      </c>
      <c r="Y313" s="15" t="n">
        <v>9.142498</v>
      </c>
      <c r="Z313" s="15" t="n">
        <v>9.213150000000001</v>
      </c>
      <c r="AA313" s="15" t="n">
        <v>2.950115</v>
      </c>
      <c r="AB313" s="15" t="n">
        <v>2.418041</v>
      </c>
      <c r="AC313" s="15" t="n">
        <v>5.173656</v>
      </c>
      <c r="AD313" s="16" t="n">
        <v>1617.23</v>
      </c>
      <c r="AE313" s="17">
        <f>IF(ISNUMBER(K313),K313,IF(AND(ISNUMBER(H313),ISNUMBER(I313)),H313+I313,IF(ISNUMBER(H313),H313,"")))</f>
        <v/>
      </c>
      <c r="AF313" s="18">
        <f>IF(OR(NOT(ISNUMBER(J313)),NOT(ISNUMBER(H313)),H313&lt;=0),기준표!$B$8,MIN(MAX(J313/H313,기준표!$B$6),기준표!$B$7))</f>
        <v/>
      </c>
      <c r="AG313" s="17">
        <f>IF(ISNUMBER(AE313),AE313*(1-AF313),"")</f>
        <v/>
      </c>
      <c r="AH313" s="17">
        <f>IF(AND(NOT(ISNUMBER(V313)),NOT(ISNUMBER(X313))),"",IF(ISNUMBER(V313),V313,0)+IF(ISNUMBER(X313),X313,0))</f>
        <v/>
      </c>
      <c r="AI313" s="17">
        <f>IF(E313="금융","",IF(AND(ISNUMBER(R313),ISNUMBER(AH313),ISNUMBER(T313)),R313+AH313-T313,""))</f>
        <v/>
      </c>
      <c r="AJ313" s="17">
        <f>IF(E313="금융","",IF(NOT(ISNUMBER(AI313)),"",IF(ISNUMBER(AC313),(AI313+AC313)/2,AI313)))</f>
        <v/>
      </c>
      <c r="AK313" s="19">
        <f>IF(AND(ISNUMBER(AG313),ISNUMBER(AJ313),AJ313&gt;0),AG313/AJ313,"")</f>
        <v/>
      </c>
      <c r="AL313" s="17">
        <f>IF(E313="금융","",IF(AND(ISNUMBER(R313),ISNUMBER(AH313)),R313+AH313,""))</f>
        <v/>
      </c>
      <c r="AM313" s="19">
        <f>IF(OR(NOT(ISNUMBER(AG313)),NOT(ISNUMBER(AL313)),AL313&lt;=0),"",IF(AND(ISNUMBER(G313),AL313&lt;0.1*G313),"",AG313/AL313))</f>
        <v/>
      </c>
      <c r="AN313" s="17">
        <f>IF(NOT(ISNUMBER(R313)),"",IF(ISNUMBER(S313),(R313+S313)/2,R313))</f>
        <v/>
      </c>
      <c r="AO313" s="19">
        <f>IF(AND(ISNUMBER(L313),ISNUMBER(AN313),AN313&gt;0),L313/AN313,"")</f>
        <v/>
      </c>
      <c r="AP313" s="19">
        <f>IF(AND(ISNUMBER(AO313),ISNUMBER({ROIC})),AO313-{ROIC},"")</f>
        <v/>
      </c>
      <c r="AQ313" s="17">
        <f>IF(AND(ISNUMBER(AE313),ISNUMBER(N313)),AE313+N313,"")</f>
        <v/>
      </c>
      <c r="AR313" s="20">
        <f>IF(AND(ISNUMBER(AH313),ISNUMBER(T313),ISNUMBER(AQ313),AQ313&gt;0),(AH313-T313)/AQ313,"")</f>
        <v/>
      </c>
      <c r="AS313" s="20">
        <f>IF(AND(ISNUMBER(AE313),ISNUMBER(I313),I313&lt;&gt;0,AE313&gt;0),AE313/I313,"")</f>
        <v/>
      </c>
      <c r="AT313" s="17">
        <f>IF(AND(ISNUMBER(Y313),ISNUMBER(AA313)),Y313-IF(ISNUMBER(T313),T313,0)-(AA313-IF(ISNUMBER(V313),V313,0)),"")</f>
        <v/>
      </c>
      <c r="AU313" s="17">
        <f>IF(AND(ISNUMBER(Z313),ISNUMBER(AB313)),Z313-IF(ISNUMBER(U313),U313,0)-(AB313-IF(ISNUMBER(W313),W313,0)),"")</f>
        <v/>
      </c>
      <c r="AV313" s="17">
        <f>IF(AND(ISNUMBER(AT313),ISNUMBER(AU313)),AT313-AU313,"")</f>
        <v/>
      </c>
      <c r="AW313" s="17">
        <f>IF(AND(ISNUMBER(L313),ISNUMBER(M313),ISNUMBER(AF313)),L313-M313*(1-AF313),IF(ISNUMBER(L313),L313,""))</f>
        <v/>
      </c>
      <c r="AX313" s="17">
        <f>IF(E313="금융","",IF(AND(ISNUMBER(AW313),ISNUMBER(N313),ISNUMBER(O313),ISNUMBER(AV313)),AW313+N313-O313-AV313,IF(AND(ISNUMBER(P313),ISNUMBER(O313)),P313-O313-IF(ISNUMBER(Q313),Q313,0),"")))</f>
        <v/>
      </c>
      <c r="AY313" s="8">
        <f>IF(E313="금융","금융업 - 정의되지 않음",IF(AND(ISNUMBER(AW313),ISNUMBER(N313),ISNUMBER(O313),ISNUMBER(AV313)),"영업순이익+감가상각-설비투자-운전자본증감",IF(AND(ISNUMBER(P313),ISNUMBER(O313)),IF(ISNUMBER(Q313),"영업현금흐름-설비투자-주식보상비용","영업현금흐름-설비투자(주식보상비용 미태깅)"),"산출불가")))</f>
        <v/>
      </c>
      <c r="AZ313" s="19">
        <f>IF(AND(ISNUMBER(AX313),ISNUMBER(G313),G313&lt;&gt;0),AX313/G313,"")</f>
        <v/>
      </c>
      <c r="BA313" s="19">
        <f>IF(AND(ISNUMBER(AE313),ISNUMBER(G313),G313&lt;&gt;0),AE313/G313,"")</f>
        <v/>
      </c>
    </row>
    <row r="314">
      <c r="A314" s="8" t="inlineStr">
        <is>
          <t>LRCX</t>
        </is>
      </c>
      <c r="B314" s="8" t="inlineStr">
        <is>
          <t>LAM RESEARCH CORP</t>
        </is>
      </c>
      <c r="C314" s="8" t="n">
        <v>2018</v>
      </c>
      <c r="D314" s="8" t="inlineStr">
        <is>
          <t>2018-06-24</t>
        </is>
      </c>
      <c r="E314" s="8" t="inlineStr">
        <is>
          <t>일반</t>
        </is>
      </c>
      <c r="F314" s="8" t="inlineStr">
        <is>
          <t>0000707549-20-000138</t>
        </is>
      </c>
      <c r="G314" s="15" t="n">
        <v>11.076998</v>
      </c>
      <c r="H314" s="15" t="n">
        <v>3.151789</v>
      </c>
      <c r="I314" s="15" t="n">
        <v>0.091353</v>
      </c>
      <c r="J314" s="15" t="n">
        <v>0.771108</v>
      </c>
      <c r="K314" s="15" t="n">
        <v>3.213299</v>
      </c>
      <c r="L314" s="15" t="n">
        <v>2.380681</v>
      </c>
      <c r="M314" s="15" t="n"/>
      <c r="N314" s="15" t="n">
        <v>0.326395</v>
      </c>
      <c r="O314" s="15" t="n">
        <v>0.273469</v>
      </c>
      <c r="P314" s="15" t="n">
        <v>2.655747</v>
      </c>
      <c r="Q314" s="15" t="n">
        <v>0.172216</v>
      </c>
      <c r="R314" s="15" t="n">
        <v>6.641206</v>
      </c>
      <c r="S314" s="15" t="n">
        <v>6.817451</v>
      </c>
      <c r="T314" s="15" t="n">
        <v>4.512257</v>
      </c>
      <c r="U314" s="15" t="n">
        <v>2.377534</v>
      </c>
      <c r="V314" s="15" t="n">
        <v>0.608532</v>
      </c>
      <c r="W314" s="15" t="n">
        <v>0.9078270000000001</v>
      </c>
      <c r="X314" s="15" t="n">
        <v>1.760216</v>
      </c>
      <c r="Y314" s="15" t="n">
        <v>9.149910999999999</v>
      </c>
      <c r="Z314" s="15" t="n">
        <v>9.142498</v>
      </c>
      <c r="AA314" s="15" t="n">
        <v>3.150308</v>
      </c>
      <c r="AB314" s="15" t="n">
        <v>2.950115</v>
      </c>
      <c r="AC314" s="15" t="n">
        <v>7.126575</v>
      </c>
      <c r="AD314" s="16" t="n">
        <v>1568.92</v>
      </c>
      <c r="AE314" s="17">
        <f>IF(ISNUMBER(K314),K314,IF(AND(ISNUMBER(H314),ISNUMBER(I314)),H314+I314,IF(ISNUMBER(H314),H314,"")))</f>
        <v/>
      </c>
      <c r="AF314" s="18">
        <f>IF(OR(NOT(ISNUMBER(J314)),NOT(ISNUMBER(H314)),H314&lt;=0),기준표!$B$8,MIN(MAX(J314/H314,기준표!$B$6),기준표!$B$7))</f>
        <v/>
      </c>
      <c r="AG314" s="17">
        <f>IF(ISNUMBER(AE314),AE314*(1-AF314),"")</f>
        <v/>
      </c>
      <c r="AH314" s="17">
        <f>IF(AND(NOT(ISNUMBER(V314)),NOT(ISNUMBER(X314))),"",IF(ISNUMBER(V314),V314,0)+IF(ISNUMBER(X314),X314,0))</f>
        <v/>
      </c>
      <c r="AI314" s="17">
        <f>IF(E314="금융","",IF(AND(ISNUMBER(R314),ISNUMBER(AH314),ISNUMBER(T314)),R314+AH314-T314,""))</f>
        <v/>
      </c>
      <c r="AJ314" s="17">
        <f>IF(E314="금융","",IF(NOT(ISNUMBER(AI314)),"",IF(ISNUMBER(AC314),(AI314+AC314)/2,AI314)))</f>
        <v/>
      </c>
      <c r="AK314" s="19">
        <f>IF(AND(ISNUMBER(AG314),ISNUMBER(AJ314),AJ314&gt;0),AG314/AJ314,"")</f>
        <v/>
      </c>
      <c r="AL314" s="17">
        <f>IF(E314="금융","",IF(AND(ISNUMBER(R314),ISNUMBER(AH314)),R314+AH314,""))</f>
        <v/>
      </c>
      <c r="AM314" s="19">
        <f>IF(OR(NOT(ISNUMBER(AG314)),NOT(ISNUMBER(AL314)),AL314&lt;=0),"",IF(AND(ISNUMBER(G314),AL314&lt;0.1*G314),"",AG314/AL314))</f>
        <v/>
      </c>
      <c r="AN314" s="17">
        <f>IF(NOT(ISNUMBER(R314)),"",IF(ISNUMBER(S314),(R314+S314)/2,R314))</f>
        <v/>
      </c>
      <c r="AO314" s="19">
        <f>IF(AND(ISNUMBER(L314),ISNUMBER(AN314),AN314&gt;0),L314/AN314,"")</f>
        <v/>
      </c>
      <c r="AP314" s="19">
        <f>IF(AND(ISNUMBER(AO314),ISNUMBER({ROIC})),AO314-{ROIC},"")</f>
        <v/>
      </c>
      <c r="AQ314" s="17">
        <f>IF(AND(ISNUMBER(AE314),ISNUMBER(N314)),AE314+N314,"")</f>
        <v/>
      </c>
      <c r="AR314" s="20">
        <f>IF(AND(ISNUMBER(AH314),ISNUMBER(T314),ISNUMBER(AQ314),AQ314&gt;0),(AH314-T314)/AQ314,"")</f>
        <v/>
      </c>
      <c r="AS314" s="20">
        <f>IF(AND(ISNUMBER(AE314),ISNUMBER(I314),I314&lt;&gt;0,AE314&gt;0),AE314/I314,"")</f>
        <v/>
      </c>
      <c r="AT314" s="17">
        <f>IF(AND(ISNUMBER(Y314),ISNUMBER(AA314)),Y314-IF(ISNUMBER(T314),T314,0)-(AA314-IF(ISNUMBER(V314),V314,0)),"")</f>
        <v/>
      </c>
      <c r="AU314" s="17">
        <f>IF(AND(ISNUMBER(Z314),ISNUMBER(AB314)),Z314-IF(ISNUMBER(U314),U314,0)-(AB314-IF(ISNUMBER(W314),W314,0)),"")</f>
        <v/>
      </c>
      <c r="AV314" s="17">
        <f>IF(AND(ISNUMBER(AT314),ISNUMBER(AU314)),AT314-AU314,"")</f>
        <v/>
      </c>
      <c r="AW314" s="17">
        <f>IF(AND(ISNUMBER(L314),ISNUMBER(M314),ISNUMBER(AF314)),L314-M314*(1-AF314),IF(ISNUMBER(L314),L314,""))</f>
        <v/>
      </c>
      <c r="AX314" s="17">
        <f>IF(E314="금융","",IF(AND(ISNUMBER(AW314),ISNUMBER(N314),ISNUMBER(O314),ISNUMBER(AV314)),AW314+N314-O314-AV314,IF(AND(ISNUMBER(P314),ISNUMBER(O314)),P314-O314-IF(ISNUMBER(Q314),Q314,0),"")))</f>
        <v/>
      </c>
      <c r="AY314" s="8">
        <f>IF(E314="금융","금융업 - 정의되지 않음",IF(AND(ISNUMBER(AW314),ISNUMBER(N314),ISNUMBER(O314),ISNUMBER(AV314)),"영업순이익+감가상각-설비투자-운전자본증감",IF(AND(ISNUMBER(P314),ISNUMBER(O314)),IF(ISNUMBER(Q314),"영업현금흐름-설비투자-주식보상비용","영업현금흐름-설비투자(주식보상비용 미태깅)"),"산출불가")))</f>
        <v/>
      </c>
      <c r="AZ314" s="19">
        <f>IF(AND(ISNUMBER(AX314),ISNUMBER(G314),G314&lt;&gt;0),AX314/G314,"")</f>
        <v/>
      </c>
      <c r="BA314" s="19">
        <f>IF(AND(ISNUMBER(AE314),ISNUMBER(G314),G314&lt;&gt;0),AE314/G314,"")</f>
        <v/>
      </c>
    </row>
    <row r="315">
      <c r="A315" s="8" t="inlineStr">
        <is>
          <t>LRCX</t>
        </is>
      </c>
      <c r="B315" s="8" t="inlineStr">
        <is>
          <t>LAM RESEARCH CORP</t>
        </is>
      </c>
      <c r="C315" s="8" t="n">
        <v>2019</v>
      </c>
      <c r="D315" s="8" t="inlineStr">
        <is>
          <t>2019-06-30</t>
        </is>
      </c>
      <c r="E315" s="8" t="inlineStr">
        <is>
          <t>일반</t>
        </is>
      </c>
      <c r="F315" s="8" t="inlineStr">
        <is>
          <t>0000707549-21-000136</t>
        </is>
      </c>
      <c r="G315" s="15" t="n">
        <v>9.653559</v>
      </c>
      <c r="H315" s="15" t="n">
        <v>2.446571</v>
      </c>
      <c r="I315" s="15" t="n">
        <v>0.110161</v>
      </c>
      <c r="J315" s="15" t="n">
        <v>0.255141</v>
      </c>
      <c r="K315" s="15" t="n">
        <v>2.464732</v>
      </c>
      <c r="L315" s="15" t="n">
        <v>2.19143</v>
      </c>
      <c r="M315" s="15" t="n"/>
      <c r="N315" s="15" t="n">
        <v>0.309281</v>
      </c>
      <c r="O315" s="15" t="n">
        <v>0.303491</v>
      </c>
      <c r="P315" s="15" t="n">
        <v>3.176013</v>
      </c>
      <c r="Q315" s="15" t="n">
        <v>0.187234</v>
      </c>
      <c r="R315" s="15" t="n">
        <v>4.673865</v>
      </c>
      <c r="S315" s="15" t="n">
        <v>6.641206</v>
      </c>
      <c r="T315" s="15" t="n">
        <v>3.658219</v>
      </c>
      <c r="U315" s="15" t="n">
        <v>4.512257</v>
      </c>
      <c r="V315" s="15" t="n">
        <v>0.662308</v>
      </c>
      <c r="W315" s="15" t="n">
        <v>0.608532</v>
      </c>
      <c r="X315" s="15" t="n">
        <v>3.767703</v>
      </c>
      <c r="Y315" s="15" t="n">
        <v>8.560409</v>
      </c>
      <c r="Z315" s="15" t="n">
        <v>9.149910999999999</v>
      </c>
      <c r="AA315" s="15" t="n">
        <v>2.37165</v>
      </c>
      <c r="AB315" s="15" t="n">
        <v>3.150308</v>
      </c>
      <c r="AC315" s="15" t="n">
        <v>4.497697</v>
      </c>
      <c r="AD315" s="16" t="n">
        <v>1444.33</v>
      </c>
      <c r="AE315" s="17">
        <f>IF(ISNUMBER(K315),K315,IF(AND(ISNUMBER(H315),ISNUMBER(I315)),H315+I315,IF(ISNUMBER(H315),H315,"")))</f>
        <v/>
      </c>
      <c r="AF315" s="18">
        <f>IF(OR(NOT(ISNUMBER(J315)),NOT(ISNUMBER(H315)),H315&lt;=0),기준표!$B$8,MIN(MAX(J315/H315,기준표!$B$6),기준표!$B$7))</f>
        <v/>
      </c>
      <c r="AG315" s="17">
        <f>IF(ISNUMBER(AE315),AE315*(1-AF315),"")</f>
        <v/>
      </c>
      <c r="AH315" s="17">
        <f>IF(AND(NOT(ISNUMBER(V315)),NOT(ISNUMBER(X315))),"",IF(ISNUMBER(V315),V315,0)+IF(ISNUMBER(X315),X315,0))</f>
        <v/>
      </c>
      <c r="AI315" s="17">
        <f>IF(E315="금융","",IF(AND(ISNUMBER(R315),ISNUMBER(AH315),ISNUMBER(T315)),R315+AH315-T315,""))</f>
        <v/>
      </c>
      <c r="AJ315" s="17">
        <f>IF(E315="금융","",IF(NOT(ISNUMBER(AI315)),"",IF(ISNUMBER(AC315),(AI315+AC315)/2,AI315)))</f>
        <v/>
      </c>
      <c r="AK315" s="19">
        <f>IF(AND(ISNUMBER(AG315),ISNUMBER(AJ315),AJ315&gt;0),AG315/AJ315,"")</f>
        <v/>
      </c>
      <c r="AL315" s="17">
        <f>IF(E315="금융","",IF(AND(ISNUMBER(R315),ISNUMBER(AH315)),R315+AH315,""))</f>
        <v/>
      </c>
      <c r="AM315" s="19">
        <f>IF(OR(NOT(ISNUMBER(AG315)),NOT(ISNUMBER(AL315)),AL315&lt;=0),"",IF(AND(ISNUMBER(G315),AL315&lt;0.1*G315),"",AG315/AL315))</f>
        <v/>
      </c>
      <c r="AN315" s="17">
        <f>IF(NOT(ISNUMBER(R315)),"",IF(ISNUMBER(S315),(R315+S315)/2,R315))</f>
        <v/>
      </c>
      <c r="AO315" s="19">
        <f>IF(AND(ISNUMBER(L315),ISNUMBER(AN315),AN315&gt;0),L315/AN315,"")</f>
        <v/>
      </c>
      <c r="AP315" s="19">
        <f>IF(AND(ISNUMBER(AO315),ISNUMBER({ROIC})),AO315-{ROIC},"")</f>
        <v/>
      </c>
      <c r="AQ315" s="17">
        <f>IF(AND(ISNUMBER(AE315),ISNUMBER(N315)),AE315+N315,"")</f>
        <v/>
      </c>
      <c r="AR315" s="20">
        <f>IF(AND(ISNUMBER(AH315),ISNUMBER(T315),ISNUMBER(AQ315),AQ315&gt;0),(AH315-T315)/AQ315,"")</f>
        <v/>
      </c>
      <c r="AS315" s="20">
        <f>IF(AND(ISNUMBER(AE315),ISNUMBER(I315),I315&lt;&gt;0,AE315&gt;0),AE315/I315,"")</f>
        <v/>
      </c>
      <c r="AT315" s="17">
        <f>IF(AND(ISNUMBER(Y315),ISNUMBER(AA315)),Y315-IF(ISNUMBER(T315),T315,0)-(AA315-IF(ISNUMBER(V315),V315,0)),"")</f>
        <v/>
      </c>
      <c r="AU315" s="17">
        <f>IF(AND(ISNUMBER(Z315),ISNUMBER(AB315)),Z315-IF(ISNUMBER(U315),U315,0)-(AB315-IF(ISNUMBER(W315),W315,0)),"")</f>
        <v/>
      </c>
      <c r="AV315" s="17">
        <f>IF(AND(ISNUMBER(AT315),ISNUMBER(AU315)),AT315-AU315,"")</f>
        <v/>
      </c>
      <c r="AW315" s="17">
        <f>IF(AND(ISNUMBER(L315),ISNUMBER(M315),ISNUMBER(AF315)),L315-M315*(1-AF315),IF(ISNUMBER(L315),L315,""))</f>
        <v/>
      </c>
      <c r="AX315" s="17">
        <f>IF(E315="금융","",IF(AND(ISNUMBER(AW315),ISNUMBER(N315),ISNUMBER(O315),ISNUMBER(AV315)),AW315+N315-O315-AV315,IF(AND(ISNUMBER(P315),ISNUMBER(O315)),P315-O315-IF(ISNUMBER(Q315),Q315,0),"")))</f>
        <v/>
      </c>
      <c r="AY315" s="8">
        <f>IF(E315="금융","금융업 - 정의되지 않음",IF(AND(ISNUMBER(AW315),ISNUMBER(N315),ISNUMBER(O315),ISNUMBER(AV315)),"영업순이익+감가상각-설비투자-운전자본증감",IF(AND(ISNUMBER(P315),ISNUMBER(O315)),IF(ISNUMBER(Q315),"영업현금흐름-설비투자-주식보상비용","영업현금흐름-설비투자(주식보상비용 미태깅)"),"산출불가")))</f>
        <v/>
      </c>
      <c r="AZ315" s="19">
        <f>IF(AND(ISNUMBER(AX315),ISNUMBER(G315),G315&lt;&gt;0),AX315/G315,"")</f>
        <v/>
      </c>
      <c r="BA315" s="19">
        <f>IF(AND(ISNUMBER(AE315),ISNUMBER(G315),G315&lt;&gt;0),AE315/G315,"")</f>
        <v/>
      </c>
    </row>
    <row r="316">
      <c r="A316" s="8" t="inlineStr">
        <is>
          <t>LRCX</t>
        </is>
      </c>
      <c r="B316" s="8" t="inlineStr">
        <is>
          <t>LAM RESEARCH CORP</t>
        </is>
      </c>
      <c r="C316" s="8" t="n">
        <v>2020</v>
      </c>
      <c r="D316" s="8" t="inlineStr">
        <is>
          <t>2020-06-28</t>
        </is>
      </c>
      <c r="E316" s="8" t="inlineStr">
        <is>
          <t>일반</t>
        </is>
      </c>
      <c r="F316" s="8" t="inlineStr">
        <is>
          <t>0000707549-22-000107</t>
        </is>
      </c>
      <c r="G316" s="15" t="n">
        <v>10.044736</v>
      </c>
      <c r="H316" s="15" t="n">
        <v>2.574978</v>
      </c>
      <c r="I316" s="15" t="n">
        <v>0.176432</v>
      </c>
      <c r="J316" s="15" t="n">
        <v>0.323225</v>
      </c>
      <c r="K316" s="15" t="n">
        <v>2.673802</v>
      </c>
      <c r="L316" s="15" t="n">
        <v>2.251753</v>
      </c>
      <c r="M316" s="15" t="n"/>
      <c r="N316" s="15" t="n">
        <v>0.268525</v>
      </c>
      <c r="O316" s="15" t="n">
        <v>0.203239</v>
      </c>
      <c r="P316" s="15" t="n">
        <v>2.126451</v>
      </c>
      <c r="Q316" s="15" t="n">
        <v>0.189197</v>
      </c>
      <c r="R316" s="15" t="n">
        <v>5.172494</v>
      </c>
      <c r="S316" s="15" t="n">
        <v>4.673865</v>
      </c>
      <c r="T316" s="15" t="n">
        <v>4.915172</v>
      </c>
      <c r="U316" s="15" t="n">
        <v>3.658219</v>
      </c>
      <c r="V316" s="15" t="n">
        <v>0.836107</v>
      </c>
      <c r="W316" s="15" t="n">
        <v>0.662308</v>
      </c>
      <c r="X316" s="15" t="n">
        <v>4.959371</v>
      </c>
      <c r="Y316" s="15" t="n">
        <v>10.853535</v>
      </c>
      <c r="Z316" s="15" t="n">
        <v>8.560409</v>
      </c>
      <c r="AA316" s="15" t="n">
        <v>3.162442</v>
      </c>
      <c r="AB316" s="15" t="n">
        <v>2.37165</v>
      </c>
      <c r="AC316" s="15" t="n">
        <v>5.445657</v>
      </c>
      <c r="AD316" s="16" t="n">
        <v>1453.31</v>
      </c>
      <c r="AE316" s="17">
        <f>IF(ISNUMBER(K316),K316,IF(AND(ISNUMBER(H316),ISNUMBER(I316)),H316+I316,IF(ISNUMBER(H316),H316,"")))</f>
        <v/>
      </c>
      <c r="AF316" s="18">
        <f>IF(OR(NOT(ISNUMBER(J316)),NOT(ISNUMBER(H316)),H316&lt;=0),기준표!$B$8,MIN(MAX(J316/H316,기준표!$B$6),기준표!$B$7))</f>
        <v/>
      </c>
      <c r="AG316" s="17">
        <f>IF(ISNUMBER(AE316),AE316*(1-AF316),"")</f>
        <v/>
      </c>
      <c r="AH316" s="17">
        <f>IF(AND(NOT(ISNUMBER(V316)),NOT(ISNUMBER(X316))),"",IF(ISNUMBER(V316),V316,0)+IF(ISNUMBER(X316),X316,0))</f>
        <v/>
      </c>
      <c r="AI316" s="17">
        <f>IF(E316="금융","",IF(AND(ISNUMBER(R316),ISNUMBER(AH316),ISNUMBER(T316)),R316+AH316-T316,""))</f>
        <v/>
      </c>
      <c r="AJ316" s="17">
        <f>IF(E316="금융","",IF(NOT(ISNUMBER(AI316)),"",IF(ISNUMBER(AC316),(AI316+AC316)/2,AI316)))</f>
        <v/>
      </c>
      <c r="AK316" s="19">
        <f>IF(AND(ISNUMBER(AG316),ISNUMBER(AJ316),AJ316&gt;0),AG316/AJ316,"")</f>
        <v/>
      </c>
      <c r="AL316" s="17">
        <f>IF(E316="금융","",IF(AND(ISNUMBER(R316),ISNUMBER(AH316)),R316+AH316,""))</f>
        <v/>
      </c>
      <c r="AM316" s="19">
        <f>IF(OR(NOT(ISNUMBER(AG316)),NOT(ISNUMBER(AL316)),AL316&lt;=0),"",IF(AND(ISNUMBER(G316),AL316&lt;0.1*G316),"",AG316/AL316))</f>
        <v/>
      </c>
      <c r="AN316" s="17">
        <f>IF(NOT(ISNUMBER(R316)),"",IF(ISNUMBER(S316),(R316+S316)/2,R316))</f>
        <v/>
      </c>
      <c r="AO316" s="19">
        <f>IF(AND(ISNUMBER(L316),ISNUMBER(AN316),AN316&gt;0),L316/AN316,"")</f>
        <v/>
      </c>
      <c r="AP316" s="19">
        <f>IF(AND(ISNUMBER(AO316),ISNUMBER({ROIC})),AO316-{ROIC},"")</f>
        <v/>
      </c>
      <c r="AQ316" s="17">
        <f>IF(AND(ISNUMBER(AE316),ISNUMBER(N316)),AE316+N316,"")</f>
        <v/>
      </c>
      <c r="AR316" s="20">
        <f>IF(AND(ISNUMBER(AH316),ISNUMBER(T316),ISNUMBER(AQ316),AQ316&gt;0),(AH316-T316)/AQ316,"")</f>
        <v/>
      </c>
      <c r="AS316" s="20">
        <f>IF(AND(ISNUMBER(AE316),ISNUMBER(I316),I316&lt;&gt;0,AE316&gt;0),AE316/I316,"")</f>
        <v/>
      </c>
      <c r="AT316" s="17">
        <f>IF(AND(ISNUMBER(Y316),ISNUMBER(AA316)),Y316-IF(ISNUMBER(T316),T316,0)-(AA316-IF(ISNUMBER(V316),V316,0)),"")</f>
        <v/>
      </c>
      <c r="AU316" s="17">
        <f>IF(AND(ISNUMBER(Z316),ISNUMBER(AB316)),Z316-IF(ISNUMBER(U316),U316,0)-(AB316-IF(ISNUMBER(W316),W316,0)),"")</f>
        <v/>
      </c>
      <c r="AV316" s="17">
        <f>IF(AND(ISNUMBER(AT316),ISNUMBER(AU316)),AT316-AU316,"")</f>
        <v/>
      </c>
      <c r="AW316" s="17">
        <f>IF(AND(ISNUMBER(L316),ISNUMBER(M316),ISNUMBER(AF316)),L316-M316*(1-AF316),IF(ISNUMBER(L316),L316,""))</f>
        <v/>
      </c>
      <c r="AX316" s="17">
        <f>IF(E316="금융","",IF(AND(ISNUMBER(AW316),ISNUMBER(N316),ISNUMBER(O316),ISNUMBER(AV316)),AW316+N316-O316-AV316,IF(AND(ISNUMBER(P316),ISNUMBER(O316)),P316-O316-IF(ISNUMBER(Q316),Q316,0),"")))</f>
        <v/>
      </c>
      <c r="AY316" s="8">
        <f>IF(E316="금융","금융업 - 정의되지 않음",IF(AND(ISNUMBER(AW316),ISNUMBER(N316),ISNUMBER(O316),ISNUMBER(AV316)),"영업순이익+감가상각-설비투자-운전자본증감",IF(AND(ISNUMBER(P316),ISNUMBER(O316)),IF(ISNUMBER(Q316),"영업현금흐름-설비투자-주식보상비용","영업현금흐름-설비투자(주식보상비용 미태깅)"),"산출불가")))</f>
        <v/>
      </c>
      <c r="AZ316" s="19">
        <f>IF(AND(ISNUMBER(AX316),ISNUMBER(G316),G316&lt;&gt;0),AX316/G316,"")</f>
        <v/>
      </c>
      <c r="BA316" s="19">
        <f>IF(AND(ISNUMBER(AE316),ISNUMBER(G316),G316&lt;&gt;0),AE316/G316,"")</f>
        <v/>
      </c>
    </row>
    <row r="317">
      <c r="A317" s="8" t="inlineStr">
        <is>
          <t>LRCX</t>
        </is>
      </c>
      <c r="B317" s="8" t="inlineStr">
        <is>
          <t>LAM RESEARCH CORP</t>
        </is>
      </c>
      <c r="C317" s="8" t="n">
        <v>2021</v>
      </c>
      <c r="D317" s="8" t="inlineStr">
        <is>
          <t>2021-06-27</t>
        </is>
      </c>
      <c r="E317" s="8" t="inlineStr">
        <is>
          <t>일반</t>
        </is>
      </c>
      <c r="F317" s="8" t="inlineStr">
        <is>
          <t>0000707549-23-000102</t>
        </is>
      </c>
      <c r="G317" s="15" t="n">
        <v>14.62615</v>
      </c>
      <c r="H317" s="15" t="n">
        <v>4.370804</v>
      </c>
      <c r="I317" s="15" t="n">
        <v>0.20501</v>
      </c>
      <c r="J317" s="15" t="n">
        <v>0.462346</v>
      </c>
      <c r="K317" s="15" t="n">
        <v>4.482023</v>
      </c>
      <c r="L317" s="15" t="n">
        <v>3.908458</v>
      </c>
      <c r="M317" s="15" t="n"/>
      <c r="N317" s="15" t="n">
        <v>0.307151</v>
      </c>
      <c r="O317" s="15" t="n">
        <v>0.349096</v>
      </c>
      <c r="P317" s="15" t="n">
        <v>3.588163</v>
      </c>
      <c r="Q317" s="15" t="n">
        <v>0.220164</v>
      </c>
      <c r="R317" s="15" t="n">
        <v>6.027188</v>
      </c>
      <c r="S317" s="15" t="n">
        <v>5.172494</v>
      </c>
      <c r="T317" s="15" t="n">
        <v>4.418263</v>
      </c>
      <c r="U317" s="15" t="n">
        <v>4.915172</v>
      </c>
      <c r="V317" s="15" t="n">
        <v>0</v>
      </c>
      <c r="W317" s="15" t="n">
        <v>0.836107</v>
      </c>
      <c r="X317" s="15" t="n">
        <v>4.960935</v>
      </c>
      <c r="Y317" s="15" t="n">
        <v>11.652387</v>
      </c>
      <c r="Z317" s="15" t="n">
        <v>10.853535</v>
      </c>
      <c r="AA317" s="15" t="n">
        <v>3.527867</v>
      </c>
      <c r="AB317" s="15" t="n">
        <v>3.162442</v>
      </c>
      <c r="AC317" s="15" t="n">
        <v>6.0528</v>
      </c>
      <c r="AD317" s="16" t="n">
        <v>1425.01</v>
      </c>
      <c r="AE317" s="17">
        <f>IF(ISNUMBER(K317),K317,IF(AND(ISNUMBER(H317),ISNUMBER(I317)),H317+I317,IF(ISNUMBER(H317),H317,"")))</f>
        <v/>
      </c>
      <c r="AF317" s="18">
        <f>IF(OR(NOT(ISNUMBER(J317)),NOT(ISNUMBER(H317)),H317&lt;=0),기준표!$B$8,MIN(MAX(J317/H317,기준표!$B$6),기준표!$B$7))</f>
        <v/>
      </c>
      <c r="AG317" s="17">
        <f>IF(ISNUMBER(AE317),AE317*(1-AF317),"")</f>
        <v/>
      </c>
      <c r="AH317" s="17">
        <f>IF(AND(NOT(ISNUMBER(V317)),NOT(ISNUMBER(X317))),"",IF(ISNUMBER(V317),V317,0)+IF(ISNUMBER(X317),X317,0))</f>
        <v/>
      </c>
      <c r="AI317" s="17">
        <f>IF(E317="금융","",IF(AND(ISNUMBER(R317),ISNUMBER(AH317),ISNUMBER(T317)),R317+AH317-T317,""))</f>
        <v/>
      </c>
      <c r="AJ317" s="17">
        <f>IF(E317="금융","",IF(NOT(ISNUMBER(AI317)),"",IF(ISNUMBER(AC317),(AI317+AC317)/2,AI317)))</f>
        <v/>
      </c>
      <c r="AK317" s="19">
        <f>IF(AND(ISNUMBER(AG317),ISNUMBER(AJ317),AJ317&gt;0),AG317/AJ317,"")</f>
        <v/>
      </c>
      <c r="AL317" s="17">
        <f>IF(E317="금융","",IF(AND(ISNUMBER(R317),ISNUMBER(AH317)),R317+AH317,""))</f>
        <v/>
      </c>
      <c r="AM317" s="19">
        <f>IF(OR(NOT(ISNUMBER(AG317)),NOT(ISNUMBER(AL317)),AL317&lt;=0),"",IF(AND(ISNUMBER(G317),AL317&lt;0.1*G317),"",AG317/AL317))</f>
        <v/>
      </c>
      <c r="AN317" s="17">
        <f>IF(NOT(ISNUMBER(R317)),"",IF(ISNUMBER(S317),(R317+S317)/2,R317))</f>
        <v/>
      </c>
      <c r="AO317" s="19">
        <f>IF(AND(ISNUMBER(L317),ISNUMBER(AN317),AN317&gt;0),L317/AN317,"")</f>
        <v/>
      </c>
      <c r="AP317" s="19">
        <f>IF(AND(ISNUMBER(AO317),ISNUMBER({ROIC})),AO317-{ROIC},"")</f>
        <v/>
      </c>
      <c r="AQ317" s="17">
        <f>IF(AND(ISNUMBER(AE317),ISNUMBER(N317)),AE317+N317,"")</f>
        <v/>
      </c>
      <c r="AR317" s="20">
        <f>IF(AND(ISNUMBER(AH317),ISNUMBER(T317),ISNUMBER(AQ317),AQ317&gt;0),(AH317-T317)/AQ317,"")</f>
        <v/>
      </c>
      <c r="AS317" s="20">
        <f>IF(AND(ISNUMBER(AE317),ISNUMBER(I317),I317&lt;&gt;0,AE317&gt;0),AE317/I317,"")</f>
        <v/>
      </c>
      <c r="AT317" s="17">
        <f>IF(AND(ISNUMBER(Y317),ISNUMBER(AA317)),Y317-IF(ISNUMBER(T317),T317,0)-(AA317-IF(ISNUMBER(V317),V317,0)),"")</f>
        <v/>
      </c>
      <c r="AU317" s="17">
        <f>IF(AND(ISNUMBER(Z317),ISNUMBER(AB317)),Z317-IF(ISNUMBER(U317),U317,0)-(AB317-IF(ISNUMBER(W317),W317,0)),"")</f>
        <v/>
      </c>
      <c r="AV317" s="17">
        <f>IF(AND(ISNUMBER(AT317),ISNUMBER(AU317)),AT317-AU317,"")</f>
        <v/>
      </c>
      <c r="AW317" s="17">
        <f>IF(AND(ISNUMBER(L317),ISNUMBER(M317),ISNUMBER(AF317)),L317-M317*(1-AF317),IF(ISNUMBER(L317),L317,""))</f>
        <v/>
      </c>
      <c r="AX317" s="17">
        <f>IF(E317="금융","",IF(AND(ISNUMBER(AW317),ISNUMBER(N317),ISNUMBER(O317),ISNUMBER(AV317)),AW317+N317-O317-AV317,IF(AND(ISNUMBER(P317),ISNUMBER(O317)),P317-O317-IF(ISNUMBER(Q317),Q317,0),"")))</f>
        <v/>
      </c>
      <c r="AY317" s="8">
        <f>IF(E317="금융","금융업 - 정의되지 않음",IF(AND(ISNUMBER(AW317),ISNUMBER(N317),ISNUMBER(O317),ISNUMBER(AV317)),"영업순이익+감가상각-설비투자-운전자본증감",IF(AND(ISNUMBER(P317),ISNUMBER(O317)),IF(ISNUMBER(Q317),"영업현금흐름-설비투자-주식보상비용","영업현금흐름-설비투자(주식보상비용 미태깅)"),"산출불가")))</f>
        <v/>
      </c>
      <c r="AZ317" s="19">
        <f>IF(AND(ISNUMBER(AX317),ISNUMBER(G317),G317&lt;&gt;0),AX317/G317,"")</f>
        <v/>
      </c>
      <c r="BA317" s="19">
        <f>IF(AND(ISNUMBER(AE317),ISNUMBER(G317),G317&lt;&gt;0),AE317/G317,"")</f>
        <v/>
      </c>
    </row>
    <row r="318">
      <c r="A318" s="8" t="inlineStr">
        <is>
          <t>LRCX</t>
        </is>
      </c>
      <c r="B318" s="8" t="inlineStr">
        <is>
          <t>LAM RESEARCH CORP</t>
        </is>
      </c>
      <c r="C318" s="8" t="n">
        <v>2022</v>
      </c>
      <c r="D318" s="8" t="inlineStr">
        <is>
          <t>2022-06-26</t>
        </is>
      </c>
      <c r="E318" s="8" t="inlineStr">
        <is>
          <t>일반</t>
        </is>
      </c>
      <c r="F318" s="8" t="inlineStr">
        <is>
          <t>0000707549-24-000106</t>
        </is>
      </c>
      <c r="G318" s="15" t="n">
        <v>17.227039</v>
      </c>
      <c r="H318" s="15" t="n">
        <v>5.193114</v>
      </c>
      <c r="I318" s="15" t="n">
        <v>0.181701</v>
      </c>
      <c r="J318" s="15" t="n">
        <v>0.587828</v>
      </c>
      <c r="K318" s="15" t="n">
        <v>5.381822</v>
      </c>
      <c r="L318" s="15" t="n">
        <v>4.605286</v>
      </c>
      <c r="M318" s="15" t="n"/>
      <c r="N318" s="15" t="n">
        <v>0.333739</v>
      </c>
      <c r="O318" s="15" t="n">
        <v>0.546034</v>
      </c>
      <c r="P318" s="15" t="n">
        <v>3.099674</v>
      </c>
      <c r="Q318" s="15" t="n">
        <v>0.259064</v>
      </c>
      <c r="R318" s="15" t="n">
        <v>6.278366</v>
      </c>
      <c r="S318" s="15" t="n">
        <v>6.027188</v>
      </c>
      <c r="T318" s="15" t="n">
        <v>3.522001</v>
      </c>
      <c r="U318" s="15" t="n">
        <v>4.418263</v>
      </c>
      <c r="V318" s="15" t="n">
        <v>0</v>
      </c>
      <c r="W318" s="15" t="n">
        <v>0</v>
      </c>
      <c r="X318" s="15" t="n">
        <v>4.962459</v>
      </c>
      <c r="Y318" s="15" t="n">
        <v>12.285235</v>
      </c>
      <c r="Z318" s="15" t="n">
        <v>11.652387</v>
      </c>
      <c r="AA318" s="15" t="n">
        <v>4.564759</v>
      </c>
      <c r="AB318" s="15" t="n">
        <v>3.527867</v>
      </c>
      <c r="AC318" s="15" t="n">
        <v>6.56986</v>
      </c>
      <c r="AD318" s="16" t="n">
        <v>1369.75</v>
      </c>
      <c r="AE318" s="17">
        <f>IF(ISNUMBER(K318),K318,IF(AND(ISNUMBER(H318),ISNUMBER(I318)),H318+I318,IF(ISNUMBER(H318),H318,"")))</f>
        <v/>
      </c>
      <c r="AF318" s="18">
        <f>IF(OR(NOT(ISNUMBER(J318)),NOT(ISNUMBER(H318)),H318&lt;=0),기준표!$B$8,MIN(MAX(J318/H318,기준표!$B$6),기준표!$B$7))</f>
        <v/>
      </c>
      <c r="AG318" s="17">
        <f>IF(ISNUMBER(AE318),AE318*(1-AF318),"")</f>
        <v/>
      </c>
      <c r="AH318" s="17">
        <f>IF(AND(NOT(ISNUMBER(V318)),NOT(ISNUMBER(X318))),"",IF(ISNUMBER(V318),V318,0)+IF(ISNUMBER(X318),X318,0))</f>
        <v/>
      </c>
      <c r="AI318" s="17">
        <f>IF(E318="금융","",IF(AND(ISNUMBER(R318),ISNUMBER(AH318),ISNUMBER(T318)),R318+AH318-T318,""))</f>
        <v/>
      </c>
      <c r="AJ318" s="17">
        <f>IF(E318="금융","",IF(NOT(ISNUMBER(AI318)),"",IF(ISNUMBER(AC318),(AI318+AC318)/2,AI318)))</f>
        <v/>
      </c>
      <c r="AK318" s="19">
        <f>IF(AND(ISNUMBER(AG318),ISNUMBER(AJ318),AJ318&gt;0),AG318/AJ318,"")</f>
        <v/>
      </c>
      <c r="AL318" s="17">
        <f>IF(E318="금융","",IF(AND(ISNUMBER(R318),ISNUMBER(AH318)),R318+AH318,""))</f>
        <v/>
      </c>
      <c r="AM318" s="19">
        <f>IF(OR(NOT(ISNUMBER(AG318)),NOT(ISNUMBER(AL318)),AL318&lt;=0),"",IF(AND(ISNUMBER(G318),AL318&lt;0.1*G318),"",AG318/AL318))</f>
        <v/>
      </c>
      <c r="AN318" s="17">
        <f>IF(NOT(ISNUMBER(R318)),"",IF(ISNUMBER(S318),(R318+S318)/2,R318))</f>
        <v/>
      </c>
      <c r="AO318" s="19">
        <f>IF(AND(ISNUMBER(L318),ISNUMBER(AN318),AN318&gt;0),L318/AN318,"")</f>
        <v/>
      </c>
      <c r="AP318" s="19">
        <f>IF(AND(ISNUMBER(AO318),ISNUMBER({ROIC})),AO318-{ROIC},"")</f>
        <v/>
      </c>
      <c r="AQ318" s="17">
        <f>IF(AND(ISNUMBER(AE318),ISNUMBER(N318)),AE318+N318,"")</f>
        <v/>
      </c>
      <c r="AR318" s="20">
        <f>IF(AND(ISNUMBER(AH318),ISNUMBER(T318),ISNUMBER(AQ318),AQ318&gt;0),(AH318-T318)/AQ318,"")</f>
        <v/>
      </c>
      <c r="AS318" s="20">
        <f>IF(AND(ISNUMBER(AE318),ISNUMBER(I318),I318&lt;&gt;0,AE318&gt;0),AE318/I318,"")</f>
        <v/>
      </c>
      <c r="AT318" s="17">
        <f>IF(AND(ISNUMBER(Y318),ISNUMBER(AA318)),Y318-IF(ISNUMBER(T318),T318,0)-(AA318-IF(ISNUMBER(V318),V318,0)),"")</f>
        <v/>
      </c>
      <c r="AU318" s="17">
        <f>IF(AND(ISNUMBER(Z318),ISNUMBER(AB318)),Z318-IF(ISNUMBER(U318),U318,0)-(AB318-IF(ISNUMBER(W318),W318,0)),"")</f>
        <v/>
      </c>
      <c r="AV318" s="17">
        <f>IF(AND(ISNUMBER(AT318),ISNUMBER(AU318)),AT318-AU318,"")</f>
        <v/>
      </c>
      <c r="AW318" s="17">
        <f>IF(AND(ISNUMBER(L318),ISNUMBER(M318),ISNUMBER(AF318)),L318-M318*(1-AF318),IF(ISNUMBER(L318),L318,""))</f>
        <v/>
      </c>
      <c r="AX318" s="17">
        <f>IF(E318="금융","",IF(AND(ISNUMBER(AW318),ISNUMBER(N318),ISNUMBER(O318),ISNUMBER(AV318)),AW318+N318-O318-AV318,IF(AND(ISNUMBER(P318),ISNUMBER(O318)),P318-O318-IF(ISNUMBER(Q318),Q318,0),"")))</f>
        <v/>
      </c>
      <c r="AY318" s="8">
        <f>IF(E318="금융","금융업 - 정의되지 않음",IF(AND(ISNUMBER(AW318),ISNUMBER(N318),ISNUMBER(O318),ISNUMBER(AV318)),"영업순이익+감가상각-설비투자-운전자본증감",IF(AND(ISNUMBER(P318),ISNUMBER(O318)),IF(ISNUMBER(Q318),"영업현금흐름-설비투자-주식보상비용","영업현금흐름-설비투자(주식보상비용 미태깅)"),"산출불가")))</f>
        <v/>
      </c>
      <c r="AZ318" s="19">
        <f>IF(AND(ISNUMBER(AX318),ISNUMBER(G318),G318&lt;&gt;0),AX318/G318,"")</f>
        <v/>
      </c>
      <c r="BA318" s="19">
        <f>IF(AND(ISNUMBER(AE318),ISNUMBER(G318),G318&lt;&gt;0),AE318/G318,"")</f>
        <v/>
      </c>
    </row>
    <row r="319">
      <c r="A319" s="8" t="inlineStr">
        <is>
          <t>LRCX</t>
        </is>
      </c>
      <c r="B319" s="8" t="inlineStr">
        <is>
          <t>LAM RESEARCH CORP</t>
        </is>
      </c>
      <c r="C319" s="8" t="n">
        <v>2023</v>
      </c>
      <c r="D319" s="8" t="inlineStr">
        <is>
          <t>2023-06-25</t>
        </is>
      </c>
      <c r="E319" s="8" t="inlineStr">
        <is>
          <t>일반</t>
        </is>
      </c>
      <c r="F319" s="8" t="inlineStr">
        <is>
          <t>0000707549-25-000075</t>
        </is>
      </c>
      <c r="G319" s="15" t="n">
        <v>17.428516</v>
      </c>
      <c r="H319" s="15" t="n">
        <v>5.10921</v>
      </c>
      <c r="I319" s="15" t="n">
        <v>0.181911</v>
      </c>
      <c r="J319" s="15" t="n">
        <v>0.598279</v>
      </c>
      <c r="K319" s="15" t="n">
        <v>5.17486</v>
      </c>
      <c r="L319" s="15" t="n">
        <v>4.510931</v>
      </c>
      <c r="M319" s="15" t="n"/>
      <c r="N319" s="15" t="n">
        <v>0.342432</v>
      </c>
      <c r="O319" s="15" t="n">
        <v>0.501568</v>
      </c>
      <c r="P319" s="15" t="n">
        <v>5.178938</v>
      </c>
      <c r="Q319" s="15" t="n">
        <v>0.2866</v>
      </c>
      <c r="R319" s="15" t="n">
        <v>8.210172</v>
      </c>
      <c r="S319" s="15" t="n">
        <v>6.278366</v>
      </c>
      <c r="T319" s="15" t="n">
        <v>5.337056</v>
      </c>
      <c r="U319" s="15" t="n">
        <v>3.522001</v>
      </c>
      <c r="V319" s="15" t="n">
        <v>0.000421</v>
      </c>
      <c r="W319" s="15" t="n">
        <v>0</v>
      </c>
      <c r="X319" s="15" t="n">
        <v>4.964944</v>
      </c>
      <c r="Y319" s="15" t="n">
        <v>13.228412</v>
      </c>
      <c r="Z319" s="15" t="n">
        <v>12.285235</v>
      </c>
      <c r="AA319" s="15" t="n">
        <v>4.184918</v>
      </c>
      <c r="AB319" s="15" t="n">
        <v>4.564759</v>
      </c>
      <c r="AC319" s="15" t="n">
        <v>7.718824</v>
      </c>
      <c r="AD319" s="16" t="n">
        <v>1332.97</v>
      </c>
      <c r="AE319" s="17">
        <f>IF(ISNUMBER(K319),K319,IF(AND(ISNUMBER(H319),ISNUMBER(I319)),H319+I319,IF(ISNUMBER(H319),H319,"")))</f>
        <v/>
      </c>
      <c r="AF319" s="18">
        <f>IF(OR(NOT(ISNUMBER(J319)),NOT(ISNUMBER(H319)),H319&lt;=0),기준표!$B$8,MIN(MAX(J319/H319,기준표!$B$6),기준표!$B$7))</f>
        <v/>
      </c>
      <c r="AG319" s="17">
        <f>IF(ISNUMBER(AE319),AE319*(1-AF319),"")</f>
        <v/>
      </c>
      <c r="AH319" s="17">
        <f>IF(AND(NOT(ISNUMBER(V319)),NOT(ISNUMBER(X319))),"",IF(ISNUMBER(V319),V319,0)+IF(ISNUMBER(X319),X319,0))</f>
        <v/>
      </c>
      <c r="AI319" s="17">
        <f>IF(E319="금융","",IF(AND(ISNUMBER(R319),ISNUMBER(AH319),ISNUMBER(T319)),R319+AH319-T319,""))</f>
        <v/>
      </c>
      <c r="AJ319" s="17">
        <f>IF(E319="금융","",IF(NOT(ISNUMBER(AI319)),"",IF(ISNUMBER(AC319),(AI319+AC319)/2,AI319)))</f>
        <v/>
      </c>
      <c r="AK319" s="19">
        <f>IF(AND(ISNUMBER(AG319),ISNUMBER(AJ319),AJ319&gt;0),AG319/AJ319,"")</f>
        <v/>
      </c>
      <c r="AL319" s="17">
        <f>IF(E319="금융","",IF(AND(ISNUMBER(R319),ISNUMBER(AH319)),R319+AH319,""))</f>
        <v/>
      </c>
      <c r="AM319" s="19">
        <f>IF(OR(NOT(ISNUMBER(AG319)),NOT(ISNUMBER(AL319)),AL319&lt;=0),"",IF(AND(ISNUMBER(G319),AL319&lt;0.1*G319),"",AG319/AL319))</f>
        <v/>
      </c>
      <c r="AN319" s="17">
        <f>IF(NOT(ISNUMBER(R319)),"",IF(ISNUMBER(S319),(R319+S319)/2,R319))</f>
        <v/>
      </c>
      <c r="AO319" s="19">
        <f>IF(AND(ISNUMBER(L319),ISNUMBER(AN319),AN319&gt;0),L319/AN319,"")</f>
        <v/>
      </c>
      <c r="AP319" s="19">
        <f>IF(AND(ISNUMBER(AO319),ISNUMBER({ROIC})),AO319-{ROIC},"")</f>
        <v/>
      </c>
      <c r="AQ319" s="17">
        <f>IF(AND(ISNUMBER(AE319),ISNUMBER(N319)),AE319+N319,"")</f>
        <v/>
      </c>
      <c r="AR319" s="20">
        <f>IF(AND(ISNUMBER(AH319),ISNUMBER(T319),ISNUMBER(AQ319),AQ319&gt;0),(AH319-T319)/AQ319,"")</f>
        <v/>
      </c>
      <c r="AS319" s="20">
        <f>IF(AND(ISNUMBER(AE319),ISNUMBER(I319),I319&lt;&gt;0,AE319&gt;0),AE319/I319,"")</f>
        <v/>
      </c>
      <c r="AT319" s="17">
        <f>IF(AND(ISNUMBER(Y319),ISNUMBER(AA319)),Y319-IF(ISNUMBER(T319),T319,0)-(AA319-IF(ISNUMBER(V319),V319,0)),"")</f>
        <v/>
      </c>
      <c r="AU319" s="17">
        <f>IF(AND(ISNUMBER(Z319),ISNUMBER(AB319)),Z319-IF(ISNUMBER(U319),U319,0)-(AB319-IF(ISNUMBER(W319),W319,0)),"")</f>
        <v/>
      </c>
      <c r="AV319" s="17">
        <f>IF(AND(ISNUMBER(AT319),ISNUMBER(AU319)),AT319-AU319,"")</f>
        <v/>
      </c>
      <c r="AW319" s="17">
        <f>IF(AND(ISNUMBER(L319),ISNUMBER(M319),ISNUMBER(AF319)),L319-M319*(1-AF319),IF(ISNUMBER(L319),L319,""))</f>
        <v/>
      </c>
      <c r="AX319" s="17">
        <f>IF(E319="금융","",IF(AND(ISNUMBER(AW319),ISNUMBER(N319),ISNUMBER(O319),ISNUMBER(AV319)),AW319+N319-O319-AV319,IF(AND(ISNUMBER(P319),ISNUMBER(O319)),P319-O319-IF(ISNUMBER(Q319),Q319,0),"")))</f>
        <v/>
      </c>
      <c r="AY319" s="8">
        <f>IF(E319="금융","금융업 - 정의되지 않음",IF(AND(ISNUMBER(AW319),ISNUMBER(N319),ISNUMBER(O319),ISNUMBER(AV319)),"영업순이익+감가상각-설비투자-운전자본증감",IF(AND(ISNUMBER(P319),ISNUMBER(O319)),IF(ISNUMBER(Q319),"영업현금흐름-설비투자-주식보상비용","영업현금흐름-설비투자(주식보상비용 미태깅)"),"산출불가")))</f>
        <v/>
      </c>
      <c r="AZ319" s="19">
        <f>IF(AND(ISNUMBER(AX319),ISNUMBER(G319),G319&lt;&gt;0),AX319/G319,"")</f>
        <v/>
      </c>
      <c r="BA319" s="19">
        <f>IF(AND(ISNUMBER(AE319),ISNUMBER(G319),G319&lt;&gt;0),AE319/G319,"")</f>
        <v/>
      </c>
    </row>
    <row r="320">
      <c r="A320" s="8" t="inlineStr">
        <is>
          <t>LRCX</t>
        </is>
      </c>
      <c r="B320" s="8" t="inlineStr">
        <is>
          <t>LAM RESEARCH CORP</t>
        </is>
      </c>
      <c r="C320" s="8" t="n">
        <v>2024</v>
      </c>
      <c r="D320" s="8" t="inlineStr">
        <is>
          <t>2024-06-30</t>
        </is>
      </c>
      <c r="E320" s="8" t="inlineStr">
        <is>
          <t>일반</t>
        </is>
      </c>
      <c r="F320" s="8" t="inlineStr">
        <is>
          <t>0000707549-26-000037</t>
        </is>
      </c>
      <c r="G320" s="15" t="n">
        <v>14.905386</v>
      </c>
      <c r="H320" s="15" t="n">
        <v>4.360222</v>
      </c>
      <c r="I320" s="15" t="n">
        <v>0.183035</v>
      </c>
      <c r="J320" s="15" t="n">
        <v>0.53245</v>
      </c>
      <c r="K320" s="15" t="n">
        <v>4.263913</v>
      </c>
      <c r="L320" s="15" t="n">
        <v>3.827772</v>
      </c>
      <c r="M320" s="15" t="n"/>
      <c r="N320" s="15" t="n">
        <v>0.359699</v>
      </c>
      <c r="O320" s="15" t="n">
        <v>0.39667</v>
      </c>
      <c r="P320" s="15" t="n">
        <v>4.652269</v>
      </c>
      <c r="Q320" s="15" t="n">
        <v>0.293058</v>
      </c>
      <c r="R320" s="15" t="n">
        <v>8.539453999999999</v>
      </c>
      <c r="S320" s="15" t="n">
        <v>8.210172</v>
      </c>
      <c r="T320" s="15" t="n">
        <v>5.847856</v>
      </c>
      <c r="U320" s="15" t="n">
        <v>5.337056</v>
      </c>
      <c r="V320" s="15" t="n">
        <v>0.501316</v>
      </c>
      <c r="W320" s="15" t="n">
        <v>0.000421</v>
      </c>
      <c r="X320" s="15" t="n">
        <v>4.466045</v>
      </c>
      <c r="Y320" s="15" t="n">
        <v>12.88322</v>
      </c>
      <c r="Z320" s="15" t="n">
        <v>13.228412</v>
      </c>
      <c r="AA320" s="15" t="n">
        <v>4.338438</v>
      </c>
      <c r="AB320" s="15" t="n">
        <v>4.184918</v>
      </c>
      <c r="AC320" s="15" t="n">
        <v>7.838481</v>
      </c>
      <c r="AD320" s="16" t="n">
        <v>1303.769</v>
      </c>
      <c r="AE320" s="17">
        <f>IF(ISNUMBER(K320),K320,IF(AND(ISNUMBER(H320),ISNUMBER(I320)),H320+I320,IF(ISNUMBER(H320),H320,"")))</f>
        <v/>
      </c>
      <c r="AF320" s="18">
        <f>IF(OR(NOT(ISNUMBER(J320)),NOT(ISNUMBER(H320)),H320&lt;=0),기준표!$B$8,MIN(MAX(J320/H320,기준표!$B$6),기준표!$B$7))</f>
        <v/>
      </c>
      <c r="AG320" s="17">
        <f>IF(ISNUMBER(AE320),AE320*(1-AF320),"")</f>
        <v/>
      </c>
      <c r="AH320" s="17">
        <f>IF(AND(NOT(ISNUMBER(V320)),NOT(ISNUMBER(X320))),"",IF(ISNUMBER(V320),V320,0)+IF(ISNUMBER(X320),X320,0))</f>
        <v/>
      </c>
      <c r="AI320" s="17">
        <f>IF(E320="금융","",IF(AND(ISNUMBER(R320),ISNUMBER(AH320),ISNUMBER(T320)),R320+AH320-T320,""))</f>
        <v/>
      </c>
      <c r="AJ320" s="17">
        <f>IF(E320="금융","",IF(NOT(ISNUMBER(AI320)),"",IF(ISNUMBER(AC320),(AI320+AC320)/2,AI320)))</f>
        <v/>
      </c>
      <c r="AK320" s="19">
        <f>IF(AND(ISNUMBER(AG320),ISNUMBER(AJ320),AJ320&gt;0),AG320/AJ320,"")</f>
        <v/>
      </c>
      <c r="AL320" s="17">
        <f>IF(E320="금융","",IF(AND(ISNUMBER(R320),ISNUMBER(AH320)),R320+AH320,""))</f>
        <v/>
      </c>
      <c r="AM320" s="19">
        <f>IF(OR(NOT(ISNUMBER(AG320)),NOT(ISNUMBER(AL320)),AL320&lt;=0),"",IF(AND(ISNUMBER(G320),AL320&lt;0.1*G320),"",AG320/AL320))</f>
        <v/>
      </c>
      <c r="AN320" s="17">
        <f>IF(NOT(ISNUMBER(R320)),"",IF(ISNUMBER(S320),(R320+S320)/2,R320))</f>
        <v/>
      </c>
      <c r="AO320" s="19">
        <f>IF(AND(ISNUMBER(L320),ISNUMBER(AN320),AN320&gt;0),L320/AN320,"")</f>
        <v/>
      </c>
      <c r="AP320" s="19">
        <f>IF(AND(ISNUMBER(AO320),ISNUMBER({ROIC})),AO320-{ROIC},"")</f>
        <v/>
      </c>
      <c r="AQ320" s="17">
        <f>IF(AND(ISNUMBER(AE320),ISNUMBER(N320)),AE320+N320,"")</f>
        <v/>
      </c>
      <c r="AR320" s="20">
        <f>IF(AND(ISNUMBER(AH320),ISNUMBER(T320),ISNUMBER(AQ320),AQ320&gt;0),(AH320-T320)/AQ320,"")</f>
        <v/>
      </c>
      <c r="AS320" s="20">
        <f>IF(AND(ISNUMBER(AE320),ISNUMBER(I320),I320&lt;&gt;0,AE320&gt;0),AE320/I320,"")</f>
        <v/>
      </c>
      <c r="AT320" s="17">
        <f>IF(AND(ISNUMBER(Y320),ISNUMBER(AA320)),Y320-IF(ISNUMBER(T320),T320,0)-(AA320-IF(ISNUMBER(V320),V320,0)),"")</f>
        <v/>
      </c>
      <c r="AU320" s="17">
        <f>IF(AND(ISNUMBER(Z320),ISNUMBER(AB320)),Z320-IF(ISNUMBER(U320),U320,0)-(AB320-IF(ISNUMBER(W320),W320,0)),"")</f>
        <v/>
      </c>
      <c r="AV320" s="17">
        <f>IF(AND(ISNUMBER(AT320),ISNUMBER(AU320)),AT320-AU320,"")</f>
        <v/>
      </c>
      <c r="AW320" s="17">
        <f>IF(AND(ISNUMBER(L320),ISNUMBER(M320),ISNUMBER(AF320)),L320-M320*(1-AF320),IF(ISNUMBER(L320),L320,""))</f>
        <v/>
      </c>
      <c r="AX320" s="17">
        <f>IF(E320="금융","",IF(AND(ISNUMBER(AW320),ISNUMBER(N320),ISNUMBER(O320),ISNUMBER(AV320)),AW320+N320-O320-AV320,IF(AND(ISNUMBER(P320),ISNUMBER(O320)),P320-O320-IF(ISNUMBER(Q320),Q320,0),"")))</f>
        <v/>
      </c>
      <c r="AY320" s="8">
        <f>IF(E320="금융","금융업 - 정의되지 않음",IF(AND(ISNUMBER(AW320),ISNUMBER(N320),ISNUMBER(O320),ISNUMBER(AV320)),"영업순이익+감가상각-설비투자-운전자본증감",IF(AND(ISNUMBER(P320),ISNUMBER(O320)),IF(ISNUMBER(Q320),"영업현금흐름-설비투자-주식보상비용","영업현금흐름-설비투자(주식보상비용 미태깅)"),"산출불가")))</f>
        <v/>
      </c>
      <c r="AZ320" s="19">
        <f>IF(AND(ISNUMBER(AX320),ISNUMBER(G320),G320&lt;&gt;0),AX320/G320,"")</f>
        <v/>
      </c>
      <c r="BA320" s="19">
        <f>IF(AND(ISNUMBER(AE320),ISNUMBER(G320),G320&lt;&gt;0),AE320/G320,"")</f>
        <v/>
      </c>
    </row>
    <row r="321">
      <c r="A321" s="8" t="inlineStr">
        <is>
          <t>LRCX</t>
        </is>
      </c>
      <c r="B321" s="8" t="inlineStr">
        <is>
          <t>LAM RESEARCH CORP</t>
        </is>
      </c>
      <c r="C321" s="8" t="n">
        <v>2025</v>
      </c>
      <c r="D321" s="8" t="inlineStr">
        <is>
          <t>2025-06-29</t>
        </is>
      </c>
      <c r="E321" s="8" t="inlineStr">
        <is>
          <t>일반</t>
        </is>
      </c>
      <c r="F321" s="8" t="inlineStr">
        <is>
          <t>0000707549-26-000037</t>
        </is>
      </c>
      <c r="G321" s="15" t="n">
        <v>18.435591</v>
      </c>
      <c r="H321" s="15" t="n">
        <v>5.958129</v>
      </c>
      <c r="I321" s="15" t="n">
        <v>0.177219</v>
      </c>
      <c r="J321" s="15" t="n">
        <v>0.599912</v>
      </c>
      <c r="K321" s="15" t="n">
        <v>5.900968</v>
      </c>
      <c r="L321" s="15" t="n">
        <v>5.358217</v>
      </c>
      <c r="M321" s="15" t="n"/>
      <c r="N321" s="15" t="n">
        <v>0.386277</v>
      </c>
      <c r="O321" s="15" t="n">
        <v>0.759186</v>
      </c>
      <c r="P321" s="15" t="n">
        <v>6.173264</v>
      </c>
      <c r="Q321" s="15" t="n">
        <v>0.343371</v>
      </c>
      <c r="R321" s="15" t="n">
        <v>9.861618999999999</v>
      </c>
      <c r="S321" s="15" t="n">
        <v>8.539453999999999</v>
      </c>
      <c r="T321" s="15" t="n">
        <v>6.390659</v>
      </c>
      <c r="U321" s="15" t="n">
        <v>5.847856</v>
      </c>
      <c r="V321" s="15" t="n">
        <v>0.7496699999999999</v>
      </c>
      <c r="W321" s="15" t="n">
        <v>0.501316</v>
      </c>
      <c r="X321" s="15" t="n">
        <v>3.719694</v>
      </c>
      <c r="Y321" s="15" t="n">
        <v>14.516995</v>
      </c>
      <c r="Z321" s="15" t="n">
        <v>12.88322</v>
      </c>
      <c r="AA321" s="15" t="n">
        <v>6.568425</v>
      </c>
      <c r="AB321" s="15" t="n">
        <v>4.338438</v>
      </c>
      <c r="AC321" s="15" t="n">
        <v>7.658959</v>
      </c>
      <c r="AD321" s="16" t="n">
        <v>1268.74</v>
      </c>
      <c r="AE321" s="17">
        <f>IF(ISNUMBER(K321),K321,IF(AND(ISNUMBER(H321),ISNUMBER(I321)),H321+I321,IF(ISNUMBER(H321),H321,"")))</f>
        <v/>
      </c>
      <c r="AF321" s="18">
        <f>IF(OR(NOT(ISNUMBER(J321)),NOT(ISNUMBER(H321)),H321&lt;=0),기준표!$B$8,MIN(MAX(J321/H321,기준표!$B$6),기준표!$B$7))</f>
        <v/>
      </c>
      <c r="AG321" s="17">
        <f>IF(ISNUMBER(AE321),AE321*(1-AF321),"")</f>
        <v/>
      </c>
      <c r="AH321" s="17">
        <f>IF(AND(NOT(ISNUMBER(V321)),NOT(ISNUMBER(X321))),"",IF(ISNUMBER(V321),V321,0)+IF(ISNUMBER(X321),X321,0))</f>
        <v/>
      </c>
      <c r="AI321" s="17">
        <f>IF(E321="금융","",IF(AND(ISNUMBER(R321),ISNUMBER(AH321),ISNUMBER(T321)),R321+AH321-T321,""))</f>
        <v/>
      </c>
      <c r="AJ321" s="17">
        <f>IF(E321="금융","",IF(NOT(ISNUMBER(AI321)),"",IF(ISNUMBER(AC321),(AI321+AC321)/2,AI321)))</f>
        <v/>
      </c>
      <c r="AK321" s="19">
        <f>IF(AND(ISNUMBER(AG321),ISNUMBER(AJ321),AJ321&gt;0),AG321/AJ321,"")</f>
        <v/>
      </c>
      <c r="AL321" s="17">
        <f>IF(E321="금융","",IF(AND(ISNUMBER(R321),ISNUMBER(AH321)),R321+AH321,""))</f>
        <v/>
      </c>
      <c r="AM321" s="19">
        <f>IF(OR(NOT(ISNUMBER(AG321)),NOT(ISNUMBER(AL321)),AL321&lt;=0),"",IF(AND(ISNUMBER(G321),AL321&lt;0.1*G321),"",AG321/AL321))</f>
        <v/>
      </c>
      <c r="AN321" s="17">
        <f>IF(NOT(ISNUMBER(R321)),"",IF(ISNUMBER(S321),(R321+S321)/2,R321))</f>
        <v/>
      </c>
      <c r="AO321" s="19">
        <f>IF(AND(ISNUMBER(L321),ISNUMBER(AN321),AN321&gt;0),L321/AN321,"")</f>
        <v/>
      </c>
      <c r="AP321" s="19">
        <f>IF(AND(ISNUMBER(AO321),ISNUMBER({ROIC})),AO321-{ROIC},"")</f>
        <v/>
      </c>
      <c r="AQ321" s="17">
        <f>IF(AND(ISNUMBER(AE321),ISNUMBER(N321)),AE321+N321,"")</f>
        <v/>
      </c>
      <c r="AR321" s="20">
        <f>IF(AND(ISNUMBER(AH321),ISNUMBER(T321),ISNUMBER(AQ321),AQ321&gt;0),(AH321-T321)/AQ321,"")</f>
        <v/>
      </c>
      <c r="AS321" s="20">
        <f>IF(AND(ISNUMBER(AE321),ISNUMBER(I321),I321&lt;&gt;0,AE321&gt;0),AE321/I321,"")</f>
        <v/>
      </c>
      <c r="AT321" s="17">
        <f>IF(AND(ISNUMBER(Y321),ISNUMBER(AA321)),Y321-IF(ISNUMBER(T321),T321,0)-(AA321-IF(ISNUMBER(V321),V321,0)),"")</f>
        <v/>
      </c>
      <c r="AU321" s="17">
        <f>IF(AND(ISNUMBER(Z321),ISNUMBER(AB321)),Z321-IF(ISNUMBER(U321),U321,0)-(AB321-IF(ISNUMBER(W321),W321,0)),"")</f>
        <v/>
      </c>
      <c r="AV321" s="17">
        <f>IF(AND(ISNUMBER(AT321),ISNUMBER(AU321)),AT321-AU321,"")</f>
        <v/>
      </c>
      <c r="AW321" s="17">
        <f>IF(AND(ISNUMBER(L321),ISNUMBER(M321),ISNUMBER(AF321)),L321-M321*(1-AF321),IF(ISNUMBER(L321),L321,""))</f>
        <v/>
      </c>
      <c r="AX321" s="17">
        <f>IF(E321="금융","",IF(AND(ISNUMBER(AW321),ISNUMBER(N321),ISNUMBER(O321),ISNUMBER(AV321)),AW321+N321-O321-AV321,IF(AND(ISNUMBER(P321),ISNUMBER(O321)),P321-O321-IF(ISNUMBER(Q321),Q321,0),"")))</f>
        <v/>
      </c>
      <c r="AY321" s="8">
        <f>IF(E321="금융","금융업 - 정의되지 않음",IF(AND(ISNUMBER(AW321),ISNUMBER(N321),ISNUMBER(O321),ISNUMBER(AV321)),"영업순이익+감가상각-설비투자-운전자본증감",IF(AND(ISNUMBER(P321),ISNUMBER(O321)),IF(ISNUMBER(Q321),"영업현금흐름-설비투자-주식보상비용","영업현금흐름-설비투자(주식보상비용 미태깅)"),"산출불가")))</f>
        <v/>
      </c>
      <c r="AZ321" s="19">
        <f>IF(AND(ISNUMBER(AX321),ISNUMBER(G321),G321&lt;&gt;0),AX321/G321,"")</f>
        <v/>
      </c>
      <c r="BA321" s="19">
        <f>IF(AND(ISNUMBER(AE321),ISNUMBER(G321),G321&lt;&gt;0),AE321/G321,"")</f>
        <v/>
      </c>
    </row>
    <row r="322">
      <c r="A322" s="8" t="inlineStr">
        <is>
          <t>LRCX</t>
        </is>
      </c>
      <c r="B322" s="8" t="inlineStr">
        <is>
          <t>LAM RESEARCH CORP</t>
        </is>
      </c>
      <c r="C322" s="8" t="n">
        <v>2026</v>
      </c>
      <c r="D322" s="8" t="inlineStr">
        <is>
          <t>2026-06-28</t>
        </is>
      </c>
      <c r="E322" s="8" t="inlineStr">
        <is>
          <t>일반</t>
        </is>
      </c>
      <c r="F322" s="8" t="inlineStr">
        <is>
          <t>0000707549-26-000037</t>
        </is>
      </c>
      <c r="G322" s="15" t="n">
        <v>23.23269</v>
      </c>
      <c r="H322" s="15" t="n">
        <v>8.262473</v>
      </c>
      <c r="I322" s="15" t="n">
        <v>0.155903</v>
      </c>
      <c r="J322" s="15" t="n">
        <v>0.997077</v>
      </c>
      <c r="K322" s="15" t="n">
        <v>8.199795</v>
      </c>
      <c r="L322" s="15" t="n">
        <v>7.265396</v>
      </c>
      <c r="M322" s="15" t="n"/>
      <c r="N322" s="15" t="n">
        <v>0.441533</v>
      </c>
      <c r="O322" s="15" t="n">
        <v>0.966405</v>
      </c>
      <c r="P322" s="15" t="n">
        <v>5.857657</v>
      </c>
      <c r="Q322" s="15" t="n">
        <v>0.386381</v>
      </c>
      <c r="R322" s="15" t="n">
        <v>12.470921</v>
      </c>
      <c r="S322" s="15" t="n">
        <v>9.861618999999999</v>
      </c>
      <c r="T322" s="15" t="n">
        <v>5.579171</v>
      </c>
      <c r="U322" s="15" t="n">
        <v>6.390659</v>
      </c>
      <c r="V322" s="15" t="n">
        <v>0.000147</v>
      </c>
      <c r="W322" s="15" t="n">
        <v>0.7496699999999999</v>
      </c>
      <c r="X322" s="15" t="n">
        <v>3.721914</v>
      </c>
      <c r="Y322" s="15" t="n">
        <v>15.610705</v>
      </c>
      <c r="Z322" s="15" t="n">
        <v>14.516995</v>
      </c>
      <c r="AA322" s="15" t="n">
        <v>5.937249</v>
      </c>
      <c r="AB322" s="15" t="n">
        <v>6.568425</v>
      </c>
      <c r="AC322" s="15" t="n">
        <v>7.940324</v>
      </c>
      <c r="AD322" s="16" t="n">
        <v>1251.278</v>
      </c>
      <c r="AE322" s="17">
        <f>IF(ISNUMBER(K322),K322,IF(AND(ISNUMBER(H322),ISNUMBER(I322)),H322+I322,IF(ISNUMBER(H322),H322,"")))</f>
        <v/>
      </c>
      <c r="AF322" s="18">
        <f>IF(OR(NOT(ISNUMBER(J322)),NOT(ISNUMBER(H322)),H322&lt;=0),기준표!$B$8,MIN(MAX(J322/H322,기준표!$B$6),기준표!$B$7))</f>
        <v/>
      </c>
      <c r="AG322" s="17">
        <f>IF(ISNUMBER(AE322),AE322*(1-AF322),"")</f>
        <v/>
      </c>
      <c r="AH322" s="17">
        <f>IF(AND(NOT(ISNUMBER(V322)),NOT(ISNUMBER(X322))),"",IF(ISNUMBER(V322),V322,0)+IF(ISNUMBER(X322),X322,0))</f>
        <v/>
      </c>
      <c r="AI322" s="17">
        <f>IF(E322="금융","",IF(AND(ISNUMBER(R322),ISNUMBER(AH322),ISNUMBER(T322)),R322+AH322-T322,""))</f>
        <v/>
      </c>
      <c r="AJ322" s="17">
        <f>IF(E322="금융","",IF(NOT(ISNUMBER(AI322)),"",IF(ISNUMBER(AC322),(AI322+AC322)/2,AI322)))</f>
        <v/>
      </c>
      <c r="AK322" s="19">
        <f>IF(AND(ISNUMBER(AG322),ISNUMBER(AJ322),AJ322&gt;0),AG322/AJ322,"")</f>
        <v/>
      </c>
      <c r="AL322" s="17">
        <f>IF(E322="금융","",IF(AND(ISNUMBER(R322),ISNUMBER(AH322)),R322+AH322,""))</f>
        <v/>
      </c>
      <c r="AM322" s="19">
        <f>IF(OR(NOT(ISNUMBER(AG322)),NOT(ISNUMBER(AL322)),AL322&lt;=0),"",IF(AND(ISNUMBER(G322),AL322&lt;0.1*G322),"",AG322/AL322))</f>
        <v/>
      </c>
      <c r="AN322" s="17">
        <f>IF(NOT(ISNUMBER(R322)),"",IF(ISNUMBER(S322),(R322+S322)/2,R322))</f>
        <v/>
      </c>
      <c r="AO322" s="19">
        <f>IF(AND(ISNUMBER(L322),ISNUMBER(AN322),AN322&gt;0),L322/AN322,"")</f>
        <v/>
      </c>
      <c r="AP322" s="19">
        <f>IF(AND(ISNUMBER(AO322),ISNUMBER({ROIC})),AO322-{ROIC},"")</f>
        <v/>
      </c>
      <c r="AQ322" s="17">
        <f>IF(AND(ISNUMBER(AE322),ISNUMBER(N322)),AE322+N322,"")</f>
        <v/>
      </c>
      <c r="AR322" s="20">
        <f>IF(AND(ISNUMBER(AH322),ISNUMBER(T322),ISNUMBER(AQ322),AQ322&gt;0),(AH322-T322)/AQ322,"")</f>
        <v/>
      </c>
      <c r="AS322" s="20">
        <f>IF(AND(ISNUMBER(AE322),ISNUMBER(I322),I322&lt;&gt;0,AE322&gt;0),AE322/I322,"")</f>
        <v/>
      </c>
      <c r="AT322" s="17">
        <f>IF(AND(ISNUMBER(Y322),ISNUMBER(AA322)),Y322-IF(ISNUMBER(T322),T322,0)-(AA322-IF(ISNUMBER(V322),V322,0)),"")</f>
        <v/>
      </c>
      <c r="AU322" s="17">
        <f>IF(AND(ISNUMBER(Z322),ISNUMBER(AB322)),Z322-IF(ISNUMBER(U322),U322,0)-(AB322-IF(ISNUMBER(W322),W322,0)),"")</f>
        <v/>
      </c>
      <c r="AV322" s="17">
        <f>IF(AND(ISNUMBER(AT322),ISNUMBER(AU322)),AT322-AU322,"")</f>
        <v/>
      </c>
      <c r="AW322" s="17">
        <f>IF(AND(ISNUMBER(L322),ISNUMBER(M322),ISNUMBER(AF322)),L322-M322*(1-AF322),IF(ISNUMBER(L322),L322,""))</f>
        <v/>
      </c>
      <c r="AX322" s="17">
        <f>IF(E322="금융","",IF(AND(ISNUMBER(AW322),ISNUMBER(N322),ISNUMBER(O322),ISNUMBER(AV322)),AW322+N322-O322-AV322,IF(AND(ISNUMBER(P322),ISNUMBER(O322)),P322-O322-IF(ISNUMBER(Q322),Q322,0),"")))</f>
        <v/>
      </c>
      <c r="AY322" s="8">
        <f>IF(E322="금융","금융업 - 정의되지 않음",IF(AND(ISNUMBER(AW322),ISNUMBER(N322),ISNUMBER(O322),ISNUMBER(AV322)),"영업순이익+감가상각-설비투자-운전자본증감",IF(AND(ISNUMBER(P322),ISNUMBER(O322)),IF(ISNUMBER(Q322),"영업현금흐름-설비투자-주식보상비용","영업현금흐름-설비투자(주식보상비용 미태깅)"),"산출불가")))</f>
        <v/>
      </c>
      <c r="AZ322" s="19">
        <f>IF(AND(ISNUMBER(AX322),ISNUMBER(G322),G322&lt;&gt;0),AX322/G322,"")</f>
        <v/>
      </c>
      <c r="BA322" s="19">
        <f>IF(AND(ISNUMBER(AE322),ISNUMBER(G322),G322&lt;&gt;0),AE322/G322,"")</f>
        <v/>
      </c>
    </row>
    <row r="323">
      <c r="A323" s="8" t="inlineStr">
        <is>
          <t>CAT</t>
        </is>
      </c>
      <c r="B323" s="8" t="inlineStr">
        <is>
          <t>CATERPILLAR INC</t>
        </is>
      </c>
      <c r="C323" s="8" t="n">
        <v>2014</v>
      </c>
      <c r="D323" s="8" t="inlineStr">
        <is>
          <t>2014-12-31</t>
        </is>
      </c>
      <c r="E323" s="8" t="inlineStr">
        <is>
          <t>일반</t>
        </is>
      </c>
      <c r="F323" s="8" t="inlineStr">
        <is>
          <t>0000018230-17-000041</t>
        </is>
      </c>
      <c r="G323" s="15" t="n">
        <v>55.184</v>
      </c>
      <c r="H323" s="15" t="n">
        <v>3.152</v>
      </c>
      <c r="I323" s="15" t="n"/>
      <c r="J323" s="15" t="n">
        <v>0.6919999999999999</v>
      </c>
      <c r="K323" s="15" t="n">
        <v>3.314</v>
      </c>
      <c r="L323" s="15" t="n">
        <v>2.468</v>
      </c>
      <c r="M323" s="15" t="n"/>
      <c r="N323" s="15" t="n">
        <v>3.163</v>
      </c>
      <c r="O323" s="15" t="n"/>
      <c r="P323" s="15" t="n">
        <v>8.057</v>
      </c>
      <c r="Q323" s="15" t="n">
        <v>0.254</v>
      </c>
      <c r="R323" s="15" t="n">
        <v>16.826</v>
      </c>
      <c r="S323" s="15" t="n"/>
      <c r="T323" s="15" t="n"/>
      <c r="U323" s="15" t="n"/>
      <c r="V323" s="15" t="n">
        <v>4.708</v>
      </c>
      <c r="W323" s="15" t="n"/>
      <c r="X323" s="15" t="n">
        <v>27.784</v>
      </c>
      <c r="Y323" s="15" t="n">
        <v>38.867</v>
      </c>
      <c r="Z323" s="15" t="n"/>
      <c r="AA323" s="15" t="n">
        <v>27.877</v>
      </c>
      <c r="AB323" s="15" t="n"/>
      <c r="AC323" s="15" t="n"/>
      <c r="AD323" s="16" t="n">
        <v>606.2</v>
      </c>
      <c r="AE323" s="17">
        <f>IF(ISNUMBER(K323),K323,IF(AND(ISNUMBER(H323),ISNUMBER(I323)),H323+I323,IF(ISNUMBER(H323),H323,"")))</f>
        <v/>
      </c>
      <c r="AF323" s="18">
        <f>IF(OR(NOT(ISNUMBER(J323)),NOT(ISNUMBER(H323)),H323&lt;=0),기준표!$B$8,MIN(MAX(J323/H323,기준표!$B$6),기준표!$B$7))</f>
        <v/>
      </c>
      <c r="AG323" s="17">
        <f>IF(ISNUMBER(AE323),AE323*(1-AF323),"")</f>
        <v/>
      </c>
      <c r="AH323" s="17">
        <f>IF(AND(NOT(ISNUMBER(V323)),NOT(ISNUMBER(X323))),"",IF(ISNUMBER(V323),V323,0)+IF(ISNUMBER(X323),X323,0))</f>
        <v/>
      </c>
      <c r="AI323" s="17">
        <f>IF(E323="금융","",IF(AND(ISNUMBER(R323),ISNUMBER(AH323),ISNUMBER(T323)),R323+AH323-T323,""))</f>
        <v/>
      </c>
      <c r="AJ323" s="17">
        <f>IF(E323="금융","",IF(NOT(ISNUMBER(AI323)),"",IF(ISNUMBER(AC323),(AI323+AC323)/2,AI323)))</f>
        <v/>
      </c>
      <c r="AK323" s="19">
        <f>IF(AND(ISNUMBER(AG323),ISNUMBER(AJ323),AJ323&gt;0),AG323/AJ323,"")</f>
        <v/>
      </c>
      <c r="AL323" s="17">
        <f>IF(E323="금융","",IF(AND(ISNUMBER(R323),ISNUMBER(AH323)),R323+AH323,""))</f>
        <v/>
      </c>
      <c r="AM323" s="19">
        <f>IF(OR(NOT(ISNUMBER(AG323)),NOT(ISNUMBER(AL323)),AL323&lt;=0),"",IF(AND(ISNUMBER(G323),AL323&lt;0.1*G323),"",AG323/AL323))</f>
        <v/>
      </c>
      <c r="AN323" s="17">
        <f>IF(NOT(ISNUMBER(R323)),"",IF(ISNUMBER(S323),(R323+S323)/2,R323))</f>
        <v/>
      </c>
      <c r="AO323" s="19">
        <f>IF(AND(ISNUMBER(L323),ISNUMBER(AN323),AN323&gt;0),L323/AN323,"")</f>
        <v/>
      </c>
      <c r="AP323" s="19">
        <f>IF(AND(ISNUMBER(AO323),ISNUMBER({ROIC})),AO323-{ROIC},"")</f>
        <v/>
      </c>
      <c r="AQ323" s="17">
        <f>IF(AND(ISNUMBER(AE323),ISNUMBER(N323)),AE323+N323,"")</f>
        <v/>
      </c>
      <c r="AR323" s="20">
        <f>IF(AND(ISNUMBER(AH323),ISNUMBER(T323),ISNUMBER(AQ323),AQ323&gt;0),(AH323-T323)/AQ323,"")</f>
        <v/>
      </c>
      <c r="AS323" s="20">
        <f>IF(AND(ISNUMBER(AE323),ISNUMBER(I323),I323&lt;&gt;0,AE323&gt;0),AE323/I323,"")</f>
        <v/>
      </c>
      <c r="AT323" s="17">
        <f>IF(AND(ISNUMBER(Y323),ISNUMBER(AA323)),Y323-IF(ISNUMBER(T323),T323,0)-(AA323-IF(ISNUMBER(V323),V323,0)),"")</f>
        <v/>
      </c>
      <c r="AU323" s="17">
        <f>IF(AND(ISNUMBER(Z323),ISNUMBER(AB323)),Z323-IF(ISNUMBER(U323),U323,0)-(AB323-IF(ISNUMBER(W323),W323,0)),"")</f>
        <v/>
      </c>
      <c r="AV323" s="17">
        <f>IF(AND(ISNUMBER(AT323),ISNUMBER(AU323)),AT323-AU323,"")</f>
        <v/>
      </c>
      <c r="AW323" s="17">
        <f>IF(AND(ISNUMBER(L323),ISNUMBER(M323),ISNUMBER(AF323)),L323-M323*(1-AF323),IF(ISNUMBER(L323),L323,""))</f>
        <v/>
      </c>
      <c r="AX323" s="17">
        <f>IF(E323="금융","",IF(AND(ISNUMBER(AW323),ISNUMBER(N323),ISNUMBER(O323),ISNUMBER(AV323)),AW323+N323-O323-AV323,IF(AND(ISNUMBER(P323),ISNUMBER(O323)),P323-O323-IF(ISNUMBER(Q323),Q323,0),"")))</f>
        <v/>
      </c>
      <c r="AY323" s="8">
        <f>IF(E323="금융","금융업 - 정의되지 않음",IF(AND(ISNUMBER(AW323),ISNUMBER(N323),ISNUMBER(O323),ISNUMBER(AV323)),"영업순이익+감가상각-설비투자-운전자본증감",IF(AND(ISNUMBER(P323),ISNUMBER(O323)),IF(ISNUMBER(Q323),"영업현금흐름-설비투자-주식보상비용","영업현금흐름-설비투자(주식보상비용 미태깅)"),"산출불가")))</f>
        <v/>
      </c>
      <c r="AZ323" s="19">
        <f>IF(AND(ISNUMBER(AX323),ISNUMBER(G323),G323&lt;&gt;0),AX323/G323,"")</f>
        <v/>
      </c>
      <c r="BA323" s="19">
        <f>IF(AND(ISNUMBER(AE323),ISNUMBER(G323),G323&lt;&gt;0),AE323/G323,"")</f>
        <v/>
      </c>
    </row>
    <row r="324">
      <c r="A324" s="8" t="inlineStr">
        <is>
          <t>CAT</t>
        </is>
      </c>
      <c r="B324" s="8" t="inlineStr">
        <is>
          <t>CATERPILLAR INC</t>
        </is>
      </c>
      <c r="C324" s="8" t="n">
        <v>2015</v>
      </c>
      <c r="D324" s="8" t="inlineStr">
        <is>
          <t>2015-12-31</t>
        </is>
      </c>
      <c r="E324" s="8" t="inlineStr">
        <is>
          <t>일반</t>
        </is>
      </c>
      <c r="F324" s="8" t="inlineStr">
        <is>
          <t>0000018230-18-000042</t>
        </is>
      </c>
      <c r="G324" s="15" t="n">
        <v>47.011</v>
      </c>
      <c r="H324" s="15" t="n">
        <v>3.439</v>
      </c>
      <c r="I324" s="15" t="n"/>
      <c r="J324" s="15" t="n">
        <v>0.916</v>
      </c>
      <c r="K324" s="15" t="n">
        <v>3.785</v>
      </c>
      <c r="L324" s="15" t="n">
        <v>2.523</v>
      </c>
      <c r="M324" s="15" t="n"/>
      <c r="N324" s="15" t="n">
        <v>3.046</v>
      </c>
      <c r="O324" s="15" t="n"/>
      <c r="P324" s="15" t="n">
        <v>6.699</v>
      </c>
      <c r="Q324" s="15" t="n">
        <v>0.283</v>
      </c>
      <c r="R324" s="15" t="n">
        <v>14.885</v>
      </c>
      <c r="S324" s="15" t="n">
        <v>16.826</v>
      </c>
      <c r="T324" s="15" t="n">
        <v>6.511</v>
      </c>
      <c r="U324" s="15" t="n"/>
      <c r="V324" s="15" t="n">
        <v>6.967</v>
      </c>
      <c r="W324" s="15" t="n">
        <v>4.708</v>
      </c>
      <c r="X324" s="15" t="n">
        <v>25.169</v>
      </c>
      <c r="Y324" s="15" t="n">
        <v>33.508</v>
      </c>
      <c r="Z324" s="15" t="n">
        <v>38.867</v>
      </c>
      <c r="AA324" s="15" t="n">
        <v>26.242</v>
      </c>
      <c r="AB324" s="15" t="n">
        <v>27.877</v>
      </c>
      <c r="AC324" s="15" t="n"/>
      <c r="AD324" s="16" t="n">
        <v>582.3</v>
      </c>
      <c r="AE324" s="17">
        <f>IF(ISNUMBER(K324),K324,IF(AND(ISNUMBER(H324),ISNUMBER(I324)),H324+I324,IF(ISNUMBER(H324),H324,"")))</f>
        <v/>
      </c>
      <c r="AF324" s="18">
        <f>IF(OR(NOT(ISNUMBER(J324)),NOT(ISNUMBER(H324)),H324&lt;=0),기준표!$B$8,MIN(MAX(J324/H324,기준표!$B$6),기준표!$B$7))</f>
        <v/>
      </c>
      <c r="AG324" s="17">
        <f>IF(ISNUMBER(AE324),AE324*(1-AF324),"")</f>
        <v/>
      </c>
      <c r="AH324" s="17">
        <f>IF(AND(NOT(ISNUMBER(V324)),NOT(ISNUMBER(X324))),"",IF(ISNUMBER(V324),V324,0)+IF(ISNUMBER(X324),X324,0))</f>
        <v/>
      </c>
      <c r="AI324" s="17">
        <f>IF(E324="금융","",IF(AND(ISNUMBER(R324),ISNUMBER(AH324),ISNUMBER(T324)),R324+AH324-T324,""))</f>
        <v/>
      </c>
      <c r="AJ324" s="17">
        <f>IF(E324="금융","",IF(NOT(ISNUMBER(AI324)),"",IF(ISNUMBER(AC324),(AI324+AC324)/2,AI324)))</f>
        <v/>
      </c>
      <c r="AK324" s="19">
        <f>IF(AND(ISNUMBER(AG324),ISNUMBER(AJ324),AJ324&gt;0),AG324/AJ324,"")</f>
        <v/>
      </c>
      <c r="AL324" s="17">
        <f>IF(E324="금융","",IF(AND(ISNUMBER(R324),ISNUMBER(AH324)),R324+AH324,""))</f>
        <v/>
      </c>
      <c r="AM324" s="19">
        <f>IF(OR(NOT(ISNUMBER(AG324)),NOT(ISNUMBER(AL324)),AL324&lt;=0),"",IF(AND(ISNUMBER(G324),AL324&lt;0.1*G324),"",AG324/AL324))</f>
        <v/>
      </c>
      <c r="AN324" s="17">
        <f>IF(NOT(ISNUMBER(R324)),"",IF(ISNUMBER(S324),(R324+S324)/2,R324))</f>
        <v/>
      </c>
      <c r="AO324" s="19">
        <f>IF(AND(ISNUMBER(L324),ISNUMBER(AN324),AN324&gt;0),L324/AN324,"")</f>
        <v/>
      </c>
      <c r="AP324" s="19">
        <f>IF(AND(ISNUMBER(AO324),ISNUMBER({ROIC})),AO324-{ROIC},"")</f>
        <v/>
      </c>
      <c r="AQ324" s="17">
        <f>IF(AND(ISNUMBER(AE324),ISNUMBER(N324)),AE324+N324,"")</f>
        <v/>
      </c>
      <c r="AR324" s="20">
        <f>IF(AND(ISNUMBER(AH324),ISNUMBER(T324),ISNUMBER(AQ324),AQ324&gt;0),(AH324-T324)/AQ324,"")</f>
        <v/>
      </c>
      <c r="AS324" s="20">
        <f>IF(AND(ISNUMBER(AE324),ISNUMBER(I324),I324&lt;&gt;0,AE324&gt;0),AE324/I324,"")</f>
        <v/>
      </c>
      <c r="AT324" s="17">
        <f>IF(AND(ISNUMBER(Y324),ISNUMBER(AA324)),Y324-IF(ISNUMBER(T324),T324,0)-(AA324-IF(ISNUMBER(V324),V324,0)),"")</f>
        <v/>
      </c>
      <c r="AU324" s="17">
        <f>IF(AND(ISNUMBER(Z324),ISNUMBER(AB324)),Z324-IF(ISNUMBER(U324),U324,0)-(AB324-IF(ISNUMBER(W324),W324,0)),"")</f>
        <v/>
      </c>
      <c r="AV324" s="17">
        <f>IF(AND(ISNUMBER(AT324),ISNUMBER(AU324)),AT324-AU324,"")</f>
        <v/>
      </c>
      <c r="AW324" s="17">
        <f>IF(AND(ISNUMBER(L324),ISNUMBER(M324),ISNUMBER(AF324)),L324-M324*(1-AF324),IF(ISNUMBER(L324),L324,""))</f>
        <v/>
      </c>
      <c r="AX324" s="17">
        <f>IF(E324="금융","",IF(AND(ISNUMBER(AW324),ISNUMBER(N324),ISNUMBER(O324),ISNUMBER(AV324)),AW324+N324-O324-AV324,IF(AND(ISNUMBER(P324),ISNUMBER(O324)),P324-O324-IF(ISNUMBER(Q324),Q324,0),"")))</f>
        <v/>
      </c>
      <c r="AY324" s="8">
        <f>IF(E324="금융","금융업 - 정의되지 않음",IF(AND(ISNUMBER(AW324),ISNUMBER(N324),ISNUMBER(O324),ISNUMBER(AV324)),"영업순이익+감가상각-설비투자-운전자본증감",IF(AND(ISNUMBER(P324),ISNUMBER(O324)),IF(ISNUMBER(Q324),"영업현금흐름-설비투자-주식보상비용","영업현금흐름-설비투자(주식보상비용 미태깅)"),"산출불가")))</f>
        <v/>
      </c>
      <c r="AZ324" s="19">
        <f>IF(AND(ISNUMBER(AX324),ISNUMBER(G324),G324&lt;&gt;0),AX324/G324,"")</f>
        <v/>
      </c>
      <c r="BA324" s="19">
        <f>IF(AND(ISNUMBER(AE324),ISNUMBER(G324),G324&lt;&gt;0),AE324/G324,"")</f>
        <v/>
      </c>
    </row>
    <row r="325">
      <c r="A325" s="8" t="inlineStr">
        <is>
          <t>CAT</t>
        </is>
      </c>
      <c r="B325" s="8" t="inlineStr">
        <is>
          <t>CATERPILLAR INC</t>
        </is>
      </c>
      <c r="C325" s="8" t="n">
        <v>2016</v>
      </c>
      <c r="D325" s="8" t="inlineStr">
        <is>
          <t>2016-12-31</t>
        </is>
      </c>
      <c r="E325" s="8" t="inlineStr">
        <is>
          <t>일반</t>
        </is>
      </c>
      <c r="F325" s="8" t="inlineStr">
        <is>
          <t>0000018230-19-000034</t>
        </is>
      </c>
      <c r="G325" s="15" t="n">
        <v>38.537</v>
      </c>
      <c r="H325" s="15" t="n">
        <v>0.139</v>
      </c>
      <c r="I325" s="15" t="n"/>
      <c r="J325" s="15" t="n">
        <v>0.192</v>
      </c>
      <c r="K325" s="15" t="n">
        <v>1.162</v>
      </c>
      <c r="L325" s="15" t="n">
        <v>-0.059</v>
      </c>
      <c r="M325" s="15" t="n"/>
      <c r="N325" s="15" t="n">
        <v>3.034</v>
      </c>
      <c r="O325" s="15" t="n"/>
      <c r="P325" s="15" t="n">
        <v>5.639</v>
      </c>
      <c r="Q325" s="15" t="n">
        <v>0.218</v>
      </c>
      <c r="R325" s="15" t="n">
        <v>13.228</v>
      </c>
      <c r="S325" s="15" t="n">
        <v>14.885</v>
      </c>
      <c r="T325" s="15" t="n">
        <v>7.199</v>
      </c>
      <c r="U325" s="15" t="n">
        <v>6.511</v>
      </c>
      <c r="V325" s="15" t="n">
        <v>7.303</v>
      </c>
      <c r="W325" s="15" t="n">
        <v>6.967</v>
      </c>
      <c r="X325" s="15" t="n">
        <v>22.818</v>
      </c>
      <c r="Y325" s="15" t="n">
        <v>31.967</v>
      </c>
      <c r="Z325" s="15" t="n">
        <v>33.508</v>
      </c>
      <c r="AA325" s="15" t="n">
        <v>26.132</v>
      </c>
      <c r="AB325" s="15" t="n">
        <v>26.242</v>
      </c>
      <c r="AC325" s="15" t="n">
        <v>40.51</v>
      </c>
      <c r="AD325" s="16" t="n">
        <v>586.5</v>
      </c>
      <c r="AE325" s="17">
        <f>IF(ISNUMBER(K325),K325,IF(AND(ISNUMBER(H325),ISNUMBER(I325)),H325+I325,IF(ISNUMBER(H325),H325,"")))</f>
        <v/>
      </c>
      <c r="AF325" s="18">
        <f>IF(OR(NOT(ISNUMBER(J325)),NOT(ISNUMBER(H325)),H325&lt;=0),기준표!$B$8,MIN(MAX(J325/H325,기준표!$B$6),기준표!$B$7))</f>
        <v/>
      </c>
      <c r="AG325" s="17">
        <f>IF(ISNUMBER(AE325),AE325*(1-AF325),"")</f>
        <v/>
      </c>
      <c r="AH325" s="17">
        <f>IF(AND(NOT(ISNUMBER(V325)),NOT(ISNUMBER(X325))),"",IF(ISNUMBER(V325),V325,0)+IF(ISNUMBER(X325),X325,0))</f>
        <v/>
      </c>
      <c r="AI325" s="17">
        <f>IF(E325="금융","",IF(AND(ISNUMBER(R325),ISNUMBER(AH325),ISNUMBER(T325)),R325+AH325-T325,""))</f>
        <v/>
      </c>
      <c r="AJ325" s="17">
        <f>IF(E325="금융","",IF(NOT(ISNUMBER(AI325)),"",IF(ISNUMBER(AC325),(AI325+AC325)/2,AI325)))</f>
        <v/>
      </c>
      <c r="AK325" s="19">
        <f>IF(AND(ISNUMBER(AG325),ISNUMBER(AJ325),AJ325&gt;0),AG325/AJ325,"")</f>
        <v/>
      </c>
      <c r="AL325" s="17">
        <f>IF(E325="금융","",IF(AND(ISNUMBER(R325),ISNUMBER(AH325)),R325+AH325,""))</f>
        <v/>
      </c>
      <c r="AM325" s="19">
        <f>IF(OR(NOT(ISNUMBER(AG325)),NOT(ISNUMBER(AL325)),AL325&lt;=0),"",IF(AND(ISNUMBER(G325),AL325&lt;0.1*G325),"",AG325/AL325))</f>
        <v/>
      </c>
      <c r="AN325" s="17">
        <f>IF(NOT(ISNUMBER(R325)),"",IF(ISNUMBER(S325),(R325+S325)/2,R325))</f>
        <v/>
      </c>
      <c r="AO325" s="19">
        <f>IF(AND(ISNUMBER(L325),ISNUMBER(AN325),AN325&gt;0),L325/AN325,"")</f>
        <v/>
      </c>
      <c r="AP325" s="19">
        <f>IF(AND(ISNUMBER(AO325),ISNUMBER({ROIC})),AO325-{ROIC},"")</f>
        <v/>
      </c>
      <c r="AQ325" s="17">
        <f>IF(AND(ISNUMBER(AE325),ISNUMBER(N325)),AE325+N325,"")</f>
        <v/>
      </c>
      <c r="AR325" s="20">
        <f>IF(AND(ISNUMBER(AH325),ISNUMBER(T325),ISNUMBER(AQ325),AQ325&gt;0),(AH325-T325)/AQ325,"")</f>
        <v/>
      </c>
      <c r="AS325" s="20">
        <f>IF(AND(ISNUMBER(AE325),ISNUMBER(I325),I325&lt;&gt;0,AE325&gt;0),AE325/I325,"")</f>
        <v/>
      </c>
      <c r="AT325" s="17">
        <f>IF(AND(ISNUMBER(Y325),ISNUMBER(AA325)),Y325-IF(ISNUMBER(T325),T325,0)-(AA325-IF(ISNUMBER(V325),V325,0)),"")</f>
        <v/>
      </c>
      <c r="AU325" s="17">
        <f>IF(AND(ISNUMBER(Z325),ISNUMBER(AB325)),Z325-IF(ISNUMBER(U325),U325,0)-(AB325-IF(ISNUMBER(W325),W325,0)),"")</f>
        <v/>
      </c>
      <c r="AV325" s="17">
        <f>IF(AND(ISNUMBER(AT325),ISNUMBER(AU325)),AT325-AU325,"")</f>
        <v/>
      </c>
      <c r="AW325" s="17">
        <f>IF(AND(ISNUMBER(L325),ISNUMBER(M325),ISNUMBER(AF325)),L325-M325*(1-AF325),IF(ISNUMBER(L325),L325,""))</f>
        <v/>
      </c>
      <c r="AX325" s="17">
        <f>IF(E325="금융","",IF(AND(ISNUMBER(AW325),ISNUMBER(N325),ISNUMBER(O325),ISNUMBER(AV325)),AW325+N325-O325-AV325,IF(AND(ISNUMBER(P325),ISNUMBER(O325)),P325-O325-IF(ISNUMBER(Q325),Q325,0),"")))</f>
        <v/>
      </c>
      <c r="AY325" s="8">
        <f>IF(E325="금융","금융업 - 정의되지 않음",IF(AND(ISNUMBER(AW325),ISNUMBER(N325),ISNUMBER(O325),ISNUMBER(AV325)),"영업순이익+감가상각-설비투자-운전자본증감",IF(AND(ISNUMBER(P325),ISNUMBER(O325)),IF(ISNUMBER(Q325),"영업현금흐름-설비투자-주식보상비용","영업현금흐름-설비투자(주식보상비용 미태깅)"),"산출불가")))</f>
        <v/>
      </c>
      <c r="AZ325" s="19">
        <f>IF(AND(ISNUMBER(AX325),ISNUMBER(G325),G325&lt;&gt;0),AX325/G325,"")</f>
        <v/>
      </c>
      <c r="BA325" s="19">
        <f>IF(AND(ISNUMBER(AE325),ISNUMBER(G325),G325&lt;&gt;0),AE325/G325,"")</f>
        <v/>
      </c>
    </row>
    <row r="326">
      <c r="A326" s="8" t="inlineStr">
        <is>
          <t>CAT</t>
        </is>
      </c>
      <c r="B326" s="8" t="inlineStr">
        <is>
          <t>CATERPILLAR INC</t>
        </is>
      </c>
      <c r="C326" s="8" t="n">
        <v>2017</v>
      </c>
      <c r="D326" s="8" t="inlineStr">
        <is>
          <t>2017-12-31</t>
        </is>
      </c>
      <c r="E326" s="8" t="inlineStr">
        <is>
          <t>일반</t>
        </is>
      </c>
      <c r="F326" s="8" t="inlineStr">
        <is>
          <t>0000018230-20-000056</t>
        </is>
      </c>
      <c r="G326" s="15" t="n">
        <v>45.462</v>
      </c>
      <c r="H326" s="15" t="n">
        <v>4.082</v>
      </c>
      <c r="I326" s="15" t="n"/>
      <c r="J326" s="15" t="n">
        <v>3.339</v>
      </c>
      <c r="K326" s="15" t="n">
        <v>4.46</v>
      </c>
      <c r="L326" s="15" t="n">
        <v>0.759</v>
      </c>
      <c r="M326" s="15" t="n">
        <v>0</v>
      </c>
      <c r="N326" s="15" t="n">
        <v>2.877</v>
      </c>
      <c r="O326" s="15" t="n"/>
      <c r="P326" s="15" t="n">
        <v>5.706</v>
      </c>
      <c r="Q326" s="15" t="n">
        <v>0.206</v>
      </c>
      <c r="R326" s="15" t="n">
        <v>13.719</v>
      </c>
      <c r="S326" s="15" t="n">
        <v>13.228</v>
      </c>
      <c r="T326" s="15" t="n">
        <v>8.32</v>
      </c>
      <c r="U326" s="15" t="n">
        <v>7.199</v>
      </c>
      <c r="V326" s="15" t="n">
        <v>4.837</v>
      </c>
      <c r="W326" s="15" t="n">
        <v>7.303</v>
      </c>
      <c r="X326" s="15" t="n">
        <v>23.847</v>
      </c>
      <c r="Y326" s="15" t="n">
        <v>36.244</v>
      </c>
      <c r="Z326" s="15" t="n">
        <v>31.967</v>
      </c>
      <c r="AA326" s="15" t="n">
        <v>26.931</v>
      </c>
      <c r="AB326" s="15" t="n">
        <v>26.132</v>
      </c>
      <c r="AC326" s="15" t="n">
        <v>36.15</v>
      </c>
      <c r="AD326" s="16" t="n">
        <v>597.6</v>
      </c>
      <c r="AE326" s="17">
        <f>IF(ISNUMBER(K326),K326,IF(AND(ISNUMBER(H326),ISNUMBER(I326)),H326+I326,IF(ISNUMBER(H326),H326,"")))</f>
        <v/>
      </c>
      <c r="AF326" s="18">
        <f>IF(OR(NOT(ISNUMBER(J326)),NOT(ISNUMBER(H326)),H326&lt;=0),기준표!$B$8,MIN(MAX(J326/H326,기준표!$B$6),기준표!$B$7))</f>
        <v/>
      </c>
      <c r="AG326" s="17">
        <f>IF(ISNUMBER(AE326),AE326*(1-AF326),"")</f>
        <v/>
      </c>
      <c r="AH326" s="17">
        <f>IF(AND(NOT(ISNUMBER(V326)),NOT(ISNUMBER(X326))),"",IF(ISNUMBER(V326),V326,0)+IF(ISNUMBER(X326),X326,0))</f>
        <v/>
      </c>
      <c r="AI326" s="17">
        <f>IF(E326="금융","",IF(AND(ISNUMBER(R326),ISNUMBER(AH326),ISNUMBER(T326)),R326+AH326-T326,""))</f>
        <v/>
      </c>
      <c r="AJ326" s="17">
        <f>IF(E326="금융","",IF(NOT(ISNUMBER(AI326)),"",IF(ISNUMBER(AC326),(AI326+AC326)/2,AI326)))</f>
        <v/>
      </c>
      <c r="AK326" s="19">
        <f>IF(AND(ISNUMBER(AG326),ISNUMBER(AJ326),AJ326&gt;0),AG326/AJ326,"")</f>
        <v/>
      </c>
      <c r="AL326" s="17">
        <f>IF(E326="금융","",IF(AND(ISNUMBER(R326),ISNUMBER(AH326)),R326+AH326,""))</f>
        <v/>
      </c>
      <c r="AM326" s="19">
        <f>IF(OR(NOT(ISNUMBER(AG326)),NOT(ISNUMBER(AL326)),AL326&lt;=0),"",IF(AND(ISNUMBER(G326),AL326&lt;0.1*G326),"",AG326/AL326))</f>
        <v/>
      </c>
      <c r="AN326" s="17">
        <f>IF(NOT(ISNUMBER(R326)),"",IF(ISNUMBER(S326),(R326+S326)/2,R326))</f>
        <v/>
      </c>
      <c r="AO326" s="19">
        <f>IF(AND(ISNUMBER(L326),ISNUMBER(AN326),AN326&gt;0),L326/AN326,"")</f>
        <v/>
      </c>
      <c r="AP326" s="19">
        <f>IF(AND(ISNUMBER(AO326),ISNUMBER({ROIC})),AO326-{ROIC},"")</f>
        <v/>
      </c>
      <c r="AQ326" s="17">
        <f>IF(AND(ISNUMBER(AE326),ISNUMBER(N326)),AE326+N326,"")</f>
        <v/>
      </c>
      <c r="AR326" s="20">
        <f>IF(AND(ISNUMBER(AH326),ISNUMBER(T326),ISNUMBER(AQ326),AQ326&gt;0),(AH326-T326)/AQ326,"")</f>
        <v/>
      </c>
      <c r="AS326" s="20">
        <f>IF(AND(ISNUMBER(AE326),ISNUMBER(I326),I326&lt;&gt;0,AE326&gt;0),AE326/I326,"")</f>
        <v/>
      </c>
      <c r="AT326" s="17">
        <f>IF(AND(ISNUMBER(Y326),ISNUMBER(AA326)),Y326-IF(ISNUMBER(T326),T326,0)-(AA326-IF(ISNUMBER(V326),V326,0)),"")</f>
        <v/>
      </c>
      <c r="AU326" s="17">
        <f>IF(AND(ISNUMBER(Z326),ISNUMBER(AB326)),Z326-IF(ISNUMBER(U326),U326,0)-(AB326-IF(ISNUMBER(W326),W326,0)),"")</f>
        <v/>
      </c>
      <c r="AV326" s="17">
        <f>IF(AND(ISNUMBER(AT326),ISNUMBER(AU326)),AT326-AU326,"")</f>
        <v/>
      </c>
      <c r="AW326" s="17">
        <f>IF(AND(ISNUMBER(L326),ISNUMBER(M326),ISNUMBER(AF326)),L326-M326*(1-AF326),IF(ISNUMBER(L326),L326,""))</f>
        <v/>
      </c>
      <c r="AX326" s="17">
        <f>IF(E326="금융","",IF(AND(ISNUMBER(AW326),ISNUMBER(N326),ISNUMBER(O326),ISNUMBER(AV326)),AW326+N326-O326-AV326,IF(AND(ISNUMBER(P326),ISNUMBER(O326)),P326-O326-IF(ISNUMBER(Q326),Q326,0),"")))</f>
        <v/>
      </c>
      <c r="AY326" s="8">
        <f>IF(E326="금융","금융업 - 정의되지 않음",IF(AND(ISNUMBER(AW326),ISNUMBER(N326),ISNUMBER(O326),ISNUMBER(AV326)),"영업순이익+감가상각-설비투자-운전자본증감",IF(AND(ISNUMBER(P326),ISNUMBER(O326)),IF(ISNUMBER(Q326),"영업현금흐름-설비투자-주식보상비용","영업현금흐름-설비투자(주식보상비용 미태깅)"),"산출불가")))</f>
        <v/>
      </c>
      <c r="AZ326" s="19">
        <f>IF(AND(ISNUMBER(AX326),ISNUMBER(G326),G326&lt;&gt;0),AX326/G326,"")</f>
        <v/>
      </c>
      <c r="BA326" s="19">
        <f>IF(AND(ISNUMBER(AE326),ISNUMBER(G326),G326&lt;&gt;0),AE326/G326,"")</f>
        <v/>
      </c>
    </row>
    <row r="327">
      <c r="A327" s="8" t="inlineStr">
        <is>
          <t>CAT</t>
        </is>
      </c>
      <c r="B327" s="8" t="inlineStr">
        <is>
          <t>CATERPILLAR INC</t>
        </is>
      </c>
      <c r="C327" s="8" t="n">
        <v>2018</v>
      </c>
      <c r="D327" s="8" t="inlineStr">
        <is>
          <t>2018-12-31</t>
        </is>
      </c>
      <c r="E327" s="8" t="inlineStr">
        <is>
          <t>일반</t>
        </is>
      </c>
      <c r="F327" s="8" t="inlineStr">
        <is>
          <t>0000018230-21-000063</t>
        </is>
      </c>
      <c r="G327" s="15" t="n">
        <v>54.722</v>
      </c>
      <c r="H327" s="15" t="n">
        <v>7.822</v>
      </c>
      <c r="I327" s="15" t="n"/>
      <c r="J327" s="15" t="n">
        <v>1.698</v>
      </c>
      <c r="K327" s="15" t="n">
        <v>8.292999999999999</v>
      </c>
      <c r="L327" s="15" t="n">
        <v>6.148</v>
      </c>
      <c r="M327" s="15" t="n">
        <v>-0.029</v>
      </c>
      <c r="N327" s="15" t="n">
        <v>2.766</v>
      </c>
      <c r="O327" s="15" t="n">
        <v>1.276</v>
      </c>
      <c r="P327" s="15" t="n">
        <v>6.558</v>
      </c>
      <c r="Q327" s="15" t="n">
        <v>0.197</v>
      </c>
      <c r="R327" s="15" t="n">
        <v>14.315</v>
      </c>
      <c r="S327" s="15" t="n">
        <v>13.719</v>
      </c>
      <c r="T327" s="15" t="n">
        <v>7.89</v>
      </c>
      <c r="U327" s="15" t="n">
        <v>8.32</v>
      </c>
      <c r="V327" s="15" t="n">
        <v>5.723</v>
      </c>
      <c r="W327" s="15" t="n">
        <v>4.837</v>
      </c>
      <c r="X327" s="15" t="n">
        <v>25</v>
      </c>
      <c r="Y327" s="15" t="n">
        <v>38.603</v>
      </c>
      <c r="Z327" s="15" t="n">
        <v>36.244</v>
      </c>
      <c r="AA327" s="15" t="n">
        <v>28.218</v>
      </c>
      <c r="AB327" s="15" t="n">
        <v>26.931</v>
      </c>
      <c r="AC327" s="15" t="n">
        <v>34.083</v>
      </c>
      <c r="AD327" s="16" t="n">
        <v>575.5</v>
      </c>
      <c r="AE327" s="17">
        <f>IF(ISNUMBER(K327),K327,IF(AND(ISNUMBER(H327),ISNUMBER(I327)),H327+I327,IF(ISNUMBER(H327),H327,"")))</f>
        <v/>
      </c>
      <c r="AF327" s="18">
        <f>IF(OR(NOT(ISNUMBER(J327)),NOT(ISNUMBER(H327)),H327&lt;=0),기준표!$B$8,MIN(MAX(J327/H327,기준표!$B$6),기준표!$B$7))</f>
        <v/>
      </c>
      <c r="AG327" s="17">
        <f>IF(ISNUMBER(AE327),AE327*(1-AF327),"")</f>
        <v/>
      </c>
      <c r="AH327" s="17">
        <f>IF(AND(NOT(ISNUMBER(V327)),NOT(ISNUMBER(X327))),"",IF(ISNUMBER(V327),V327,0)+IF(ISNUMBER(X327),X327,0))</f>
        <v/>
      </c>
      <c r="AI327" s="17">
        <f>IF(E327="금융","",IF(AND(ISNUMBER(R327),ISNUMBER(AH327),ISNUMBER(T327)),R327+AH327-T327,""))</f>
        <v/>
      </c>
      <c r="AJ327" s="17">
        <f>IF(E327="금융","",IF(NOT(ISNUMBER(AI327)),"",IF(ISNUMBER(AC327),(AI327+AC327)/2,AI327)))</f>
        <v/>
      </c>
      <c r="AK327" s="19">
        <f>IF(AND(ISNUMBER(AG327),ISNUMBER(AJ327),AJ327&gt;0),AG327/AJ327,"")</f>
        <v/>
      </c>
      <c r="AL327" s="17">
        <f>IF(E327="금융","",IF(AND(ISNUMBER(R327),ISNUMBER(AH327)),R327+AH327,""))</f>
        <v/>
      </c>
      <c r="AM327" s="19">
        <f>IF(OR(NOT(ISNUMBER(AG327)),NOT(ISNUMBER(AL327)),AL327&lt;=0),"",IF(AND(ISNUMBER(G327),AL327&lt;0.1*G327),"",AG327/AL327))</f>
        <v/>
      </c>
      <c r="AN327" s="17">
        <f>IF(NOT(ISNUMBER(R327)),"",IF(ISNUMBER(S327),(R327+S327)/2,R327))</f>
        <v/>
      </c>
      <c r="AO327" s="19">
        <f>IF(AND(ISNUMBER(L327),ISNUMBER(AN327),AN327&gt;0),L327/AN327,"")</f>
        <v/>
      </c>
      <c r="AP327" s="19">
        <f>IF(AND(ISNUMBER(AO327),ISNUMBER({ROIC})),AO327-{ROIC},"")</f>
        <v/>
      </c>
      <c r="AQ327" s="17">
        <f>IF(AND(ISNUMBER(AE327),ISNUMBER(N327)),AE327+N327,"")</f>
        <v/>
      </c>
      <c r="AR327" s="20">
        <f>IF(AND(ISNUMBER(AH327),ISNUMBER(T327),ISNUMBER(AQ327),AQ327&gt;0),(AH327-T327)/AQ327,"")</f>
        <v/>
      </c>
      <c r="AS327" s="20">
        <f>IF(AND(ISNUMBER(AE327),ISNUMBER(I327),I327&lt;&gt;0,AE327&gt;0),AE327/I327,"")</f>
        <v/>
      </c>
      <c r="AT327" s="17">
        <f>IF(AND(ISNUMBER(Y327),ISNUMBER(AA327)),Y327-IF(ISNUMBER(T327),T327,0)-(AA327-IF(ISNUMBER(V327),V327,0)),"")</f>
        <v/>
      </c>
      <c r="AU327" s="17">
        <f>IF(AND(ISNUMBER(Z327),ISNUMBER(AB327)),Z327-IF(ISNUMBER(U327),U327,0)-(AB327-IF(ISNUMBER(W327),W327,0)),"")</f>
        <v/>
      </c>
      <c r="AV327" s="17">
        <f>IF(AND(ISNUMBER(AT327),ISNUMBER(AU327)),AT327-AU327,"")</f>
        <v/>
      </c>
      <c r="AW327" s="17">
        <f>IF(AND(ISNUMBER(L327),ISNUMBER(M327),ISNUMBER(AF327)),L327-M327*(1-AF327),IF(ISNUMBER(L327),L327,""))</f>
        <v/>
      </c>
      <c r="AX327" s="17">
        <f>IF(E327="금융","",IF(AND(ISNUMBER(AW327),ISNUMBER(N327),ISNUMBER(O327),ISNUMBER(AV327)),AW327+N327-O327-AV327,IF(AND(ISNUMBER(P327),ISNUMBER(O327)),P327-O327-IF(ISNUMBER(Q327),Q327,0),"")))</f>
        <v/>
      </c>
      <c r="AY327" s="8">
        <f>IF(E327="금융","금융업 - 정의되지 않음",IF(AND(ISNUMBER(AW327),ISNUMBER(N327),ISNUMBER(O327),ISNUMBER(AV327)),"영업순이익+감가상각-설비투자-운전자본증감",IF(AND(ISNUMBER(P327),ISNUMBER(O327)),IF(ISNUMBER(Q327),"영업현금흐름-설비투자-주식보상비용","영업현금흐름-설비투자(주식보상비용 미태깅)"),"산출불가")))</f>
        <v/>
      </c>
      <c r="AZ327" s="19">
        <f>IF(AND(ISNUMBER(AX327),ISNUMBER(G327),G327&lt;&gt;0),AX327/G327,"")</f>
        <v/>
      </c>
      <c r="BA327" s="19">
        <f>IF(AND(ISNUMBER(AE327),ISNUMBER(G327),G327&lt;&gt;0),AE327/G327,"")</f>
        <v/>
      </c>
    </row>
    <row r="328">
      <c r="A328" s="8" t="inlineStr">
        <is>
          <t>CAT</t>
        </is>
      </c>
      <c r="B328" s="8" t="inlineStr">
        <is>
          <t>CATERPILLAR INC</t>
        </is>
      </c>
      <c r="C328" s="8" t="n">
        <v>2019</v>
      </c>
      <c r="D328" s="8" t="inlineStr">
        <is>
          <t>2019-12-31</t>
        </is>
      </c>
      <c r="E328" s="8" t="inlineStr">
        <is>
          <t>일반</t>
        </is>
      </c>
      <c r="F328" s="8" t="inlineStr">
        <is>
          <t>0000018230-22-000050</t>
        </is>
      </c>
      <c r="G328" s="15" t="n">
        <v>53.8</v>
      </c>
      <c r="H328" s="15" t="n">
        <v>7.812</v>
      </c>
      <c r="I328" s="15" t="n"/>
      <c r="J328" s="15" t="n">
        <v>1.746</v>
      </c>
      <c r="K328" s="15" t="n">
        <v>8.289999999999999</v>
      </c>
      <c r="L328" s="15" t="n">
        <v>6.094</v>
      </c>
      <c r="M328" s="15" t="n">
        <v>0.065</v>
      </c>
      <c r="N328" s="15" t="n">
        <v>2.577</v>
      </c>
      <c r="O328" s="15" t="n">
        <v>1.056</v>
      </c>
      <c r="P328" s="15" t="n">
        <v>6.912</v>
      </c>
      <c r="Q328" s="15" t="n">
        <v>0.205</v>
      </c>
      <c r="R328" s="15" t="n">
        <v>14.629</v>
      </c>
      <c r="S328" s="15" t="n">
        <v>14.315</v>
      </c>
      <c r="T328" s="15" t="n">
        <v>8.292</v>
      </c>
      <c r="U328" s="15" t="n">
        <v>7.89</v>
      </c>
      <c r="V328" s="15" t="n">
        <v>5.166</v>
      </c>
      <c r="W328" s="15" t="n">
        <v>5.723</v>
      </c>
      <c r="X328" s="15" t="n">
        <v>26.281</v>
      </c>
      <c r="Y328" s="15" t="n">
        <v>39.193</v>
      </c>
      <c r="Z328" s="15" t="n">
        <v>38.603</v>
      </c>
      <c r="AA328" s="15" t="n">
        <v>26.621</v>
      </c>
      <c r="AB328" s="15" t="n">
        <v>28.218</v>
      </c>
      <c r="AC328" s="15" t="n">
        <v>37.148</v>
      </c>
      <c r="AD328" s="16" t="n">
        <v>550.1</v>
      </c>
      <c r="AE328" s="17">
        <f>IF(ISNUMBER(K328),K328,IF(AND(ISNUMBER(H328),ISNUMBER(I328)),H328+I328,IF(ISNUMBER(H328),H328,"")))</f>
        <v/>
      </c>
      <c r="AF328" s="18">
        <f>IF(OR(NOT(ISNUMBER(J328)),NOT(ISNUMBER(H328)),H328&lt;=0),기준표!$B$8,MIN(MAX(J328/H328,기준표!$B$6),기준표!$B$7))</f>
        <v/>
      </c>
      <c r="AG328" s="17">
        <f>IF(ISNUMBER(AE328),AE328*(1-AF328),"")</f>
        <v/>
      </c>
      <c r="AH328" s="17">
        <f>IF(AND(NOT(ISNUMBER(V328)),NOT(ISNUMBER(X328))),"",IF(ISNUMBER(V328),V328,0)+IF(ISNUMBER(X328),X328,0))</f>
        <v/>
      </c>
      <c r="AI328" s="17">
        <f>IF(E328="금융","",IF(AND(ISNUMBER(R328),ISNUMBER(AH328),ISNUMBER(T328)),R328+AH328-T328,""))</f>
        <v/>
      </c>
      <c r="AJ328" s="17">
        <f>IF(E328="금융","",IF(NOT(ISNUMBER(AI328)),"",IF(ISNUMBER(AC328),(AI328+AC328)/2,AI328)))</f>
        <v/>
      </c>
      <c r="AK328" s="19">
        <f>IF(AND(ISNUMBER(AG328),ISNUMBER(AJ328),AJ328&gt;0),AG328/AJ328,"")</f>
        <v/>
      </c>
      <c r="AL328" s="17">
        <f>IF(E328="금융","",IF(AND(ISNUMBER(R328),ISNUMBER(AH328)),R328+AH328,""))</f>
        <v/>
      </c>
      <c r="AM328" s="19">
        <f>IF(OR(NOT(ISNUMBER(AG328)),NOT(ISNUMBER(AL328)),AL328&lt;=0),"",IF(AND(ISNUMBER(G328),AL328&lt;0.1*G328),"",AG328/AL328))</f>
        <v/>
      </c>
      <c r="AN328" s="17">
        <f>IF(NOT(ISNUMBER(R328)),"",IF(ISNUMBER(S328),(R328+S328)/2,R328))</f>
        <v/>
      </c>
      <c r="AO328" s="19">
        <f>IF(AND(ISNUMBER(L328),ISNUMBER(AN328),AN328&gt;0),L328/AN328,"")</f>
        <v/>
      </c>
      <c r="AP328" s="19">
        <f>IF(AND(ISNUMBER(AO328),ISNUMBER({ROIC})),AO328-{ROIC},"")</f>
        <v/>
      </c>
      <c r="AQ328" s="17">
        <f>IF(AND(ISNUMBER(AE328),ISNUMBER(N328)),AE328+N328,"")</f>
        <v/>
      </c>
      <c r="AR328" s="20">
        <f>IF(AND(ISNUMBER(AH328),ISNUMBER(T328),ISNUMBER(AQ328),AQ328&gt;0),(AH328-T328)/AQ328,"")</f>
        <v/>
      </c>
      <c r="AS328" s="20">
        <f>IF(AND(ISNUMBER(AE328),ISNUMBER(I328),I328&lt;&gt;0,AE328&gt;0),AE328/I328,"")</f>
        <v/>
      </c>
      <c r="AT328" s="17">
        <f>IF(AND(ISNUMBER(Y328),ISNUMBER(AA328)),Y328-IF(ISNUMBER(T328),T328,0)-(AA328-IF(ISNUMBER(V328),V328,0)),"")</f>
        <v/>
      </c>
      <c r="AU328" s="17">
        <f>IF(AND(ISNUMBER(Z328),ISNUMBER(AB328)),Z328-IF(ISNUMBER(U328),U328,0)-(AB328-IF(ISNUMBER(W328),W328,0)),"")</f>
        <v/>
      </c>
      <c r="AV328" s="17">
        <f>IF(AND(ISNUMBER(AT328),ISNUMBER(AU328)),AT328-AU328,"")</f>
        <v/>
      </c>
      <c r="AW328" s="17">
        <f>IF(AND(ISNUMBER(L328),ISNUMBER(M328),ISNUMBER(AF328)),L328-M328*(1-AF328),IF(ISNUMBER(L328),L328,""))</f>
        <v/>
      </c>
      <c r="AX328" s="17">
        <f>IF(E328="금융","",IF(AND(ISNUMBER(AW328),ISNUMBER(N328),ISNUMBER(O328),ISNUMBER(AV328)),AW328+N328-O328-AV328,IF(AND(ISNUMBER(P328),ISNUMBER(O328)),P328-O328-IF(ISNUMBER(Q328),Q328,0),"")))</f>
        <v/>
      </c>
      <c r="AY328" s="8">
        <f>IF(E328="금융","금융업 - 정의되지 않음",IF(AND(ISNUMBER(AW328),ISNUMBER(N328),ISNUMBER(O328),ISNUMBER(AV328)),"영업순이익+감가상각-설비투자-운전자본증감",IF(AND(ISNUMBER(P328),ISNUMBER(O328)),IF(ISNUMBER(Q328),"영업현금흐름-설비투자-주식보상비용","영업현금흐름-설비투자(주식보상비용 미태깅)"),"산출불가")))</f>
        <v/>
      </c>
      <c r="AZ328" s="19">
        <f>IF(AND(ISNUMBER(AX328),ISNUMBER(G328),G328&lt;&gt;0),AX328/G328,"")</f>
        <v/>
      </c>
      <c r="BA328" s="19">
        <f>IF(AND(ISNUMBER(AE328),ISNUMBER(G328),G328&lt;&gt;0),AE328/G328,"")</f>
        <v/>
      </c>
    </row>
    <row r="329">
      <c r="A329" s="8" t="inlineStr">
        <is>
          <t>CAT</t>
        </is>
      </c>
      <c r="B329" s="8" t="inlineStr">
        <is>
          <t>CATERPILLAR INC</t>
        </is>
      </c>
      <c r="C329" s="8" t="n">
        <v>2020</v>
      </c>
      <c r="D329" s="8" t="inlineStr">
        <is>
          <t>2020-12-31</t>
        </is>
      </c>
      <c r="E329" s="8" t="inlineStr">
        <is>
          <t>일반</t>
        </is>
      </c>
      <c r="F329" s="8" t="inlineStr">
        <is>
          <t>0000018230-23-000011</t>
        </is>
      </c>
      <c r="G329" s="15" t="n">
        <v>41.748</v>
      </c>
      <c r="H329" s="15" t="n">
        <v>3.995</v>
      </c>
      <c r="I329" s="15" t="n"/>
      <c r="J329" s="15" t="n">
        <v>1.006</v>
      </c>
      <c r="K329" s="15" t="n">
        <v>4.553</v>
      </c>
      <c r="L329" s="15" t="n">
        <v>3.003</v>
      </c>
      <c r="M329" s="15" t="n">
        <v>0.037</v>
      </c>
      <c r="N329" s="15" t="n">
        <v>2.432</v>
      </c>
      <c r="O329" s="15" t="n">
        <v>0.978</v>
      </c>
      <c r="P329" s="15" t="n">
        <v>6.327</v>
      </c>
      <c r="Q329" s="15" t="n">
        <v>0.202</v>
      </c>
      <c r="R329" s="15" t="n">
        <v>15.378</v>
      </c>
      <c r="S329" s="15" t="n">
        <v>14.629</v>
      </c>
      <c r="T329" s="15" t="n">
        <v>9.366</v>
      </c>
      <c r="U329" s="15" t="n">
        <v>8.292</v>
      </c>
      <c r="V329" s="15" t="n">
        <v>2.015</v>
      </c>
      <c r="W329" s="15" t="n">
        <v>5.166</v>
      </c>
      <c r="X329" s="15" t="n">
        <v>25.999</v>
      </c>
      <c r="Y329" s="15" t="n">
        <v>39.464</v>
      </c>
      <c r="Z329" s="15" t="n">
        <v>39.193</v>
      </c>
      <c r="AA329" s="15" t="n">
        <v>25.717</v>
      </c>
      <c r="AB329" s="15" t="n">
        <v>26.621</v>
      </c>
      <c r="AC329" s="15" t="n">
        <v>37.784</v>
      </c>
      <c r="AD329" s="16" t="n">
        <v>545.3</v>
      </c>
      <c r="AE329" s="17">
        <f>IF(ISNUMBER(K329),K329,IF(AND(ISNUMBER(H329),ISNUMBER(I329)),H329+I329,IF(ISNUMBER(H329),H329,"")))</f>
        <v/>
      </c>
      <c r="AF329" s="18">
        <f>IF(OR(NOT(ISNUMBER(J329)),NOT(ISNUMBER(H329)),H329&lt;=0),기준표!$B$8,MIN(MAX(J329/H329,기준표!$B$6),기준표!$B$7))</f>
        <v/>
      </c>
      <c r="AG329" s="17">
        <f>IF(ISNUMBER(AE329),AE329*(1-AF329),"")</f>
        <v/>
      </c>
      <c r="AH329" s="17">
        <f>IF(AND(NOT(ISNUMBER(V329)),NOT(ISNUMBER(X329))),"",IF(ISNUMBER(V329),V329,0)+IF(ISNUMBER(X329),X329,0))</f>
        <v/>
      </c>
      <c r="AI329" s="17">
        <f>IF(E329="금융","",IF(AND(ISNUMBER(R329),ISNUMBER(AH329),ISNUMBER(T329)),R329+AH329-T329,""))</f>
        <v/>
      </c>
      <c r="AJ329" s="17">
        <f>IF(E329="금융","",IF(NOT(ISNUMBER(AI329)),"",IF(ISNUMBER(AC329),(AI329+AC329)/2,AI329)))</f>
        <v/>
      </c>
      <c r="AK329" s="19">
        <f>IF(AND(ISNUMBER(AG329),ISNUMBER(AJ329),AJ329&gt;0),AG329/AJ329,"")</f>
        <v/>
      </c>
      <c r="AL329" s="17">
        <f>IF(E329="금융","",IF(AND(ISNUMBER(R329),ISNUMBER(AH329)),R329+AH329,""))</f>
        <v/>
      </c>
      <c r="AM329" s="19">
        <f>IF(OR(NOT(ISNUMBER(AG329)),NOT(ISNUMBER(AL329)),AL329&lt;=0),"",IF(AND(ISNUMBER(G329),AL329&lt;0.1*G329),"",AG329/AL329))</f>
        <v/>
      </c>
      <c r="AN329" s="17">
        <f>IF(NOT(ISNUMBER(R329)),"",IF(ISNUMBER(S329),(R329+S329)/2,R329))</f>
        <v/>
      </c>
      <c r="AO329" s="19">
        <f>IF(AND(ISNUMBER(L329),ISNUMBER(AN329),AN329&gt;0),L329/AN329,"")</f>
        <v/>
      </c>
      <c r="AP329" s="19">
        <f>IF(AND(ISNUMBER(AO329),ISNUMBER({ROIC})),AO329-{ROIC},"")</f>
        <v/>
      </c>
      <c r="AQ329" s="17">
        <f>IF(AND(ISNUMBER(AE329),ISNUMBER(N329)),AE329+N329,"")</f>
        <v/>
      </c>
      <c r="AR329" s="20">
        <f>IF(AND(ISNUMBER(AH329),ISNUMBER(T329),ISNUMBER(AQ329),AQ329&gt;0),(AH329-T329)/AQ329,"")</f>
        <v/>
      </c>
      <c r="AS329" s="20">
        <f>IF(AND(ISNUMBER(AE329),ISNUMBER(I329),I329&lt;&gt;0,AE329&gt;0),AE329/I329,"")</f>
        <v/>
      </c>
      <c r="AT329" s="17">
        <f>IF(AND(ISNUMBER(Y329),ISNUMBER(AA329)),Y329-IF(ISNUMBER(T329),T329,0)-(AA329-IF(ISNUMBER(V329),V329,0)),"")</f>
        <v/>
      </c>
      <c r="AU329" s="17">
        <f>IF(AND(ISNUMBER(Z329),ISNUMBER(AB329)),Z329-IF(ISNUMBER(U329),U329,0)-(AB329-IF(ISNUMBER(W329),W329,0)),"")</f>
        <v/>
      </c>
      <c r="AV329" s="17">
        <f>IF(AND(ISNUMBER(AT329),ISNUMBER(AU329)),AT329-AU329,"")</f>
        <v/>
      </c>
      <c r="AW329" s="17">
        <f>IF(AND(ISNUMBER(L329),ISNUMBER(M329),ISNUMBER(AF329)),L329-M329*(1-AF329),IF(ISNUMBER(L329),L329,""))</f>
        <v/>
      </c>
      <c r="AX329" s="17">
        <f>IF(E329="금융","",IF(AND(ISNUMBER(AW329),ISNUMBER(N329),ISNUMBER(O329),ISNUMBER(AV329)),AW329+N329-O329-AV329,IF(AND(ISNUMBER(P329),ISNUMBER(O329)),P329-O329-IF(ISNUMBER(Q329),Q329,0),"")))</f>
        <v/>
      </c>
      <c r="AY329" s="8">
        <f>IF(E329="금융","금융업 - 정의되지 않음",IF(AND(ISNUMBER(AW329),ISNUMBER(N329),ISNUMBER(O329),ISNUMBER(AV329)),"영업순이익+감가상각-설비투자-운전자본증감",IF(AND(ISNUMBER(P329),ISNUMBER(O329)),IF(ISNUMBER(Q329),"영업현금흐름-설비투자-주식보상비용","영업현금흐름-설비투자(주식보상비용 미태깅)"),"산출불가")))</f>
        <v/>
      </c>
      <c r="AZ329" s="19">
        <f>IF(AND(ISNUMBER(AX329),ISNUMBER(G329),G329&lt;&gt;0),AX329/G329,"")</f>
        <v/>
      </c>
      <c r="BA329" s="19">
        <f>IF(AND(ISNUMBER(AE329),ISNUMBER(G329),G329&lt;&gt;0),AE329/G329,"")</f>
        <v/>
      </c>
    </row>
    <row r="330">
      <c r="A330" s="8" t="inlineStr">
        <is>
          <t>CAT</t>
        </is>
      </c>
      <c r="B330" s="8" t="inlineStr">
        <is>
          <t>CATERPILLAR INC</t>
        </is>
      </c>
      <c r="C330" s="8" t="n">
        <v>2021</v>
      </c>
      <c r="D330" s="8" t="inlineStr">
        <is>
          <t>2021-12-31</t>
        </is>
      </c>
      <c r="E330" s="8" t="inlineStr">
        <is>
          <t>일반</t>
        </is>
      </c>
      <c r="F330" s="8" t="inlineStr">
        <is>
          <t>0000018230-24-000009</t>
        </is>
      </c>
      <c r="G330" s="15" t="n">
        <v>50.971</v>
      </c>
      <c r="H330" s="15" t="n">
        <v>8.204000000000001</v>
      </c>
      <c r="I330" s="15" t="n"/>
      <c r="J330" s="15" t="n">
        <v>1.742</v>
      </c>
      <c r="K330" s="15" t="n">
        <v>6.878</v>
      </c>
      <c r="L330" s="15" t="n">
        <v>6.493</v>
      </c>
      <c r="M330" s="15" t="n">
        <v>0.134</v>
      </c>
      <c r="N330" s="15" t="n">
        <v>2.352</v>
      </c>
      <c r="O330" s="15" t="n">
        <v>1.093</v>
      </c>
      <c r="P330" s="15" t="n">
        <v>7.198</v>
      </c>
      <c r="Q330" s="15" t="n">
        <v>0.2</v>
      </c>
      <c r="R330" s="15" t="n">
        <v>16.516</v>
      </c>
      <c r="S330" s="15" t="n">
        <v>15.378</v>
      </c>
      <c r="T330" s="15" t="n">
        <v>9.263</v>
      </c>
      <c r="U330" s="15" t="n">
        <v>9.366</v>
      </c>
      <c r="V330" s="15" t="n">
        <v>5.404</v>
      </c>
      <c r="W330" s="15" t="n">
        <v>2.015</v>
      </c>
      <c r="X330" s="15" t="n">
        <v>26.033</v>
      </c>
      <c r="Y330" s="15" t="n">
        <v>43.455</v>
      </c>
      <c r="Z330" s="15" t="n">
        <v>39.464</v>
      </c>
      <c r="AA330" s="15" t="n">
        <v>29.847</v>
      </c>
      <c r="AB330" s="15" t="n">
        <v>25.717</v>
      </c>
      <c r="AC330" s="15" t="n">
        <v>34.026</v>
      </c>
      <c r="AD330" s="16" t="n">
        <v>535.9</v>
      </c>
      <c r="AE330" s="17">
        <f>IF(ISNUMBER(K330),K330,IF(AND(ISNUMBER(H330),ISNUMBER(I330)),H330+I330,IF(ISNUMBER(H330),H330,"")))</f>
        <v/>
      </c>
      <c r="AF330" s="18">
        <f>IF(OR(NOT(ISNUMBER(J330)),NOT(ISNUMBER(H330)),H330&lt;=0),기준표!$B$8,MIN(MAX(J330/H330,기준표!$B$6),기준표!$B$7))</f>
        <v/>
      </c>
      <c r="AG330" s="17">
        <f>IF(ISNUMBER(AE330),AE330*(1-AF330),"")</f>
        <v/>
      </c>
      <c r="AH330" s="17">
        <f>IF(AND(NOT(ISNUMBER(V330)),NOT(ISNUMBER(X330))),"",IF(ISNUMBER(V330),V330,0)+IF(ISNUMBER(X330),X330,0))</f>
        <v/>
      </c>
      <c r="AI330" s="17">
        <f>IF(E330="금융","",IF(AND(ISNUMBER(R330),ISNUMBER(AH330),ISNUMBER(T330)),R330+AH330-T330,""))</f>
        <v/>
      </c>
      <c r="AJ330" s="17">
        <f>IF(E330="금융","",IF(NOT(ISNUMBER(AI330)),"",IF(ISNUMBER(AC330),(AI330+AC330)/2,AI330)))</f>
        <v/>
      </c>
      <c r="AK330" s="19">
        <f>IF(AND(ISNUMBER(AG330),ISNUMBER(AJ330),AJ330&gt;0),AG330/AJ330,"")</f>
        <v/>
      </c>
      <c r="AL330" s="17">
        <f>IF(E330="금융","",IF(AND(ISNUMBER(R330),ISNUMBER(AH330)),R330+AH330,""))</f>
        <v/>
      </c>
      <c r="AM330" s="19">
        <f>IF(OR(NOT(ISNUMBER(AG330)),NOT(ISNUMBER(AL330)),AL330&lt;=0),"",IF(AND(ISNUMBER(G330),AL330&lt;0.1*G330),"",AG330/AL330))</f>
        <v/>
      </c>
      <c r="AN330" s="17">
        <f>IF(NOT(ISNUMBER(R330)),"",IF(ISNUMBER(S330),(R330+S330)/2,R330))</f>
        <v/>
      </c>
      <c r="AO330" s="19">
        <f>IF(AND(ISNUMBER(L330),ISNUMBER(AN330),AN330&gt;0),L330/AN330,"")</f>
        <v/>
      </c>
      <c r="AP330" s="19">
        <f>IF(AND(ISNUMBER(AO330),ISNUMBER({ROIC})),AO330-{ROIC},"")</f>
        <v/>
      </c>
      <c r="AQ330" s="17">
        <f>IF(AND(ISNUMBER(AE330),ISNUMBER(N330)),AE330+N330,"")</f>
        <v/>
      </c>
      <c r="AR330" s="20">
        <f>IF(AND(ISNUMBER(AH330),ISNUMBER(T330),ISNUMBER(AQ330),AQ330&gt;0),(AH330-T330)/AQ330,"")</f>
        <v/>
      </c>
      <c r="AS330" s="20">
        <f>IF(AND(ISNUMBER(AE330),ISNUMBER(I330),I330&lt;&gt;0,AE330&gt;0),AE330/I330,"")</f>
        <v/>
      </c>
      <c r="AT330" s="17">
        <f>IF(AND(ISNUMBER(Y330),ISNUMBER(AA330)),Y330-IF(ISNUMBER(T330),T330,0)-(AA330-IF(ISNUMBER(V330),V330,0)),"")</f>
        <v/>
      </c>
      <c r="AU330" s="17">
        <f>IF(AND(ISNUMBER(Z330),ISNUMBER(AB330)),Z330-IF(ISNUMBER(U330),U330,0)-(AB330-IF(ISNUMBER(W330),W330,0)),"")</f>
        <v/>
      </c>
      <c r="AV330" s="17">
        <f>IF(AND(ISNUMBER(AT330),ISNUMBER(AU330)),AT330-AU330,"")</f>
        <v/>
      </c>
      <c r="AW330" s="17">
        <f>IF(AND(ISNUMBER(L330),ISNUMBER(M330),ISNUMBER(AF330)),L330-M330*(1-AF330),IF(ISNUMBER(L330),L330,""))</f>
        <v/>
      </c>
      <c r="AX330" s="17">
        <f>IF(E330="금융","",IF(AND(ISNUMBER(AW330),ISNUMBER(N330),ISNUMBER(O330),ISNUMBER(AV330)),AW330+N330-O330-AV330,IF(AND(ISNUMBER(P330),ISNUMBER(O330)),P330-O330-IF(ISNUMBER(Q330),Q330,0),"")))</f>
        <v/>
      </c>
      <c r="AY330" s="8">
        <f>IF(E330="금융","금융업 - 정의되지 않음",IF(AND(ISNUMBER(AW330),ISNUMBER(N330),ISNUMBER(O330),ISNUMBER(AV330)),"영업순이익+감가상각-설비투자-운전자본증감",IF(AND(ISNUMBER(P330),ISNUMBER(O330)),IF(ISNUMBER(Q330),"영업현금흐름-설비투자-주식보상비용","영업현금흐름-설비투자(주식보상비용 미태깅)"),"산출불가")))</f>
        <v/>
      </c>
      <c r="AZ330" s="19">
        <f>IF(AND(ISNUMBER(AX330),ISNUMBER(G330),G330&lt;&gt;0),AX330/G330,"")</f>
        <v/>
      </c>
      <c r="BA330" s="19">
        <f>IF(AND(ISNUMBER(AE330),ISNUMBER(G330),G330&lt;&gt;0),AE330/G330,"")</f>
        <v/>
      </c>
    </row>
    <row r="331">
      <c r="A331" s="8" t="inlineStr">
        <is>
          <t>CAT</t>
        </is>
      </c>
      <c r="B331" s="8" t="inlineStr">
        <is>
          <t>CATERPILLAR INC</t>
        </is>
      </c>
      <c r="C331" s="8" t="n">
        <v>2022</v>
      </c>
      <c r="D331" s="8" t="inlineStr">
        <is>
          <t>2022-12-31</t>
        </is>
      </c>
      <c r="E331" s="8" t="inlineStr">
        <is>
          <t>일반</t>
        </is>
      </c>
      <c r="F331" s="8" t="inlineStr">
        <is>
          <t>0000018230-25-000008</t>
        </is>
      </c>
      <c r="G331" s="15" t="n">
        <v>59.427</v>
      </c>
      <c r="H331" s="15" t="n">
        <v>8.752000000000001</v>
      </c>
      <c r="I331" s="15" t="n"/>
      <c r="J331" s="15" t="n">
        <v>2.067</v>
      </c>
      <c r="K331" s="15" t="n">
        <v>7.904</v>
      </c>
      <c r="L331" s="15" t="n">
        <v>6.704</v>
      </c>
      <c r="M331" s="15" t="n">
        <v>-0.056</v>
      </c>
      <c r="N331" s="15" t="n">
        <v>2.219</v>
      </c>
      <c r="O331" s="15" t="n">
        <v>1.296</v>
      </c>
      <c r="P331" s="15" t="n">
        <v>7.766</v>
      </c>
      <c r="Q331" s="15" t="n">
        <v>0.193</v>
      </c>
      <c r="R331" s="15" t="n">
        <v>15.891</v>
      </c>
      <c r="S331" s="15" t="n">
        <v>16.516</v>
      </c>
      <c r="T331" s="15" t="n">
        <v>7.013</v>
      </c>
      <c r="U331" s="15" t="n">
        <v>9.263</v>
      </c>
      <c r="V331" s="15" t="n">
        <v>5.957</v>
      </c>
      <c r="W331" s="15" t="n">
        <v>5.404</v>
      </c>
      <c r="X331" s="15" t="n">
        <v>25.714</v>
      </c>
      <c r="Y331" s="15" t="n">
        <v>43.785</v>
      </c>
      <c r="Z331" s="15" t="n">
        <v>43.455</v>
      </c>
      <c r="AA331" s="15" t="n">
        <v>31.531</v>
      </c>
      <c r="AB331" s="15" t="n">
        <v>29.847</v>
      </c>
      <c r="AC331" s="15" t="n">
        <v>38.69</v>
      </c>
      <c r="AD331" s="16" t="n">
        <v>516.3</v>
      </c>
      <c r="AE331" s="17">
        <f>IF(ISNUMBER(K331),K331,IF(AND(ISNUMBER(H331),ISNUMBER(I331)),H331+I331,IF(ISNUMBER(H331),H331,"")))</f>
        <v/>
      </c>
      <c r="AF331" s="18">
        <f>IF(OR(NOT(ISNUMBER(J331)),NOT(ISNUMBER(H331)),H331&lt;=0),기준표!$B$8,MIN(MAX(J331/H331,기준표!$B$6),기준표!$B$7))</f>
        <v/>
      </c>
      <c r="AG331" s="17">
        <f>IF(ISNUMBER(AE331),AE331*(1-AF331),"")</f>
        <v/>
      </c>
      <c r="AH331" s="17">
        <f>IF(AND(NOT(ISNUMBER(V331)),NOT(ISNUMBER(X331))),"",IF(ISNUMBER(V331),V331,0)+IF(ISNUMBER(X331),X331,0))</f>
        <v/>
      </c>
      <c r="AI331" s="17">
        <f>IF(E331="금융","",IF(AND(ISNUMBER(R331),ISNUMBER(AH331),ISNUMBER(T331)),R331+AH331-T331,""))</f>
        <v/>
      </c>
      <c r="AJ331" s="17">
        <f>IF(E331="금융","",IF(NOT(ISNUMBER(AI331)),"",IF(ISNUMBER(AC331),(AI331+AC331)/2,AI331)))</f>
        <v/>
      </c>
      <c r="AK331" s="19">
        <f>IF(AND(ISNUMBER(AG331),ISNUMBER(AJ331),AJ331&gt;0),AG331/AJ331,"")</f>
        <v/>
      </c>
      <c r="AL331" s="17">
        <f>IF(E331="금융","",IF(AND(ISNUMBER(R331),ISNUMBER(AH331)),R331+AH331,""))</f>
        <v/>
      </c>
      <c r="AM331" s="19">
        <f>IF(OR(NOT(ISNUMBER(AG331)),NOT(ISNUMBER(AL331)),AL331&lt;=0),"",IF(AND(ISNUMBER(G331),AL331&lt;0.1*G331),"",AG331/AL331))</f>
        <v/>
      </c>
      <c r="AN331" s="17">
        <f>IF(NOT(ISNUMBER(R331)),"",IF(ISNUMBER(S331),(R331+S331)/2,R331))</f>
        <v/>
      </c>
      <c r="AO331" s="19">
        <f>IF(AND(ISNUMBER(L331),ISNUMBER(AN331),AN331&gt;0),L331/AN331,"")</f>
        <v/>
      </c>
      <c r="AP331" s="19">
        <f>IF(AND(ISNUMBER(AO331),ISNUMBER({ROIC})),AO331-{ROIC},"")</f>
        <v/>
      </c>
      <c r="AQ331" s="17">
        <f>IF(AND(ISNUMBER(AE331),ISNUMBER(N331)),AE331+N331,"")</f>
        <v/>
      </c>
      <c r="AR331" s="20">
        <f>IF(AND(ISNUMBER(AH331),ISNUMBER(T331),ISNUMBER(AQ331),AQ331&gt;0),(AH331-T331)/AQ331,"")</f>
        <v/>
      </c>
      <c r="AS331" s="20">
        <f>IF(AND(ISNUMBER(AE331),ISNUMBER(I331),I331&lt;&gt;0,AE331&gt;0),AE331/I331,"")</f>
        <v/>
      </c>
      <c r="AT331" s="17">
        <f>IF(AND(ISNUMBER(Y331),ISNUMBER(AA331)),Y331-IF(ISNUMBER(T331),T331,0)-(AA331-IF(ISNUMBER(V331),V331,0)),"")</f>
        <v/>
      </c>
      <c r="AU331" s="17">
        <f>IF(AND(ISNUMBER(Z331),ISNUMBER(AB331)),Z331-IF(ISNUMBER(U331),U331,0)-(AB331-IF(ISNUMBER(W331),W331,0)),"")</f>
        <v/>
      </c>
      <c r="AV331" s="17">
        <f>IF(AND(ISNUMBER(AT331),ISNUMBER(AU331)),AT331-AU331,"")</f>
        <v/>
      </c>
      <c r="AW331" s="17">
        <f>IF(AND(ISNUMBER(L331),ISNUMBER(M331),ISNUMBER(AF331)),L331-M331*(1-AF331),IF(ISNUMBER(L331),L331,""))</f>
        <v/>
      </c>
      <c r="AX331" s="17">
        <f>IF(E331="금융","",IF(AND(ISNUMBER(AW331),ISNUMBER(N331),ISNUMBER(O331),ISNUMBER(AV331)),AW331+N331-O331-AV331,IF(AND(ISNUMBER(P331),ISNUMBER(O331)),P331-O331-IF(ISNUMBER(Q331),Q331,0),"")))</f>
        <v/>
      </c>
      <c r="AY331" s="8">
        <f>IF(E331="금융","금융업 - 정의되지 않음",IF(AND(ISNUMBER(AW331),ISNUMBER(N331),ISNUMBER(O331),ISNUMBER(AV331)),"영업순이익+감가상각-설비투자-운전자본증감",IF(AND(ISNUMBER(P331),ISNUMBER(O331)),IF(ISNUMBER(Q331),"영업현금흐름-설비투자-주식보상비용","영업현금흐름-설비투자(주식보상비용 미태깅)"),"산출불가")))</f>
        <v/>
      </c>
      <c r="AZ331" s="19">
        <f>IF(AND(ISNUMBER(AX331),ISNUMBER(G331),G331&lt;&gt;0),AX331/G331,"")</f>
        <v/>
      </c>
      <c r="BA331" s="19">
        <f>IF(AND(ISNUMBER(AE331),ISNUMBER(G331),G331&lt;&gt;0),AE331/G331,"")</f>
        <v/>
      </c>
    </row>
    <row r="332">
      <c r="A332" s="8" t="inlineStr">
        <is>
          <t>CAT</t>
        </is>
      </c>
      <c r="B332" s="8" t="inlineStr">
        <is>
          <t>CATERPILLAR INC</t>
        </is>
      </c>
      <c r="C332" s="8" t="n">
        <v>2023</v>
      </c>
      <c r="D332" s="8" t="inlineStr">
        <is>
          <t>2023-12-31</t>
        </is>
      </c>
      <c r="E332" s="8" t="inlineStr">
        <is>
          <t>일반</t>
        </is>
      </c>
      <c r="F332" s="8" t="inlineStr">
        <is>
          <t>0000018230-26-000008</t>
        </is>
      </c>
      <c r="G332" s="15" t="n">
        <v>67.06</v>
      </c>
      <c r="H332" s="15" t="n">
        <v>13.05</v>
      </c>
      <c r="I332" s="15" t="n"/>
      <c r="J332" s="15" t="n">
        <v>2.781</v>
      </c>
      <c r="K332" s="15" t="n">
        <v>12.966</v>
      </c>
      <c r="L332" s="15" t="n">
        <v>10.332</v>
      </c>
      <c r="M332" s="15" t="n">
        <v>0.011</v>
      </c>
      <c r="N332" s="15" t="n">
        <v>2.144</v>
      </c>
      <c r="O332" s="15" t="n">
        <v>1.597</v>
      </c>
      <c r="P332" s="15" t="n">
        <v>12.885</v>
      </c>
      <c r="Q332" s="15" t="n">
        <v>0.208</v>
      </c>
      <c r="R332" s="15" t="n">
        <v>19.503</v>
      </c>
      <c r="S332" s="15" t="n">
        <v>15.891</v>
      </c>
      <c r="T332" s="15" t="n">
        <v>6.985</v>
      </c>
      <c r="U332" s="15" t="n">
        <v>7.013</v>
      </c>
      <c r="V332" s="15" t="n">
        <v>4.643</v>
      </c>
      <c r="W332" s="15" t="n">
        <v>5.957</v>
      </c>
      <c r="X332" s="15" t="n">
        <v>24.472</v>
      </c>
      <c r="Y332" s="15" t="n">
        <v>46.949</v>
      </c>
      <c r="Z332" s="15" t="n">
        <v>43.785</v>
      </c>
      <c r="AA332" s="15" t="n">
        <v>34.728</v>
      </c>
      <c r="AB332" s="15" t="n">
        <v>31.531</v>
      </c>
      <c r="AC332" s="15" t="n">
        <v>40.549</v>
      </c>
      <c r="AD332" s="16" t="n">
        <v>499.4</v>
      </c>
      <c r="AE332" s="17">
        <f>IF(ISNUMBER(K332),K332,IF(AND(ISNUMBER(H332),ISNUMBER(I332)),H332+I332,IF(ISNUMBER(H332),H332,"")))</f>
        <v/>
      </c>
      <c r="AF332" s="18">
        <f>IF(OR(NOT(ISNUMBER(J332)),NOT(ISNUMBER(H332)),H332&lt;=0),기준표!$B$8,MIN(MAX(J332/H332,기준표!$B$6),기준표!$B$7))</f>
        <v/>
      </c>
      <c r="AG332" s="17">
        <f>IF(ISNUMBER(AE332),AE332*(1-AF332),"")</f>
        <v/>
      </c>
      <c r="AH332" s="17">
        <f>IF(AND(NOT(ISNUMBER(V332)),NOT(ISNUMBER(X332))),"",IF(ISNUMBER(V332),V332,0)+IF(ISNUMBER(X332),X332,0))</f>
        <v/>
      </c>
      <c r="AI332" s="17">
        <f>IF(E332="금융","",IF(AND(ISNUMBER(R332),ISNUMBER(AH332),ISNUMBER(T332)),R332+AH332-T332,""))</f>
        <v/>
      </c>
      <c r="AJ332" s="17">
        <f>IF(E332="금융","",IF(NOT(ISNUMBER(AI332)),"",IF(ISNUMBER(AC332),(AI332+AC332)/2,AI332)))</f>
        <v/>
      </c>
      <c r="AK332" s="19">
        <f>IF(AND(ISNUMBER(AG332),ISNUMBER(AJ332),AJ332&gt;0),AG332/AJ332,"")</f>
        <v/>
      </c>
      <c r="AL332" s="17">
        <f>IF(E332="금융","",IF(AND(ISNUMBER(R332),ISNUMBER(AH332)),R332+AH332,""))</f>
        <v/>
      </c>
      <c r="AM332" s="19">
        <f>IF(OR(NOT(ISNUMBER(AG332)),NOT(ISNUMBER(AL332)),AL332&lt;=0),"",IF(AND(ISNUMBER(G332),AL332&lt;0.1*G332),"",AG332/AL332))</f>
        <v/>
      </c>
      <c r="AN332" s="17">
        <f>IF(NOT(ISNUMBER(R332)),"",IF(ISNUMBER(S332),(R332+S332)/2,R332))</f>
        <v/>
      </c>
      <c r="AO332" s="19">
        <f>IF(AND(ISNUMBER(L332),ISNUMBER(AN332),AN332&gt;0),L332/AN332,"")</f>
        <v/>
      </c>
      <c r="AP332" s="19">
        <f>IF(AND(ISNUMBER(AO332),ISNUMBER({ROIC})),AO332-{ROIC},"")</f>
        <v/>
      </c>
      <c r="AQ332" s="17">
        <f>IF(AND(ISNUMBER(AE332),ISNUMBER(N332)),AE332+N332,"")</f>
        <v/>
      </c>
      <c r="AR332" s="20">
        <f>IF(AND(ISNUMBER(AH332),ISNUMBER(T332),ISNUMBER(AQ332),AQ332&gt;0),(AH332-T332)/AQ332,"")</f>
        <v/>
      </c>
      <c r="AS332" s="20">
        <f>IF(AND(ISNUMBER(AE332),ISNUMBER(I332),I332&lt;&gt;0,AE332&gt;0),AE332/I332,"")</f>
        <v/>
      </c>
      <c r="AT332" s="17">
        <f>IF(AND(ISNUMBER(Y332),ISNUMBER(AA332)),Y332-IF(ISNUMBER(T332),T332,0)-(AA332-IF(ISNUMBER(V332),V332,0)),"")</f>
        <v/>
      </c>
      <c r="AU332" s="17">
        <f>IF(AND(ISNUMBER(Z332),ISNUMBER(AB332)),Z332-IF(ISNUMBER(U332),U332,0)-(AB332-IF(ISNUMBER(W332),W332,0)),"")</f>
        <v/>
      </c>
      <c r="AV332" s="17">
        <f>IF(AND(ISNUMBER(AT332),ISNUMBER(AU332)),AT332-AU332,"")</f>
        <v/>
      </c>
      <c r="AW332" s="17">
        <f>IF(AND(ISNUMBER(L332),ISNUMBER(M332),ISNUMBER(AF332)),L332-M332*(1-AF332),IF(ISNUMBER(L332),L332,""))</f>
        <v/>
      </c>
      <c r="AX332" s="17">
        <f>IF(E332="금융","",IF(AND(ISNUMBER(AW332),ISNUMBER(N332),ISNUMBER(O332),ISNUMBER(AV332)),AW332+N332-O332-AV332,IF(AND(ISNUMBER(P332),ISNUMBER(O332)),P332-O332-IF(ISNUMBER(Q332),Q332,0),"")))</f>
        <v/>
      </c>
      <c r="AY332" s="8">
        <f>IF(E332="금융","금융업 - 정의되지 않음",IF(AND(ISNUMBER(AW332),ISNUMBER(N332),ISNUMBER(O332),ISNUMBER(AV332)),"영업순이익+감가상각-설비투자-운전자본증감",IF(AND(ISNUMBER(P332),ISNUMBER(O332)),IF(ISNUMBER(Q332),"영업현금흐름-설비투자-주식보상비용","영업현금흐름-설비투자(주식보상비용 미태깅)"),"산출불가")))</f>
        <v/>
      </c>
      <c r="AZ332" s="19">
        <f>IF(AND(ISNUMBER(AX332),ISNUMBER(G332),G332&lt;&gt;0),AX332/G332,"")</f>
        <v/>
      </c>
      <c r="BA332" s="19">
        <f>IF(AND(ISNUMBER(AE332),ISNUMBER(G332),G332&lt;&gt;0),AE332/G332,"")</f>
        <v/>
      </c>
    </row>
    <row r="333">
      <c r="A333" s="8" t="inlineStr">
        <is>
          <t>CAT</t>
        </is>
      </c>
      <c r="B333" s="8" t="inlineStr">
        <is>
          <t>CATERPILLAR INC</t>
        </is>
      </c>
      <c r="C333" s="8" t="n">
        <v>2024</v>
      </c>
      <c r="D333" s="8" t="inlineStr">
        <is>
          <t>2024-12-31</t>
        </is>
      </c>
      <c r="E333" s="8" t="inlineStr">
        <is>
          <t>일반</t>
        </is>
      </c>
      <c r="F333" s="8" t="inlineStr">
        <is>
          <t>0000018230-26-000008</t>
        </is>
      </c>
      <c r="G333" s="15" t="n">
        <v>64.809</v>
      </c>
      <c r="H333" s="15" t="n">
        <v>13.373</v>
      </c>
      <c r="I333" s="15" t="n"/>
      <c r="J333" s="15" t="n">
        <v>2.629</v>
      </c>
      <c r="K333" s="15" t="n">
        <v>13.072</v>
      </c>
      <c r="L333" s="15" t="n">
        <v>10.788</v>
      </c>
      <c r="M333" s="15" t="n">
        <v>0.039</v>
      </c>
      <c r="N333" s="15" t="n">
        <v>2.153</v>
      </c>
      <c r="O333" s="15" t="n">
        <v>1.988</v>
      </c>
      <c r="P333" s="15" t="n">
        <v>12.035</v>
      </c>
      <c r="Q333" s="15" t="n">
        <v>0.223</v>
      </c>
      <c r="R333" s="15" t="n">
        <v>19.494</v>
      </c>
      <c r="S333" s="15" t="n">
        <v>19.503</v>
      </c>
      <c r="T333" s="15" t="n">
        <v>6.896</v>
      </c>
      <c r="U333" s="15" t="n">
        <v>6.985</v>
      </c>
      <c r="V333" s="15" t="n">
        <v>4.393</v>
      </c>
      <c r="W333" s="15" t="n">
        <v>4.643</v>
      </c>
      <c r="X333" s="15" t="n">
        <v>27.351</v>
      </c>
      <c r="Y333" s="15" t="n">
        <v>45.682</v>
      </c>
      <c r="Z333" s="15" t="n">
        <v>46.949</v>
      </c>
      <c r="AA333" s="15" t="n">
        <v>32.272</v>
      </c>
      <c r="AB333" s="15" t="n">
        <v>34.728</v>
      </c>
      <c r="AC333" s="15" t="n">
        <v>41.633</v>
      </c>
      <c r="AD333" s="16" t="n">
        <v>477.9</v>
      </c>
      <c r="AE333" s="17">
        <f>IF(ISNUMBER(K333),K333,IF(AND(ISNUMBER(H333),ISNUMBER(I333)),H333+I333,IF(ISNUMBER(H333),H333,"")))</f>
        <v/>
      </c>
      <c r="AF333" s="18">
        <f>IF(OR(NOT(ISNUMBER(J333)),NOT(ISNUMBER(H333)),H333&lt;=0),기준표!$B$8,MIN(MAX(J333/H333,기준표!$B$6),기준표!$B$7))</f>
        <v/>
      </c>
      <c r="AG333" s="17">
        <f>IF(ISNUMBER(AE333),AE333*(1-AF333),"")</f>
        <v/>
      </c>
      <c r="AH333" s="17">
        <f>IF(AND(NOT(ISNUMBER(V333)),NOT(ISNUMBER(X333))),"",IF(ISNUMBER(V333),V333,0)+IF(ISNUMBER(X333),X333,0))</f>
        <v/>
      </c>
      <c r="AI333" s="17">
        <f>IF(E333="금융","",IF(AND(ISNUMBER(R333),ISNUMBER(AH333),ISNUMBER(T333)),R333+AH333-T333,""))</f>
        <v/>
      </c>
      <c r="AJ333" s="17">
        <f>IF(E333="금융","",IF(NOT(ISNUMBER(AI333)),"",IF(ISNUMBER(AC333),(AI333+AC333)/2,AI333)))</f>
        <v/>
      </c>
      <c r="AK333" s="19">
        <f>IF(AND(ISNUMBER(AG333),ISNUMBER(AJ333),AJ333&gt;0),AG333/AJ333,"")</f>
        <v/>
      </c>
      <c r="AL333" s="17">
        <f>IF(E333="금융","",IF(AND(ISNUMBER(R333),ISNUMBER(AH333)),R333+AH333,""))</f>
        <v/>
      </c>
      <c r="AM333" s="19">
        <f>IF(OR(NOT(ISNUMBER(AG333)),NOT(ISNUMBER(AL333)),AL333&lt;=0),"",IF(AND(ISNUMBER(G333),AL333&lt;0.1*G333),"",AG333/AL333))</f>
        <v/>
      </c>
      <c r="AN333" s="17">
        <f>IF(NOT(ISNUMBER(R333)),"",IF(ISNUMBER(S333),(R333+S333)/2,R333))</f>
        <v/>
      </c>
      <c r="AO333" s="19">
        <f>IF(AND(ISNUMBER(L333),ISNUMBER(AN333),AN333&gt;0),L333/AN333,"")</f>
        <v/>
      </c>
      <c r="AP333" s="19">
        <f>IF(AND(ISNUMBER(AO333),ISNUMBER({ROIC})),AO333-{ROIC},"")</f>
        <v/>
      </c>
      <c r="AQ333" s="17">
        <f>IF(AND(ISNUMBER(AE333),ISNUMBER(N333)),AE333+N333,"")</f>
        <v/>
      </c>
      <c r="AR333" s="20">
        <f>IF(AND(ISNUMBER(AH333),ISNUMBER(T333),ISNUMBER(AQ333),AQ333&gt;0),(AH333-T333)/AQ333,"")</f>
        <v/>
      </c>
      <c r="AS333" s="20">
        <f>IF(AND(ISNUMBER(AE333),ISNUMBER(I333),I333&lt;&gt;0,AE333&gt;0),AE333/I333,"")</f>
        <v/>
      </c>
      <c r="AT333" s="17">
        <f>IF(AND(ISNUMBER(Y333),ISNUMBER(AA333)),Y333-IF(ISNUMBER(T333),T333,0)-(AA333-IF(ISNUMBER(V333),V333,0)),"")</f>
        <v/>
      </c>
      <c r="AU333" s="17">
        <f>IF(AND(ISNUMBER(Z333),ISNUMBER(AB333)),Z333-IF(ISNUMBER(U333),U333,0)-(AB333-IF(ISNUMBER(W333),W333,0)),"")</f>
        <v/>
      </c>
      <c r="AV333" s="17">
        <f>IF(AND(ISNUMBER(AT333),ISNUMBER(AU333)),AT333-AU333,"")</f>
        <v/>
      </c>
      <c r="AW333" s="17">
        <f>IF(AND(ISNUMBER(L333),ISNUMBER(M333),ISNUMBER(AF333)),L333-M333*(1-AF333),IF(ISNUMBER(L333),L333,""))</f>
        <v/>
      </c>
      <c r="AX333" s="17">
        <f>IF(E333="금융","",IF(AND(ISNUMBER(AW333),ISNUMBER(N333),ISNUMBER(O333),ISNUMBER(AV333)),AW333+N333-O333-AV333,IF(AND(ISNUMBER(P333),ISNUMBER(O333)),P333-O333-IF(ISNUMBER(Q333),Q333,0),"")))</f>
        <v/>
      </c>
      <c r="AY333" s="8">
        <f>IF(E333="금융","금융업 - 정의되지 않음",IF(AND(ISNUMBER(AW333),ISNUMBER(N333),ISNUMBER(O333),ISNUMBER(AV333)),"영업순이익+감가상각-설비투자-운전자본증감",IF(AND(ISNUMBER(P333),ISNUMBER(O333)),IF(ISNUMBER(Q333),"영업현금흐름-설비투자-주식보상비용","영업현금흐름-설비투자(주식보상비용 미태깅)"),"산출불가")))</f>
        <v/>
      </c>
      <c r="AZ333" s="19">
        <f>IF(AND(ISNUMBER(AX333),ISNUMBER(G333),G333&lt;&gt;0),AX333/G333,"")</f>
        <v/>
      </c>
      <c r="BA333" s="19">
        <f>IF(AND(ISNUMBER(AE333),ISNUMBER(G333),G333&lt;&gt;0),AE333/G333,"")</f>
        <v/>
      </c>
    </row>
    <row r="334">
      <c r="A334" s="8" t="inlineStr">
        <is>
          <t>CAT</t>
        </is>
      </c>
      <c r="B334" s="8" t="inlineStr">
        <is>
          <t>CATERPILLAR INC</t>
        </is>
      </c>
      <c r="C334" s="8" t="n">
        <v>2025</v>
      </c>
      <c r="D334" s="8" t="inlineStr">
        <is>
          <t>2025-12-31</t>
        </is>
      </c>
      <c r="E334" s="8" t="inlineStr">
        <is>
          <t>일반</t>
        </is>
      </c>
      <c r="F334" s="8" t="inlineStr">
        <is>
          <t>0000018230-26-000008</t>
        </is>
      </c>
      <c r="G334" s="15" t="n">
        <v>67.589</v>
      </c>
      <c r="H334" s="15" t="n">
        <v>11.541</v>
      </c>
      <c r="I334" s="15" t="n"/>
      <c r="J334" s="15" t="n">
        <v>2.768</v>
      </c>
      <c r="K334" s="15" t="n">
        <v>11.151</v>
      </c>
      <c r="L334" s="15" t="n">
        <v>8.882</v>
      </c>
      <c r="M334" s="15" t="n">
        <v>0.03</v>
      </c>
      <c r="N334" s="15" t="n">
        <v>2.262</v>
      </c>
      <c r="O334" s="15" t="n">
        <v>2.821</v>
      </c>
      <c r="P334" s="15" t="n">
        <v>11.739</v>
      </c>
      <c r="Q334" s="15" t="n">
        <v>0.242</v>
      </c>
      <c r="R334" s="15" t="n">
        <v>21.318</v>
      </c>
      <c r="S334" s="15" t="n">
        <v>19.494</v>
      </c>
      <c r="T334" s="15" t="n">
        <v>9.986000000000001</v>
      </c>
      <c r="U334" s="15" t="n">
        <v>6.896</v>
      </c>
      <c r="V334" s="15" t="n">
        <v>5.514</v>
      </c>
      <c r="W334" s="15" t="n">
        <v>4.393</v>
      </c>
      <c r="X334" s="15" t="n">
        <v>30.696</v>
      </c>
      <c r="Y334" s="15" t="n">
        <v>52.485</v>
      </c>
      <c r="Z334" s="15" t="n">
        <v>45.682</v>
      </c>
      <c r="AA334" s="15" t="n">
        <v>36.558</v>
      </c>
      <c r="AB334" s="15" t="n">
        <v>32.272</v>
      </c>
      <c r="AC334" s="15" t="n">
        <v>44.342</v>
      </c>
      <c r="AD334" s="16" t="n">
        <v>465.3</v>
      </c>
      <c r="AE334" s="17">
        <f>IF(ISNUMBER(K334),K334,IF(AND(ISNUMBER(H334),ISNUMBER(I334)),H334+I334,IF(ISNUMBER(H334),H334,"")))</f>
        <v/>
      </c>
      <c r="AF334" s="18">
        <f>IF(OR(NOT(ISNUMBER(J334)),NOT(ISNUMBER(H334)),H334&lt;=0),기준표!$B$8,MIN(MAX(J334/H334,기준표!$B$6),기준표!$B$7))</f>
        <v/>
      </c>
      <c r="AG334" s="17">
        <f>IF(ISNUMBER(AE334),AE334*(1-AF334),"")</f>
        <v/>
      </c>
      <c r="AH334" s="17">
        <f>IF(AND(NOT(ISNUMBER(V334)),NOT(ISNUMBER(X334))),"",IF(ISNUMBER(V334),V334,0)+IF(ISNUMBER(X334),X334,0))</f>
        <v/>
      </c>
      <c r="AI334" s="17">
        <f>IF(E334="금융","",IF(AND(ISNUMBER(R334),ISNUMBER(AH334),ISNUMBER(T334)),R334+AH334-T334,""))</f>
        <v/>
      </c>
      <c r="AJ334" s="17">
        <f>IF(E334="금융","",IF(NOT(ISNUMBER(AI334)),"",IF(ISNUMBER(AC334),(AI334+AC334)/2,AI334)))</f>
        <v/>
      </c>
      <c r="AK334" s="19">
        <f>IF(AND(ISNUMBER(AG334),ISNUMBER(AJ334),AJ334&gt;0),AG334/AJ334,"")</f>
        <v/>
      </c>
      <c r="AL334" s="17">
        <f>IF(E334="금융","",IF(AND(ISNUMBER(R334),ISNUMBER(AH334)),R334+AH334,""))</f>
        <v/>
      </c>
      <c r="AM334" s="19">
        <f>IF(OR(NOT(ISNUMBER(AG334)),NOT(ISNUMBER(AL334)),AL334&lt;=0),"",IF(AND(ISNUMBER(G334),AL334&lt;0.1*G334),"",AG334/AL334))</f>
        <v/>
      </c>
      <c r="AN334" s="17">
        <f>IF(NOT(ISNUMBER(R334)),"",IF(ISNUMBER(S334),(R334+S334)/2,R334))</f>
        <v/>
      </c>
      <c r="AO334" s="19">
        <f>IF(AND(ISNUMBER(L334),ISNUMBER(AN334),AN334&gt;0),L334/AN334,"")</f>
        <v/>
      </c>
      <c r="AP334" s="19">
        <f>IF(AND(ISNUMBER(AO334),ISNUMBER({ROIC})),AO334-{ROIC},"")</f>
        <v/>
      </c>
      <c r="AQ334" s="17">
        <f>IF(AND(ISNUMBER(AE334),ISNUMBER(N334)),AE334+N334,"")</f>
        <v/>
      </c>
      <c r="AR334" s="20">
        <f>IF(AND(ISNUMBER(AH334),ISNUMBER(T334),ISNUMBER(AQ334),AQ334&gt;0),(AH334-T334)/AQ334,"")</f>
        <v/>
      </c>
      <c r="AS334" s="20">
        <f>IF(AND(ISNUMBER(AE334),ISNUMBER(I334),I334&lt;&gt;0,AE334&gt;0),AE334/I334,"")</f>
        <v/>
      </c>
      <c r="AT334" s="17">
        <f>IF(AND(ISNUMBER(Y334),ISNUMBER(AA334)),Y334-IF(ISNUMBER(T334),T334,0)-(AA334-IF(ISNUMBER(V334),V334,0)),"")</f>
        <v/>
      </c>
      <c r="AU334" s="17">
        <f>IF(AND(ISNUMBER(Z334),ISNUMBER(AB334)),Z334-IF(ISNUMBER(U334),U334,0)-(AB334-IF(ISNUMBER(W334),W334,0)),"")</f>
        <v/>
      </c>
      <c r="AV334" s="17">
        <f>IF(AND(ISNUMBER(AT334),ISNUMBER(AU334)),AT334-AU334,"")</f>
        <v/>
      </c>
      <c r="AW334" s="17">
        <f>IF(AND(ISNUMBER(L334),ISNUMBER(M334),ISNUMBER(AF334)),L334-M334*(1-AF334),IF(ISNUMBER(L334),L334,""))</f>
        <v/>
      </c>
      <c r="AX334" s="17">
        <f>IF(E334="금융","",IF(AND(ISNUMBER(AW334),ISNUMBER(N334),ISNUMBER(O334),ISNUMBER(AV334)),AW334+N334-O334-AV334,IF(AND(ISNUMBER(P334),ISNUMBER(O334)),P334-O334-IF(ISNUMBER(Q334),Q334,0),"")))</f>
        <v/>
      </c>
      <c r="AY334" s="8">
        <f>IF(E334="금융","금융업 - 정의되지 않음",IF(AND(ISNUMBER(AW334),ISNUMBER(N334),ISNUMBER(O334),ISNUMBER(AV334)),"영업순이익+감가상각-설비투자-운전자본증감",IF(AND(ISNUMBER(P334),ISNUMBER(O334)),IF(ISNUMBER(Q334),"영업현금흐름-설비투자-주식보상비용","영업현금흐름-설비투자(주식보상비용 미태깅)"),"산출불가")))</f>
        <v/>
      </c>
      <c r="AZ334" s="19">
        <f>IF(AND(ISNUMBER(AX334),ISNUMBER(G334),G334&lt;&gt;0),AX334/G334,"")</f>
        <v/>
      </c>
      <c r="BA334" s="19">
        <f>IF(AND(ISNUMBER(AE334),ISNUMBER(G334),G334&lt;&gt;0),AE334/G334,"")</f>
        <v/>
      </c>
    </row>
    <row r="335">
      <c r="A335" s="8" t="inlineStr">
        <is>
          <t>GE</t>
        </is>
      </c>
      <c r="B335" s="8" t="inlineStr">
        <is>
          <t>GENERAL ELECTRIC CO</t>
        </is>
      </c>
      <c r="C335" s="8" t="n">
        <v>2014</v>
      </c>
      <c r="D335" s="8" t="inlineStr">
        <is>
          <t>2014-12-31</t>
        </is>
      </c>
      <c r="E335" s="8" t="inlineStr">
        <is>
          <t>일반</t>
        </is>
      </c>
      <c r="F335" s="8" t="inlineStr">
        <is>
          <t>0000040545-17-000010</t>
        </is>
      </c>
      <c r="G335" s="15" t="n">
        <v>117.184</v>
      </c>
      <c r="H335" s="15" t="n">
        <v>10.263</v>
      </c>
      <c r="I335" s="15" t="n"/>
      <c r="J335" s="15" t="n">
        <v>0.773</v>
      </c>
      <c r="K335" s="15" t="n"/>
      <c r="L335" s="15" t="n">
        <v>15.233</v>
      </c>
      <c r="M335" s="15" t="n"/>
      <c r="N335" s="15" t="n">
        <v>4.953</v>
      </c>
      <c r="O335" s="15" t="n"/>
      <c r="P335" s="15" t="n">
        <v>27.709</v>
      </c>
      <c r="Q335" s="15" t="n"/>
      <c r="R335" s="15" t="n">
        <v>128.159</v>
      </c>
      <c r="S335" s="15" t="n"/>
      <c r="T335" s="15" t="n"/>
      <c r="U335" s="15" t="n"/>
      <c r="V335" s="15" t="n">
        <v>70.425</v>
      </c>
      <c r="W335" s="15" t="n"/>
      <c r="X335" s="15" t="n">
        <v>186.596</v>
      </c>
      <c r="Y335" s="15" t="n"/>
      <c r="Z335" s="15" t="n"/>
      <c r="AA335" s="15" t="n"/>
      <c r="AB335" s="15" t="n"/>
      <c r="AC335" s="15" t="n"/>
      <c r="AD335" s="16" t="n">
        <v>1257.1725</v>
      </c>
      <c r="AE335" s="17">
        <f>IF(ISNUMBER(K335),K335,IF(AND(ISNUMBER(H335),ISNUMBER(I335)),H335+I335,IF(ISNUMBER(H335),H335,"")))</f>
        <v/>
      </c>
      <c r="AF335" s="18">
        <f>IF(OR(NOT(ISNUMBER(J335)),NOT(ISNUMBER(H335)),H335&lt;=0),기준표!$B$8,MIN(MAX(J335/H335,기준표!$B$6),기준표!$B$7))</f>
        <v/>
      </c>
      <c r="AG335" s="17">
        <f>IF(ISNUMBER(AE335),AE335*(1-AF335),"")</f>
        <v/>
      </c>
      <c r="AH335" s="17">
        <f>IF(AND(NOT(ISNUMBER(V335)),NOT(ISNUMBER(X335))),"",IF(ISNUMBER(V335),V335,0)+IF(ISNUMBER(X335),X335,0))</f>
        <v/>
      </c>
      <c r="AI335" s="17">
        <f>IF(E335="금융","",IF(AND(ISNUMBER(R335),ISNUMBER(AH335),ISNUMBER(T335)),R335+AH335-T335,""))</f>
        <v/>
      </c>
      <c r="AJ335" s="17">
        <f>IF(E335="금융","",IF(NOT(ISNUMBER(AI335)),"",IF(ISNUMBER(AC335),(AI335+AC335)/2,AI335)))</f>
        <v/>
      </c>
      <c r="AK335" s="19">
        <f>IF(AND(ISNUMBER(AG335),ISNUMBER(AJ335),AJ335&gt;0),AG335/AJ335,"")</f>
        <v/>
      </c>
      <c r="AL335" s="17">
        <f>IF(E335="금융","",IF(AND(ISNUMBER(R335),ISNUMBER(AH335)),R335+AH335,""))</f>
        <v/>
      </c>
      <c r="AM335" s="19">
        <f>IF(OR(NOT(ISNUMBER(AG335)),NOT(ISNUMBER(AL335)),AL335&lt;=0),"",IF(AND(ISNUMBER(G335),AL335&lt;0.1*G335),"",AG335/AL335))</f>
        <v/>
      </c>
      <c r="AN335" s="17">
        <f>IF(NOT(ISNUMBER(R335)),"",IF(ISNUMBER(S335),(R335+S335)/2,R335))</f>
        <v/>
      </c>
      <c r="AO335" s="19">
        <f>IF(AND(ISNUMBER(L335),ISNUMBER(AN335),AN335&gt;0),L335/AN335,"")</f>
        <v/>
      </c>
      <c r="AP335" s="19">
        <f>IF(AND(ISNUMBER(AO335),ISNUMBER({ROIC})),AO335-{ROIC},"")</f>
        <v/>
      </c>
      <c r="AQ335" s="17">
        <f>IF(AND(ISNUMBER(AE335),ISNUMBER(N335)),AE335+N335,"")</f>
        <v/>
      </c>
      <c r="AR335" s="20">
        <f>IF(AND(ISNUMBER(AH335),ISNUMBER(T335),ISNUMBER(AQ335),AQ335&gt;0),(AH335-T335)/AQ335,"")</f>
        <v/>
      </c>
      <c r="AS335" s="20">
        <f>IF(AND(ISNUMBER(AE335),ISNUMBER(I335),I335&lt;&gt;0,AE335&gt;0),AE335/I335,"")</f>
        <v/>
      </c>
      <c r="AT335" s="17">
        <f>IF(AND(ISNUMBER(Y335),ISNUMBER(AA335)),Y335-IF(ISNUMBER(T335),T335,0)-(AA335-IF(ISNUMBER(V335),V335,0)),"")</f>
        <v/>
      </c>
      <c r="AU335" s="17">
        <f>IF(AND(ISNUMBER(Z335),ISNUMBER(AB335)),Z335-IF(ISNUMBER(U335),U335,0)-(AB335-IF(ISNUMBER(W335),W335,0)),"")</f>
        <v/>
      </c>
      <c r="AV335" s="17">
        <f>IF(AND(ISNUMBER(AT335),ISNUMBER(AU335)),AT335-AU335,"")</f>
        <v/>
      </c>
      <c r="AW335" s="17">
        <f>IF(AND(ISNUMBER(L335),ISNUMBER(M335),ISNUMBER(AF335)),L335-M335*(1-AF335),IF(ISNUMBER(L335),L335,""))</f>
        <v/>
      </c>
      <c r="AX335" s="17">
        <f>IF(E335="금융","",IF(AND(ISNUMBER(AW335),ISNUMBER(N335),ISNUMBER(O335),ISNUMBER(AV335)),AW335+N335-O335-AV335,IF(AND(ISNUMBER(P335),ISNUMBER(O335)),P335-O335-IF(ISNUMBER(Q335),Q335,0),"")))</f>
        <v/>
      </c>
      <c r="AY335" s="8">
        <f>IF(E335="금융","금융업 - 정의되지 않음",IF(AND(ISNUMBER(AW335),ISNUMBER(N335),ISNUMBER(O335),ISNUMBER(AV335)),"영업순이익+감가상각-설비투자-운전자본증감",IF(AND(ISNUMBER(P335),ISNUMBER(O335)),IF(ISNUMBER(Q335),"영업현금흐름-설비투자-주식보상비용","영업현금흐름-설비투자(주식보상비용 미태깅)"),"산출불가")))</f>
        <v/>
      </c>
      <c r="AZ335" s="19">
        <f>IF(AND(ISNUMBER(AX335),ISNUMBER(G335),G335&lt;&gt;0),AX335/G335,"")</f>
        <v/>
      </c>
      <c r="BA335" s="19">
        <f>IF(AND(ISNUMBER(AE335),ISNUMBER(G335),G335&lt;&gt;0),AE335/G335,"")</f>
        <v/>
      </c>
    </row>
    <row r="336">
      <c r="A336" s="8" t="inlineStr">
        <is>
          <t>GE</t>
        </is>
      </c>
      <c r="B336" s="8" t="inlineStr">
        <is>
          <t>GENERAL ELECTRIC CO</t>
        </is>
      </c>
      <c r="C336" s="8" t="n">
        <v>2015</v>
      </c>
      <c r="D336" s="8" t="inlineStr">
        <is>
          <t>2015-12-31</t>
        </is>
      </c>
      <c r="E336" s="8" t="inlineStr">
        <is>
          <t>일반</t>
        </is>
      </c>
      <c r="F336" s="8" t="inlineStr">
        <is>
          <t>0000040545-18-000014</t>
        </is>
      </c>
      <c r="G336" s="15" t="n">
        <v>117.386</v>
      </c>
      <c r="H336" s="15" t="n">
        <v>8.186</v>
      </c>
      <c r="I336" s="15" t="n"/>
      <c r="J336" s="15" t="n">
        <v>6.485</v>
      </c>
      <c r="K336" s="15" t="n"/>
      <c r="L336" s="15" t="n">
        <v>-6.126</v>
      </c>
      <c r="M336" s="15" t="n"/>
      <c r="N336" s="15" t="n">
        <v>4.847</v>
      </c>
      <c r="O336" s="15" t="n"/>
      <c r="P336" s="15" t="n">
        <v>19.891</v>
      </c>
      <c r="Q336" s="15" t="n"/>
      <c r="R336" s="15" t="n">
        <v>98.274</v>
      </c>
      <c r="S336" s="15" t="n">
        <v>128.159</v>
      </c>
      <c r="T336" s="15" t="n"/>
      <c r="U336" s="15" t="n"/>
      <c r="V336" s="15" t="n">
        <v>49.86</v>
      </c>
      <c r="W336" s="15" t="n">
        <v>70.425</v>
      </c>
      <c r="X336" s="15" t="n">
        <v>144.659</v>
      </c>
      <c r="Y336" s="15" t="n"/>
      <c r="Z336" s="15" t="n"/>
      <c r="AA336" s="15" t="n"/>
      <c r="AB336" s="15" t="n"/>
      <c r="AC336" s="15" t="n"/>
      <c r="AD336" s="16" t="n">
        <v>1172.411</v>
      </c>
      <c r="AE336" s="17">
        <f>IF(ISNUMBER(K336),K336,IF(AND(ISNUMBER(H336),ISNUMBER(I336)),H336+I336,IF(ISNUMBER(H336),H336,"")))</f>
        <v/>
      </c>
      <c r="AF336" s="18">
        <f>IF(OR(NOT(ISNUMBER(J336)),NOT(ISNUMBER(H336)),H336&lt;=0),기준표!$B$8,MIN(MAX(J336/H336,기준표!$B$6),기준표!$B$7))</f>
        <v/>
      </c>
      <c r="AG336" s="17">
        <f>IF(ISNUMBER(AE336),AE336*(1-AF336),"")</f>
        <v/>
      </c>
      <c r="AH336" s="17">
        <f>IF(AND(NOT(ISNUMBER(V336)),NOT(ISNUMBER(X336))),"",IF(ISNUMBER(V336),V336,0)+IF(ISNUMBER(X336),X336,0))</f>
        <v/>
      </c>
      <c r="AI336" s="17">
        <f>IF(E336="금융","",IF(AND(ISNUMBER(R336),ISNUMBER(AH336),ISNUMBER(T336)),R336+AH336-T336,""))</f>
        <v/>
      </c>
      <c r="AJ336" s="17">
        <f>IF(E336="금융","",IF(NOT(ISNUMBER(AI336)),"",IF(ISNUMBER(AC336),(AI336+AC336)/2,AI336)))</f>
        <v/>
      </c>
      <c r="AK336" s="19">
        <f>IF(AND(ISNUMBER(AG336),ISNUMBER(AJ336),AJ336&gt;0),AG336/AJ336,"")</f>
        <v/>
      </c>
      <c r="AL336" s="17">
        <f>IF(E336="금융","",IF(AND(ISNUMBER(R336),ISNUMBER(AH336)),R336+AH336,""))</f>
        <v/>
      </c>
      <c r="AM336" s="19">
        <f>IF(OR(NOT(ISNUMBER(AG336)),NOT(ISNUMBER(AL336)),AL336&lt;=0),"",IF(AND(ISNUMBER(G336),AL336&lt;0.1*G336),"",AG336/AL336))</f>
        <v/>
      </c>
      <c r="AN336" s="17">
        <f>IF(NOT(ISNUMBER(R336)),"",IF(ISNUMBER(S336),(R336+S336)/2,R336))</f>
        <v/>
      </c>
      <c r="AO336" s="19">
        <f>IF(AND(ISNUMBER(L336),ISNUMBER(AN336),AN336&gt;0),L336/AN336,"")</f>
        <v/>
      </c>
      <c r="AP336" s="19">
        <f>IF(AND(ISNUMBER(AO336),ISNUMBER({ROIC})),AO336-{ROIC},"")</f>
        <v/>
      </c>
      <c r="AQ336" s="17">
        <f>IF(AND(ISNUMBER(AE336),ISNUMBER(N336)),AE336+N336,"")</f>
        <v/>
      </c>
      <c r="AR336" s="20">
        <f>IF(AND(ISNUMBER(AH336),ISNUMBER(T336),ISNUMBER(AQ336),AQ336&gt;0),(AH336-T336)/AQ336,"")</f>
        <v/>
      </c>
      <c r="AS336" s="20">
        <f>IF(AND(ISNUMBER(AE336),ISNUMBER(I336),I336&lt;&gt;0,AE336&gt;0),AE336/I336,"")</f>
        <v/>
      </c>
      <c r="AT336" s="17">
        <f>IF(AND(ISNUMBER(Y336),ISNUMBER(AA336)),Y336-IF(ISNUMBER(T336),T336,0)-(AA336-IF(ISNUMBER(V336),V336,0)),"")</f>
        <v/>
      </c>
      <c r="AU336" s="17">
        <f>IF(AND(ISNUMBER(Z336),ISNUMBER(AB336)),Z336-IF(ISNUMBER(U336),U336,0)-(AB336-IF(ISNUMBER(W336),W336,0)),"")</f>
        <v/>
      </c>
      <c r="AV336" s="17">
        <f>IF(AND(ISNUMBER(AT336),ISNUMBER(AU336)),AT336-AU336,"")</f>
        <v/>
      </c>
      <c r="AW336" s="17">
        <f>IF(AND(ISNUMBER(L336),ISNUMBER(M336),ISNUMBER(AF336)),L336-M336*(1-AF336),IF(ISNUMBER(L336),L336,""))</f>
        <v/>
      </c>
      <c r="AX336" s="17">
        <f>IF(E336="금융","",IF(AND(ISNUMBER(AW336),ISNUMBER(N336),ISNUMBER(O336),ISNUMBER(AV336)),AW336+N336-O336-AV336,IF(AND(ISNUMBER(P336),ISNUMBER(O336)),P336-O336-IF(ISNUMBER(Q336),Q336,0),"")))</f>
        <v/>
      </c>
      <c r="AY336" s="8">
        <f>IF(E336="금융","금융업 - 정의되지 않음",IF(AND(ISNUMBER(AW336),ISNUMBER(N336),ISNUMBER(O336),ISNUMBER(AV336)),"영업순이익+감가상각-설비투자-운전자본증감",IF(AND(ISNUMBER(P336),ISNUMBER(O336)),IF(ISNUMBER(Q336),"영업현금흐름-설비투자-주식보상비용","영업현금흐름-설비투자(주식보상비용 미태깅)"),"산출불가")))</f>
        <v/>
      </c>
      <c r="AZ336" s="19">
        <f>IF(AND(ISNUMBER(AX336),ISNUMBER(G336),G336&lt;&gt;0),AX336/G336,"")</f>
        <v/>
      </c>
      <c r="BA336" s="19">
        <f>IF(AND(ISNUMBER(AE336),ISNUMBER(G336),G336&lt;&gt;0),AE336/G336,"")</f>
        <v/>
      </c>
    </row>
    <row r="337">
      <c r="A337" s="8" t="inlineStr">
        <is>
          <t>GE</t>
        </is>
      </c>
      <c r="B337" s="8" t="inlineStr">
        <is>
          <t>GENERAL ELECTRIC CO</t>
        </is>
      </c>
      <c r="C337" s="8" t="n">
        <v>2016</v>
      </c>
      <c r="D337" s="8" t="inlineStr">
        <is>
          <t>2016-12-31</t>
        </is>
      </c>
      <c r="E337" s="8" t="inlineStr">
        <is>
          <t>일반</t>
        </is>
      </c>
      <c r="F337" s="8" t="inlineStr">
        <is>
          <t>0000040545-19-000014</t>
        </is>
      </c>
      <c r="G337" s="15" t="n">
        <v>119.469</v>
      </c>
      <c r="H337" s="15" t="n">
        <v>7.031</v>
      </c>
      <c r="I337" s="15" t="n"/>
      <c r="J337" s="15" t="n">
        <v>-1.133</v>
      </c>
      <c r="K337" s="15" t="n"/>
      <c r="L337" s="15" t="n">
        <v>7.5</v>
      </c>
      <c r="M337" s="15" t="n"/>
      <c r="N337" s="15" t="n">
        <v>4.997</v>
      </c>
      <c r="O337" s="15" t="n"/>
      <c r="P337" s="15" t="n">
        <v>1.16</v>
      </c>
      <c r="Q337" s="15" t="n"/>
      <c r="R337" s="15" t="n">
        <v>70.16200000000001</v>
      </c>
      <c r="S337" s="15" t="n">
        <v>98.274</v>
      </c>
      <c r="T337" s="15" t="n">
        <v>48.783</v>
      </c>
      <c r="U337" s="15" t="n"/>
      <c r="V337" s="15" t="n">
        <v>30.714</v>
      </c>
      <c r="W337" s="15" t="n">
        <v>49.86</v>
      </c>
      <c r="X337" s="15" t="n">
        <v>105.08</v>
      </c>
      <c r="Y337" s="15" t="n"/>
      <c r="Z337" s="15" t="n"/>
      <c r="AA337" s="15" t="n"/>
      <c r="AB337" s="15" t="n"/>
      <c r="AC337" s="15" t="n"/>
      <c r="AD337" s="16" t="n">
        <v>1092.82675</v>
      </c>
      <c r="AE337" s="17">
        <f>IF(ISNUMBER(K337),K337,IF(AND(ISNUMBER(H337),ISNUMBER(I337)),H337+I337,IF(ISNUMBER(H337),H337,"")))</f>
        <v/>
      </c>
      <c r="AF337" s="18">
        <f>IF(OR(NOT(ISNUMBER(J337)),NOT(ISNUMBER(H337)),H337&lt;=0),기준표!$B$8,MIN(MAX(J337/H337,기준표!$B$6),기준표!$B$7))</f>
        <v/>
      </c>
      <c r="AG337" s="17">
        <f>IF(ISNUMBER(AE337),AE337*(1-AF337),"")</f>
        <v/>
      </c>
      <c r="AH337" s="17">
        <f>IF(AND(NOT(ISNUMBER(V337)),NOT(ISNUMBER(X337))),"",IF(ISNUMBER(V337),V337,0)+IF(ISNUMBER(X337),X337,0))</f>
        <v/>
      </c>
      <c r="AI337" s="17">
        <f>IF(E337="금융","",IF(AND(ISNUMBER(R337),ISNUMBER(AH337),ISNUMBER(T337)),R337+AH337-T337,""))</f>
        <v/>
      </c>
      <c r="AJ337" s="17">
        <f>IF(E337="금융","",IF(NOT(ISNUMBER(AI337)),"",IF(ISNUMBER(AC337),(AI337+AC337)/2,AI337)))</f>
        <v/>
      </c>
      <c r="AK337" s="19">
        <f>IF(AND(ISNUMBER(AG337),ISNUMBER(AJ337),AJ337&gt;0),AG337/AJ337,"")</f>
        <v/>
      </c>
      <c r="AL337" s="17">
        <f>IF(E337="금융","",IF(AND(ISNUMBER(R337),ISNUMBER(AH337)),R337+AH337,""))</f>
        <v/>
      </c>
      <c r="AM337" s="19">
        <f>IF(OR(NOT(ISNUMBER(AG337)),NOT(ISNUMBER(AL337)),AL337&lt;=0),"",IF(AND(ISNUMBER(G337),AL337&lt;0.1*G337),"",AG337/AL337))</f>
        <v/>
      </c>
      <c r="AN337" s="17">
        <f>IF(NOT(ISNUMBER(R337)),"",IF(ISNUMBER(S337),(R337+S337)/2,R337))</f>
        <v/>
      </c>
      <c r="AO337" s="19">
        <f>IF(AND(ISNUMBER(L337),ISNUMBER(AN337),AN337&gt;0),L337/AN337,"")</f>
        <v/>
      </c>
      <c r="AP337" s="19">
        <f>IF(AND(ISNUMBER(AO337),ISNUMBER({ROIC})),AO337-{ROIC},"")</f>
        <v/>
      </c>
      <c r="AQ337" s="17">
        <f>IF(AND(ISNUMBER(AE337),ISNUMBER(N337)),AE337+N337,"")</f>
        <v/>
      </c>
      <c r="AR337" s="20">
        <f>IF(AND(ISNUMBER(AH337),ISNUMBER(T337),ISNUMBER(AQ337),AQ337&gt;0),(AH337-T337)/AQ337,"")</f>
        <v/>
      </c>
      <c r="AS337" s="20">
        <f>IF(AND(ISNUMBER(AE337),ISNUMBER(I337),I337&lt;&gt;0,AE337&gt;0),AE337/I337,"")</f>
        <v/>
      </c>
      <c r="AT337" s="17">
        <f>IF(AND(ISNUMBER(Y337),ISNUMBER(AA337)),Y337-IF(ISNUMBER(T337),T337,0)-(AA337-IF(ISNUMBER(V337),V337,0)),"")</f>
        <v/>
      </c>
      <c r="AU337" s="17">
        <f>IF(AND(ISNUMBER(Z337),ISNUMBER(AB337)),Z337-IF(ISNUMBER(U337),U337,0)-(AB337-IF(ISNUMBER(W337),W337,0)),"")</f>
        <v/>
      </c>
      <c r="AV337" s="17">
        <f>IF(AND(ISNUMBER(AT337),ISNUMBER(AU337)),AT337-AU337,"")</f>
        <v/>
      </c>
      <c r="AW337" s="17">
        <f>IF(AND(ISNUMBER(L337),ISNUMBER(M337),ISNUMBER(AF337)),L337-M337*(1-AF337),IF(ISNUMBER(L337),L337,""))</f>
        <v/>
      </c>
      <c r="AX337" s="17">
        <f>IF(E337="금융","",IF(AND(ISNUMBER(AW337),ISNUMBER(N337),ISNUMBER(O337),ISNUMBER(AV337)),AW337+N337-O337-AV337,IF(AND(ISNUMBER(P337),ISNUMBER(O337)),P337-O337-IF(ISNUMBER(Q337),Q337,0),"")))</f>
        <v/>
      </c>
      <c r="AY337" s="8">
        <f>IF(E337="금융","금융업 - 정의되지 않음",IF(AND(ISNUMBER(AW337),ISNUMBER(N337),ISNUMBER(O337),ISNUMBER(AV337)),"영업순이익+감가상각-설비투자-운전자본증감",IF(AND(ISNUMBER(P337),ISNUMBER(O337)),IF(ISNUMBER(Q337),"영업현금흐름-설비투자-주식보상비용","영업현금흐름-설비투자(주식보상비용 미태깅)"),"산출불가")))</f>
        <v/>
      </c>
      <c r="AZ337" s="19">
        <f>IF(AND(ISNUMBER(AX337),ISNUMBER(G337),G337&lt;&gt;0),AX337/G337,"")</f>
        <v/>
      </c>
      <c r="BA337" s="19">
        <f>IF(AND(ISNUMBER(AE337),ISNUMBER(G337),G337&lt;&gt;0),AE337/G337,"")</f>
        <v/>
      </c>
    </row>
    <row r="338">
      <c r="A338" s="8" t="inlineStr">
        <is>
          <t>GE</t>
        </is>
      </c>
      <c r="B338" s="8" t="inlineStr">
        <is>
          <t>GENERAL ELECTRIC CO</t>
        </is>
      </c>
      <c r="C338" s="8" t="n">
        <v>2017</v>
      </c>
      <c r="D338" s="8" t="inlineStr">
        <is>
          <t>2017-12-31</t>
        </is>
      </c>
      <c r="E338" s="8" t="inlineStr">
        <is>
          <t>일반</t>
        </is>
      </c>
      <c r="F338" s="8" t="inlineStr">
        <is>
          <t>0000040545-20-000009</t>
        </is>
      </c>
      <c r="G338" s="15" t="n">
        <v>99.279</v>
      </c>
      <c r="H338" s="15" t="n">
        <v>-11.345</v>
      </c>
      <c r="I338" s="15" t="n"/>
      <c r="J338" s="15" t="n">
        <v>-2.808</v>
      </c>
      <c r="K338" s="15" t="n"/>
      <c r="L338" s="15" t="n">
        <v>-8.484</v>
      </c>
      <c r="M338" s="15" t="n"/>
      <c r="N338" s="15" t="n">
        <v>4.332</v>
      </c>
      <c r="O338" s="15" t="n"/>
      <c r="P338" s="15" t="n">
        <v>6.554</v>
      </c>
      <c r="Q338" s="15" t="n"/>
      <c r="R338" s="15" t="n">
        <v>56.031</v>
      </c>
      <c r="S338" s="15" t="n">
        <v>70.16200000000001</v>
      </c>
      <c r="T338" s="15" t="n">
        <v>43.967</v>
      </c>
      <c r="U338" s="15" t="n">
        <v>48.783</v>
      </c>
      <c r="V338" s="15" t="n">
        <v>24.036</v>
      </c>
      <c r="W338" s="15" t="n">
        <v>30.714</v>
      </c>
      <c r="X338" s="15" t="n">
        <v>108.575</v>
      </c>
      <c r="Y338" s="15" t="n"/>
      <c r="Z338" s="15" t="n"/>
      <c r="AA338" s="15" t="n"/>
      <c r="AB338" s="15" t="n"/>
      <c r="AC338" s="15" t="n">
        <v>157.173</v>
      </c>
      <c r="AD338" s="16" t="n">
        <v>1085.071375</v>
      </c>
      <c r="AE338" s="17">
        <f>IF(ISNUMBER(K338),K338,IF(AND(ISNUMBER(H338),ISNUMBER(I338)),H338+I338,IF(ISNUMBER(H338),H338,"")))</f>
        <v/>
      </c>
      <c r="AF338" s="18">
        <f>IF(OR(NOT(ISNUMBER(J338)),NOT(ISNUMBER(H338)),H338&lt;=0),기준표!$B$8,MIN(MAX(J338/H338,기준표!$B$6),기준표!$B$7))</f>
        <v/>
      </c>
      <c r="AG338" s="17">
        <f>IF(ISNUMBER(AE338),AE338*(1-AF338),"")</f>
        <v/>
      </c>
      <c r="AH338" s="17">
        <f>IF(AND(NOT(ISNUMBER(V338)),NOT(ISNUMBER(X338))),"",IF(ISNUMBER(V338),V338,0)+IF(ISNUMBER(X338),X338,0))</f>
        <v/>
      </c>
      <c r="AI338" s="17">
        <f>IF(E338="금융","",IF(AND(ISNUMBER(R338),ISNUMBER(AH338),ISNUMBER(T338)),R338+AH338-T338,""))</f>
        <v/>
      </c>
      <c r="AJ338" s="17">
        <f>IF(E338="금융","",IF(NOT(ISNUMBER(AI338)),"",IF(ISNUMBER(AC338),(AI338+AC338)/2,AI338)))</f>
        <v/>
      </c>
      <c r="AK338" s="19">
        <f>IF(AND(ISNUMBER(AG338),ISNUMBER(AJ338),AJ338&gt;0),AG338/AJ338,"")</f>
        <v/>
      </c>
      <c r="AL338" s="17">
        <f>IF(E338="금융","",IF(AND(ISNUMBER(R338),ISNUMBER(AH338)),R338+AH338,""))</f>
        <v/>
      </c>
      <c r="AM338" s="19">
        <f>IF(OR(NOT(ISNUMBER(AG338)),NOT(ISNUMBER(AL338)),AL338&lt;=0),"",IF(AND(ISNUMBER(G338),AL338&lt;0.1*G338),"",AG338/AL338))</f>
        <v/>
      </c>
      <c r="AN338" s="17">
        <f>IF(NOT(ISNUMBER(R338)),"",IF(ISNUMBER(S338),(R338+S338)/2,R338))</f>
        <v/>
      </c>
      <c r="AO338" s="19">
        <f>IF(AND(ISNUMBER(L338),ISNUMBER(AN338),AN338&gt;0),L338/AN338,"")</f>
        <v/>
      </c>
      <c r="AP338" s="19">
        <f>IF(AND(ISNUMBER(AO338),ISNUMBER({ROIC})),AO338-{ROIC},"")</f>
        <v/>
      </c>
      <c r="AQ338" s="17">
        <f>IF(AND(ISNUMBER(AE338),ISNUMBER(N338)),AE338+N338,"")</f>
        <v/>
      </c>
      <c r="AR338" s="20">
        <f>IF(AND(ISNUMBER(AH338),ISNUMBER(T338),ISNUMBER(AQ338),AQ338&gt;0),(AH338-T338)/AQ338,"")</f>
        <v/>
      </c>
      <c r="AS338" s="20">
        <f>IF(AND(ISNUMBER(AE338),ISNUMBER(I338),I338&lt;&gt;0,AE338&gt;0),AE338/I338,"")</f>
        <v/>
      </c>
      <c r="AT338" s="17">
        <f>IF(AND(ISNUMBER(Y338),ISNUMBER(AA338)),Y338-IF(ISNUMBER(T338),T338,0)-(AA338-IF(ISNUMBER(V338),V338,0)),"")</f>
        <v/>
      </c>
      <c r="AU338" s="17">
        <f>IF(AND(ISNUMBER(Z338),ISNUMBER(AB338)),Z338-IF(ISNUMBER(U338),U338,0)-(AB338-IF(ISNUMBER(W338),W338,0)),"")</f>
        <v/>
      </c>
      <c r="AV338" s="17">
        <f>IF(AND(ISNUMBER(AT338),ISNUMBER(AU338)),AT338-AU338,"")</f>
        <v/>
      </c>
      <c r="AW338" s="17">
        <f>IF(AND(ISNUMBER(L338),ISNUMBER(M338),ISNUMBER(AF338)),L338-M338*(1-AF338),IF(ISNUMBER(L338),L338,""))</f>
        <v/>
      </c>
      <c r="AX338" s="17">
        <f>IF(E338="금융","",IF(AND(ISNUMBER(AW338),ISNUMBER(N338),ISNUMBER(O338),ISNUMBER(AV338)),AW338+N338-O338-AV338,IF(AND(ISNUMBER(P338),ISNUMBER(O338)),P338-O338-IF(ISNUMBER(Q338),Q338,0),"")))</f>
        <v/>
      </c>
      <c r="AY338" s="8">
        <f>IF(E338="금융","금융업 - 정의되지 않음",IF(AND(ISNUMBER(AW338),ISNUMBER(N338),ISNUMBER(O338),ISNUMBER(AV338)),"영업순이익+감가상각-설비투자-운전자본증감",IF(AND(ISNUMBER(P338),ISNUMBER(O338)),IF(ISNUMBER(Q338),"영업현금흐름-설비투자-주식보상비용","영업현금흐름-설비투자(주식보상비용 미태깅)"),"산출불가")))</f>
        <v/>
      </c>
      <c r="AZ338" s="19">
        <f>IF(AND(ISNUMBER(AX338),ISNUMBER(G338),G338&lt;&gt;0),AX338/G338,"")</f>
        <v/>
      </c>
      <c r="BA338" s="19">
        <f>IF(AND(ISNUMBER(AE338),ISNUMBER(G338),G338&lt;&gt;0),AE338/G338,"")</f>
        <v/>
      </c>
    </row>
    <row r="339">
      <c r="A339" s="8" t="inlineStr">
        <is>
          <t>GE</t>
        </is>
      </c>
      <c r="B339" s="8" t="inlineStr">
        <is>
          <t>GENERAL ELECTRIC CO</t>
        </is>
      </c>
      <c r="C339" s="8" t="n">
        <v>2018</v>
      </c>
      <c r="D339" s="8" t="inlineStr">
        <is>
          <t>2018-12-31</t>
        </is>
      </c>
      <c r="E339" s="8" t="inlineStr">
        <is>
          <t>일반</t>
        </is>
      </c>
      <c r="F339" s="8" t="inlineStr">
        <is>
          <t>0000040545-21-000011</t>
        </is>
      </c>
      <c r="G339" s="15" t="n">
        <v>97.012</v>
      </c>
      <c r="H339" s="15" t="n">
        <v>-20.987</v>
      </c>
      <c r="I339" s="15" t="n"/>
      <c r="J339" s="15" t="n">
        <v>0.093</v>
      </c>
      <c r="K339" s="15" t="n"/>
      <c r="L339" s="15" t="n">
        <v>-22.355</v>
      </c>
      <c r="M339" s="15" t="n"/>
      <c r="N339" s="15" t="n">
        <v>4.419</v>
      </c>
      <c r="O339" s="15" t="n"/>
      <c r="P339" s="15" t="n">
        <v>4.978</v>
      </c>
      <c r="Q339" s="15" t="n">
        <v>0.336</v>
      </c>
      <c r="R339" s="15" t="n">
        <v>30.981</v>
      </c>
      <c r="S339" s="15" t="n">
        <v>56.031</v>
      </c>
      <c r="T339" s="15" t="n">
        <v>31.124</v>
      </c>
      <c r="U339" s="15" t="n">
        <v>43.967</v>
      </c>
      <c r="V339" s="15" t="n">
        <v>12.776</v>
      </c>
      <c r="W339" s="15" t="n">
        <v>24.036</v>
      </c>
      <c r="X339" s="15" t="n">
        <v>88.949</v>
      </c>
      <c r="Y339" s="15" t="n"/>
      <c r="Z339" s="15" t="n"/>
      <c r="AA339" s="15" t="n"/>
      <c r="AB339" s="15" t="n"/>
      <c r="AC339" s="15" t="n">
        <v>144.675</v>
      </c>
      <c r="AD339" s="16" t="n">
        <v>1087.778375</v>
      </c>
      <c r="AE339" s="17">
        <f>IF(ISNUMBER(K339),K339,IF(AND(ISNUMBER(H339),ISNUMBER(I339)),H339+I339,IF(ISNUMBER(H339),H339,"")))</f>
        <v/>
      </c>
      <c r="AF339" s="18">
        <f>IF(OR(NOT(ISNUMBER(J339)),NOT(ISNUMBER(H339)),H339&lt;=0),기준표!$B$8,MIN(MAX(J339/H339,기준표!$B$6),기준표!$B$7))</f>
        <v/>
      </c>
      <c r="AG339" s="17">
        <f>IF(ISNUMBER(AE339),AE339*(1-AF339),"")</f>
        <v/>
      </c>
      <c r="AH339" s="17">
        <f>IF(AND(NOT(ISNUMBER(V339)),NOT(ISNUMBER(X339))),"",IF(ISNUMBER(V339),V339,0)+IF(ISNUMBER(X339),X339,0))</f>
        <v/>
      </c>
      <c r="AI339" s="17">
        <f>IF(E339="금융","",IF(AND(ISNUMBER(R339),ISNUMBER(AH339),ISNUMBER(T339)),R339+AH339-T339,""))</f>
        <v/>
      </c>
      <c r="AJ339" s="17">
        <f>IF(E339="금융","",IF(NOT(ISNUMBER(AI339)),"",IF(ISNUMBER(AC339),(AI339+AC339)/2,AI339)))</f>
        <v/>
      </c>
      <c r="AK339" s="19">
        <f>IF(AND(ISNUMBER(AG339),ISNUMBER(AJ339),AJ339&gt;0),AG339/AJ339,"")</f>
        <v/>
      </c>
      <c r="AL339" s="17">
        <f>IF(E339="금융","",IF(AND(ISNUMBER(R339),ISNUMBER(AH339)),R339+AH339,""))</f>
        <v/>
      </c>
      <c r="AM339" s="19">
        <f>IF(OR(NOT(ISNUMBER(AG339)),NOT(ISNUMBER(AL339)),AL339&lt;=0),"",IF(AND(ISNUMBER(G339),AL339&lt;0.1*G339),"",AG339/AL339))</f>
        <v/>
      </c>
      <c r="AN339" s="17">
        <f>IF(NOT(ISNUMBER(R339)),"",IF(ISNUMBER(S339),(R339+S339)/2,R339))</f>
        <v/>
      </c>
      <c r="AO339" s="19">
        <f>IF(AND(ISNUMBER(L339),ISNUMBER(AN339),AN339&gt;0),L339/AN339,"")</f>
        <v/>
      </c>
      <c r="AP339" s="19">
        <f>IF(AND(ISNUMBER(AO339),ISNUMBER({ROIC})),AO339-{ROIC},"")</f>
        <v/>
      </c>
      <c r="AQ339" s="17">
        <f>IF(AND(ISNUMBER(AE339),ISNUMBER(N339)),AE339+N339,"")</f>
        <v/>
      </c>
      <c r="AR339" s="20">
        <f>IF(AND(ISNUMBER(AH339),ISNUMBER(T339),ISNUMBER(AQ339),AQ339&gt;0),(AH339-T339)/AQ339,"")</f>
        <v/>
      </c>
      <c r="AS339" s="20">
        <f>IF(AND(ISNUMBER(AE339),ISNUMBER(I339),I339&lt;&gt;0,AE339&gt;0),AE339/I339,"")</f>
        <v/>
      </c>
      <c r="AT339" s="17">
        <f>IF(AND(ISNUMBER(Y339),ISNUMBER(AA339)),Y339-IF(ISNUMBER(T339),T339,0)-(AA339-IF(ISNUMBER(V339),V339,0)),"")</f>
        <v/>
      </c>
      <c r="AU339" s="17">
        <f>IF(AND(ISNUMBER(Z339),ISNUMBER(AB339)),Z339-IF(ISNUMBER(U339),U339,0)-(AB339-IF(ISNUMBER(W339),W339,0)),"")</f>
        <v/>
      </c>
      <c r="AV339" s="17">
        <f>IF(AND(ISNUMBER(AT339),ISNUMBER(AU339)),AT339-AU339,"")</f>
        <v/>
      </c>
      <c r="AW339" s="17">
        <f>IF(AND(ISNUMBER(L339),ISNUMBER(M339),ISNUMBER(AF339)),L339-M339*(1-AF339),IF(ISNUMBER(L339),L339,""))</f>
        <v/>
      </c>
      <c r="AX339" s="17">
        <f>IF(E339="금융","",IF(AND(ISNUMBER(AW339),ISNUMBER(N339),ISNUMBER(O339),ISNUMBER(AV339)),AW339+N339-O339-AV339,IF(AND(ISNUMBER(P339),ISNUMBER(O339)),P339-O339-IF(ISNUMBER(Q339),Q339,0),"")))</f>
        <v/>
      </c>
      <c r="AY339" s="8">
        <f>IF(E339="금융","금융업 - 정의되지 않음",IF(AND(ISNUMBER(AW339),ISNUMBER(N339),ISNUMBER(O339),ISNUMBER(AV339)),"영업순이익+감가상각-설비투자-운전자본증감",IF(AND(ISNUMBER(P339),ISNUMBER(O339)),IF(ISNUMBER(Q339),"영업현금흐름-설비투자-주식보상비용","영업현금흐름-설비투자(주식보상비용 미태깅)"),"산출불가")))</f>
        <v/>
      </c>
      <c r="AZ339" s="19">
        <f>IF(AND(ISNUMBER(AX339),ISNUMBER(G339),G339&lt;&gt;0),AX339/G339,"")</f>
        <v/>
      </c>
      <c r="BA339" s="19">
        <f>IF(AND(ISNUMBER(AE339),ISNUMBER(G339),G339&lt;&gt;0),AE339/G339,"")</f>
        <v/>
      </c>
    </row>
    <row r="340">
      <c r="A340" s="8" t="inlineStr">
        <is>
          <t>GE</t>
        </is>
      </c>
      <c r="B340" s="8" t="inlineStr">
        <is>
          <t>GENERAL ELECTRIC CO</t>
        </is>
      </c>
      <c r="C340" s="8" t="n">
        <v>2019</v>
      </c>
      <c r="D340" s="8" t="inlineStr">
        <is>
          <t>2019-12-31</t>
        </is>
      </c>
      <c r="E340" s="8" t="inlineStr">
        <is>
          <t>일반</t>
        </is>
      </c>
      <c r="F340" s="8" t="inlineStr">
        <is>
          <t>0000040545-22-000008</t>
        </is>
      </c>
      <c r="G340" s="15" t="n">
        <v>90.221</v>
      </c>
      <c r="H340" s="15" t="n">
        <v>-0.054</v>
      </c>
      <c r="I340" s="15" t="n"/>
      <c r="J340" s="15" t="n">
        <v>0.552</v>
      </c>
      <c r="K340" s="15" t="n"/>
      <c r="L340" s="15" t="n">
        <v>-4.979</v>
      </c>
      <c r="M340" s="15" t="n">
        <v>0.696</v>
      </c>
      <c r="N340" s="15" t="n">
        <v>2.018</v>
      </c>
      <c r="O340" s="15" t="n"/>
      <c r="P340" s="15" t="n">
        <v>8.734</v>
      </c>
      <c r="Q340" s="15" t="n">
        <v>0.4</v>
      </c>
      <c r="R340" s="15" t="n">
        <v>28.316</v>
      </c>
      <c r="S340" s="15" t="n">
        <v>30.981</v>
      </c>
      <c r="T340" s="15" t="n">
        <v>35.811</v>
      </c>
      <c r="U340" s="15" t="n">
        <v>31.124</v>
      </c>
      <c r="V340" s="15" t="n">
        <v>23.641</v>
      </c>
      <c r="W340" s="15" t="n">
        <v>12.776</v>
      </c>
      <c r="X340" s="15" t="n">
        <v>67.241</v>
      </c>
      <c r="Y340" s="15" t="n">
        <v>103.096</v>
      </c>
      <c r="Z340" s="15" t="n"/>
      <c r="AA340" s="15" t="n">
        <v>78.86499999999999</v>
      </c>
      <c r="AB340" s="15" t="n"/>
      <c r="AC340" s="15" t="n">
        <v>101.582</v>
      </c>
      <c r="AD340" s="16" t="n">
        <v>1092.30425</v>
      </c>
      <c r="AE340" s="17">
        <f>IF(ISNUMBER(K340),K340,IF(AND(ISNUMBER(H340),ISNUMBER(I340)),H340+I340,IF(ISNUMBER(H340),H340,"")))</f>
        <v/>
      </c>
      <c r="AF340" s="18">
        <f>IF(OR(NOT(ISNUMBER(J340)),NOT(ISNUMBER(H340)),H340&lt;=0),기준표!$B$8,MIN(MAX(J340/H340,기준표!$B$6),기준표!$B$7))</f>
        <v/>
      </c>
      <c r="AG340" s="17">
        <f>IF(ISNUMBER(AE340),AE340*(1-AF340),"")</f>
        <v/>
      </c>
      <c r="AH340" s="17">
        <f>IF(AND(NOT(ISNUMBER(V340)),NOT(ISNUMBER(X340))),"",IF(ISNUMBER(V340),V340,0)+IF(ISNUMBER(X340),X340,0))</f>
        <v/>
      </c>
      <c r="AI340" s="17">
        <f>IF(E340="금융","",IF(AND(ISNUMBER(R340),ISNUMBER(AH340),ISNUMBER(T340)),R340+AH340-T340,""))</f>
        <v/>
      </c>
      <c r="AJ340" s="17">
        <f>IF(E340="금융","",IF(NOT(ISNUMBER(AI340)),"",IF(ISNUMBER(AC340),(AI340+AC340)/2,AI340)))</f>
        <v/>
      </c>
      <c r="AK340" s="19">
        <f>IF(AND(ISNUMBER(AG340),ISNUMBER(AJ340),AJ340&gt;0),AG340/AJ340,"")</f>
        <v/>
      </c>
      <c r="AL340" s="17">
        <f>IF(E340="금융","",IF(AND(ISNUMBER(R340),ISNUMBER(AH340)),R340+AH340,""))</f>
        <v/>
      </c>
      <c r="AM340" s="19">
        <f>IF(OR(NOT(ISNUMBER(AG340)),NOT(ISNUMBER(AL340)),AL340&lt;=0),"",IF(AND(ISNUMBER(G340),AL340&lt;0.1*G340),"",AG340/AL340))</f>
        <v/>
      </c>
      <c r="AN340" s="17">
        <f>IF(NOT(ISNUMBER(R340)),"",IF(ISNUMBER(S340),(R340+S340)/2,R340))</f>
        <v/>
      </c>
      <c r="AO340" s="19">
        <f>IF(AND(ISNUMBER(L340),ISNUMBER(AN340),AN340&gt;0),L340/AN340,"")</f>
        <v/>
      </c>
      <c r="AP340" s="19">
        <f>IF(AND(ISNUMBER(AO340),ISNUMBER({ROIC})),AO340-{ROIC},"")</f>
        <v/>
      </c>
      <c r="AQ340" s="17">
        <f>IF(AND(ISNUMBER(AE340),ISNUMBER(N340)),AE340+N340,"")</f>
        <v/>
      </c>
      <c r="AR340" s="20">
        <f>IF(AND(ISNUMBER(AH340),ISNUMBER(T340),ISNUMBER(AQ340),AQ340&gt;0),(AH340-T340)/AQ340,"")</f>
        <v/>
      </c>
      <c r="AS340" s="20">
        <f>IF(AND(ISNUMBER(AE340),ISNUMBER(I340),I340&lt;&gt;0,AE340&gt;0),AE340/I340,"")</f>
        <v/>
      </c>
      <c r="AT340" s="17">
        <f>IF(AND(ISNUMBER(Y340),ISNUMBER(AA340)),Y340-IF(ISNUMBER(T340),T340,0)-(AA340-IF(ISNUMBER(V340),V340,0)),"")</f>
        <v/>
      </c>
      <c r="AU340" s="17">
        <f>IF(AND(ISNUMBER(Z340),ISNUMBER(AB340)),Z340-IF(ISNUMBER(U340),U340,0)-(AB340-IF(ISNUMBER(W340),W340,0)),"")</f>
        <v/>
      </c>
      <c r="AV340" s="17">
        <f>IF(AND(ISNUMBER(AT340),ISNUMBER(AU340)),AT340-AU340,"")</f>
        <v/>
      </c>
      <c r="AW340" s="17">
        <f>IF(AND(ISNUMBER(L340),ISNUMBER(M340),ISNUMBER(AF340)),L340-M340*(1-AF340),IF(ISNUMBER(L340),L340,""))</f>
        <v/>
      </c>
      <c r="AX340" s="17">
        <f>IF(E340="금융","",IF(AND(ISNUMBER(AW340),ISNUMBER(N340),ISNUMBER(O340),ISNUMBER(AV340)),AW340+N340-O340-AV340,IF(AND(ISNUMBER(P340),ISNUMBER(O340)),P340-O340-IF(ISNUMBER(Q340),Q340,0),"")))</f>
        <v/>
      </c>
      <c r="AY340" s="8">
        <f>IF(E340="금융","금융업 - 정의되지 않음",IF(AND(ISNUMBER(AW340),ISNUMBER(N340),ISNUMBER(O340),ISNUMBER(AV340)),"영업순이익+감가상각-설비투자-운전자본증감",IF(AND(ISNUMBER(P340),ISNUMBER(O340)),IF(ISNUMBER(Q340),"영업현금흐름-설비투자-주식보상비용","영업현금흐름-설비투자(주식보상비용 미태깅)"),"산출불가")))</f>
        <v/>
      </c>
      <c r="AZ340" s="19">
        <f>IF(AND(ISNUMBER(AX340),ISNUMBER(G340),G340&lt;&gt;0),AX340/G340,"")</f>
        <v/>
      </c>
      <c r="BA340" s="19">
        <f>IF(AND(ISNUMBER(AE340),ISNUMBER(G340),G340&lt;&gt;0),AE340/G340,"")</f>
        <v/>
      </c>
    </row>
    <row r="341">
      <c r="A341" s="8" t="inlineStr">
        <is>
          <t>GE</t>
        </is>
      </c>
      <c r="B341" s="8" t="inlineStr">
        <is>
          <t>GENERAL ELECTRIC CO</t>
        </is>
      </c>
      <c r="C341" s="8" t="n">
        <v>2020</v>
      </c>
      <c r="D341" s="8" t="inlineStr">
        <is>
          <t>2020-12-31</t>
        </is>
      </c>
      <c r="E341" s="8" t="inlineStr">
        <is>
          <t>일반</t>
        </is>
      </c>
      <c r="F341" s="8" t="inlineStr">
        <is>
          <t>0000040545-23-000023</t>
        </is>
      </c>
      <c r="G341" s="15" t="n">
        <v>75.833</v>
      </c>
      <c r="H341" s="15" t="n">
        <v>5.97</v>
      </c>
      <c r="I341" s="15" t="n"/>
      <c r="J341" s="15" t="n">
        <v>-0.487</v>
      </c>
      <c r="K341" s="15" t="n"/>
      <c r="L341" s="15" t="n">
        <v>5.704</v>
      </c>
      <c r="M341" s="15" t="n">
        <v>-2.085</v>
      </c>
      <c r="N341" s="15" t="n">
        <v>2.128</v>
      </c>
      <c r="O341" s="15" t="n"/>
      <c r="P341" s="15" t="n">
        <v>3.568</v>
      </c>
      <c r="Q341" s="15" t="n">
        <v>0.353</v>
      </c>
      <c r="R341" s="15" t="n">
        <v>35.552</v>
      </c>
      <c r="S341" s="15" t="n">
        <v>28.316</v>
      </c>
      <c r="T341" s="15" t="n">
        <v>36.53</v>
      </c>
      <c r="U341" s="15" t="n">
        <v>35.811</v>
      </c>
      <c r="V341" s="15" t="n">
        <v>4.778</v>
      </c>
      <c r="W341" s="15" t="n">
        <v>23.641</v>
      </c>
      <c r="X341" s="15" t="n">
        <v>70.18899999999999</v>
      </c>
      <c r="Y341" s="15" t="n">
        <v>84.85299999999999</v>
      </c>
      <c r="Z341" s="15" t="n">
        <v>103.096</v>
      </c>
      <c r="AA341" s="15" t="n">
        <v>54.613</v>
      </c>
      <c r="AB341" s="15" t="n">
        <v>78.86499999999999</v>
      </c>
      <c r="AC341" s="15" t="n">
        <v>83.387</v>
      </c>
      <c r="AD341" s="16" t="n">
        <v>1095.686581</v>
      </c>
      <c r="AE341" s="17">
        <f>IF(ISNUMBER(K341),K341,IF(AND(ISNUMBER(H341),ISNUMBER(I341)),H341+I341,IF(ISNUMBER(H341),H341,"")))</f>
        <v/>
      </c>
      <c r="AF341" s="18">
        <f>IF(OR(NOT(ISNUMBER(J341)),NOT(ISNUMBER(H341)),H341&lt;=0),기준표!$B$8,MIN(MAX(J341/H341,기준표!$B$6),기준표!$B$7))</f>
        <v/>
      </c>
      <c r="AG341" s="17">
        <f>IF(ISNUMBER(AE341),AE341*(1-AF341),"")</f>
        <v/>
      </c>
      <c r="AH341" s="17">
        <f>IF(AND(NOT(ISNUMBER(V341)),NOT(ISNUMBER(X341))),"",IF(ISNUMBER(V341),V341,0)+IF(ISNUMBER(X341),X341,0))</f>
        <v/>
      </c>
      <c r="AI341" s="17">
        <f>IF(E341="금융","",IF(AND(ISNUMBER(R341),ISNUMBER(AH341),ISNUMBER(T341)),R341+AH341-T341,""))</f>
        <v/>
      </c>
      <c r="AJ341" s="17">
        <f>IF(E341="금융","",IF(NOT(ISNUMBER(AI341)),"",IF(ISNUMBER(AC341),(AI341+AC341)/2,AI341)))</f>
        <v/>
      </c>
      <c r="AK341" s="19">
        <f>IF(AND(ISNUMBER(AG341),ISNUMBER(AJ341),AJ341&gt;0),AG341/AJ341,"")</f>
        <v/>
      </c>
      <c r="AL341" s="17">
        <f>IF(E341="금융","",IF(AND(ISNUMBER(R341),ISNUMBER(AH341)),R341+AH341,""))</f>
        <v/>
      </c>
      <c r="AM341" s="19">
        <f>IF(OR(NOT(ISNUMBER(AG341)),NOT(ISNUMBER(AL341)),AL341&lt;=0),"",IF(AND(ISNUMBER(G341),AL341&lt;0.1*G341),"",AG341/AL341))</f>
        <v/>
      </c>
      <c r="AN341" s="17">
        <f>IF(NOT(ISNUMBER(R341)),"",IF(ISNUMBER(S341),(R341+S341)/2,R341))</f>
        <v/>
      </c>
      <c r="AO341" s="19">
        <f>IF(AND(ISNUMBER(L341),ISNUMBER(AN341),AN341&gt;0),L341/AN341,"")</f>
        <v/>
      </c>
      <c r="AP341" s="19">
        <f>IF(AND(ISNUMBER(AO341),ISNUMBER({ROIC})),AO341-{ROIC},"")</f>
        <v/>
      </c>
      <c r="AQ341" s="17">
        <f>IF(AND(ISNUMBER(AE341),ISNUMBER(N341)),AE341+N341,"")</f>
        <v/>
      </c>
      <c r="AR341" s="20">
        <f>IF(AND(ISNUMBER(AH341),ISNUMBER(T341),ISNUMBER(AQ341),AQ341&gt;0),(AH341-T341)/AQ341,"")</f>
        <v/>
      </c>
      <c r="AS341" s="20">
        <f>IF(AND(ISNUMBER(AE341),ISNUMBER(I341),I341&lt;&gt;0,AE341&gt;0),AE341/I341,"")</f>
        <v/>
      </c>
      <c r="AT341" s="17">
        <f>IF(AND(ISNUMBER(Y341),ISNUMBER(AA341)),Y341-IF(ISNUMBER(T341),T341,0)-(AA341-IF(ISNUMBER(V341),V341,0)),"")</f>
        <v/>
      </c>
      <c r="AU341" s="17">
        <f>IF(AND(ISNUMBER(Z341),ISNUMBER(AB341)),Z341-IF(ISNUMBER(U341),U341,0)-(AB341-IF(ISNUMBER(W341),W341,0)),"")</f>
        <v/>
      </c>
      <c r="AV341" s="17">
        <f>IF(AND(ISNUMBER(AT341),ISNUMBER(AU341)),AT341-AU341,"")</f>
        <v/>
      </c>
      <c r="AW341" s="17">
        <f>IF(AND(ISNUMBER(L341),ISNUMBER(M341),ISNUMBER(AF341)),L341-M341*(1-AF341),IF(ISNUMBER(L341),L341,""))</f>
        <v/>
      </c>
      <c r="AX341" s="17">
        <f>IF(E341="금융","",IF(AND(ISNUMBER(AW341),ISNUMBER(N341),ISNUMBER(O341),ISNUMBER(AV341)),AW341+N341-O341-AV341,IF(AND(ISNUMBER(P341),ISNUMBER(O341)),P341-O341-IF(ISNUMBER(Q341),Q341,0),"")))</f>
        <v/>
      </c>
      <c r="AY341" s="8">
        <f>IF(E341="금융","금융업 - 정의되지 않음",IF(AND(ISNUMBER(AW341),ISNUMBER(N341),ISNUMBER(O341),ISNUMBER(AV341)),"영업순이익+감가상각-설비투자-운전자본증감",IF(AND(ISNUMBER(P341),ISNUMBER(O341)),IF(ISNUMBER(Q341),"영업현금흐름-설비투자-주식보상비용","영업현금흐름-설비투자(주식보상비용 미태깅)"),"산출불가")))</f>
        <v/>
      </c>
      <c r="AZ341" s="19">
        <f>IF(AND(ISNUMBER(AX341),ISNUMBER(G341),G341&lt;&gt;0),AX341/G341,"")</f>
        <v/>
      </c>
      <c r="BA341" s="19">
        <f>IF(AND(ISNUMBER(AE341),ISNUMBER(G341),G341&lt;&gt;0),AE341/G341,"")</f>
        <v/>
      </c>
    </row>
    <row r="342">
      <c r="A342" s="8" t="inlineStr">
        <is>
          <t>GE</t>
        </is>
      </c>
      <c r="B342" s="8" t="inlineStr">
        <is>
          <t>GENERAL ELECTRIC CO</t>
        </is>
      </c>
      <c r="C342" s="8" t="n">
        <v>2021</v>
      </c>
      <c r="D342" s="8" t="inlineStr">
        <is>
          <t>2021-12-31</t>
        </is>
      </c>
      <c r="E342" s="8" t="inlineStr">
        <is>
          <t>일반</t>
        </is>
      </c>
      <c r="F342" s="8" t="inlineStr">
        <is>
          <t>0000040545-24-000027</t>
        </is>
      </c>
      <c r="G342" s="15" t="n">
        <v>56.469</v>
      </c>
      <c r="H342" s="15" t="n">
        <v>-5.695</v>
      </c>
      <c r="I342" s="15" t="n"/>
      <c r="J342" s="15" t="n">
        <v>-0.757</v>
      </c>
      <c r="K342" s="15" t="n"/>
      <c r="L342" s="15" t="n">
        <v>-6.337</v>
      </c>
      <c r="M342" s="15" t="n">
        <v>1.632</v>
      </c>
      <c r="N342" s="15" t="n">
        <v>1.622</v>
      </c>
      <c r="O342" s="15" t="n">
        <v>1.113</v>
      </c>
      <c r="P342" s="15" t="n">
        <v>3.481</v>
      </c>
      <c r="Q342" s="15" t="n">
        <v>0.305</v>
      </c>
      <c r="R342" s="15" t="n">
        <v>40.31</v>
      </c>
      <c r="S342" s="15" t="n">
        <v>35.552</v>
      </c>
      <c r="T342" s="15" t="n">
        <v>15.77</v>
      </c>
      <c r="U342" s="15" t="n">
        <v>36.53</v>
      </c>
      <c r="V342" s="15" t="n"/>
      <c r="W342" s="15" t="n">
        <v>4.778</v>
      </c>
      <c r="X342" s="15" t="n">
        <v>30.824</v>
      </c>
      <c r="Y342" s="15" t="n">
        <v>66.348</v>
      </c>
      <c r="Z342" s="15" t="n">
        <v>84.85299999999999</v>
      </c>
      <c r="AA342" s="15" t="n">
        <v>51.953</v>
      </c>
      <c r="AB342" s="15" t="n">
        <v>54.613</v>
      </c>
      <c r="AC342" s="15" t="n">
        <v>73.989</v>
      </c>
      <c r="AD342" s="16" t="n">
        <v>1099.027213</v>
      </c>
      <c r="AE342" s="17">
        <f>IF(ISNUMBER(K342),K342,IF(AND(ISNUMBER(H342),ISNUMBER(I342)),H342+I342,IF(ISNUMBER(H342),H342,"")))</f>
        <v/>
      </c>
      <c r="AF342" s="18">
        <f>IF(OR(NOT(ISNUMBER(J342)),NOT(ISNUMBER(H342)),H342&lt;=0),기준표!$B$8,MIN(MAX(J342/H342,기준표!$B$6),기준표!$B$7))</f>
        <v/>
      </c>
      <c r="AG342" s="17">
        <f>IF(ISNUMBER(AE342),AE342*(1-AF342),"")</f>
        <v/>
      </c>
      <c r="AH342" s="17">
        <f>IF(AND(NOT(ISNUMBER(V342)),NOT(ISNUMBER(X342))),"",IF(ISNUMBER(V342),V342,0)+IF(ISNUMBER(X342),X342,0))</f>
        <v/>
      </c>
      <c r="AI342" s="17">
        <f>IF(E342="금융","",IF(AND(ISNUMBER(R342),ISNUMBER(AH342),ISNUMBER(T342)),R342+AH342-T342,""))</f>
        <v/>
      </c>
      <c r="AJ342" s="17">
        <f>IF(E342="금융","",IF(NOT(ISNUMBER(AI342)),"",IF(ISNUMBER(AC342),(AI342+AC342)/2,AI342)))</f>
        <v/>
      </c>
      <c r="AK342" s="19">
        <f>IF(AND(ISNUMBER(AG342),ISNUMBER(AJ342),AJ342&gt;0),AG342/AJ342,"")</f>
        <v/>
      </c>
      <c r="AL342" s="17">
        <f>IF(E342="금융","",IF(AND(ISNUMBER(R342),ISNUMBER(AH342)),R342+AH342,""))</f>
        <v/>
      </c>
      <c r="AM342" s="19">
        <f>IF(OR(NOT(ISNUMBER(AG342)),NOT(ISNUMBER(AL342)),AL342&lt;=0),"",IF(AND(ISNUMBER(G342),AL342&lt;0.1*G342),"",AG342/AL342))</f>
        <v/>
      </c>
      <c r="AN342" s="17">
        <f>IF(NOT(ISNUMBER(R342)),"",IF(ISNUMBER(S342),(R342+S342)/2,R342))</f>
        <v/>
      </c>
      <c r="AO342" s="19">
        <f>IF(AND(ISNUMBER(L342),ISNUMBER(AN342),AN342&gt;0),L342/AN342,"")</f>
        <v/>
      </c>
      <c r="AP342" s="19">
        <f>IF(AND(ISNUMBER(AO342),ISNUMBER({ROIC})),AO342-{ROIC},"")</f>
        <v/>
      </c>
      <c r="AQ342" s="17">
        <f>IF(AND(ISNUMBER(AE342),ISNUMBER(N342)),AE342+N342,"")</f>
        <v/>
      </c>
      <c r="AR342" s="20">
        <f>IF(AND(ISNUMBER(AH342),ISNUMBER(T342),ISNUMBER(AQ342),AQ342&gt;0),(AH342-T342)/AQ342,"")</f>
        <v/>
      </c>
      <c r="AS342" s="20">
        <f>IF(AND(ISNUMBER(AE342),ISNUMBER(I342),I342&lt;&gt;0,AE342&gt;0),AE342/I342,"")</f>
        <v/>
      </c>
      <c r="AT342" s="17">
        <f>IF(AND(ISNUMBER(Y342),ISNUMBER(AA342)),Y342-IF(ISNUMBER(T342),T342,0)-(AA342-IF(ISNUMBER(V342),V342,0)),"")</f>
        <v/>
      </c>
      <c r="AU342" s="17">
        <f>IF(AND(ISNUMBER(Z342),ISNUMBER(AB342)),Z342-IF(ISNUMBER(U342),U342,0)-(AB342-IF(ISNUMBER(W342),W342,0)),"")</f>
        <v/>
      </c>
      <c r="AV342" s="17">
        <f>IF(AND(ISNUMBER(AT342),ISNUMBER(AU342)),AT342-AU342,"")</f>
        <v/>
      </c>
      <c r="AW342" s="17">
        <f>IF(AND(ISNUMBER(L342),ISNUMBER(M342),ISNUMBER(AF342)),L342-M342*(1-AF342),IF(ISNUMBER(L342),L342,""))</f>
        <v/>
      </c>
      <c r="AX342" s="17">
        <f>IF(E342="금융","",IF(AND(ISNUMBER(AW342),ISNUMBER(N342),ISNUMBER(O342),ISNUMBER(AV342)),AW342+N342-O342-AV342,IF(AND(ISNUMBER(P342),ISNUMBER(O342)),P342-O342-IF(ISNUMBER(Q342),Q342,0),"")))</f>
        <v/>
      </c>
      <c r="AY342" s="8">
        <f>IF(E342="금융","금융업 - 정의되지 않음",IF(AND(ISNUMBER(AW342),ISNUMBER(N342),ISNUMBER(O342),ISNUMBER(AV342)),"영업순이익+감가상각-설비투자-운전자본증감",IF(AND(ISNUMBER(P342),ISNUMBER(O342)),IF(ISNUMBER(Q342),"영업현금흐름-설비투자-주식보상비용","영업현금흐름-설비투자(주식보상비용 미태깅)"),"산출불가")))</f>
        <v/>
      </c>
      <c r="AZ342" s="19">
        <f>IF(AND(ISNUMBER(AX342),ISNUMBER(G342),G342&lt;&gt;0),AX342/G342,"")</f>
        <v/>
      </c>
      <c r="BA342" s="19">
        <f>IF(AND(ISNUMBER(AE342),ISNUMBER(G342),G342&lt;&gt;0),AE342/G342,"")</f>
        <v/>
      </c>
    </row>
    <row r="343">
      <c r="A343" s="8" t="inlineStr">
        <is>
          <t>GE</t>
        </is>
      </c>
      <c r="B343" s="8" t="inlineStr">
        <is>
          <t>GENERAL ELECTRIC CO</t>
        </is>
      </c>
      <c r="C343" s="8" t="n">
        <v>2022</v>
      </c>
      <c r="D343" s="8" t="inlineStr">
        <is>
          <t>2022-12-31</t>
        </is>
      </c>
      <c r="E343" s="8" t="inlineStr">
        <is>
          <t>일반</t>
        </is>
      </c>
      <c r="F343" s="8" t="inlineStr">
        <is>
          <t>0000040545-25-000015</t>
        </is>
      </c>
      <c r="G343" s="15" t="n">
        <v>29.139</v>
      </c>
      <c r="H343" s="15" t="n">
        <v>1.522</v>
      </c>
      <c r="I343" s="15" t="n"/>
      <c r="J343" s="15" t="n">
        <v>0.169</v>
      </c>
      <c r="K343" s="15" t="n"/>
      <c r="L343" s="15" t="n">
        <v>0.336</v>
      </c>
      <c r="M343" s="15" t="n">
        <v>-0.056</v>
      </c>
      <c r="N343" s="15" t="n">
        <v>0.846</v>
      </c>
      <c r="O343" s="15" t="n">
        <v>0.662</v>
      </c>
      <c r="P343" s="15" t="n">
        <v>5.917</v>
      </c>
      <c r="Q343" s="15" t="n">
        <v>0.143</v>
      </c>
      <c r="R343" s="15" t="n">
        <v>33.696</v>
      </c>
      <c r="S343" s="15" t="n">
        <v>40.31</v>
      </c>
      <c r="T343" s="15" t="n">
        <v>15.81</v>
      </c>
      <c r="U343" s="15" t="n">
        <v>15.77</v>
      </c>
      <c r="V343" s="15" t="n"/>
      <c r="W343" s="15" t="n"/>
      <c r="X343" s="15" t="n">
        <v>20.32</v>
      </c>
      <c r="Y343" s="15" t="n">
        <v>58.384</v>
      </c>
      <c r="Z343" s="15" t="n">
        <v>66.348</v>
      </c>
      <c r="AA343" s="15" t="n">
        <v>49.428</v>
      </c>
      <c r="AB343" s="15" t="n">
        <v>51.953</v>
      </c>
      <c r="AC343" s="15" t="n">
        <v>55.364</v>
      </c>
      <c r="AD343" s="16" t="n">
        <v>1089.107878</v>
      </c>
      <c r="AE343" s="17">
        <f>IF(ISNUMBER(K343),K343,IF(AND(ISNUMBER(H343),ISNUMBER(I343)),H343+I343,IF(ISNUMBER(H343),H343,"")))</f>
        <v/>
      </c>
      <c r="AF343" s="18">
        <f>IF(OR(NOT(ISNUMBER(J343)),NOT(ISNUMBER(H343)),H343&lt;=0),기준표!$B$8,MIN(MAX(J343/H343,기준표!$B$6),기준표!$B$7))</f>
        <v/>
      </c>
      <c r="AG343" s="17">
        <f>IF(ISNUMBER(AE343),AE343*(1-AF343),"")</f>
        <v/>
      </c>
      <c r="AH343" s="17">
        <f>IF(AND(NOT(ISNUMBER(V343)),NOT(ISNUMBER(X343))),"",IF(ISNUMBER(V343),V343,0)+IF(ISNUMBER(X343),X343,0))</f>
        <v/>
      </c>
      <c r="AI343" s="17">
        <f>IF(E343="금융","",IF(AND(ISNUMBER(R343),ISNUMBER(AH343),ISNUMBER(T343)),R343+AH343-T343,""))</f>
        <v/>
      </c>
      <c r="AJ343" s="17">
        <f>IF(E343="금융","",IF(NOT(ISNUMBER(AI343)),"",IF(ISNUMBER(AC343),(AI343+AC343)/2,AI343)))</f>
        <v/>
      </c>
      <c r="AK343" s="19">
        <f>IF(AND(ISNUMBER(AG343),ISNUMBER(AJ343),AJ343&gt;0),AG343/AJ343,"")</f>
        <v/>
      </c>
      <c r="AL343" s="17">
        <f>IF(E343="금융","",IF(AND(ISNUMBER(R343),ISNUMBER(AH343)),R343+AH343,""))</f>
        <v/>
      </c>
      <c r="AM343" s="19">
        <f>IF(OR(NOT(ISNUMBER(AG343)),NOT(ISNUMBER(AL343)),AL343&lt;=0),"",IF(AND(ISNUMBER(G343),AL343&lt;0.1*G343),"",AG343/AL343))</f>
        <v/>
      </c>
      <c r="AN343" s="17">
        <f>IF(NOT(ISNUMBER(R343)),"",IF(ISNUMBER(S343),(R343+S343)/2,R343))</f>
        <v/>
      </c>
      <c r="AO343" s="19">
        <f>IF(AND(ISNUMBER(L343),ISNUMBER(AN343),AN343&gt;0),L343/AN343,"")</f>
        <v/>
      </c>
      <c r="AP343" s="19">
        <f>IF(AND(ISNUMBER(AO343),ISNUMBER({ROIC})),AO343-{ROIC},"")</f>
        <v/>
      </c>
      <c r="AQ343" s="17">
        <f>IF(AND(ISNUMBER(AE343),ISNUMBER(N343)),AE343+N343,"")</f>
        <v/>
      </c>
      <c r="AR343" s="20">
        <f>IF(AND(ISNUMBER(AH343),ISNUMBER(T343),ISNUMBER(AQ343),AQ343&gt;0),(AH343-T343)/AQ343,"")</f>
        <v/>
      </c>
      <c r="AS343" s="20">
        <f>IF(AND(ISNUMBER(AE343),ISNUMBER(I343),I343&lt;&gt;0,AE343&gt;0),AE343/I343,"")</f>
        <v/>
      </c>
      <c r="AT343" s="17">
        <f>IF(AND(ISNUMBER(Y343),ISNUMBER(AA343)),Y343-IF(ISNUMBER(T343),T343,0)-(AA343-IF(ISNUMBER(V343),V343,0)),"")</f>
        <v/>
      </c>
      <c r="AU343" s="17">
        <f>IF(AND(ISNUMBER(Z343),ISNUMBER(AB343)),Z343-IF(ISNUMBER(U343),U343,0)-(AB343-IF(ISNUMBER(W343),W343,0)),"")</f>
        <v/>
      </c>
      <c r="AV343" s="17">
        <f>IF(AND(ISNUMBER(AT343),ISNUMBER(AU343)),AT343-AU343,"")</f>
        <v/>
      </c>
      <c r="AW343" s="17">
        <f>IF(AND(ISNUMBER(L343),ISNUMBER(M343),ISNUMBER(AF343)),L343-M343*(1-AF343),IF(ISNUMBER(L343),L343,""))</f>
        <v/>
      </c>
      <c r="AX343" s="17">
        <f>IF(E343="금융","",IF(AND(ISNUMBER(AW343),ISNUMBER(N343),ISNUMBER(O343),ISNUMBER(AV343)),AW343+N343-O343-AV343,IF(AND(ISNUMBER(P343),ISNUMBER(O343)),P343-O343-IF(ISNUMBER(Q343),Q343,0),"")))</f>
        <v/>
      </c>
      <c r="AY343" s="8">
        <f>IF(E343="금융","금융업 - 정의되지 않음",IF(AND(ISNUMBER(AW343),ISNUMBER(N343),ISNUMBER(O343),ISNUMBER(AV343)),"영업순이익+감가상각-설비투자-운전자본증감",IF(AND(ISNUMBER(P343),ISNUMBER(O343)),IF(ISNUMBER(Q343),"영업현금흐름-설비투자-주식보상비용","영업현금흐름-설비투자(주식보상비용 미태깅)"),"산출불가")))</f>
        <v/>
      </c>
      <c r="AZ343" s="19">
        <f>IF(AND(ISNUMBER(AX343),ISNUMBER(G343),G343&lt;&gt;0),AX343/G343,"")</f>
        <v/>
      </c>
      <c r="BA343" s="19">
        <f>IF(AND(ISNUMBER(AE343),ISNUMBER(G343),G343&lt;&gt;0),AE343/G343,"")</f>
        <v/>
      </c>
    </row>
    <row r="344">
      <c r="A344" s="8" t="inlineStr">
        <is>
          <t>GE</t>
        </is>
      </c>
      <c r="B344" s="8" t="inlineStr">
        <is>
          <t>GENERAL ELECTRIC CO</t>
        </is>
      </c>
      <c r="C344" s="8" t="n">
        <v>2023</v>
      </c>
      <c r="D344" s="8" t="inlineStr">
        <is>
          <t>2023-12-31</t>
        </is>
      </c>
      <c r="E344" s="8" t="inlineStr">
        <is>
          <t>일반</t>
        </is>
      </c>
      <c r="F344" s="8" t="inlineStr">
        <is>
          <t>0000040545-26-000008</t>
        </is>
      </c>
      <c r="G344" s="15" t="n">
        <v>35.348</v>
      </c>
      <c r="H344" s="15" t="n">
        <v>10.441</v>
      </c>
      <c r="I344" s="15" t="n"/>
      <c r="J344" s="15" t="n">
        <v>0.994</v>
      </c>
      <c r="K344" s="15" t="n"/>
      <c r="L344" s="15" t="n">
        <v>9.481999999999999</v>
      </c>
      <c r="M344" s="15" t="n">
        <v>5.846</v>
      </c>
      <c r="N344" s="15" t="n">
        <v>0.797</v>
      </c>
      <c r="O344" s="15" t="n">
        <v>0.862</v>
      </c>
      <c r="P344" s="15" t="n">
        <v>5.189</v>
      </c>
      <c r="Q344" s="15" t="n">
        <v>0.192</v>
      </c>
      <c r="R344" s="15" t="n">
        <v>27.403</v>
      </c>
      <c r="S344" s="15" t="n">
        <v>33.696</v>
      </c>
      <c r="T344" s="15" t="n">
        <v>15.204</v>
      </c>
      <c r="U344" s="15" t="n">
        <v>15.81</v>
      </c>
      <c r="V344" s="15" t="n"/>
      <c r="W344" s="15" t="n"/>
      <c r="X344" s="15" t="n">
        <v>19.417</v>
      </c>
      <c r="Y344" s="15" t="n">
        <v>42.556</v>
      </c>
      <c r="Z344" s="15" t="n">
        <v>58.384</v>
      </c>
      <c r="AA344" s="15" t="n">
        <v>32.103</v>
      </c>
      <c r="AB344" s="15" t="n">
        <v>49.428</v>
      </c>
      <c r="AC344" s="15" t="n">
        <v>38.206</v>
      </c>
      <c r="AD344" s="16" t="n">
        <v>1088.415995</v>
      </c>
      <c r="AE344" s="17">
        <f>IF(ISNUMBER(K344),K344,IF(AND(ISNUMBER(H344),ISNUMBER(I344)),H344+I344,IF(ISNUMBER(H344),H344,"")))</f>
        <v/>
      </c>
      <c r="AF344" s="18">
        <f>IF(OR(NOT(ISNUMBER(J344)),NOT(ISNUMBER(H344)),H344&lt;=0),기준표!$B$8,MIN(MAX(J344/H344,기준표!$B$6),기준표!$B$7))</f>
        <v/>
      </c>
      <c r="AG344" s="17">
        <f>IF(ISNUMBER(AE344),AE344*(1-AF344),"")</f>
        <v/>
      </c>
      <c r="AH344" s="17">
        <f>IF(AND(NOT(ISNUMBER(V344)),NOT(ISNUMBER(X344))),"",IF(ISNUMBER(V344),V344,0)+IF(ISNUMBER(X344),X344,0))</f>
        <v/>
      </c>
      <c r="AI344" s="17">
        <f>IF(E344="금융","",IF(AND(ISNUMBER(R344),ISNUMBER(AH344),ISNUMBER(T344)),R344+AH344-T344,""))</f>
        <v/>
      </c>
      <c r="AJ344" s="17">
        <f>IF(E344="금융","",IF(NOT(ISNUMBER(AI344)),"",IF(ISNUMBER(AC344),(AI344+AC344)/2,AI344)))</f>
        <v/>
      </c>
      <c r="AK344" s="19">
        <f>IF(AND(ISNUMBER(AG344),ISNUMBER(AJ344),AJ344&gt;0),AG344/AJ344,"")</f>
        <v/>
      </c>
      <c r="AL344" s="17">
        <f>IF(E344="금융","",IF(AND(ISNUMBER(R344),ISNUMBER(AH344)),R344+AH344,""))</f>
        <v/>
      </c>
      <c r="AM344" s="19">
        <f>IF(OR(NOT(ISNUMBER(AG344)),NOT(ISNUMBER(AL344)),AL344&lt;=0),"",IF(AND(ISNUMBER(G344),AL344&lt;0.1*G344),"",AG344/AL344))</f>
        <v/>
      </c>
      <c r="AN344" s="17">
        <f>IF(NOT(ISNUMBER(R344)),"",IF(ISNUMBER(S344),(R344+S344)/2,R344))</f>
        <v/>
      </c>
      <c r="AO344" s="19">
        <f>IF(AND(ISNUMBER(L344),ISNUMBER(AN344),AN344&gt;0),L344/AN344,"")</f>
        <v/>
      </c>
      <c r="AP344" s="19">
        <f>IF(AND(ISNUMBER(AO344),ISNUMBER({ROIC})),AO344-{ROIC},"")</f>
        <v/>
      </c>
      <c r="AQ344" s="17">
        <f>IF(AND(ISNUMBER(AE344),ISNUMBER(N344)),AE344+N344,"")</f>
        <v/>
      </c>
      <c r="AR344" s="20">
        <f>IF(AND(ISNUMBER(AH344),ISNUMBER(T344),ISNUMBER(AQ344),AQ344&gt;0),(AH344-T344)/AQ344,"")</f>
        <v/>
      </c>
      <c r="AS344" s="20">
        <f>IF(AND(ISNUMBER(AE344),ISNUMBER(I344),I344&lt;&gt;0,AE344&gt;0),AE344/I344,"")</f>
        <v/>
      </c>
      <c r="AT344" s="17">
        <f>IF(AND(ISNUMBER(Y344),ISNUMBER(AA344)),Y344-IF(ISNUMBER(T344),T344,0)-(AA344-IF(ISNUMBER(V344),V344,0)),"")</f>
        <v/>
      </c>
      <c r="AU344" s="17">
        <f>IF(AND(ISNUMBER(Z344),ISNUMBER(AB344)),Z344-IF(ISNUMBER(U344),U344,0)-(AB344-IF(ISNUMBER(W344),W344,0)),"")</f>
        <v/>
      </c>
      <c r="AV344" s="17">
        <f>IF(AND(ISNUMBER(AT344),ISNUMBER(AU344)),AT344-AU344,"")</f>
        <v/>
      </c>
      <c r="AW344" s="17">
        <f>IF(AND(ISNUMBER(L344),ISNUMBER(M344),ISNUMBER(AF344)),L344-M344*(1-AF344),IF(ISNUMBER(L344),L344,""))</f>
        <v/>
      </c>
      <c r="AX344" s="17">
        <f>IF(E344="금융","",IF(AND(ISNUMBER(AW344),ISNUMBER(N344),ISNUMBER(O344),ISNUMBER(AV344)),AW344+N344-O344-AV344,IF(AND(ISNUMBER(P344),ISNUMBER(O344)),P344-O344-IF(ISNUMBER(Q344),Q344,0),"")))</f>
        <v/>
      </c>
      <c r="AY344" s="8">
        <f>IF(E344="금융","금융업 - 정의되지 않음",IF(AND(ISNUMBER(AW344),ISNUMBER(N344),ISNUMBER(O344),ISNUMBER(AV344)),"영업순이익+감가상각-설비투자-운전자본증감",IF(AND(ISNUMBER(P344),ISNUMBER(O344)),IF(ISNUMBER(Q344),"영업현금흐름-설비투자-주식보상비용","영업현금흐름-설비투자(주식보상비용 미태깅)"),"산출불가")))</f>
        <v/>
      </c>
      <c r="AZ344" s="19">
        <f>IF(AND(ISNUMBER(AX344),ISNUMBER(G344),G344&lt;&gt;0),AX344/G344,"")</f>
        <v/>
      </c>
      <c r="BA344" s="19">
        <f>IF(AND(ISNUMBER(AE344),ISNUMBER(G344),G344&lt;&gt;0),AE344/G344,"")</f>
        <v/>
      </c>
    </row>
    <row r="345">
      <c r="A345" s="8" t="inlineStr">
        <is>
          <t>GE</t>
        </is>
      </c>
      <c r="B345" s="8" t="inlineStr">
        <is>
          <t>GENERAL ELECTRIC CO</t>
        </is>
      </c>
      <c r="C345" s="8" t="n">
        <v>2024</v>
      </c>
      <c r="D345" s="8" t="inlineStr">
        <is>
          <t>2024-12-31</t>
        </is>
      </c>
      <c r="E345" s="8" t="inlineStr">
        <is>
          <t>일반</t>
        </is>
      </c>
      <c r="F345" s="8" t="inlineStr">
        <is>
          <t>0000040545-26-000008</t>
        </is>
      </c>
      <c r="G345" s="15" t="n">
        <v>38.702</v>
      </c>
      <c r="H345" s="15" t="n">
        <v>7.62</v>
      </c>
      <c r="I345" s="15" t="n"/>
      <c r="J345" s="15" t="n">
        <v>0.962</v>
      </c>
      <c r="K345" s="15" t="n"/>
      <c r="L345" s="15" t="n">
        <v>6.556</v>
      </c>
      <c r="M345" s="15" t="n">
        <v>0.719</v>
      </c>
      <c r="N345" s="15" t="n">
        <v>0.834</v>
      </c>
      <c r="O345" s="15" t="n">
        <v>1.032</v>
      </c>
      <c r="P345" s="15" t="n">
        <v>4.71</v>
      </c>
      <c r="Q345" s="15" t="n">
        <v>0.286</v>
      </c>
      <c r="R345" s="15" t="n">
        <v>19.342</v>
      </c>
      <c r="S345" s="15" t="n">
        <v>27.403</v>
      </c>
      <c r="T345" s="15" t="n">
        <v>13.619</v>
      </c>
      <c r="U345" s="15" t="n">
        <v>15.204</v>
      </c>
      <c r="V345" s="15" t="n">
        <v>0</v>
      </c>
      <c r="W345" s="15" t="n"/>
      <c r="X345" s="15" t="n">
        <v>17.234</v>
      </c>
      <c r="Y345" s="15" t="n">
        <v>37.635</v>
      </c>
      <c r="Z345" s="15" t="n">
        <v>42.556</v>
      </c>
      <c r="AA345" s="15" t="n">
        <v>34.392</v>
      </c>
      <c r="AB345" s="15" t="n">
        <v>32.103</v>
      </c>
      <c r="AC345" s="15" t="n">
        <v>31.616</v>
      </c>
      <c r="AD345" s="16" t="n">
        <v>1073.692183</v>
      </c>
      <c r="AE345" s="17">
        <f>IF(ISNUMBER(K345),K345,IF(AND(ISNUMBER(H345),ISNUMBER(I345)),H345+I345,IF(ISNUMBER(H345),H345,"")))</f>
        <v/>
      </c>
      <c r="AF345" s="18">
        <f>IF(OR(NOT(ISNUMBER(J345)),NOT(ISNUMBER(H345)),H345&lt;=0),기준표!$B$8,MIN(MAX(J345/H345,기준표!$B$6),기준표!$B$7))</f>
        <v/>
      </c>
      <c r="AG345" s="17">
        <f>IF(ISNUMBER(AE345),AE345*(1-AF345),"")</f>
        <v/>
      </c>
      <c r="AH345" s="17">
        <f>IF(AND(NOT(ISNUMBER(V345)),NOT(ISNUMBER(X345))),"",IF(ISNUMBER(V345),V345,0)+IF(ISNUMBER(X345),X345,0))</f>
        <v/>
      </c>
      <c r="AI345" s="17">
        <f>IF(E345="금융","",IF(AND(ISNUMBER(R345),ISNUMBER(AH345),ISNUMBER(T345)),R345+AH345-T345,""))</f>
        <v/>
      </c>
      <c r="AJ345" s="17">
        <f>IF(E345="금융","",IF(NOT(ISNUMBER(AI345)),"",IF(ISNUMBER(AC345),(AI345+AC345)/2,AI345)))</f>
        <v/>
      </c>
      <c r="AK345" s="19">
        <f>IF(AND(ISNUMBER(AG345),ISNUMBER(AJ345),AJ345&gt;0),AG345/AJ345,"")</f>
        <v/>
      </c>
      <c r="AL345" s="17">
        <f>IF(E345="금융","",IF(AND(ISNUMBER(R345),ISNUMBER(AH345)),R345+AH345,""))</f>
        <v/>
      </c>
      <c r="AM345" s="19">
        <f>IF(OR(NOT(ISNUMBER(AG345)),NOT(ISNUMBER(AL345)),AL345&lt;=0),"",IF(AND(ISNUMBER(G345),AL345&lt;0.1*G345),"",AG345/AL345))</f>
        <v/>
      </c>
      <c r="AN345" s="17">
        <f>IF(NOT(ISNUMBER(R345)),"",IF(ISNUMBER(S345),(R345+S345)/2,R345))</f>
        <v/>
      </c>
      <c r="AO345" s="19">
        <f>IF(AND(ISNUMBER(L345),ISNUMBER(AN345),AN345&gt;0),L345/AN345,"")</f>
        <v/>
      </c>
      <c r="AP345" s="19">
        <f>IF(AND(ISNUMBER(AO345),ISNUMBER({ROIC})),AO345-{ROIC},"")</f>
        <v/>
      </c>
      <c r="AQ345" s="17">
        <f>IF(AND(ISNUMBER(AE345),ISNUMBER(N345)),AE345+N345,"")</f>
        <v/>
      </c>
      <c r="AR345" s="20">
        <f>IF(AND(ISNUMBER(AH345),ISNUMBER(T345),ISNUMBER(AQ345),AQ345&gt;0),(AH345-T345)/AQ345,"")</f>
        <v/>
      </c>
      <c r="AS345" s="20">
        <f>IF(AND(ISNUMBER(AE345),ISNUMBER(I345),I345&lt;&gt;0,AE345&gt;0),AE345/I345,"")</f>
        <v/>
      </c>
      <c r="AT345" s="17">
        <f>IF(AND(ISNUMBER(Y345),ISNUMBER(AA345)),Y345-IF(ISNUMBER(T345),T345,0)-(AA345-IF(ISNUMBER(V345),V345,0)),"")</f>
        <v/>
      </c>
      <c r="AU345" s="17">
        <f>IF(AND(ISNUMBER(Z345),ISNUMBER(AB345)),Z345-IF(ISNUMBER(U345),U345,0)-(AB345-IF(ISNUMBER(W345),W345,0)),"")</f>
        <v/>
      </c>
      <c r="AV345" s="17">
        <f>IF(AND(ISNUMBER(AT345),ISNUMBER(AU345)),AT345-AU345,"")</f>
        <v/>
      </c>
      <c r="AW345" s="17">
        <f>IF(AND(ISNUMBER(L345),ISNUMBER(M345),ISNUMBER(AF345)),L345-M345*(1-AF345),IF(ISNUMBER(L345),L345,""))</f>
        <v/>
      </c>
      <c r="AX345" s="17">
        <f>IF(E345="금융","",IF(AND(ISNUMBER(AW345),ISNUMBER(N345),ISNUMBER(O345),ISNUMBER(AV345)),AW345+N345-O345-AV345,IF(AND(ISNUMBER(P345),ISNUMBER(O345)),P345-O345-IF(ISNUMBER(Q345),Q345,0),"")))</f>
        <v/>
      </c>
      <c r="AY345" s="8">
        <f>IF(E345="금융","금융업 - 정의되지 않음",IF(AND(ISNUMBER(AW345),ISNUMBER(N345),ISNUMBER(O345),ISNUMBER(AV345)),"영업순이익+감가상각-설비투자-운전자본증감",IF(AND(ISNUMBER(P345),ISNUMBER(O345)),IF(ISNUMBER(Q345),"영업현금흐름-설비투자-주식보상비용","영업현금흐름-설비투자(주식보상비용 미태깅)"),"산출불가")))</f>
        <v/>
      </c>
      <c r="AZ345" s="19">
        <f>IF(AND(ISNUMBER(AX345),ISNUMBER(G345),G345&lt;&gt;0),AX345/G345,"")</f>
        <v/>
      </c>
      <c r="BA345" s="19">
        <f>IF(AND(ISNUMBER(AE345),ISNUMBER(G345),G345&lt;&gt;0),AE345/G345,"")</f>
        <v/>
      </c>
    </row>
    <row r="346">
      <c r="A346" s="8" t="inlineStr">
        <is>
          <t>GE</t>
        </is>
      </c>
      <c r="B346" s="8" t="inlineStr">
        <is>
          <t>GENERAL ELECTRIC CO</t>
        </is>
      </c>
      <c r="C346" s="8" t="n">
        <v>2025</v>
      </c>
      <c r="D346" s="8" t="inlineStr">
        <is>
          <t>2025-12-31</t>
        </is>
      </c>
      <c r="E346" s="8" t="inlineStr">
        <is>
          <t>일반</t>
        </is>
      </c>
      <c r="F346" s="8" t="inlineStr">
        <is>
          <t>0000040545-26-000008</t>
        </is>
      </c>
      <c r="G346" s="15" t="n">
        <v>45.855</v>
      </c>
      <c r="H346" s="15" t="n">
        <v>10</v>
      </c>
      <c r="I346" s="15" t="n"/>
      <c r="J346" s="15" t="n">
        <v>1.405</v>
      </c>
      <c r="K346" s="15" t="n"/>
      <c r="L346" s="15" t="n">
        <v>8.704000000000001</v>
      </c>
      <c r="M346" s="15" t="n">
        <v>0.508</v>
      </c>
      <c r="N346" s="15" t="n">
        <v>0.863</v>
      </c>
      <c r="O346" s="15" t="n">
        <v>1.273</v>
      </c>
      <c r="P346" s="15" t="n">
        <v>8.537000000000001</v>
      </c>
      <c r="Q346" s="15" t="n">
        <v>0.325</v>
      </c>
      <c r="R346" s="15" t="n">
        <v>18.677</v>
      </c>
      <c r="S346" s="15" t="n">
        <v>19.342</v>
      </c>
      <c r="T346" s="15" t="n">
        <v>12.392</v>
      </c>
      <c r="U346" s="15" t="n">
        <v>13.619</v>
      </c>
      <c r="V346" s="15" t="n">
        <v>0.025</v>
      </c>
      <c r="W346" s="15" t="n">
        <v>0</v>
      </c>
      <c r="X346" s="15" t="n">
        <v>18.808</v>
      </c>
      <c r="Y346" s="15" t="n">
        <v>40.596</v>
      </c>
      <c r="Z346" s="15" t="n">
        <v>37.635</v>
      </c>
      <c r="AA346" s="15" t="n">
        <v>38.98</v>
      </c>
      <c r="AB346" s="15" t="n">
        <v>34.392</v>
      </c>
      <c r="AC346" s="15" t="n">
        <v>22.957</v>
      </c>
      <c r="AD346" s="16" t="n">
        <v>1048.766702</v>
      </c>
      <c r="AE346" s="17">
        <f>IF(ISNUMBER(K346),K346,IF(AND(ISNUMBER(H346),ISNUMBER(I346)),H346+I346,IF(ISNUMBER(H346),H346,"")))</f>
        <v/>
      </c>
      <c r="AF346" s="18">
        <f>IF(OR(NOT(ISNUMBER(J346)),NOT(ISNUMBER(H346)),H346&lt;=0),기준표!$B$8,MIN(MAX(J346/H346,기준표!$B$6),기준표!$B$7))</f>
        <v/>
      </c>
      <c r="AG346" s="17">
        <f>IF(ISNUMBER(AE346),AE346*(1-AF346),"")</f>
        <v/>
      </c>
      <c r="AH346" s="17">
        <f>IF(AND(NOT(ISNUMBER(V346)),NOT(ISNUMBER(X346))),"",IF(ISNUMBER(V346),V346,0)+IF(ISNUMBER(X346),X346,0))</f>
        <v/>
      </c>
      <c r="AI346" s="17">
        <f>IF(E346="금융","",IF(AND(ISNUMBER(R346),ISNUMBER(AH346),ISNUMBER(T346)),R346+AH346-T346,""))</f>
        <v/>
      </c>
      <c r="AJ346" s="17">
        <f>IF(E346="금융","",IF(NOT(ISNUMBER(AI346)),"",IF(ISNUMBER(AC346),(AI346+AC346)/2,AI346)))</f>
        <v/>
      </c>
      <c r="AK346" s="19">
        <f>IF(AND(ISNUMBER(AG346),ISNUMBER(AJ346),AJ346&gt;0),AG346/AJ346,"")</f>
        <v/>
      </c>
      <c r="AL346" s="17">
        <f>IF(E346="금융","",IF(AND(ISNUMBER(R346),ISNUMBER(AH346)),R346+AH346,""))</f>
        <v/>
      </c>
      <c r="AM346" s="19">
        <f>IF(OR(NOT(ISNUMBER(AG346)),NOT(ISNUMBER(AL346)),AL346&lt;=0),"",IF(AND(ISNUMBER(G346),AL346&lt;0.1*G346),"",AG346/AL346))</f>
        <v/>
      </c>
      <c r="AN346" s="17">
        <f>IF(NOT(ISNUMBER(R346)),"",IF(ISNUMBER(S346),(R346+S346)/2,R346))</f>
        <v/>
      </c>
      <c r="AO346" s="19">
        <f>IF(AND(ISNUMBER(L346),ISNUMBER(AN346),AN346&gt;0),L346/AN346,"")</f>
        <v/>
      </c>
      <c r="AP346" s="19">
        <f>IF(AND(ISNUMBER(AO346),ISNUMBER({ROIC})),AO346-{ROIC},"")</f>
        <v/>
      </c>
      <c r="AQ346" s="17">
        <f>IF(AND(ISNUMBER(AE346),ISNUMBER(N346)),AE346+N346,"")</f>
        <v/>
      </c>
      <c r="AR346" s="20">
        <f>IF(AND(ISNUMBER(AH346),ISNUMBER(T346),ISNUMBER(AQ346),AQ346&gt;0),(AH346-T346)/AQ346,"")</f>
        <v/>
      </c>
      <c r="AS346" s="20">
        <f>IF(AND(ISNUMBER(AE346),ISNUMBER(I346),I346&lt;&gt;0,AE346&gt;0),AE346/I346,"")</f>
        <v/>
      </c>
      <c r="AT346" s="17">
        <f>IF(AND(ISNUMBER(Y346),ISNUMBER(AA346)),Y346-IF(ISNUMBER(T346),T346,0)-(AA346-IF(ISNUMBER(V346),V346,0)),"")</f>
        <v/>
      </c>
      <c r="AU346" s="17">
        <f>IF(AND(ISNUMBER(Z346),ISNUMBER(AB346)),Z346-IF(ISNUMBER(U346),U346,0)-(AB346-IF(ISNUMBER(W346),W346,0)),"")</f>
        <v/>
      </c>
      <c r="AV346" s="17">
        <f>IF(AND(ISNUMBER(AT346),ISNUMBER(AU346)),AT346-AU346,"")</f>
        <v/>
      </c>
      <c r="AW346" s="17">
        <f>IF(AND(ISNUMBER(L346),ISNUMBER(M346),ISNUMBER(AF346)),L346-M346*(1-AF346),IF(ISNUMBER(L346),L346,""))</f>
        <v/>
      </c>
      <c r="AX346" s="17">
        <f>IF(E346="금융","",IF(AND(ISNUMBER(AW346),ISNUMBER(N346),ISNUMBER(O346),ISNUMBER(AV346)),AW346+N346-O346-AV346,IF(AND(ISNUMBER(P346),ISNUMBER(O346)),P346-O346-IF(ISNUMBER(Q346),Q346,0),"")))</f>
        <v/>
      </c>
      <c r="AY346" s="8">
        <f>IF(E346="금융","금융업 - 정의되지 않음",IF(AND(ISNUMBER(AW346),ISNUMBER(N346),ISNUMBER(O346),ISNUMBER(AV346)),"영업순이익+감가상각-설비투자-운전자본증감",IF(AND(ISNUMBER(P346),ISNUMBER(O346)),IF(ISNUMBER(Q346),"영업현금흐름-설비투자-주식보상비용","영업현금흐름-설비투자(주식보상비용 미태깅)"),"산출불가")))</f>
        <v/>
      </c>
      <c r="AZ346" s="19">
        <f>IF(AND(ISNUMBER(AX346),ISNUMBER(G346),G346&lt;&gt;0),AX346/G346,"")</f>
        <v/>
      </c>
      <c r="BA346" s="19">
        <f>IF(AND(ISNUMBER(AE346),ISNUMBER(G346),G346&lt;&gt;0),AE346/G346,"")</f>
        <v/>
      </c>
    </row>
    <row r="347">
      <c r="A347" s="8" t="inlineStr">
        <is>
          <t>KO</t>
        </is>
      </c>
      <c r="B347" s="8" t="inlineStr">
        <is>
          <t>COCA COLA CO</t>
        </is>
      </c>
      <c r="C347" s="8" t="n">
        <v>2014</v>
      </c>
      <c r="D347" s="8" t="inlineStr">
        <is>
          <t>2014-12-31</t>
        </is>
      </c>
      <c r="E347" s="8" t="inlineStr">
        <is>
          <t>일반</t>
        </is>
      </c>
      <c r="F347" s="8" t="inlineStr">
        <is>
          <t>0000021344-17-000009</t>
        </is>
      </c>
      <c r="G347" s="15" t="n"/>
      <c r="H347" s="15" t="n">
        <v>9.324999999999999</v>
      </c>
      <c r="I347" s="15" t="n">
        <v>0.483</v>
      </c>
      <c r="J347" s="15" t="n">
        <v>2.201</v>
      </c>
      <c r="K347" s="15" t="n">
        <v>9.708</v>
      </c>
      <c r="L347" s="15" t="n">
        <v>7.098</v>
      </c>
      <c r="M347" s="15" t="n"/>
      <c r="N347" s="15" t="n">
        <v>1.976</v>
      </c>
      <c r="O347" s="15" t="n">
        <v>2.406</v>
      </c>
      <c r="P347" s="15" t="n">
        <v>10.615</v>
      </c>
      <c r="Q347" s="15" t="n">
        <v>0.209</v>
      </c>
      <c r="R347" s="15" t="n">
        <v>30.32</v>
      </c>
      <c r="S347" s="15" t="n"/>
      <c r="T347" s="15" t="n">
        <v>18.01</v>
      </c>
      <c r="U347" s="15" t="n"/>
      <c r="V347" s="15" t="n">
        <v>19.01</v>
      </c>
      <c r="W347" s="15" t="n"/>
      <c r="X347" s="15" t="n"/>
      <c r="Y347" s="15" t="n">
        <v>32.986</v>
      </c>
      <c r="Z347" s="15" t="n"/>
      <c r="AA347" s="15" t="n">
        <v>32.374</v>
      </c>
      <c r="AB347" s="15" t="n"/>
      <c r="AC347" s="15" t="n"/>
      <c r="AD347" s="16" t="n">
        <v>4450</v>
      </c>
      <c r="AE347" s="17">
        <f>IF(ISNUMBER(K347),K347,IF(AND(ISNUMBER(H347),ISNUMBER(I347)),H347+I347,IF(ISNUMBER(H347),H347,"")))</f>
        <v/>
      </c>
      <c r="AF347" s="18">
        <f>IF(OR(NOT(ISNUMBER(J347)),NOT(ISNUMBER(H347)),H347&lt;=0),기준표!$B$8,MIN(MAX(J347/H347,기준표!$B$6),기준표!$B$7))</f>
        <v/>
      </c>
      <c r="AG347" s="17">
        <f>IF(ISNUMBER(AE347),AE347*(1-AF347),"")</f>
        <v/>
      </c>
      <c r="AH347" s="17">
        <f>IF(AND(NOT(ISNUMBER(V347)),NOT(ISNUMBER(X347))),"",IF(ISNUMBER(V347),V347,0)+IF(ISNUMBER(X347),X347,0))</f>
        <v/>
      </c>
      <c r="AI347" s="17">
        <f>IF(E347="금융","",IF(AND(ISNUMBER(R347),ISNUMBER(AH347),ISNUMBER(T347)),R347+AH347-T347,""))</f>
        <v/>
      </c>
      <c r="AJ347" s="17">
        <f>IF(E347="금융","",IF(NOT(ISNUMBER(AI347)),"",IF(ISNUMBER(AC347),(AI347+AC347)/2,AI347)))</f>
        <v/>
      </c>
      <c r="AK347" s="19">
        <f>IF(AND(ISNUMBER(AG347),ISNUMBER(AJ347),AJ347&gt;0),AG347/AJ347,"")</f>
        <v/>
      </c>
      <c r="AL347" s="17">
        <f>IF(E347="금융","",IF(AND(ISNUMBER(R347),ISNUMBER(AH347)),R347+AH347,""))</f>
        <v/>
      </c>
      <c r="AM347" s="19">
        <f>IF(OR(NOT(ISNUMBER(AG347)),NOT(ISNUMBER(AL347)),AL347&lt;=0),"",IF(AND(ISNUMBER(G347),AL347&lt;0.1*G347),"",AG347/AL347))</f>
        <v/>
      </c>
      <c r="AN347" s="17">
        <f>IF(NOT(ISNUMBER(R347)),"",IF(ISNUMBER(S347),(R347+S347)/2,R347))</f>
        <v/>
      </c>
      <c r="AO347" s="19">
        <f>IF(AND(ISNUMBER(L347),ISNUMBER(AN347),AN347&gt;0),L347/AN347,"")</f>
        <v/>
      </c>
      <c r="AP347" s="19">
        <f>IF(AND(ISNUMBER(AO347),ISNUMBER({ROIC})),AO347-{ROIC},"")</f>
        <v/>
      </c>
      <c r="AQ347" s="17">
        <f>IF(AND(ISNUMBER(AE347),ISNUMBER(N347)),AE347+N347,"")</f>
        <v/>
      </c>
      <c r="AR347" s="20">
        <f>IF(AND(ISNUMBER(AH347),ISNUMBER(T347),ISNUMBER(AQ347),AQ347&gt;0),(AH347-T347)/AQ347,"")</f>
        <v/>
      </c>
      <c r="AS347" s="20">
        <f>IF(AND(ISNUMBER(AE347),ISNUMBER(I347),I347&lt;&gt;0,AE347&gt;0),AE347/I347,"")</f>
        <v/>
      </c>
      <c r="AT347" s="17">
        <f>IF(AND(ISNUMBER(Y347),ISNUMBER(AA347)),Y347-IF(ISNUMBER(T347),T347,0)-(AA347-IF(ISNUMBER(V347),V347,0)),"")</f>
        <v/>
      </c>
      <c r="AU347" s="17">
        <f>IF(AND(ISNUMBER(Z347),ISNUMBER(AB347)),Z347-IF(ISNUMBER(U347),U347,0)-(AB347-IF(ISNUMBER(W347),W347,0)),"")</f>
        <v/>
      </c>
      <c r="AV347" s="17">
        <f>IF(AND(ISNUMBER(AT347),ISNUMBER(AU347)),AT347-AU347,"")</f>
        <v/>
      </c>
      <c r="AW347" s="17">
        <f>IF(AND(ISNUMBER(L347),ISNUMBER(M347),ISNUMBER(AF347)),L347-M347*(1-AF347),IF(ISNUMBER(L347),L347,""))</f>
        <v/>
      </c>
      <c r="AX347" s="17">
        <f>IF(E347="금융","",IF(AND(ISNUMBER(AW347),ISNUMBER(N347),ISNUMBER(O347),ISNUMBER(AV347)),AW347+N347-O347-AV347,IF(AND(ISNUMBER(P347),ISNUMBER(O347)),P347-O347-IF(ISNUMBER(Q347),Q347,0),"")))</f>
        <v/>
      </c>
      <c r="AY347" s="8">
        <f>IF(E347="금융","금융업 - 정의되지 않음",IF(AND(ISNUMBER(AW347),ISNUMBER(N347),ISNUMBER(O347),ISNUMBER(AV347)),"영업순이익+감가상각-설비투자-운전자본증감",IF(AND(ISNUMBER(P347),ISNUMBER(O347)),IF(ISNUMBER(Q347),"영업현금흐름-설비투자-주식보상비용","영업현금흐름-설비투자(주식보상비용 미태깅)"),"산출불가")))</f>
        <v/>
      </c>
      <c r="AZ347" s="19">
        <f>IF(AND(ISNUMBER(AX347),ISNUMBER(G347),G347&lt;&gt;0),AX347/G347,"")</f>
        <v/>
      </c>
      <c r="BA347" s="19">
        <f>IF(AND(ISNUMBER(AE347),ISNUMBER(G347),G347&lt;&gt;0),AE347/G347,"")</f>
        <v/>
      </c>
    </row>
    <row r="348">
      <c r="A348" s="8" t="inlineStr">
        <is>
          <t>KO</t>
        </is>
      </c>
      <c r="B348" s="8" t="inlineStr">
        <is>
          <t>COCA COLA CO</t>
        </is>
      </c>
      <c r="C348" s="8" t="n">
        <v>2015</v>
      </c>
      <c r="D348" s="8" t="inlineStr">
        <is>
          <t>2015-12-31</t>
        </is>
      </c>
      <c r="E348" s="8" t="inlineStr">
        <is>
          <t>일반</t>
        </is>
      </c>
      <c r="F348" s="8" t="inlineStr">
        <is>
          <t>0000021344-18-000008</t>
        </is>
      </c>
      <c r="G348" s="15" t="n"/>
      <c r="H348" s="15" t="n">
        <v>9.605</v>
      </c>
      <c r="I348" s="15" t="n">
        <v>0.856</v>
      </c>
      <c r="J348" s="15" t="n">
        <v>2.239</v>
      </c>
      <c r="K348" s="15" t="n">
        <v>8.728</v>
      </c>
      <c r="L348" s="15" t="n">
        <v>7.351</v>
      </c>
      <c r="M348" s="15" t="n"/>
      <c r="N348" s="15" t="n">
        <v>1.97</v>
      </c>
      <c r="O348" s="15" t="n">
        <v>2.553</v>
      </c>
      <c r="P348" s="15" t="n">
        <v>10.528</v>
      </c>
      <c r="Q348" s="15" t="n">
        <v>0.236</v>
      </c>
      <c r="R348" s="15" t="n">
        <v>25.554</v>
      </c>
      <c r="S348" s="15" t="n">
        <v>30.32</v>
      </c>
      <c r="T348" s="15" t="n">
        <v>15.631</v>
      </c>
      <c r="U348" s="15" t="n">
        <v>18.01</v>
      </c>
      <c r="V348" s="15" t="n">
        <v>13.035</v>
      </c>
      <c r="W348" s="15" t="n">
        <v>19.01</v>
      </c>
      <c r="X348" s="15" t="n"/>
      <c r="Y348" s="15" t="n">
        <v>33.395</v>
      </c>
      <c r="Z348" s="15" t="n">
        <v>32.986</v>
      </c>
      <c r="AA348" s="15" t="n">
        <v>26.929</v>
      </c>
      <c r="AB348" s="15" t="n">
        <v>32.374</v>
      </c>
      <c r="AC348" s="15" t="n">
        <v>31.32</v>
      </c>
      <c r="AD348" s="16" t="n">
        <v>4405</v>
      </c>
      <c r="AE348" s="17">
        <f>IF(ISNUMBER(K348),K348,IF(AND(ISNUMBER(H348),ISNUMBER(I348)),H348+I348,IF(ISNUMBER(H348),H348,"")))</f>
        <v/>
      </c>
      <c r="AF348" s="18">
        <f>IF(OR(NOT(ISNUMBER(J348)),NOT(ISNUMBER(H348)),H348&lt;=0),기준표!$B$8,MIN(MAX(J348/H348,기준표!$B$6),기준표!$B$7))</f>
        <v/>
      </c>
      <c r="AG348" s="17">
        <f>IF(ISNUMBER(AE348),AE348*(1-AF348),"")</f>
        <v/>
      </c>
      <c r="AH348" s="17">
        <f>IF(AND(NOT(ISNUMBER(V348)),NOT(ISNUMBER(X348))),"",IF(ISNUMBER(V348),V348,0)+IF(ISNUMBER(X348),X348,0))</f>
        <v/>
      </c>
      <c r="AI348" s="17">
        <f>IF(E348="금융","",IF(AND(ISNUMBER(R348),ISNUMBER(AH348),ISNUMBER(T348)),R348+AH348-T348,""))</f>
        <v/>
      </c>
      <c r="AJ348" s="17">
        <f>IF(E348="금융","",IF(NOT(ISNUMBER(AI348)),"",IF(ISNUMBER(AC348),(AI348+AC348)/2,AI348)))</f>
        <v/>
      </c>
      <c r="AK348" s="19">
        <f>IF(AND(ISNUMBER(AG348),ISNUMBER(AJ348),AJ348&gt;0),AG348/AJ348,"")</f>
        <v/>
      </c>
      <c r="AL348" s="17">
        <f>IF(E348="금융","",IF(AND(ISNUMBER(R348),ISNUMBER(AH348)),R348+AH348,""))</f>
        <v/>
      </c>
      <c r="AM348" s="19">
        <f>IF(OR(NOT(ISNUMBER(AG348)),NOT(ISNUMBER(AL348)),AL348&lt;=0),"",IF(AND(ISNUMBER(G348),AL348&lt;0.1*G348),"",AG348/AL348))</f>
        <v/>
      </c>
      <c r="AN348" s="17">
        <f>IF(NOT(ISNUMBER(R348)),"",IF(ISNUMBER(S348),(R348+S348)/2,R348))</f>
        <v/>
      </c>
      <c r="AO348" s="19">
        <f>IF(AND(ISNUMBER(L348),ISNUMBER(AN348),AN348&gt;0),L348/AN348,"")</f>
        <v/>
      </c>
      <c r="AP348" s="19">
        <f>IF(AND(ISNUMBER(AO348),ISNUMBER({ROIC})),AO348-{ROIC},"")</f>
        <v/>
      </c>
      <c r="AQ348" s="17">
        <f>IF(AND(ISNUMBER(AE348),ISNUMBER(N348)),AE348+N348,"")</f>
        <v/>
      </c>
      <c r="AR348" s="20">
        <f>IF(AND(ISNUMBER(AH348),ISNUMBER(T348),ISNUMBER(AQ348),AQ348&gt;0),(AH348-T348)/AQ348,"")</f>
        <v/>
      </c>
      <c r="AS348" s="20">
        <f>IF(AND(ISNUMBER(AE348),ISNUMBER(I348),I348&lt;&gt;0,AE348&gt;0),AE348/I348,"")</f>
        <v/>
      </c>
      <c r="AT348" s="17">
        <f>IF(AND(ISNUMBER(Y348),ISNUMBER(AA348)),Y348-IF(ISNUMBER(T348),T348,0)-(AA348-IF(ISNUMBER(V348),V348,0)),"")</f>
        <v/>
      </c>
      <c r="AU348" s="17">
        <f>IF(AND(ISNUMBER(Z348),ISNUMBER(AB348)),Z348-IF(ISNUMBER(U348),U348,0)-(AB348-IF(ISNUMBER(W348),W348,0)),"")</f>
        <v/>
      </c>
      <c r="AV348" s="17">
        <f>IF(AND(ISNUMBER(AT348),ISNUMBER(AU348)),AT348-AU348,"")</f>
        <v/>
      </c>
      <c r="AW348" s="17">
        <f>IF(AND(ISNUMBER(L348),ISNUMBER(M348),ISNUMBER(AF348)),L348-M348*(1-AF348),IF(ISNUMBER(L348),L348,""))</f>
        <v/>
      </c>
      <c r="AX348" s="17">
        <f>IF(E348="금융","",IF(AND(ISNUMBER(AW348),ISNUMBER(N348),ISNUMBER(O348),ISNUMBER(AV348)),AW348+N348-O348-AV348,IF(AND(ISNUMBER(P348),ISNUMBER(O348)),P348-O348-IF(ISNUMBER(Q348),Q348,0),"")))</f>
        <v/>
      </c>
      <c r="AY348" s="8">
        <f>IF(E348="금융","금융업 - 정의되지 않음",IF(AND(ISNUMBER(AW348),ISNUMBER(N348),ISNUMBER(O348),ISNUMBER(AV348)),"영업순이익+감가상각-설비투자-운전자본증감",IF(AND(ISNUMBER(P348),ISNUMBER(O348)),IF(ISNUMBER(Q348),"영업현금흐름-설비투자-주식보상비용","영업현금흐름-설비투자(주식보상비용 미태깅)"),"산출불가")))</f>
        <v/>
      </c>
      <c r="AZ348" s="19">
        <f>IF(AND(ISNUMBER(AX348),ISNUMBER(G348),G348&lt;&gt;0),AX348/G348,"")</f>
        <v/>
      </c>
      <c r="BA348" s="19">
        <f>IF(AND(ISNUMBER(AE348),ISNUMBER(G348),G348&lt;&gt;0),AE348/G348,"")</f>
        <v/>
      </c>
    </row>
    <row r="349">
      <c r="A349" s="8" t="inlineStr">
        <is>
          <t>KO</t>
        </is>
      </c>
      <c r="B349" s="8" t="inlineStr">
        <is>
          <t>COCA COLA CO</t>
        </is>
      </c>
      <c r="C349" s="8" t="n">
        <v>2016</v>
      </c>
      <c r="D349" s="8" t="inlineStr">
        <is>
          <t>2016-12-31</t>
        </is>
      </c>
      <c r="E349" s="8" t="inlineStr">
        <is>
          <t>일반</t>
        </is>
      </c>
      <c r="F349" s="8" t="inlineStr">
        <is>
          <t>0000021344-19-000014</t>
        </is>
      </c>
      <c r="G349" s="15" t="n">
        <v>41.863</v>
      </c>
      <c r="H349" s="15" t="n">
        <v>8.135999999999999</v>
      </c>
      <c r="I349" s="15" t="n">
        <v>0.733</v>
      </c>
      <c r="J349" s="15" t="n">
        <v>1.586</v>
      </c>
      <c r="K349" s="15" t="n">
        <v>8.657</v>
      </c>
      <c r="L349" s="15" t="n">
        <v>6.527</v>
      </c>
      <c r="M349" s="15" t="n"/>
      <c r="N349" s="15" t="n">
        <v>1.787</v>
      </c>
      <c r="O349" s="15" t="n">
        <v>2.262</v>
      </c>
      <c r="P349" s="15" t="n">
        <v>8.792</v>
      </c>
      <c r="Q349" s="15" t="n">
        <v>0.258</v>
      </c>
      <c r="R349" s="15" t="n">
        <v>23.062</v>
      </c>
      <c r="S349" s="15" t="n">
        <v>25.554</v>
      </c>
      <c r="T349" s="15" t="n">
        <v>18.15</v>
      </c>
      <c r="U349" s="15" t="n">
        <v>15.631</v>
      </c>
      <c r="V349" s="15" t="n">
        <v>12.33</v>
      </c>
      <c r="W349" s="15" t="n">
        <v>13.035</v>
      </c>
      <c r="X349" s="15" t="n"/>
      <c r="Y349" s="15" t="n">
        <v>34.01</v>
      </c>
      <c r="Z349" s="15" t="n">
        <v>33.395</v>
      </c>
      <c r="AA349" s="15" t="n">
        <v>26.532</v>
      </c>
      <c r="AB349" s="15" t="n">
        <v>26.929</v>
      </c>
      <c r="AC349" s="15" t="n">
        <v>22.958</v>
      </c>
      <c r="AD349" s="16" t="n">
        <v>4367</v>
      </c>
      <c r="AE349" s="17">
        <f>IF(ISNUMBER(K349),K349,IF(AND(ISNUMBER(H349),ISNUMBER(I349)),H349+I349,IF(ISNUMBER(H349),H349,"")))</f>
        <v/>
      </c>
      <c r="AF349" s="18">
        <f>IF(OR(NOT(ISNUMBER(J349)),NOT(ISNUMBER(H349)),H349&lt;=0),기준표!$B$8,MIN(MAX(J349/H349,기준표!$B$6),기준표!$B$7))</f>
        <v/>
      </c>
      <c r="AG349" s="17">
        <f>IF(ISNUMBER(AE349),AE349*(1-AF349),"")</f>
        <v/>
      </c>
      <c r="AH349" s="17">
        <f>IF(AND(NOT(ISNUMBER(V349)),NOT(ISNUMBER(X349))),"",IF(ISNUMBER(V349),V349,0)+IF(ISNUMBER(X349),X349,0))</f>
        <v/>
      </c>
      <c r="AI349" s="17">
        <f>IF(E349="금융","",IF(AND(ISNUMBER(R349),ISNUMBER(AH349),ISNUMBER(T349)),R349+AH349-T349,""))</f>
        <v/>
      </c>
      <c r="AJ349" s="17">
        <f>IF(E349="금융","",IF(NOT(ISNUMBER(AI349)),"",IF(ISNUMBER(AC349),(AI349+AC349)/2,AI349)))</f>
        <v/>
      </c>
      <c r="AK349" s="19">
        <f>IF(AND(ISNUMBER(AG349),ISNUMBER(AJ349),AJ349&gt;0),AG349/AJ349,"")</f>
        <v/>
      </c>
      <c r="AL349" s="17">
        <f>IF(E349="금융","",IF(AND(ISNUMBER(R349),ISNUMBER(AH349)),R349+AH349,""))</f>
        <v/>
      </c>
      <c r="AM349" s="19">
        <f>IF(OR(NOT(ISNUMBER(AG349)),NOT(ISNUMBER(AL349)),AL349&lt;=0),"",IF(AND(ISNUMBER(G349),AL349&lt;0.1*G349),"",AG349/AL349))</f>
        <v/>
      </c>
      <c r="AN349" s="17">
        <f>IF(NOT(ISNUMBER(R349)),"",IF(ISNUMBER(S349),(R349+S349)/2,R349))</f>
        <v/>
      </c>
      <c r="AO349" s="19">
        <f>IF(AND(ISNUMBER(L349),ISNUMBER(AN349),AN349&gt;0),L349/AN349,"")</f>
        <v/>
      </c>
      <c r="AP349" s="19">
        <f>IF(AND(ISNUMBER(AO349),ISNUMBER({ROIC})),AO349-{ROIC},"")</f>
        <v/>
      </c>
      <c r="AQ349" s="17">
        <f>IF(AND(ISNUMBER(AE349),ISNUMBER(N349)),AE349+N349,"")</f>
        <v/>
      </c>
      <c r="AR349" s="20">
        <f>IF(AND(ISNUMBER(AH349),ISNUMBER(T349),ISNUMBER(AQ349),AQ349&gt;0),(AH349-T349)/AQ349,"")</f>
        <v/>
      </c>
      <c r="AS349" s="20">
        <f>IF(AND(ISNUMBER(AE349),ISNUMBER(I349),I349&lt;&gt;0,AE349&gt;0),AE349/I349,"")</f>
        <v/>
      </c>
      <c r="AT349" s="17">
        <f>IF(AND(ISNUMBER(Y349),ISNUMBER(AA349)),Y349-IF(ISNUMBER(T349),T349,0)-(AA349-IF(ISNUMBER(V349),V349,0)),"")</f>
        <v/>
      </c>
      <c r="AU349" s="17">
        <f>IF(AND(ISNUMBER(Z349),ISNUMBER(AB349)),Z349-IF(ISNUMBER(U349),U349,0)-(AB349-IF(ISNUMBER(W349),W349,0)),"")</f>
        <v/>
      </c>
      <c r="AV349" s="17">
        <f>IF(AND(ISNUMBER(AT349),ISNUMBER(AU349)),AT349-AU349,"")</f>
        <v/>
      </c>
      <c r="AW349" s="17">
        <f>IF(AND(ISNUMBER(L349),ISNUMBER(M349),ISNUMBER(AF349)),L349-M349*(1-AF349),IF(ISNUMBER(L349),L349,""))</f>
        <v/>
      </c>
      <c r="AX349" s="17">
        <f>IF(E349="금융","",IF(AND(ISNUMBER(AW349),ISNUMBER(N349),ISNUMBER(O349),ISNUMBER(AV349)),AW349+N349-O349-AV349,IF(AND(ISNUMBER(P349),ISNUMBER(O349)),P349-O349-IF(ISNUMBER(Q349),Q349,0),"")))</f>
        <v/>
      </c>
      <c r="AY349" s="8">
        <f>IF(E349="금융","금융업 - 정의되지 않음",IF(AND(ISNUMBER(AW349),ISNUMBER(N349),ISNUMBER(O349),ISNUMBER(AV349)),"영업순이익+감가상각-설비투자-운전자본증감",IF(AND(ISNUMBER(P349),ISNUMBER(O349)),IF(ISNUMBER(Q349),"영업현금흐름-설비투자-주식보상비용","영업현금흐름-설비투자(주식보상비용 미태깅)"),"산출불가")))</f>
        <v/>
      </c>
      <c r="AZ349" s="19">
        <f>IF(AND(ISNUMBER(AX349),ISNUMBER(G349),G349&lt;&gt;0),AX349/G349,"")</f>
        <v/>
      </c>
      <c r="BA349" s="19">
        <f>IF(AND(ISNUMBER(AE349),ISNUMBER(G349),G349&lt;&gt;0),AE349/G349,"")</f>
        <v/>
      </c>
    </row>
    <row r="350">
      <c r="A350" s="8" t="inlineStr">
        <is>
          <t>KO</t>
        </is>
      </c>
      <c r="B350" s="8" t="inlineStr">
        <is>
          <t>COCA COLA CO</t>
        </is>
      </c>
      <c r="C350" s="8" t="n">
        <v>2017</v>
      </c>
      <c r="D350" s="8" t="inlineStr">
        <is>
          <t>2017-12-31</t>
        </is>
      </c>
      <c r="E350" s="8" t="inlineStr">
        <is>
          <t>일반</t>
        </is>
      </c>
      <c r="F350" s="8" t="inlineStr">
        <is>
          <t>0000021344-20-000006</t>
        </is>
      </c>
      <c r="G350" s="15" t="n">
        <v>36.212</v>
      </c>
      <c r="H350" s="15" t="n">
        <v>6.89</v>
      </c>
      <c r="I350" s="15" t="n">
        <v>0.853</v>
      </c>
      <c r="J350" s="15" t="n">
        <v>5.607</v>
      </c>
      <c r="K350" s="15" t="n">
        <v>7.755</v>
      </c>
      <c r="L350" s="15" t="n">
        <v>1.248</v>
      </c>
      <c r="M350" s="15" t="n"/>
      <c r="N350" s="15" t="n">
        <v>1.26</v>
      </c>
      <c r="O350" s="15" t="n">
        <v>1.75</v>
      </c>
      <c r="P350" s="15" t="n">
        <v>7.041</v>
      </c>
      <c r="Q350" s="15" t="n">
        <v>0.219</v>
      </c>
      <c r="R350" s="15" t="n">
        <v>17.072</v>
      </c>
      <c r="S350" s="15" t="n">
        <v>23.062</v>
      </c>
      <c r="T350" s="15" t="n">
        <v>15.358</v>
      </c>
      <c r="U350" s="15" t="n">
        <v>18.15</v>
      </c>
      <c r="V350" s="15" t="n">
        <v>12.931</v>
      </c>
      <c r="W350" s="15" t="n">
        <v>12.33</v>
      </c>
      <c r="X350" s="15" t="n"/>
      <c r="Y350" s="15" t="n">
        <v>36.545</v>
      </c>
      <c r="Z350" s="15" t="n">
        <v>34.01</v>
      </c>
      <c r="AA350" s="15" t="n">
        <v>27.194</v>
      </c>
      <c r="AB350" s="15" t="n">
        <v>26.532</v>
      </c>
      <c r="AC350" s="15" t="n">
        <v>17.242</v>
      </c>
      <c r="AD350" s="16" t="n">
        <v>4324</v>
      </c>
      <c r="AE350" s="17">
        <f>IF(ISNUMBER(K350),K350,IF(AND(ISNUMBER(H350),ISNUMBER(I350)),H350+I350,IF(ISNUMBER(H350),H350,"")))</f>
        <v/>
      </c>
      <c r="AF350" s="18">
        <f>IF(OR(NOT(ISNUMBER(J350)),NOT(ISNUMBER(H350)),H350&lt;=0),기준표!$B$8,MIN(MAX(J350/H350,기준표!$B$6),기준표!$B$7))</f>
        <v/>
      </c>
      <c r="AG350" s="17">
        <f>IF(ISNUMBER(AE350),AE350*(1-AF350),"")</f>
        <v/>
      </c>
      <c r="AH350" s="17">
        <f>IF(AND(NOT(ISNUMBER(V350)),NOT(ISNUMBER(X350))),"",IF(ISNUMBER(V350),V350,0)+IF(ISNUMBER(X350),X350,0))</f>
        <v/>
      </c>
      <c r="AI350" s="17">
        <f>IF(E350="금융","",IF(AND(ISNUMBER(R350),ISNUMBER(AH350),ISNUMBER(T350)),R350+AH350-T350,""))</f>
        <v/>
      </c>
      <c r="AJ350" s="17">
        <f>IF(E350="금융","",IF(NOT(ISNUMBER(AI350)),"",IF(ISNUMBER(AC350),(AI350+AC350)/2,AI350)))</f>
        <v/>
      </c>
      <c r="AK350" s="19">
        <f>IF(AND(ISNUMBER(AG350),ISNUMBER(AJ350),AJ350&gt;0),AG350/AJ350,"")</f>
        <v/>
      </c>
      <c r="AL350" s="17">
        <f>IF(E350="금융","",IF(AND(ISNUMBER(R350),ISNUMBER(AH350)),R350+AH350,""))</f>
        <v/>
      </c>
      <c r="AM350" s="19">
        <f>IF(OR(NOT(ISNUMBER(AG350)),NOT(ISNUMBER(AL350)),AL350&lt;=0),"",IF(AND(ISNUMBER(G350),AL350&lt;0.1*G350),"",AG350/AL350))</f>
        <v/>
      </c>
      <c r="AN350" s="17">
        <f>IF(NOT(ISNUMBER(R350)),"",IF(ISNUMBER(S350),(R350+S350)/2,R350))</f>
        <v/>
      </c>
      <c r="AO350" s="19">
        <f>IF(AND(ISNUMBER(L350),ISNUMBER(AN350),AN350&gt;0),L350/AN350,"")</f>
        <v/>
      </c>
      <c r="AP350" s="19">
        <f>IF(AND(ISNUMBER(AO350),ISNUMBER({ROIC})),AO350-{ROIC},"")</f>
        <v/>
      </c>
      <c r="AQ350" s="17">
        <f>IF(AND(ISNUMBER(AE350),ISNUMBER(N350)),AE350+N350,"")</f>
        <v/>
      </c>
      <c r="AR350" s="20">
        <f>IF(AND(ISNUMBER(AH350),ISNUMBER(T350),ISNUMBER(AQ350),AQ350&gt;0),(AH350-T350)/AQ350,"")</f>
        <v/>
      </c>
      <c r="AS350" s="20">
        <f>IF(AND(ISNUMBER(AE350),ISNUMBER(I350),I350&lt;&gt;0,AE350&gt;0),AE350/I350,"")</f>
        <v/>
      </c>
      <c r="AT350" s="17">
        <f>IF(AND(ISNUMBER(Y350),ISNUMBER(AA350)),Y350-IF(ISNUMBER(T350),T350,0)-(AA350-IF(ISNUMBER(V350),V350,0)),"")</f>
        <v/>
      </c>
      <c r="AU350" s="17">
        <f>IF(AND(ISNUMBER(Z350),ISNUMBER(AB350)),Z350-IF(ISNUMBER(U350),U350,0)-(AB350-IF(ISNUMBER(W350),W350,0)),"")</f>
        <v/>
      </c>
      <c r="AV350" s="17">
        <f>IF(AND(ISNUMBER(AT350),ISNUMBER(AU350)),AT350-AU350,"")</f>
        <v/>
      </c>
      <c r="AW350" s="17">
        <f>IF(AND(ISNUMBER(L350),ISNUMBER(M350),ISNUMBER(AF350)),L350-M350*(1-AF350),IF(ISNUMBER(L350),L350,""))</f>
        <v/>
      </c>
      <c r="AX350" s="17">
        <f>IF(E350="금융","",IF(AND(ISNUMBER(AW350),ISNUMBER(N350),ISNUMBER(O350),ISNUMBER(AV350)),AW350+N350-O350-AV350,IF(AND(ISNUMBER(P350),ISNUMBER(O350)),P350-O350-IF(ISNUMBER(Q350),Q350,0),"")))</f>
        <v/>
      </c>
      <c r="AY350" s="8">
        <f>IF(E350="금융","금융업 - 정의되지 않음",IF(AND(ISNUMBER(AW350),ISNUMBER(N350),ISNUMBER(O350),ISNUMBER(AV350)),"영업순이익+감가상각-설비투자-운전자본증감",IF(AND(ISNUMBER(P350),ISNUMBER(O350)),IF(ISNUMBER(Q350),"영업현금흐름-설비투자-주식보상비용","영업현금흐름-설비투자(주식보상비용 미태깅)"),"산출불가")))</f>
        <v/>
      </c>
      <c r="AZ350" s="19">
        <f>IF(AND(ISNUMBER(AX350),ISNUMBER(G350),G350&lt;&gt;0),AX350/G350,"")</f>
        <v/>
      </c>
      <c r="BA350" s="19">
        <f>IF(AND(ISNUMBER(AE350),ISNUMBER(G350),G350&lt;&gt;0),AE350/G350,"")</f>
        <v/>
      </c>
    </row>
    <row r="351">
      <c r="A351" s="8" t="inlineStr">
        <is>
          <t>KO</t>
        </is>
      </c>
      <c r="B351" s="8" t="inlineStr">
        <is>
          <t>COCA COLA CO</t>
        </is>
      </c>
      <c r="C351" s="8" t="n">
        <v>2018</v>
      </c>
      <c r="D351" s="8" t="inlineStr">
        <is>
          <t>2018-12-31</t>
        </is>
      </c>
      <c r="E351" s="8" t="inlineStr">
        <is>
          <t>일반</t>
        </is>
      </c>
      <c r="F351" s="8" t="inlineStr">
        <is>
          <t>0000021344-21-000008</t>
        </is>
      </c>
      <c r="G351" s="15" t="n">
        <v>34.3</v>
      </c>
      <c r="H351" s="15" t="n">
        <v>8.225</v>
      </c>
      <c r="I351" s="15" t="n">
        <v>0.95</v>
      </c>
      <c r="J351" s="15" t="n">
        <v>1.749</v>
      </c>
      <c r="K351" s="15" t="n">
        <v>9.151999999999999</v>
      </c>
      <c r="L351" s="15" t="n">
        <v>6.434</v>
      </c>
      <c r="M351" s="15" t="n">
        <v>-0.25</v>
      </c>
      <c r="N351" s="15" t="n">
        <v>1.086</v>
      </c>
      <c r="O351" s="15" t="n">
        <v>1.548</v>
      </c>
      <c r="P351" s="15" t="n">
        <v>7.627</v>
      </c>
      <c r="Q351" s="15" t="n">
        <v>0.225</v>
      </c>
      <c r="R351" s="15" t="n">
        <v>16.981</v>
      </c>
      <c r="S351" s="15" t="n">
        <v>17.072</v>
      </c>
      <c r="T351" s="15" t="n">
        <v>11.102</v>
      </c>
      <c r="U351" s="15" t="n">
        <v>15.358</v>
      </c>
      <c r="V351" s="15" t="n">
        <v>13.063</v>
      </c>
      <c r="W351" s="15" t="n">
        <v>12.931</v>
      </c>
      <c r="X351" s="15" t="n"/>
      <c r="Y351" s="15" t="n">
        <v>24.93</v>
      </c>
      <c r="Z351" s="15" t="n">
        <v>36.545</v>
      </c>
      <c r="AA351" s="15" t="n">
        <v>28.782</v>
      </c>
      <c r="AB351" s="15" t="n">
        <v>27.194</v>
      </c>
      <c r="AC351" s="15" t="n">
        <v>14.645</v>
      </c>
      <c r="AD351" s="16" t="n">
        <v>4299</v>
      </c>
      <c r="AE351" s="17">
        <f>IF(ISNUMBER(K351),K351,IF(AND(ISNUMBER(H351),ISNUMBER(I351)),H351+I351,IF(ISNUMBER(H351),H351,"")))</f>
        <v/>
      </c>
      <c r="AF351" s="18">
        <f>IF(OR(NOT(ISNUMBER(J351)),NOT(ISNUMBER(H351)),H351&lt;=0),기준표!$B$8,MIN(MAX(J351/H351,기준표!$B$6),기준표!$B$7))</f>
        <v/>
      </c>
      <c r="AG351" s="17">
        <f>IF(ISNUMBER(AE351),AE351*(1-AF351),"")</f>
        <v/>
      </c>
      <c r="AH351" s="17">
        <f>IF(AND(NOT(ISNUMBER(V351)),NOT(ISNUMBER(X351))),"",IF(ISNUMBER(V351),V351,0)+IF(ISNUMBER(X351),X351,0))</f>
        <v/>
      </c>
      <c r="AI351" s="17">
        <f>IF(E351="금융","",IF(AND(ISNUMBER(R351),ISNUMBER(AH351),ISNUMBER(T351)),R351+AH351-T351,""))</f>
        <v/>
      </c>
      <c r="AJ351" s="17">
        <f>IF(E351="금융","",IF(NOT(ISNUMBER(AI351)),"",IF(ISNUMBER(AC351),(AI351+AC351)/2,AI351)))</f>
        <v/>
      </c>
      <c r="AK351" s="19">
        <f>IF(AND(ISNUMBER(AG351),ISNUMBER(AJ351),AJ351&gt;0),AG351/AJ351,"")</f>
        <v/>
      </c>
      <c r="AL351" s="17">
        <f>IF(E351="금융","",IF(AND(ISNUMBER(R351),ISNUMBER(AH351)),R351+AH351,""))</f>
        <v/>
      </c>
      <c r="AM351" s="19">
        <f>IF(OR(NOT(ISNUMBER(AG351)),NOT(ISNUMBER(AL351)),AL351&lt;=0),"",IF(AND(ISNUMBER(G351),AL351&lt;0.1*G351),"",AG351/AL351))</f>
        <v/>
      </c>
      <c r="AN351" s="17">
        <f>IF(NOT(ISNUMBER(R351)),"",IF(ISNUMBER(S351),(R351+S351)/2,R351))</f>
        <v/>
      </c>
      <c r="AO351" s="19">
        <f>IF(AND(ISNUMBER(L351),ISNUMBER(AN351),AN351&gt;0),L351/AN351,"")</f>
        <v/>
      </c>
      <c r="AP351" s="19">
        <f>IF(AND(ISNUMBER(AO351),ISNUMBER({ROIC})),AO351-{ROIC},"")</f>
        <v/>
      </c>
      <c r="AQ351" s="17">
        <f>IF(AND(ISNUMBER(AE351),ISNUMBER(N351)),AE351+N351,"")</f>
        <v/>
      </c>
      <c r="AR351" s="20">
        <f>IF(AND(ISNUMBER(AH351),ISNUMBER(T351),ISNUMBER(AQ351),AQ351&gt;0),(AH351-T351)/AQ351,"")</f>
        <v/>
      </c>
      <c r="AS351" s="20">
        <f>IF(AND(ISNUMBER(AE351),ISNUMBER(I351),I351&lt;&gt;0,AE351&gt;0),AE351/I351,"")</f>
        <v/>
      </c>
      <c r="AT351" s="17">
        <f>IF(AND(ISNUMBER(Y351),ISNUMBER(AA351)),Y351-IF(ISNUMBER(T351),T351,0)-(AA351-IF(ISNUMBER(V351),V351,0)),"")</f>
        <v/>
      </c>
      <c r="AU351" s="17">
        <f>IF(AND(ISNUMBER(Z351),ISNUMBER(AB351)),Z351-IF(ISNUMBER(U351),U351,0)-(AB351-IF(ISNUMBER(W351),W351,0)),"")</f>
        <v/>
      </c>
      <c r="AV351" s="17">
        <f>IF(AND(ISNUMBER(AT351),ISNUMBER(AU351)),AT351-AU351,"")</f>
        <v/>
      </c>
      <c r="AW351" s="17">
        <f>IF(AND(ISNUMBER(L351),ISNUMBER(M351),ISNUMBER(AF351)),L351-M351*(1-AF351),IF(ISNUMBER(L351),L351,""))</f>
        <v/>
      </c>
      <c r="AX351" s="17">
        <f>IF(E351="금융","",IF(AND(ISNUMBER(AW351),ISNUMBER(N351),ISNUMBER(O351),ISNUMBER(AV351)),AW351+N351-O351-AV351,IF(AND(ISNUMBER(P351),ISNUMBER(O351)),P351-O351-IF(ISNUMBER(Q351),Q351,0),"")))</f>
        <v/>
      </c>
      <c r="AY351" s="8">
        <f>IF(E351="금융","금융업 - 정의되지 않음",IF(AND(ISNUMBER(AW351),ISNUMBER(N351),ISNUMBER(O351),ISNUMBER(AV351)),"영업순이익+감가상각-설비투자-운전자본증감",IF(AND(ISNUMBER(P351),ISNUMBER(O351)),IF(ISNUMBER(Q351),"영업현금흐름-설비투자-주식보상비용","영업현금흐름-설비투자(주식보상비용 미태깅)"),"산출불가")))</f>
        <v/>
      </c>
      <c r="AZ351" s="19">
        <f>IF(AND(ISNUMBER(AX351),ISNUMBER(G351),G351&lt;&gt;0),AX351/G351,"")</f>
        <v/>
      </c>
      <c r="BA351" s="19">
        <f>IF(AND(ISNUMBER(AE351),ISNUMBER(G351),G351&lt;&gt;0),AE351/G351,"")</f>
        <v/>
      </c>
    </row>
    <row r="352">
      <c r="A352" s="8" t="inlineStr">
        <is>
          <t>KO</t>
        </is>
      </c>
      <c r="B352" s="8" t="inlineStr">
        <is>
          <t>COCA COLA CO</t>
        </is>
      </c>
      <c r="C352" s="8" t="n">
        <v>2019</v>
      </c>
      <c r="D352" s="8" t="inlineStr">
        <is>
          <t>2019-12-31</t>
        </is>
      </c>
      <c r="E352" s="8" t="inlineStr">
        <is>
          <t>일반</t>
        </is>
      </c>
      <c r="F352" s="8" t="inlineStr">
        <is>
          <t>0000021344-22-000009</t>
        </is>
      </c>
      <c r="G352" s="15" t="n">
        <v>37.266</v>
      </c>
      <c r="H352" s="15" t="n">
        <v>10.786</v>
      </c>
      <c r="I352" s="15" t="n">
        <v>0.946</v>
      </c>
      <c r="J352" s="15" t="n">
        <v>1.801</v>
      </c>
      <c r="K352" s="15" t="n">
        <v>10.086</v>
      </c>
      <c r="L352" s="15" t="n">
        <v>8.92</v>
      </c>
      <c r="M352" s="15" t="n">
        <v>0.218</v>
      </c>
      <c r="N352" s="15" t="n">
        <v>1.365</v>
      </c>
      <c r="O352" s="15" t="n">
        <v>2.054</v>
      </c>
      <c r="P352" s="15" t="n">
        <v>10.471</v>
      </c>
      <c r="Q352" s="15" t="n">
        <v>0.201</v>
      </c>
      <c r="R352" s="15" t="n">
        <v>18.981</v>
      </c>
      <c r="S352" s="15" t="n">
        <v>16.981</v>
      </c>
      <c r="T352" s="15" t="n">
        <v>7.947</v>
      </c>
      <c r="U352" s="15" t="n">
        <v>11.102</v>
      </c>
      <c r="V352" s="15" t="n">
        <v>10.007</v>
      </c>
      <c r="W352" s="15" t="n">
        <v>13.063</v>
      </c>
      <c r="X352" s="15" t="n"/>
      <c r="Y352" s="15" t="n">
        <v>20.411</v>
      </c>
      <c r="Z352" s="15" t="n">
        <v>24.93</v>
      </c>
      <c r="AA352" s="15" t="n">
        <v>26.973</v>
      </c>
      <c r="AB352" s="15" t="n">
        <v>28.782</v>
      </c>
      <c r="AC352" s="15" t="n">
        <v>18.942</v>
      </c>
      <c r="AD352" s="16" t="n">
        <v>4314</v>
      </c>
      <c r="AE352" s="17">
        <f>IF(ISNUMBER(K352),K352,IF(AND(ISNUMBER(H352),ISNUMBER(I352)),H352+I352,IF(ISNUMBER(H352),H352,"")))</f>
        <v/>
      </c>
      <c r="AF352" s="18">
        <f>IF(OR(NOT(ISNUMBER(J352)),NOT(ISNUMBER(H352)),H352&lt;=0),기준표!$B$8,MIN(MAX(J352/H352,기준표!$B$6),기준표!$B$7))</f>
        <v/>
      </c>
      <c r="AG352" s="17">
        <f>IF(ISNUMBER(AE352),AE352*(1-AF352),"")</f>
        <v/>
      </c>
      <c r="AH352" s="17">
        <f>IF(AND(NOT(ISNUMBER(V352)),NOT(ISNUMBER(X352))),"",IF(ISNUMBER(V352),V352,0)+IF(ISNUMBER(X352),X352,0))</f>
        <v/>
      </c>
      <c r="AI352" s="17">
        <f>IF(E352="금융","",IF(AND(ISNUMBER(R352),ISNUMBER(AH352),ISNUMBER(T352)),R352+AH352-T352,""))</f>
        <v/>
      </c>
      <c r="AJ352" s="17">
        <f>IF(E352="금융","",IF(NOT(ISNUMBER(AI352)),"",IF(ISNUMBER(AC352),(AI352+AC352)/2,AI352)))</f>
        <v/>
      </c>
      <c r="AK352" s="19">
        <f>IF(AND(ISNUMBER(AG352),ISNUMBER(AJ352),AJ352&gt;0),AG352/AJ352,"")</f>
        <v/>
      </c>
      <c r="AL352" s="17">
        <f>IF(E352="금융","",IF(AND(ISNUMBER(R352),ISNUMBER(AH352)),R352+AH352,""))</f>
        <v/>
      </c>
      <c r="AM352" s="19">
        <f>IF(OR(NOT(ISNUMBER(AG352)),NOT(ISNUMBER(AL352)),AL352&lt;=0),"",IF(AND(ISNUMBER(G352),AL352&lt;0.1*G352),"",AG352/AL352))</f>
        <v/>
      </c>
      <c r="AN352" s="17">
        <f>IF(NOT(ISNUMBER(R352)),"",IF(ISNUMBER(S352),(R352+S352)/2,R352))</f>
        <v/>
      </c>
      <c r="AO352" s="19">
        <f>IF(AND(ISNUMBER(L352),ISNUMBER(AN352),AN352&gt;0),L352/AN352,"")</f>
        <v/>
      </c>
      <c r="AP352" s="19">
        <f>IF(AND(ISNUMBER(AO352),ISNUMBER({ROIC})),AO352-{ROIC},"")</f>
        <v/>
      </c>
      <c r="AQ352" s="17">
        <f>IF(AND(ISNUMBER(AE352),ISNUMBER(N352)),AE352+N352,"")</f>
        <v/>
      </c>
      <c r="AR352" s="20">
        <f>IF(AND(ISNUMBER(AH352),ISNUMBER(T352),ISNUMBER(AQ352),AQ352&gt;0),(AH352-T352)/AQ352,"")</f>
        <v/>
      </c>
      <c r="AS352" s="20">
        <f>IF(AND(ISNUMBER(AE352),ISNUMBER(I352),I352&lt;&gt;0,AE352&gt;0),AE352/I352,"")</f>
        <v/>
      </c>
      <c r="AT352" s="17">
        <f>IF(AND(ISNUMBER(Y352),ISNUMBER(AA352)),Y352-IF(ISNUMBER(T352),T352,0)-(AA352-IF(ISNUMBER(V352),V352,0)),"")</f>
        <v/>
      </c>
      <c r="AU352" s="17">
        <f>IF(AND(ISNUMBER(Z352),ISNUMBER(AB352)),Z352-IF(ISNUMBER(U352),U352,0)-(AB352-IF(ISNUMBER(W352),W352,0)),"")</f>
        <v/>
      </c>
      <c r="AV352" s="17">
        <f>IF(AND(ISNUMBER(AT352),ISNUMBER(AU352)),AT352-AU352,"")</f>
        <v/>
      </c>
      <c r="AW352" s="17">
        <f>IF(AND(ISNUMBER(L352),ISNUMBER(M352),ISNUMBER(AF352)),L352-M352*(1-AF352),IF(ISNUMBER(L352),L352,""))</f>
        <v/>
      </c>
      <c r="AX352" s="17">
        <f>IF(E352="금융","",IF(AND(ISNUMBER(AW352),ISNUMBER(N352),ISNUMBER(O352),ISNUMBER(AV352)),AW352+N352-O352-AV352,IF(AND(ISNUMBER(P352),ISNUMBER(O352)),P352-O352-IF(ISNUMBER(Q352),Q352,0),"")))</f>
        <v/>
      </c>
      <c r="AY352" s="8">
        <f>IF(E352="금융","금융업 - 정의되지 않음",IF(AND(ISNUMBER(AW352),ISNUMBER(N352),ISNUMBER(O352),ISNUMBER(AV352)),"영업순이익+감가상각-설비투자-운전자본증감",IF(AND(ISNUMBER(P352),ISNUMBER(O352)),IF(ISNUMBER(Q352),"영업현금흐름-설비투자-주식보상비용","영업현금흐름-설비투자(주식보상비용 미태깅)"),"산출불가")))</f>
        <v/>
      </c>
      <c r="AZ352" s="19">
        <f>IF(AND(ISNUMBER(AX352),ISNUMBER(G352),G352&lt;&gt;0),AX352/G352,"")</f>
        <v/>
      </c>
      <c r="BA352" s="19">
        <f>IF(AND(ISNUMBER(AE352),ISNUMBER(G352),G352&lt;&gt;0),AE352/G352,"")</f>
        <v/>
      </c>
    </row>
    <row r="353">
      <c r="A353" s="8" t="inlineStr">
        <is>
          <t>KO</t>
        </is>
      </c>
      <c r="B353" s="8" t="inlineStr">
        <is>
          <t>COCA COLA CO</t>
        </is>
      </c>
      <c r="C353" s="8" t="n">
        <v>2020</v>
      </c>
      <c r="D353" s="8" t="inlineStr">
        <is>
          <t>2020-12-31</t>
        </is>
      </c>
      <c r="E353" s="8" t="inlineStr">
        <is>
          <t>일반</t>
        </is>
      </c>
      <c r="F353" s="8" t="inlineStr">
        <is>
          <t>0000021344-23-000011</t>
        </is>
      </c>
      <c r="G353" s="15" t="n">
        <v>33.014</v>
      </c>
      <c r="H353" s="15" t="n">
        <v>9.749000000000001</v>
      </c>
      <c r="I353" s="15" t="n">
        <v>1.437</v>
      </c>
      <c r="J353" s="15" t="n">
        <v>1.981</v>
      </c>
      <c r="K353" s="15" t="n">
        <v>8.997</v>
      </c>
      <c r="L353" s="15" t="n">
        <v>7.747</v>
      </c>
      <c r="M353" s="15" t="n">
        <v>0.146</v>
      </c>
      <c r="N353" s="15" t="n">
        <v>1.536</v>
      </c>
      <c r="O353" s="15" t="n">
        <v>1.177</v>
      </c>
      <c r="P353" s="15" t="n">
        <v>9.843999999999999</v>
      </c>
      <c r="Q353" s="15" t="n">
        <v>0.126</v>
      </c>
      <c r="R353" s="15" t="n">
        <v>19.299</v>
      </c>
      <c r="S353" s="15" t="n">
        <v>18.981</v>
      </c>
      <c r="T353" s="15" t="n">
        <v>8.566000000000001</v>
      </c>
      <c r="U353" s="15" t="n">
        <v>7.947</v>
      </c>
      <c r="V353" s="15" t="n">
        <v>1.329</v>
      </c>
      <c r="W353" s="15" t="n">
        <v>10.007</v>
      </c>
      <c r="X353" s="15" t="n"/>
      <c r="Y353" s="15" t="n">
        <v>19.24</v>
      </c>
      <c r="Z353" s="15" t="n">
        <v>20.411</v>
      </c>
      <c r="AA353" s="15" t="n">
        <v>14.601</v>
      </c>
      <c r="AB353" s="15" t="n">
        <v>26.973</v>
      </c>
      <c r="AC353" s="15" t="n">
        <v>21.041</v>
      </c>
      <c r="AD353" s="16" t="n">
        <v>4323</v>
      </c>
      <c r="AE353" s="17">
        <f>IF(ISNUMBER(K353),K353,IF(AND(ISNUMBER(H353),ISNUMBER(I353)),H353+I353,IF(ISNUMBER(H353),H353,"")))</f>
        <v/>
      </c>
      <c r="AF353" s="18">
        <f>IF(OR(NOT(ISNUMBER(J353)),NOT(ISNUMBER(H353)),H353&lt;=0),기준표!$B$8,MIN(MAX(J353/H353,기준표!$B$6),기준표!$B$7))</f>
        <v/>
      </c>
      <c r="AG353" s="17">
        <f>IF(ISNUMBER(AE353),AE353*(1-AF353),"")</f>
        <v/>
      </c>
      <c r="AH353" s="17">
        <f>IF(AND(NOT(ISNUMBER(V353)),NOT(ISNUMBER(X353))),"",IF(ISNUMBER(V353),V353,0)+IF(ISNUMBER(X353),X353,0))</f>
        <v/>
      </c>
      <c r="AI353" s="17">
        <f>IF(E353="금융","",IF(AND(ISNUMBER(R353),ISNUMBER(AH353),ISNUMBER(T353)),R353+AH353-T353,""))</f>
        <v/>
      </c>
      <c r="AJ353" s="17">
        <f>IF(E353="금융","",IF(NOT(ISNUMBER(AI353)),"",IF(ISNUMBER(AC353),(AI353+AC353)/2,AI353)))</f>
        <v/>
      </c>
      <c r="AK353" s="19">
        <f>IF(AND(ISNUMBER(AG353),ISNUMBER(AJ353),AJ353&gt;0),AG353/AJ353,"")</f>
        <v/>
      </c>
      <c r="AL353" s="17">
        <f>IF(E353="금융","",IF(AND(ISNUMBER(R353),ISNUMBER(AH353)),R353+AH353,""))</f>
        <v/>
      </c>
      <c r="AM353" s="19">
        <f>IF(OR(NOT(ISNUMBER(AG353)),NOT(ISNUMBER(AL353)),AL353&lt;=0),"",IF(AND(ISNUMBER(G353),AL353&lt;0.1*G353),"",AG353/AL353))</f>
        <v/>
      </c>
      <c r="AN353" s="17">
        <f>IF(NOT(ISNUMBER(R353)),"",IF(ISNUMBER(S353),(R353+S353)/2,R353))</f>
        <v/>
      </c>
      <c r="AO353" s="19">
        <f>IF(AND(ISNUMBER(L353),ISNUMBER(AN353),AN353&gt;0),L353/AN353,"")</f>
        <v/>
      </c>
      <c r="AP353" s="19">
        <f>IF(AND(ISNUMBER(AO353),ISNUMBER({ROIC})),AO353-{ROIC},"")</f>
        <v/>
      </c>
      <c r="AQ353" s="17">
        <f>IF(AND(ISNUMBER(AE353),ISNUMBER(N353)),AE353+N353,"")</f>
        <v/>
      </c>
      <c r="AR353" s="20">
        <f>IF(AND(ISNUMBER(AH353),ISNUMBER(T353),ISNUMBER(AQ353),AQ353&gt;0),(AH353-T353)/AQ353,"")</f>
        <v/>
      </c>
      <c r="AS353" s="20">
        <f>IF(AND(ISNUMBER(AE353),ISNUMBER(I353),I353&lt;&gt;0,AE353&gt;0),AE353/I353,"")</f>
        <v/>
      </c>
      <c r="AT353" s="17">
        <f>IF(AND(ISNUMBER(Y353),ISNUMBER(AA353)),Y353-IF(ISNUMBER(T353),T353,0)-(AA353-IF(ISNUMBER(V353),V353,0)),"")</f>
        <v/>
      </c>
      <c r="AU353" s="17">
        <f>IF(AND(ISNUMBER(Z353),ISNUMBER(AB353)),Z353-IF(ISNUMBER(U353),U353,0)-(AB353-IF(ISNUMBER(W353),W353,0)),"")</f>
        <v/>
      </c>
      <c r="AV353" s="17">
        <f>IF(AND(ISNUMBER(AT353),ISNUMBER(AU353)),AT353-AU353,"")</f>
        <v/>
      </c>
      <c r="AW353" s="17">
        <f>IF(AND(ISNUMBER(L353),ISNUMBER(M353),ISNUMBER(AF353)),L353-M353*(1-AF353),IF(ISNUMBER(L353),L353,""))</f>
        <v/>
      </c>
      <c r="AX353" s="17">
        <f>IF(E353="금융","",IF(AND(ISNUMBER(AW353),ISNUMBER(N353),ISNUMBER(O353),ISNUMBER(AV353)),AW353+N353-O353-AV353,IF(AND(ISNUMBER(P353),ISNUMBER(O353)),P353-O353-IF(ISNUMBER(Q353),Q353,0),"")))</f>
        <v/>
      </c>
      <c r="AY353" s="8">
        <f>IF(E353="금융","금융업 - 정의되지 않음",IF(AND(ISNUMBER(AW353),ISNUMBER(N353),ISNUMBER(O353),ISNUMBER(AV353)),"영업순이익+감가상각-설비투자-운전자본증감",IF(AND(ISNUMBER(P353),ISNUMBER(O353)),IF(ISNUMBER(Q353),"영업현금흐름-설비투자-주식보상비용","영업현금흐름-설비투자(주식보상비용 미태깅)"),"산출불가")))</f>
        <v/>
      </c>
      <c r="AZ353" s="19">
        <f>IF(AND(ISNUMBER(AX353),ISNUMBER(G353),G353&lt;&gt;0),AX353/G353,"")</f>
        <v/>
      </c>
      <c r="BA353" s="19">
        <f>IF(AND(ISNUMBER(AE353),ISNUMBER(G353),G353&lt;&gt;0),AE353/G353,"")</f>
        <v/>
      </c>
    </row>
    <row r="354">
      <c r="A354" s="8" t="inlineStr">
        <is>
          <t>KO</t>
        </is>
      </c>
      <c r="B354" s="8" t="inlineStr">
        <is>
          <t>COCA COLA CO</t>
        </is>
      </c>
      <c r="C354" s="8" t="n">
        <v>2021</v>
      </c>
      <c r="D354" s="8" t="inlineStr">
        <is>
          <t>2021-12-31</t>
        </is>
      </c>
      <c r="E354" s="8" t="inlineStr">
        <is>
          <t>일반</t>
        </is>
      </c>
      <c r="F354" s="8" t="inlineStr">
        <is>
          <t>0000021344-24-000009</t>
        </is>
      </c>
      <c r="G354" s="15" t="n">
        <v>38.655</v>
      </c>
      <c r="H354" s="15" t="n">
        <v>12.425</v>
      </c>
      <c r="I354" s="15" t="n">
        <v>1.597</v>
      </c>
      <c r="J354" s="15" t="n">
        <v>2.621</v>
      </c>
      <c r="K354" s="15" t="n">
        <v>10.308</v>
      </c>
      <c r="L354" s="15" t="n">
        <v>9.771000000000001</v>
      </c>
      <c r="M354" s="15" t="n">
        <v>0.509</v>
      </c>
      <c r="N354" s="15" t="n">
        <v>1.452</v>
      </c>
      <c r="O354" s="15" t="n">
        <v>1.367</v>
      </c>
      <c r="P354" s="15" t="n">
        <v>12.625</v>
      </c>
      <c r="Q354" s="15" t="n">
        <v>0.337</v>
      </c>
      <c r="R354" s="15" t="n">
        <v>22.999</v>
      </c>
      <c r="S354" s="15" t="n">
        <v>19.299</v>
      </c>
      <c r="T354" s="15" t="n">
        <v>10.926</v>
      </c>
      <c r="U354" s="15" t="n">
        <v>8.566000000000001</v>
      </c>
      <c r="V354" s="15" t="n">
        <v>2.462</v>
      </c>
      <c r="W354" s="15" t="n">
        <v>1.329</v>
      </c>
      <c r="X354" s="15" t="n"/>
      <c r="Y354" s="15" t="n">
        <v>22.545</v>
      </c>
      <c r="Z354" s="15" t="n">
        <v>19.24</v>
      </c>
      <c r="AA354" s="15" t="n">
        <v>19.95</v>
      </c>
      <c r="AB354" s="15" t="n">
        <v>14.601</v>
      </c>
      <c r="AC354" s="15" t="n">
        <v>12.062</v>
      </c>
      <c r="AD354" s="16" t="n">
        <v>4340</v>
      </c>
      <c r="AE354" s="17">
        <f>IF(ISNUMBER(K354),K354,IF(AND(ISNUMBER(H354),ISNUMBER(I354)),H354+I354,IF(ISNUMBER(H354),H354,"")))</f>
        <v/>
      </c>
      <c r="AF354" s="18">
        <f>IF(OR(NOT(ISNUMBER(J354)),NOT(ISNUMBER(H354)),H354&lt;=0),기준표!$B$8,MIN(MAX(J354/H354,기준표!$B$6),기준표!$B$7))</f>
        <v/>
      </c>
      <c r="AG354" s="17">
        <f>IF(ISNUMBER(AE354),AE354*(1-AF354),"")</f>
        <v/>
      </c>
      <c r="AH354" s="17">
        <f>IF(AND(NOT(ISNUMBER(V354)),NOT(ISNUMBER(X354))),"",IF(ISNUMBER(V354),V354,0)+IF(ISNUMBER(X354),X354,0))</f>
        <v/>
      </c>
      <c r="AI354" s="17">
        <f>IF(E354="금융","",IF(AND(ISNUMBER(R354),ISNUMBER(AH354),ISNUMBER(T354)),R354+AH354-T354,""))</f>
        <v/>
      </c>
      <c r="AJ354" s="17">
        <f>IF(E354="금융","",IF(NOT(ISNUMBER(AI354)),"",IF(ISNUMBER(AC354),(AI354+AC354)/2,AI354)))</f>
        <v/>
      </c>
      <c r="AK354" s="19">
        <f>IF(AND(ISNUMBER(AG354),ISNUMBER(AJ354),AJ354&gt;0),AG354/AJ354,"")</f>
        <v/>
      </c>
      <c r="AL354" s="17">
        <f>IF(E354="금융","",IF(AND(ISNUMBER(R354),ISNUMBER(AH354)),R354+AH354,""))</f>
        <v/>
      </c>
      <c r="AM354" s="19">
        <f>IF(OR(NOT(ISNUMBER(AG354)),NOT(ISNUMBER(AL354)),AL354&lt;=0),"",IF(AND(ISNUMBER(G354),AL354&lt;0.1*G354),"",AG354/AL354))</f>
        <v/>
      </c>
      <c r="AN354" s="17">
        <f>IF(NOT(ISNUMBER(R354)),"",IF(ISNUMBER(S354),(R354+S354)/2,R354))</f>
        <v/>
      </c>
      <c r="AO354" s="19">
        <f>IF(AND(ISNUMBER(L354),ISNUMBER(AN354),AN354&gt;0),L354/AN354,"")</f>
        <v/>
      </c>
      <c r="AP354" s="19">
        <f>IF(AND(ISNUMBER(AO354),ISNUMBER({ROIC})),AO354-{ROIC},"")</f>
        <v/>
      </c>
      <c r="AQ354" s="17">
        <f>IF(AND(ISNUMBER(AE354),ISNUMBER(N354)),AE354+N354,"")</f>
        <v/>
      </c>
      <c r="AR354" s="20">
        <f>IF(AND(ISNUMBER(AH354),ISNUMBER(T354),ISNUMBER(AQ354),AQ354&gt;0),(AH354-T354)/AQ354,"")</f>
        <v/>
      </c>
      <c r="AS354" s="20">
        <f>IF(AND(ISNUMBER(AE354),ISNUMBER(I354),I354&lt;&gt;0,AE354&gt;0),AE354/I354,"")</f>
        <v/>
      </c>
      <c r="AT354" s="17">
        <f>IF(AND(ISNUMBER(Y354),ISNUMBER(AA354)),Y354-IF(ISNUMBER(T354),T354,0)-(AA354-IF(ISNUMBER(V354),V354,0)),"")</f>
        <v/>
      </c>
      <c r="AU354" s="17">
        <f>IF(AND(ISNUMBER(Z354),ISNUMBER(AB354)),Z354-IF(ISNUMBER(U354),U354,0)-(AB354-IF(ISNUMBER(W354),W354,0)),"")</f>
        <v/>
      </c>
      <c r="AV354" s="17">
        <f>IF(AND(ISNUMBER(AT354),ISNUMBER(AU354)),AT354-AU354,"")</f>
        <v/>
      </c>
      <c r="AW354" s="17">
        <f>IF(AND(ISNUMBER(L354),ISNUMBER(M354),ISNUMBER(AF354)),L354-M354*(1-AF354),IF(ISNUMBER(L354),L354,""))</f>
        <v/>
      </c>
      <c r="AX354" s="17">
        <f>IF(E354="금융","",IF(AND(ISNUMBER(AW354),ISNUMBER(N354),ISNUMBER(O354),ISNUMBER(AV354)),AW354+N354-O354-AV354,IF(AND(ISNUMBER(P354),ISNUMBER(O354)),P354-O354-IF(ISNUMBER(Q354),Q354,0),"")))</f>
        <v/>
      </c>
      <c r="AY354" s="8">
        <f>IF(E354="금융","금융업 - 정의되지 않음",IF(AND(ISNUMBER(AW354),ISNUMBER(N354),ISNUMBER(O354),ISNUMBER(AV354)),"영업순이익+감가상각-설비투자-운전자본증감",IF(AND(ISNUMBER(P354),ISNUMBER(O354)),IF(ISNUMBER(Q354),"영업현금흐름-설비투자-주식보상비용","영업현금흐름-설비투자(주식보상비용 미태깅)"),"산출불가")))</f>
        <v/>
      </c>
      <c r="AZ354" s="19">
        <f>IF(AND(ISNUMBER(AX354),ISNUMBER(G354),G354&lt;&gt;0),AX354/G354,"")</f>
        <v/>
      </c>
      <c r="BA354" s="19">
        <f>IF(AND(ISNUMBER(AE354),ISNUMBER(G354),G354&lt;&gt;0),AE354/G354,"")</f>
        <v/>
      </c>
    </row>
    <row r="355">
      <c r="A355" s="8" t="inlineStr">
        <is>
          <t>KO</t>
        </is>
      </c>
      <c r="B355" s="8" t="inlineStr">
        <is>
          <t>COCA COLA CO</t>
        </is>
      </c>
      <c r="C355" s="8" t="n">
        <v>2022</v>
      </c>
      <c r="D355" s="8" t="inlineStr">
        <is>
          <t>2022-12-31</t>
        </is>
      </c>
      <c r="E355" s="8" t="inlineStr">
        <is>
          <t>일반</t>
        </is>
      </c>
      <c r="F355" s="8" t="inlineStr">
        <is>
          <t>0000021344-25-000011</t>
        </is>
      </c>
      <c r="G355" s="15" t="n">
        <v>43.004</v>
      </c>
      <c r="H355" s="15" t="n">
        <v>11.686</v>
      </c>
      <c r="I355" s="15" t="n">
        <v>0.882</v>
      </c>
      <c r="J355" s="15" t="n">
        <v>2.115</v>
      </c>
      <c r="K355" s="15" t="n">
        <v>10.909</v>
      </c>
      <c r="L355" s="15" t="n">
        <v>9.542</v>
      </c>
      <c r="M355" s="15" t="n">
        <v>-0.236</v>
      </c>
      <c r="N355" s="15" t="n">
        <v>1.26</v>
      </c>
      <c r="O355" s="15" t="n">
        <v>1.484</v>
      </c>
      <c r="P355" s="15" t="n">
        <v>11.018</v>
      </c>
      <c r="Q355" s="15" t="n">
        <v>0.356</v>
      </c>
      <c r="R355" s="15" t="n">
        <v>24.105</v>
      </c>
      <c r="S355" s="15" t="n">
        <v>22.999</v>
      </c>
      <c r="T355" s="15" t="n">
        <v>10.562</v>
      </c>
      <c r="U355" s="15" t="n">
        <v>10.926</v>
      </c>
      <c r="V355" s="15" t="n">
        <v>2.146</v>
      </c>
      <c r="W355" s="15" t="n">
        <v>2.462</v>
      </c>
      <c r="X355" s="15" t="n"/>
      <c r="Y355" s="15" t="n">
        <v>22.591</v>
      </c>
      <c r="Z355" s="15" t="n">
        <v>22.545</v>
      </c>
      <c r="AA355" s="15" t="n">
        <v>19.724</v>
      </c>
      <c r="AB355" s="15" t="n">
        <v>19.95</v>
      </c>
      <c r="AC355" s="15" t="n">
        <v>14.535</v>
      </c>
      <c r="AD355" s="16" t="n">
        <v>4350</v>
      </c>
      <c r="AE355" s="17">
        <f>IF(ISNUMBER(K355),K355,IF(AND(ISNUMBER(H355),ISNUMBER(I355)),H355+I355,IF(ISNUMBER(H355),H355,"")))</f>
        <v/>
      </c>
      <c r="AF355" s="18">
        <f>IF(OR(NOT(ISNUMBER(J355)),NOT(ISNUMBER(H355)),H355&lt;=0),기준표!$B$8,MIN(MAX(J355/H355,기준표!$B$6),기준표!$B$7))</f>
        <v/>
      </c>
      <c r="AG355" s="17">
        <f>IF(ISNUMBER(AE355),AE355*(1-AF355),"")</f>
        <v/>
      </c>
      <c r="AH355" s="17">
        <f>IF(AND(NOT(ISNUMBER(V355)),NOT(ISNUMBER(X355))),"",IF(ISNUMBER(V355),V355,0)+IF(ISNUMBER(X355),X355,0))</f>
        <v/>
      </c>
      <c r="AI355" s="17">
        <f>IF(E355="금융","",IF(AND(ISNUMBER(R355),ISNUMBER(AH355),ISNUMBER(T355)),R355+AH355-T355,""))</f>
        <v/>
      </c>
      <c r="AJ355" s="17">
        <f>IF(E355="금융","",IF(NOT(ISNUMBER(AI355)),"",IF(ISNUMBER(AC355),(AI355+AC355)/2,AI355)))</f>
        <v/>
      </c>
      <c r="AK355" s="19">
        <f>IF(AND(ISNUMBER(AG355),ISNUMBER(AJ355),AJ355&gt;0),AG355/AJ355,"")</f>
        <v/>
      </c>
      <c r="AL355" s="17">
        <f>IF(E355="금융","",IF(AND(ISNUMBER(R355),ISNUMBER(AH355)),R355+AH355,""))</f>
        <v/>
      </c>
      <c r="AM355" s="19">
        <f>IF(OR(NOT(ISNUMBER(AG355)),NOT(ISNUMBER(AL355)),AL355&lt;=0),"",IF(AND(ISNUMBER(G355),AL355&lt;0.1*G355),"",AG355/AL355))</f>
        <v/>
      </c>
      <c r="AN355" s="17">
        <f>IF(NOT(ISNUMBER(R355)),"",IF(ISNUMBER(S355),(R355+S355)/2,R355))</f>
        <v/>
      </c>
      <c r="AO355" s="19">
        <f>IF(AND(ISNUMBER(L355),ISNUMBER(AN355),AN355&gt;0),L355/AN355,"")</f>
        <v/>
      </c>
      <c r="AP355" s="19">
        <f>IF(AND(ISNUMBER(AO355),ISNUMBER({ROIC})),AO355-{ROIC},"")</f>
        <v/>
      </c>
      <c r="AQ355" s="17">
        <f>IF(AND(ISNUMBER(AE355),ISNUMBER(N355)),AE355+N355,"")</f>
        <v/>
      </c>
      <c r="AR355" s="20">
        <f>IF(AND(ISNUMBER(AH355),ISNUMBER(T355),ISNUMBER(AQ355),AQ355&gt;0),(AH355-T355)/AQ355,"")</f>
        <v/>
      </c>
      <c r="AS355" s="20">
        <f>IF(AND(ISNUMBER(AE355),ISNUMBER(I355),I355&lt;&gt;0,AE355&gt;0),AE355/I355,"")</f>
        <v/>
      </c>
      <c r="AT355" s="17">
        <f>IF(AND(ISNUMBER(Y355),ISNUMBER(AA355)),Y355-IF(ISNUMBER(T355),T355,0)-(AA355-IF(ISNUMBER(V355),V355,0)),"")</f>
        <v/>
      </c>
      <c r="AU355" s="17">
        <f>IF(AND(ISNUMBER(Z355),ISNUMBER(AB355)),Z355-IF(ISNUMBER(U355),U355,0)-(AB355-IF(ISNUMBER(W355),W355,0)),"")</f>
        <v/>
      </c>
      <c r="AV355" s="17">
        <f>IF(AND(ISNUMBER(AT355),ISNUMBER(AU355)),AT355-AU355,"")</f>
        <v/>
      </c>
      <c r="AW355" s="17">
        <f>IF(AND(ISNUMBER(L355),ISNUMBER(M355),ISNUMBER(AF355)),L355-M355*(1-AF355),IF(ISNUMBER(L355),L355,""))</f>
        <v/>
      </c>
      <c r="AX355" s="17">
        <f>IF(E355="금융","",IF(AND(ISNUMBER(AW355),ISNUMBER(N355),ISNUMBER(O355),ISNUMBER(AV355)),AW355+N355-O355-AV355,IF(AND(ISNUMBER(P355),ISNUMBER(O355)),P355-O355-IF(ISNUMBER(Q355),Q355,0),"")))</f>
        <v/>
      </c>
      <c r="AY355" s="8">
        <f>IF(E355="금융","금융업 - 정의되지 않음",IF(AND(ISNUMBER(AW355),ISNUMBER(N355),ISNUMBER(O355),ISNUMBER(AV355)),"영업순이익+감가상각-설비투자-운전자본증감",IF(AND(ISNUMBER(P355),ISNUMBER(O355)),IF(ISNUMBER(Q355),"영업현금흐름-설비투자-주식보상비용","영업현금흐름-설비투자(주식보상비용 미태깅)"),"산출불가")))</f>
        <v/>
      </c>
      <c r="AZ355" s="19">
        <f>IF(AND(ISNUMBER(AX355),ISNUMBER(G355),G355&lt;&gt;0),AX355/G355,"")</f>
        <v/>
      </c>
      <c r="BA355" s="19">
        <f>IF(AND(ISNUMBER(AE355),ISNUMBER(G355),G355&lt;&gt;0),AE355/G355,"")</f>
        <v/>
      </c>
    </row>
    <row r="356">
      <c r="A356" s="8" t="inlineStr">
        <is>
          <t>KO</t>
        </is>
      </c>
      <c r="B356" s="8" t="inlineStr">
        <is>
          <t>COCA COLA CO</t>
        </is>
      </c>
      <c r="C356" s="8" t="n">
        <v>2023</v>
      </c>
      <c r="D356" s="8" t="inlineStr">
        <is>
          <t>2023-12-31</t>
        </is>
      </c>
      <c r="E356" s="8" t="inlineStr">
        <is>
          <t>일반</t>
        </is>
      </c>
      <c r="F356" s="8" t="inlineStr">
        <is>
          <t>0001628280-26-010047</t>
        </is>
      </c>
      <c r="G356" s="15" t="n">
        <v>45.754</v>
      </c>
      <c r="H356" s="15" t="n">
        <v>12.952</v>
      </c>
      <c r="I356" s="15" t="n">
        <v>1.527</v>
      </c>
      <c r="J356" s="15" t="n">
        <v>2.249</v>
      </c>
      <c r="K356" s="15" t="n">
        <v>11.311</v>
      </c>
      <c r="L356" s="15" t="n">
        <v>10.714</v>
      </c>
      <c r="M356" s="15" t="n">
        <v>0.371</v>
      </c>
      <c r="N356" s="15" t="n">
        <v>1.128</v>
      </c>
      <c r="O356" s="15" t="n">
        <v>1.852</v>
      </c>
      <c r="P356" s="15" t="n">
        <v>11.599</v>
      </c>
      <c r="Q356" s="15" t="n">
        <v>0.254</v>
      </c>
      <c r="R356" s="15" t="n">
        <v>25.941</v>
      </c>
      <c r="S356" s="15" t="n">
        <v>24.105</v>
      </c>
      <c r="T356" s="15" t="n">
        <v>12.363</v>
      </c>
      <c r="U356" s="15" t="n">
        <v>10.562</v>
      </c>
      <c r="V356" s="15" t="n">
        <v>4.209</v>
      </c>
      <c r="W356" s="15" t="n">
        <v>2.146</v>
      </c>
      <c r="X356" s="15" t="n">
        <v>35.547</v>
      </c>
      <c r="Y356" s="15" t="n">
        <v>26.732</v>
      </c>
      <c r="Z356" s="15" t="n">
        <v>22.591</v>
      </c>
      <c r="AA356" s="15" t="n">
        <v>23.571</v>
      </c>
      <c r="AB356" s="15" t="n">
        <v>19.724</v>
      </c>
      <c r="AC356" s="15" t="n">
        <v>15.689</v>
      </c>
      <c r="AD356" s="16" t="n">
        <v>4339</v>
      </c>
      <c r="AE356" s="17">
        <f>IF(ISNUMBER(K356),K356,IF(AND(ISNUMBER(H356),ISNUMBER(I356)),H356+I356,IF(ISNUMBER(H356),H356,"")))</f>
        <v/>
      </c>
      <c r="AF356" s="18">
        <f>IF(OR(NOT(ISNUMBER(J356)),NOT(ISNUMBER(H356)),H356&lt;=0),기준표!$B$8,MIN(MAX(J356/H356,기준표!$B$6),기준표!$B$7))</f>
        <v/>
      </c>
      <c r="AG356" s="17">
        <f>IF(ISNUMBER(AE356),AE356*(1-AF356),"")</f>
        <v/>
      </c>
      <c r="AH356" s="17">
        <f>IF(AND(NOT(ISNUMBER(V356)),NOT(ISNUMBER(X356))),"",IF(ISNUMBER(V356),V356,0)+IF(ISNUMBER(X356),X356,0))</f>
        <v/>
      </c>
      <c r="AI356" s="17">
        <f>IF(E356="금융","",IF(AND(ISNUMBER(R356),ISNUMBER(AH356),ISNUMBER(T356)),R356+AH356-T356,""))</f>
        <v/>
      </c>
      <c r="AJ356" s="17">
        <f>IF(E356="금융","",IF(NOT(ISNUMBER(AI356)),"",IF(ISNUMBER(AC356),(AI356+AC356)/2,AI356)))</f>
        <v/>
      </c>
      <c r="AK356" s="19">
        <f>IF(AND(ISNUMBER(AG356),ISNUMBER(AJ356),AJ356&gt;0),AG356/AJ356,"")</f>
        <v/>
      </c>
      <c r="AL356" s="17">
        <f>IF(E356="금융","",IF(AND(ISNUMBER(R356),ISNUMBER(AH356)),R356+AH356,""))</f>
        <v/>
      </c>
      <c r="AM356" s="19">
        <f>IF(OR(NOT(ISNUMBER(AG356)),NOT(ISNUMBER(AL356)),AL356&lt;=0),"",IF(AND(ISNUMBER(G356),AL356&lt;0.1*G356),"",AG356/AL356))</f>
        <v/>
      </c>
      <c r="AN356" s="17">
        <f>IF(NOT(ISNUMBER(R356)),"",IF(ISNUMBER(S356),(R356+S356)/2,R356))</f>
        <v/>
      </c>
      <c r="AO356" s="19">
        <f>IF(AND(ISNUMBER(L356),ISNUMBER(AN356),AN356&gt;0),L356/AN356,"")</f>
        <v/>
      </c>
      <c r="AP356" s="19">
        <f>IF(AND(ISNUMBER(AO356),ISNUMBER({ROIC})),AO356-{ROIC},"")</f>
        <v/>
      </c>
      <c r="AQ356" s="17">
        <f>IF(AND(ISNUMBER(AE356),ISNUMBER(N356)),AE356+N356,"")</f>
        <v/>
      </c>
      <c r="AR356" s="20">
        <f>IF(AND(ISNUMBER(AH356),ISNUMBER(T356),ISNUMBER(AQ356),AQ356&gt;0),(AH356-T356)/AQ356,"")</f>
        <v/>
      </c>
      <c r="AS356" s="20">
        <f>IF(AND(ISNUMBER(AE356),ISNUMBER(I356),I356&lt;&gt;0,AE356&gt;0),AE356/I356,"")</f>
        <v/>
      </c>
      <c r="AT356" s="17">
        <f>IF(AND(ISNUMBER(Y356),ISNUMBER(AA356)),Y356-IF(ISNUMBER(T356),T356,0)-(AA356-IF(ISNUMBER(V356),V356,0)),"")</f>
        <v/>
      </c>
      <c r="AU356" s="17">
        <f>IF(AND(ISNUMBER(Z356),ISNUMBER(AB356)),Z356-IF(ISNUMBER(U356),U356,0)-(AB356-IF(ISNUMBER(W356),W356,0)),"")</f>
        <v/>
      </c>
      <c r="AV356" s="17">
        <f>IF(AND(ISNUMBER(AT356),ISNUMBER(AU356)),AT356-AU356,"")</f>
        <v/>
      </c>
      <c r="AW356" s="17">
        <f>IF(AND(ISNUMBER(L356),ISNUMBER(M356),ISNUMBER(AF356)),L356-M356*(1-AF356),IF(ISNUMBER(L356),L356,""))</f>
        <v/>
      </c>
      <c r="AX356" s="17">
        <f>IF(E356="금융","",IF(AND(ISNUMBER(AW356),ISNUMBER(N356),ISNUMBER(O356),ISNUMBER(AV356)),AW356+N356-O356-AV356,IF(AND(ISNUMBER(P356),ISNUMBER(O356)),P356-O356-IF(ISNUMBER(Q356),Q356,0),"")))</f>
        <v/>
      </c>
      <c r="AY356" s="8">
        <f>IF(E356="금융","금융업 - 정의되지 않음",IF(AND(ISNUMBER(AW356),ISNUMBER(N356),ISNUMBER(O356),ISNUMBER(AV356)),"영업순이익+감가상각-설비투자-운전자본증감",IF(AND(ISNUMBER(P356),ISNUMBER(O356)),IF(ISNUMBER(Q356),"영업현금흐름-설비투자-주식보상비용","영업현금흐름-설비투자(주식보상비용 미태깅)"),"산출불가")))</f>
        <v/>
      </c>
      <c r="AZ356" s="19">
        <f>IF(AND(ISNUMBER(AX356),ISNUMBER(G356),G356&lt;&gt;0),AX356/G356,"")</f>
        <v/>
      </c>
      <c r="BA356" s="19">
        <f>IF(AND(ISNUMBER(AE356),ISNUMBER(G356),G356&lt;&gt;0),AE356/G356,"")</f>
        <v/>
      </c>
    </row>
    <row r="357">
      <c r="A357" s="8" t="inlineStr">
        <is>
          <t>KO</t>
        </is>
      </c>
      <c r="B357" s="8" t="inlineStr">
        <is>
          <t>COCA COLA CO</t>
        </is>
      </c>
      <c r="C357" s="8" t="n">
        <v>2024</v>
      </c>
      <c r="D357" s="8" t="inlineStr">
        <is>
          <t>2024-12-31</t>
        </is>
      </c>
      <c r="E357" s="8" t="inlineStr">
        <is>
          <t>일반</t>
        </is>
      </c>
      <c r="F357" s="8" t="inlineStr">
        <is>
          <t>0001628280-26-010047</t>
        </is>
      </c>
      <c r="G357" s="15" t="n">
        <v>47.061</v>
      </c>
      <c r="H357" s="15" t="n">
        <v>13.086</v>
      </c>
      <c r="I357" s="15" t="n">
        <v>1.656</v>
      </c>
      <c r="J357" s="15" t="n">
        <v>2.437</v>
      </c>
      <c r="K357" s="15" t="n">
        <v>9.992000000000001</v>
      </c>
      <c r="L357" s="15" t="n">
        <v>10.631</v>
      </c>
      <c r="M357" s="15" t="n">
        <v>0.323</v>
      </c>
      <c r="N357" s="15" t="n">
        <v>1.075</v>
      </c>
      <c r="O357" s="15" t="n">
        <v>2.064</v>
      </c>
      <c r="P357" s="15" t="n">
        <v>6.805</v>
      </c>
      <c r="Q357" s="15" t="n">
        <v>0.286</v>
      </c>
      <c r="R357" s="15" t="n">
        <v>24.856</v>
      </c>
      <c r="S357" s="15" t="n">
        <v>25.941</v>
      </c>
      <c r="T357" s="15" t="n">
        <v>12.848</v>
      </c>
      <c r="U357" s="15" t="n">
        <v>12.363</v>
      </c>
      <c r="V357" s="15" t="n">
        <v>1.139</v>
      </c>
      <c r="W357" s="15" t="n">
        <v>4.209</v>
      </c>
      <c r="X357" s="15" t="n">
        <v>42.375</v>
      </c>
      <c r="Y357" s="15" t="n">
        <v>25.997</v>
      </c>
      <c r="Z357" s="15" t="n">
        <v>26.732</v>
      </c>
      <c r="AA357" s="15" t="n">
        <v>25.249</v>
      </c>
      <c r="AB357" s="15" t="n">
        <v>23.571</v>
      </c>
      <c r="AC357" s="15" t="n">
        <v>53.334</v>
      </c>
      <c r="AD357" s="16" t="n">
        <v>4320</v>
      </c>
      <c r="AE357" s="17">
        <f>IF(ISNUMBER(K357),K357,IF(AND(ISNUMBER(H357),ISNUMBER(I357)),H357+I357,IF(ISNUMBER(H357),H357,"")))</f>
        <v/>
      </c>
      <c r="AF357" s="18">
        <f>IF(OR(NOT(ISNUMBER(J357)),NOT(ISNUMBER(H357)),H357&lt;=0),기준표!$B$8,MIN(MAX(J357/H357,기준표!$B$6),기준표!$B$7))</f>
        <v/>
      </c>
      <c r="AG357" s="17">
        <f>IF(ISNUMBER(AE357),AE357*(1-AF357),"")</f>
        <v/>
      </c>
      <c r="AH357" s="17">
        <f>IF(AND(NOT(ISNUMBER(V357)),NOT(ISNUMBER(X357))),"",IF(ISNUMBER(V357),V357,0)+IF(ISNUMBER(X357),X357,0))</f>
        <v/>
      </c>
      <c r="AI357" s="17">
        <f>IF(E357="금융","",IF(AND(ISNUMBER(R357),ISNUMBER(AH357),ISNUMBER(T357)),R357+AH357-T357,""))</f>
        <v/>
      </c>
      <c r="AJ357" s="17">
        <f>IF(E357="금융","",IF(NOT(ISNUMBER(AI357)),"",IF(ISNUMBER(AC357),(AI357+AC357)/2,AI357)))</f>
        <v/>
      </c>
      <c r="AK357" s="19">
        <f>IF(AND(ISNUMBER(AG357),ISNUMBER(AJ357),AJ357&gt;0),AG357/AJ357,"")</f>
        <v/>
      </c>
      <c r="AL357" s="17">
        <f>IF(E357="금융","",IF(AND(ISNUMBER(R357),ISNUMBER(AH357)),R357+AH357,""))</f>
        <v/>
      </c>
      <c r="AM357" s="19">
        <f>IF(OR(NOT(ISNUMBER(AG357)),NOT(ISNUMBER(AL357)),AL357&lt;=0),"",IF(AND(ISNUMBER(G357),AL357&lt;0.1*G357),"",AG357/AL357))</f>
        <v/>
      </c>
      <c r="AN357" s="17">
        <f>IF(NOT(ISNUMBER(R357)),"",IF(ISNUMBER(S357),(R357+S357)/2,R357))</f>
        <v/>
      </c>
      <c r="AO357" s="19">
        <f>IF(AND(ISNUMBER(L357),ISNUMBER(AN357),AN357&gt;0),L357/AN357,"")</f>
        <v/>
      </c>
      <c r="AP357" s="19">
        <f>IF(AND(ISNUMBER(AO357),ISNUMBER({ROIC})),AO357-{ROIC},"")</f>
        <v/>
      </c>
      <c r="AQ357" s="17">
        <f>IF(AND(ISNUMBER(AE357),ISNUMBER(N357)),AE357+N357,"")</f>
        <v/>
      </c>
      <c r="AR357" s="20">
        <f>IF(AND(ISNUMBER(AH357),ISNUMBER(T357),ISNUMBER(AQ357),AQ357&gt;0),(AH357-T357)/AQ357,"")</f>
        <v/>
      </c>
      <c r="AS357" s="20">
        <f>IF(AND(ISNUMBER(AE357),ISNUMBER(I357),I357&lt;&gt;0,AE357&gt;0),AE357/I357,"")</f>
        <v/>
      </c>
      <c r="AT357" s="17">
        <f>IF(AND(ISNUMBER(Y357),ISNUMBER(AA357)),Y357-IF(ISNUMBER(T357),T357,0)-(AA357-IF(ISNUMBER(V357),V357,0)),"")</f>
        <v/>
      </c>
      <c r="AU357" s="17">
        <f>IF(AND(ISNUMBER(Z357),ISNUMBER(AB357)),Z357-IF(ISNUMBER(U357),U357,0)-(AB357-IF(ISNUMBER(W357),W357,0)),"")</f>
        <v/>
      </c>
      <c r="AV357" s="17">
        <f>IF(AND(ISNUMBER(AT357),ISNUMBER(AU357)),AT357-AU357,"")</f>
        <v/>
      </c>
      <c r="AW357" s="17">
        <f>IF(AND(ISNUMBER(L357),ISNUMBER(M357),ISNUMBER(AF357)),L357-M357*(1-AF357),IF(ISNUMBER(L357),L357,""))</f>
        <v/>
      </c>
      <c r="AX357" s="17">
        <f>IF(E357="금융","",IF(AND(ISNUMBER(AW357),ISNUMBER(N357),ISNUMBER(O357),ISNUMBER(AV357)),AW357+N357-O357-AV357,IF(AND(ISNUMBER(P357),ISNUMBER(O357)),P357-O357-IF(ISNUMBER(Q357),Q357,0),"")))</f>
        <v/>
      </c>
      <c r="AY357" s="8">
        <f>IF(E357="금융","금융업 - 정의되지 않음",IF(AND(ISNUMBER(AW357),ISNUMBER(N357),ISNUMBER(O357),ISNUMBER(AV357)),"영업순이익+감가상각-설비투자-운전자본증감",IF(AND(ISNUMBER(P357),ISNUMBER(O357)),IF(ISNUMBER(Q357),"영업현금흐름-설비투자-주식보상비용","영업현금흐름-설비투자(주식보상비용 미태깅)"),"산출불가")))</f>
        <v/>
      </c>
      <c r="AZ357" s="19">
        <f>IF(AND(ISNUMBER(AX357),ISNUMBER(G357),G357&lt;&gt;0),AX357/G357,"")</f>
        <v/>
      </c>
      <c r="BA357" s="19">
        <f>IF(AND(ISNUMBER(AE357),ISNUMBER(G357),G357&lt;&gt;0),AE357/G357,"")</f>
        <v/>
      </c>
    </row>
    <row r="358">
      <c r="A358" s="8" t="inlineStr">
        <is>
          <t>KO</t>
        </is>
      </c>
      <c r="B358" s="8" t="inlineStr">
        <is>
          <t>COCA COLA CO</t>
        </is>
      </c>
      <c r="C358" s="8" t="n">
        <v>2025</v>
      </c>
      <c r="D358" s="8" t="inlineStr">
        <is>
          <t>2025-12-31</t>
        </is>
      </c>
      <c r="E358" s="8" t="inlineStr">
        <is>
          <t>일반</t>
        </is>
      </c>
      <c r="F358" s="8" t="inlineStr">
        <is>
          <t>0001628280-26-010047</t>
        </is>
      </c>
      <c r="G358" s="15" t="n">
        <v>47.941</v>
      </c>
      <c r="H358" s="15" t="n">
        <v>15.998</v>
      </c>
      <c r="I358" s="15" t="n">
        <v>1.654</v>
      </c>
      <c r="J358" s="15" t="n">
        <v>2.861</v>
      </c>
      <c r="K358" s="15" t="n">
        <v>13.762</v>
      </c>
      <c r="L358" s="15" t="n">
        <v>13.107</v>
      </c>
      <c r="M358" s="15" t="n">
        <v>0.431</v>
      </c>
      <c r="N358" s="15" t="n">
        <v>1.05</v>
      </c>
      <c r="O358" s="15" t="n">
        <v>2.112</v>
      </c>
      <c r="P358" s="15" t="n">
        <v>7.408</v>
      </c>
      <c r="Q358" s="15" t="n">
        <v>0.279</v>
      </c>
      <c r="R358" s="15" t="n">
        <v>32.169</v>
      </c>
      <c r="S358" s="15" t="n">
        <v>24.856</v>
      </c>
      <c r="T358" s="15" t="n">
        <v>13.872</v>
      </c>
      <c r="U358" s="15" t="n">
        <v>12.848</v>
      </c>
      <c r="V358" s="15" t="n">
        <v>1.495</v>
      </c>
      <c r="W358" s="15" t="n">
        <v>1.139</v>
      </c>
      <c r="X358" s="15" t="n">
        <v>42.119</v>
      </c>
      <c r="Y358" s="15" t="n">
        <v>31.044</v>
      </c>
      <c r="Z358" s="15" t="n">
        <v>25.997</v>
      </c>
      <c r="AA358" s="15" t="n">
        <v>21.281</v>
      </c>
      <c r="AB358" s="15" t="n">
        <v>25.249</v>
      </c>
      <c r="AC358" s="15" t="n">
        <v>55.522</v>
      </c>
      <c r="AD358" s="16" t="n">
        <v>4313</v>
      </c>
      <c r="AE358" s="17">
        <f>IF(ISNUMBER(K358),K358,IF(AND(ISNUMBER(H358),ISNUMBER(I358)),H358+I358,IF(ISNUMBER(H358),H358,"")))</f>
        <v/>
      </c>
      <c r="AF358" s="18">
        <f>IF(OR(NOT(ISNUMBER(J358)),NOT(ISNUMBER(H358)),H358&lt;=0),기준표!$B$8,MIN(MAX(J358/H358,기준표!$B$6),기준표!$B$7))</f>
        <v/>
      </c>
      <c r="AG358" s="17">
        <f>IF(ISNUMBER(AE358),AE358*(1-AF358),"")</f>
        <v/>
      </c>
      <c r="AH358" s="17">
        <f>IF(AND(NOT(ISNUMBER(V358)),NOT(ISNUMBER(X358))),"",IF(ISNUMBER(V358),V358,0)+IF(ISNUMBER(X358),X358,0))</f>
        <v/>
      </c>
      <c r="AI358" s="17">
        <f>IF(E358="금융","",IF(AND(ISNUMBER(R358),ISNUMBER(AH358),ISNUMBER(T358)),R358+AH358-T358,""))</f>
        <v/>
      </c>
      <c r="AJ358" s="17">
        <f>IF(E358="금융","",IF(NOT(ISNUMBER(AI358)),"",IF(ISNUMBER(AC358),(AI358+AC358)/2,AI358)))</f>
        <v/>
      </c>
      <c r="AK358" s="19">
        <f>IF(AND(ISNUMBER(AG358),ISNUMBER(AJ358),AJ358&gt;0),AG358/AJ358,"")</f>
        <v/>
      </c>
      <c r="AL358" s="17">
        <f>IF(E358="금융","",IF(AND(ISNUMBER(R358),ISNUMBER(AH358)),R358+AH358,""))</f>
        <v/>
      </c>
      <c r="AM358" s="19">
        <f>IF(OR(NOT(ISNUMBER(AG358)),NOT(ISNUMBER(AL358)),AL358&lt;=0),"",IF(AND(ISNUMBER(G358),AL358&lt;0.1*G358),"",AG358/AL358))</f>
        <v/>
      </c>
      <c r="AN358" s="17">
        <f>IF(NOT(ISNUMBER(R358)),"",IF(ISNUMBER(S358),(R358+S358)/2,R358))</f>
        <v/>
      </c>
      <c r="AO358" s="19">
        <f>IF(AND(ISNUMBER(L358),ISNUMBER(AN358),AN358&gt;0),L358/AN358,"")</f>
        <v/>
      </c>
      <c r="AP358" s="19">
        <f>IF(AND(ISNUMBER(AO358),ISNUMBER({ROIC})),AO358-{ROIC},"")</f>
        <v/>
      </c>
      <c r="AQ358" s="17">
        <f>IF(AND(ISNUMBER(AE358),ISNUMBER(N358)),AE358+N358,"")</f>
        <v/>
      </c>
      <c r="AR358" s="20">
        <f>IF(AND(ISNUMBER(AH358),ISNUMBER(T358),ISNUMBER(AQ358),AQ358&gt;0),(AH358-T358)/AQ358,"")</f>
        <v/>
      </c>
      <c r="AS358" s="20">
        <f>IF(AND(ISNUMBER(AE358),ISNUMBER(I358),I358&lt;&gt;0,AE358&gt;0),AE358/I358,"")</f>
        <v/>
      </c>
      <c r="AT358" s="17">
        <f>IF(AND(ISNUMBER(Y358),ISNUMBER(AA358)),Y358-IF(ISNUMBER(T358),T358,0)-(AA358-IF(ISNUMBER(V358),V358,0)),"")</f>
        <v/>
      </c>
      <c r="AU358" s="17">
        <f>IF(AND(ISNUMBER(Z358),ISNUMBER(AB358)),Z358-IF(ISNUMBER(U358),U358,0)-(AB358-IF(ISNUMBER(W358),W358,0)),"")</f>
        <v/>
      </c>
      <c r="AV358" s="17">
        <f>IF(AND(ISNUMBER(AT358),ISNUMBER(AU358)),AT358-AU358,"")</f>
        <v/>
      </c>
      <c r="AW358" s="17">
        <f>IF(AND(ISNUMBER(L358),ISNUMBER(M358),ISNUMBER(AF358)),L358-M358*(1-AF358),IF(ISNUMBER(L358),L358,""))</f>
        <v/>
      </c>
      <c r="AX358" s="17">
        <f>IF(E358="금융","",IF(AND(ISNUMBER(AW358),ISNUMBER(N358),ISNUMBER(O358),ISNUMBER(AV358)),AW358+N358-O358-AV358,IF(AND(ISNUMBER(P358),ISNUMBER(O358)),P358-O358-IF(ISNUMBER(Q358),Q358,0),"")))</f>
        <v/>
      </c>
      <c r="AY358" s="8">
        <f>IF(E358="금융","금융업 - 정의되지 않음",IF(AND(ISNUMBER(AW358),ISNUMBER(N358),ISNUMBER(O358),ISNUMBER(AV358)),"영업순이익+감가상각-설비투자-운전자본증감",IF(AND(ISNUMBER(P358),ISNUMBER(O358)),IF(ISNUMBER(Q358),"영업현금흐름-설비투자-주식보상비용","영업현금흐름-설비투자(주식보상비용 미태깅)"),"산출불가")))</f>
        <v/>
      </c>
      <c r="AZ358" s="19">
        <f>IF(AND(ISNUMBER(AX358),ISNUMBER(G358),G358&lt;&gt;0),AX358/G358,"")</f>
        <v/>
      </c>
      <c r="BA358" s="19">
        <f>IF(AND(ISNUMBER(AE358),ISNUMBER(G358),G358&lt;&gt;0),AE358/G358,"")</f>
        <v/>
      </c>
    </row>
    <row r="359">
      <c r="A359" s="8" t="inlineStr">
        <is>
          <t>UNH</t>
        </is>
      </c>
      <c r="B359" s="8" t="inlineStr">
        <is>
          <t>UNITEDHEALTH GROUP INC</t>
        </is>
      </c>
      <c r="C359" s="8" t="n">
        <v>2014</v>
      </c>
      <c r="D359" s="8" t="inlineStr">
        <is>
          <t>2014-12-31</t>
        </is>
      </c>
      <c r="E359" s="8" t="inlineStr">
        <is>
          <t>금융</t>
        </is>
      </c>
      <c r="F359" s="8" t="inlineStr">
        <is>
          <t>0000731766-17-000009</t>
        </is>
      </c>
      <c r="G359" s="15" t="n">
        <v>130.474</v>
      </c>
      <c r="H359" s="15" t="n"/>
      <c r="I359" s="15" t="n">
        <v>0.618</v>
      </c>
      <c r="J359" s="15" t="n">
        <v>4.037</v>
      </c>
      <c r="K359" s="15" t="n">
        <v>10.274</v>
      </c>
      <c r="L359" s="15" t="n">
        <v>5.619</v>
      </c>
      <c r="M359" s="15" t="n"/>
      <c r="N359" s="15" t="n">
        <v>1.478</v>
      </c>
      <c r="O359" s="15" t="n">
        <v>1.525</v>
      </c>
      <c r="P359" s="15" t="n">
        <v>8.051</v>
      </c>
      <c r="Q359" s="15" t="n">
        <v>0.364</v>
      </c>
      <c r="R359" s="15" t="n">
        <v>32.454</v>
      </c>
      <c r="S359" s="15" t="n"/>
      <c r="T359" s="15" t="n">
        <v>9.236000000000001</v>
      </c>
      <c r="U359" s="15" t="n"/>
      <c r="V359" s="15" t="n"/>
      <c r="W359" s="15" t="n"/>
      <c r="X359" s="15" t="n">
        <v>16.007</v>
      </c>
      <c r="Y359" s="15" t="n">
        <v>23.556</v>
      </c>
      <c r="Z359" s="15" t="n"/>
      <c r="AA359" s="15" t="n">
        <v>30.623</v>
      </c>
      <c r="AB359" s="15" t="n"/>
      <c r="AC359" s="15" t="n"/>
      <c r="AD359" s="16" t="n">
        <v>954</v>
      </c>
      <c r="AE359" s="17">
        <f>IF(ISNUMBER(K359),K359,IF(AND(ISNUMBER(H359),ISNUMBER(I359)),H359+I359,IF(ISNUMBER(H359),H359,"")))</f>
        <v/>
      </c>
      <c r="AF359" s="18">
        <f>IF(OR(NOT(ISNUMBER(J359)),NOT(ISNUMBER(H359)),H359&lt;=0),기준표!$B$8,MIN(MAX(J359/H359,기준표!$B$6),기준표!$B$7))</f>
        <v/>
      </c>
      <c r="AG359" s="17">
        <f>IF(ISNUMBER(AE359),AE359*(1-AF359),"")</f>
        <v/>
      </c>
      <c r="AH359" s="17">
        <f>IF(AND(NOT(ISNUMBER(V359)),NOT(ISNUMBER(X359))),"",IF(ISNUMBER(V359),V359,0)+IF(ISNUMBER(X359),X359,0))</f>
        <v/>
      </c>
      <c r="AI359" s="17">
        <f>IF(E359="금융","",IF(AND(ISNUMBER(R359),ISNUMBER(AH359),ISNUMBER(T359)),R359+AH359-T359,""))</f>
        <v/>
      </c>
      <c r="AJ359" s="17">
        <f>IF(E359="금융","",IF(NOT(ISNUMBER(AI359)),"",IF(ISNUMBER(AC359),(AI359+AC359)/2,AI359)))</f>
        <v/>
      </c>
      <c r="AK359" s="19">
        <f>IF(AND(ISNUMBER(AG359),ISNUMBER(AJ359),AJ359&gt;0),AG359/AJ359,"")</f>
        <v/>
      </c>
      <c r="AL359" s="17">
        <f>IF(E359="금융","",IF(AND(ISNUMBER(R359),ISNUMBER(AH359)),R359+AH359,""))</f>
        <v/>
      </c>
      <c r="AM359" s="19">
        <f>IF(OR(NOT(ISNUMBER(AG359)),NOT(ISNUMBER(AL359)),AL359&lt;=0),"",IF(AND(ISNUMBER(G359),AL359&lt;0.1*G359),"",AG359/AL359))</f>
        <v/>
      </c>
      <c r="AN359" s="17">
        <f>IF(NOT(ISNUMBER(R359)),"",IF(ISNUMBER(S359),(R359+S359)/2,R359))</f>
        <v/>
      </c>
      <c r="AO359" s="19">
        <f>IF(AND(ISNUMBER(L359),ISNUMBER(AN359),AN359&gt;0),L359/AN359,"")</f>
        <v/>
      </c>
      <c r="AP359" s="19">
        <f>IF(AND(ISNUMBER(AO359),ISNUMBER({ROIC})),AO359-{ROIC},"")</f>
        <v/>
      </c>
      <c r="AQ359" s="17">
        <f>IF(AND(ISNUMBER(AE359),ISNUMBER(N359)),AE359+N359,"")</f>
        <v/>
      </c>
      <c r="AR359" s="20">
        <f>IF(AND(ISNUMBER(AH359),ISNUMBER(T359),ISNUMBER(AQ359),AQ359&gt;0),(AH359-T359)/AQ359,"")</f>
        <v/>
      </c>
      <c r="AS359" s="20">
        <f>IF(AND(ISNUMBER(AE359),ISNUMBER(I359),I359&lt;&gt;0,AE359&gt;0),AE359/I359,"")</f>
        <v/>
      </c>
      <c r="AT359" s="17">
        <f>IF(AND(ISNUMBER(Y359),ISNUMBER(AA359)),Y359-IF(ISNUMBER(T359),T359,0)-(AA359-IF(ISNUMBER(V359),V359,0)),"")</f>
        <v/>
      </c>
      <c r="AU359" s="17">
        <f>IF(AND(ISNUMBER(Z359),ISNUMBER(AB359)),Z359-IF(ISNUMBER(U359),U359,0)-(AB359-IF(ISNUMBER(W359),W359,0)),"")</f>
        <v/>
      </c>
      <c r="AV359" s="17">
        <f>IF(AND(ISNUMBER(AT359),ISNUMBER(AU359)),AT359-AU359,"")</f>
        <v/>
      </c>
      <c r="AW359" s="17">
        <f>IF(AND(ISNUMBER(L359),ISNUMBER(M359),ISNUMBER(AF359)),L359-M359*(1-AF359),IF(ISNUMBER(L359),L359,""))</f>
        <v/>
      </c>
      <c r="AX359" s="17">
        <f>IF(E359="금융","",IF(AND(ISNUMBER(AW359),ISNUMBER(N359),ISNUMBER(O359),ISNUMBER(AV359)),AW359+N359-O359-AV359,IF(AND(ISNUMBER(P359),ISNUMBER(O359)),P359-O359-IF(ISNUMBER(Q359),Q359,0),"")))</f>
        <v/>
      </c>
      <c r="AY359" s="8">
        <f>IF(E359="금융","금융업 - 정의되지 않음",IF(AND(ISNUMBER(AW359),ISNUMBER(N359),ISNUMBER(O359),ISNUMBER(AV359)),"영업순이익+감가상각-설비투자-운전자본증감",IF(AND(ISNUMBER(P359),ISNUMBER(O359)),IF(ISNUMBER(Q359),"영업현금흐름-설비투자-주식보상비용","영업현금흐름-설비투자(주식보상비용 미태깅)"),"산출불가")))</f>
        <v/>
      </c>
      <c r="AZ359" s="19">
        <f>IF(AND(ISNUMBER(AX359),ISNUMBER(G359),G359&lt;&gt;0),AX359/G359,"")</f>
        <v/>
      </c>
      <c r="BA359" s="19">
        <f>IF(AND(ISNUMBER(AE359),ISNUMBER(G359),G359&lt;&gt;0),AE359/G359,"")</f>
        <v/>
      </c>
    </row>
    <row r="360">
      <c r="A360" s="8" t="inlineStr">
        <is>
          <t>UNH</t>
        </is>
      </c>
      <c r="B360" s="8" t="inlineStr">
        <is>
          <t>UNITEDHEALTH GROUP INC</t>
        </is>
      </c>
      <c r="C360" s="8" t="n">
        <v>2015</v>
      </c>
      <c r="D360" s="8" t="inlineStr">
        <is>
          <t>2015-12-31</t>
        </is>
      </c>
      <c r="E360" s="8" t="inlineStr">
        <is>
          <t>금융</t>
        </is>
      </c>
      <c r="F360" s="8" t="inlineStr">
        <is>
          <t>0000731766-18-000005</t>
        </is>
      </c>
      <c r="G360" s="15" t="n">
        <v>157.107</v>
      </c>
      <c r="H360" s="15" t="n"/>
      <c r="I360" s="15" t="n">
        <v>0.79</v>
      </c>
      <c r="J360" s="15" t="n">
        <v>4.363</v>
      </c>
      <c r="K360" s="15" t="n">
        <v>11.021</v>
      </c>
      <c r="L360" s="15" t="n">
        <v>5.813</v>
      </c>
      <c r="M360" s="15" t="n"/>
      <c r="N360" s="15" t="n">
        <v>1.693</v>
      </c>
      <c r="O360" s="15" t="n">
        <v>1.556</v>
      </c>
      <c r="P360" s="15" t="n">
        <v>9.74</v>
      </c>
      <c r="Q360" s="15" t="n">
        <v>0.406</v>
      </c>
      <c r="R360" s="15" t="n">
        <v>33.725</v>
      </c>
      <c r="S360" s="15" t="n">
        <v>32.454</v>
      </c>
      <c r="T360" s="15" t="n">
        <v>12.911</v>
      </c>
      <c r="U360" s="15" t="n">
        <v>9.236000000000001</v>
      </c>
      <c r="V360" s="15" t="n"/>
      <c r="W360" s="15" t="n"/>
      <c r="X360" s="15" t="n">
        <v>25.331</v>
      </c>
      <c r="Y360" s="15" t="n">
        <v>31.639</v>
      </c>
      <c r="Z360" s="15" t="n">
        <v>23.556</v>
      </c>
      <c r="AA360" s="15" t="n">
        <v>42.898</v>
      </c>
      <c r="AB360" s="15" t="n">
        <v>30.623</v>
      </c>
      <c r="AC360" s="15" t="n"/>
      <c r="AD360" s="16" t="n">
        <v>953</v>
      </c>
      <c r="AE360" s="17">
        <f>IF(ISNUMBER(K360),K360,IF(AND(ISNUMBER(H360),ISNUMBER(I360)),H360+I360,IF(ISNUMBER(H360),H360,"")))</f>
        <v/>
      </c>
      <c r="AF360" s="18">
        <f>IF(OR(NOT(ISNUMBER(J360)),NOT(ISNUMBER(H360)),H360&lt;=0),기준표!$B$8,MIN(MAX(J360/H360,기준표!$B$6),기준표!$B$7))</f>
        <v/>
      </c>
      <c r="AG360" s="17">
        <f>IF(ISNUMBER(AE360),AE360*(1-AF360),"")</f>
        <v/>
      </c>
      <c r="AH360" s="17">
        <f>IF(AND(NOT(ISNUMBER(V360)),NOT(ISNUMBER(X360))),"",IF(ISNUMBER(V360),V360,0)+IF(ISNUMBER(X360),X360,0))</f>
        <v/>
      </c>
      <c r="AI360" s="17">
        <f>IF(E360="금융","",IF(AND(ISNUMBER(R360),ISNUMBER(AH360),ISNUMBER(T360)),R360+AH360-T360,""))</f>
        <v/>
      </c>
      <c r="AJ360" s="17">
        <f>IF(E360="금융","",IF(NOT(ISNUMBER(AI360)),"",IF(ISNUMBER(AC360),(AI360+AC360)/2,AI360)))</f>
        <v/>
      </c>
      <c r="AK360" s="19">
        <f>IF(AND(ISNUMBER(AG360),ISNUMBER(AJ360),AJ360&gt;0),AG360/AJ360,"")</f>
        <v/>
      </c>
      <c r="AL360" s="17">
        <f>IF(E360="금융","",IF(AND(ISNUMBER(R360),ISNUMBER(AH360)),R360+AH360,""))</f>
        <v/>
      </c>
      <c r="AM360" s="19">
        <f>IF(OR(NOT(ISNUMBER(AG360)),NOT(ISNUMBER(AL360)),AL360&lt;=0),"",IF(AND(ISNUMBER(G360),AL360&lt;0.1*G360),"",AG360/AL360))</f>
        <v/>
      </c>
      <c r="AN360" s="17">
        <f>IF(NOT(ISNUMBER(R360)),"",IF(ISNUMBER(S360),(R360+S360)/2,R360))</f>
        <v/>
      </c>
      <c r="AO360" s="19">
        <f>IF(AND(ISNUMBER(L360),ISNUMBER(AN360),AN360&gt;0),L360/AN360,"")</f>
        <v/>
      </c>
      <c r="AP360" s="19">
        <f>IF(AND(ISNUMBER(AO360),ISNUMBER({ROIC})),AO360-{ROIC},"")</f>
        <v/>
      </c>
      <c r="AQ360" s="17">
        <f>IF(AND(ISNUMBER(AE360),ISNUMBER(N360)),AE360+N360,"")</f>
        <v/>
      </c>
      <c r="AR360" s="20">
        <f>IF(AND(ISNUMBER(AH360),ISNUMBER(T360),ISNUMBER(AQ360),AQ360&gt;0),(AH360-T360)/AQ360,"")</f>
        <v/>
      </c>
      <c r="AS360" s="20">
        <f>IF(AND(ISNUMBER(AE360),ISNUMBER(I360),I360&lt;&gt;0,AE360&gt;0),AE360/I360,"")</f>
        <v/>
      </c>
      <c r="AT360" s="17">
        <f>IF(AND(ISNUMBER(Y360),ISNUMBER(AA360)),Y360-IF(ISNUMBER(T360),T360,0)-(AA360-IF(ISNUMBER(V360),V360,0)),"")</f>
        <v/>
      </c>
      <c r="AU360" s="17">
        <f>IF(AND(ISNUMBER(Z360),ISNUMBER(AB360)),Z360-IF(ISNUMBER(U360),U360,0)-(AB360-IF(ISNUMBER(W360),W360,0)),"")</f>
        <v/>
      </c>
      <c r="AV360" s="17">
        <f>IF(AND(ISNUMBER(AT360),ISNUMBER(AU360)),AT360-AU360,"")</f>
        <v/>
      </c>
      <c r="AW360" s="17">
        <f>IF(AND(ISNUMBER(L360),ISNUMBER(M360),ISNUMBER(AF360)),L360-M360*(1-AF360),IF(ISNUMBER(L360),L360,""))</f>
        <v/>
      </c>
      <c r="AX360" s="17">
        <f>IF(E360="금융","",IF(AND(ISNUMBER(AW360),ISNUMBER(N360),ISNUMBER(O360),ISNUMBER(AV360)),AW360+N360-O360-AV360,IF(AND(ISNUMBER(P360),ISNUMBER(O360)),P360-O360-IF(ISNUMBER(Q360),Q360,0),"")))</f>
        <v/>
      </c>
      <c r="AY360" s="8">
        <f>IF(E360="금융","금융업 - 정의되지 않음",IF(AND(ISNUMBER(AW360),ISNUMBER(N360),ISNUMBER(O360),ISNUMBER(AV360)),"영업순이익+감가상각-설비투자-운전자본증감",IF(AND(ISNUMBER(P360),ISNUMBER(O360)),IF(ISNUMBER(Q360),"영업현금흐름-설비투자-주식보상비용","영업현금흐름-설비투자(주식보상비용 미태깅)"),"산출불가")))</f>
        <v/>
      </c>
      <c r="AZ360" s="19">
        <f>IF(AND(ISNUMBER(AX360),ISNUMBER(G360),G360&lt;&gt;0),AX360/G360,"")</f>
        <v/>
      </c>
      <c r="BA360" s="19">
        <f>IF(AND(ISNUMBER(AE360),ISNUMBER(G360),G360&lt;&gt;0),AE360/G360,"")</f>
        <v/>
      </c>
    </row>
    <row r="361">
      <c r="A361" s="8" t="inlineStr">
        <is>
          <t>UNH</t>
        </is>
      </c>
      <c r="B361" s="8" t="inlineStr">
        <is>
          <t>UNITEDHEALTH GROUP INC</t>
        </is>
      </c>
      <c r="C361" s="8" t="n">
        <v>2016</v>
      </c>
      <c r="D361" s="8" t="inlineStr">
        <is>
          <t>2016-12-31</t>
        </is>
      </c>
      <c r="E361" s="8" t="inlineStr">
        <is>
          <t>금융</t>
        </is>
      </c>
      <c r="F361" s="8" t="inlineStr">
        <is>
          <t>0000731766-19-000005</t>
        </is>
      </c>
      <c r="G361" s="15" t="n">
        <v>184.84</v>
      </c>
      <c r="H361" s="15" t="n"/>
      <c r="I361" s="15" t="n">
        <v>1.067</v>
      </c>
      <c r="J361" s="15" t="n">
        <v>4.79</v>
      </c>
      <c r="K361" s="15" t="n">
        <v>12.93</v>
      </c>
      <c r="L361" s="15" t="n">
        <v>7.017</v>
      </c>
      <c r="M361" s="15" t="n"/>
      <c r="N361" s="15" t="n">
        <v>2.055</v>
      </c>
      <c r="O361" s="15" t="n">
        <v>1.705</v>
      </c>
      <c r="P361" s="15" t="n">
        <v>9.795</v>
      </c>
      <c r="Q361" s="15" t="n">
        <v>0.485</v>
      </c>
      <c r="R361" s="15" t="n">
        <v>38.177</v>
      </c>
      <c r="S361" s="15" t="n">
        <v>33.725</v>
      </c>
      <c r="T361" s="15" t="n">
        <v>13.275</v>
      </c>
      <c r="U361" s="15" t="n">
        <v>12.911</v>
      </c>
      <c r="V361" s="15" t="n"/>
      <c r="W361" s="15" t="n"/>
      <c r="X361" s="15" t="n">
        <v>25.777</v>
      </c>
      <c r="Y361" s="15" t="n">
        <v>33.879</v>
      </c>
      <c r="Z361" s="15" t="n">
        <v>31.639</v>
      </c>
      <c r="AA361" s="15" t="n">
        <v>49.252</v>
      </c>
      <c r="AB361" s="15" t="n">
        <v>42.898</v>
      </c>
      <c r="AC361" s="15" t="n"/>
      <c r="AD361" s="16" t="n">
        <v>952</v>
      </c>
      <c r="AE361" s="17">
        <f>IF(ISNUMBER(K361),K361,IF(AND(ISNUMBER(H361),ISNUMBER(I361)),H361+I361,IF(ISNUMBER(H361),H361,"")))</f>
        <v/>
      </c>
      <c r="AF361" s="18">
        <f>IF(OR(NOT(ISNUMBER(J361)),NOT(ISNUMBER(H361)),H361&lt;=0),기준표!$B$8,MIN(MAX(J361/H361,기준표!$B$6),기준표!$B$7))</f>
        <v/>
      </c>
      <c r="AG361" s="17">
        <f>IF(ISNUMBER(AE361),AE361*(1-AF361),"")</f>
        <v/>
      </c>
      <c r="AH361" s="17">
        <f>IF(AND(NOT(ISNUMBER(V361)),NOT(ISNUMBER(X361))),"",IF(ISNUMBER(V361),V361,0)+IF(ISNUMBER(X361),X361,0))</f>
        <v/>
      </c>
      <c r="AI361" s="17">
        <f>IF(E361="금융","",IF(AND(ISNUMBER(R361),ISNUMBER(AH361),ISNUMBER(T361)),R361+AH361-T361,""))</f>
        <v/>
      </c>
      <c r="AJ361" s="17">
        <f>IF(E361="금융","",IF(NOT(ISNUMBER(AI361)),"",IF(ISNUMBER(AC361),(AI361+AC361)/2,AI361)))</f>
        <v/>
      </c>
      <c r="AK361" s="19">
        <f>IF(AND(ISNUMBER(AG361),ISNUMBER(AJ361),AJ361&gt;0),AG361/AJ361,"")</f>
        <v/>
      </c>
      <c r="AL361" s="17">
        <f>IF(E361="금융","",IF(AND(ISNUMBER(R361),ISNUMBER(AH361)),R361+AH361,""))</f>
        <v/>
      </c>
      <c r="AM361" s="19">
        <f>IF(OR(NOT(ISNUMBER(AG361)),NOT(ISNUMBER(AL361)),AL361&lt;=0),"",IF(AND(ISNUMBER(G361),AL361&lt;0.1*G361),"",AG361/AL361))</f>
        <v/>
      </c>
      <c r="AN361" s="17">
        <f>IF(NOT(ISNUMBER(R361)),"",IF(ISNUMBER(S361),(R361+S361)/2,R361))</f>
        <v/>
      </c>
      <c r="AO361" s="19">
        <f>IF(AND(ISNUMBER(L361),ISNUMBER(AN361),AN361&gt;0),L361/AN361,"")</f>
        <v/>
      </c>
      <c r="AP361" s="19">
        <f>IF(AND(ISNUMBER(AO361),ISNUMBER({ROIC})),AO361-{ROIC},"")</f>
        <v/>
      </c>
      <c r="AQ361" s="17">
        <f>IF(AND(ISNUMBER(AE361),ISNUMBER(N361)),AE361+N361,"")</f>
        <v/>
      </c>
      <c r="AR361" s="20">
        <f>IF(AND(ISNUMBER(AH361),ISNUMBER(T361),ISNUMBER(AQ361),AQ361&gt;0),(AH361-T361)/AQ361,"")</f>
        <v/>
      </c>
      <c r="AS361" s="20">
        <f>IF(AND(ISNUMBER(AE361),ISNUMBER(I361),I361&lt;&gt;0,AE361&gt;0),AE361/I361,"")</f>
        <v/>
      </c>
      <c r="AT361" s="17">
        <f>IF(AND(ISNUMBER(Y361),ISNUMBER(AA361)),Y361-IF(ISNUMBER(T361),T361,0)-(AA361-IF(ISNUMBER(V361),V361,0)),"")</f>
        <v/>
      </c>
      <c r="AU361" s="17">
        <f>IF(AND(ISNUMBER(Z361),ISNUMBER(AB361)),Z361-IF(ISNUMBER(U361),U361,0)-(AB361-IF(ISNUMBER(W361),W361,0)),"")</f>
        <v/>
      </c>
      <c r="AV361" s="17">
        <f>IF(AND(ISNUMBER(AT361),ISNUMBER(AU361)),AT361-AU361,"")</f>
        <v/>
      </c>
      <c r="AW361" s="17">
        <f>IF(AND(ISNUMBER(L361),ISNUMBER(M361),ISNUMBER(AF361)),L361-M361*(1-AF361),IF(ISNUMBER(L361),L361,""))</f>
        <v/>
      </c>
      <c r="AX361" s="17">
        <f>IF(E361="금융","",IF(AND(ISNUMBER(AW361),ISNUMBER(N361),ISNUMBER(O361),ISNUMBER(AV361)),AW361+N361-O361-AV361,IF(AND(ISNUMBER(P361),ISNUMBER(O361)),P361-O361-IF(ISNUMBER(Q361),Q361,0),"")))</f>
        <v/>
      </c>
      <c r="AY361" s="8">
        <f>IF(E361="금융","금융업 - 정의되지 않음",IF(AND(ISNUMBER(AW361),ISNUMBER(N361),ISNUMBER(O361),ISNUMBER(AV361)),"영업순이익+감가상각-설비투자-운전자본증감",IF(AND(ISNUMBER(P361),ISNUMBER(O361)),IF(ISNUMBER(Q361),"영업현금흐름-설비투자-주식보상비용","영업현금흐름-설비투자(주식보상비용 미태깅)"),"산출불가")))</f>
        <v/>
      </c>
      <c r="AZ361" s="19">
        <f>IF(AND(ISNUMBER(AX361),ISNUMBER(G361),G361&lt;&gt;0),AX361/G361,"")</f>
        <v/>
      </c>
      <c r="BA361" s="19">
        <f>IF(AND(ISNUMBER(AE361),ISNUMBER(G361),G361&lt;&gt;0),AE361/G361,"")</f>
        <v/>
      </c>
    </row>
    <row r="362">
      <c r="A362" s="8" t="inlineStr">
        <is>
          <t>UNH</t>
        </is>
      </c>
      <c r="B362" s="8" t="inlineStr">
        <is>
          <t>UNITEDHEALTH GROUP INC</t>
        </is>
      </c>
      <c r="C362" s="8" t="n">
        <v>2017</v>
      </c>
      <c r="D362" s="8" t="inlineStr">
        <is>
          <t>2017-12-31</t>
        </is>
      </c>
      <c r="E362" s="8" t="inlineStr">
        <is>
          <t>금융</t>
        </is>
      </c>
      <c r="F362" s="8" t="inlineStr">
        <is>
          <t>0000731766-20-000006</t>
        </is>
      </c>
      <c r="G362" s="15" t="n">
        <v>201.159</v>
      </c>
      <c r="H362" s="15" t="n"/>
      <c r="I362" s="15" t="n">
        <v>1.186</v>
      </c>
      <c r="J362" s="15" t="n">
        <v>3.2</v>
      </c>
      <c r="K362" s="15" t="n">
        <v>15.209</v>
      </c>
      <c r="L362" s="15" t="n">
        <v>10.558</v>
      </c>
      <c r="M362" s="15" t="n"/>
      <c r="N362" s="15" t="n">
        <v>2.245</v>
      </c>
      <c r="O362" s="15" t="n">
        <v>2.023</v>
      </c>
      <c r="P362" s="15" t="n">
        <v>13.596</v>
      </c>
      <c r="Q362" s="15" t="n">
        <v>0.597</v>
      </c>
      <c r="R362" s="15" t="n">
        <v>49.833</v>
      </c>
      <c r="S362" s="15" t="n">
        <v>38.177</v>
      </c>
      <c r="T362" s="15" t="n">
        <v>15.49</v>
      </c>
      <c r="U362" s="15" t="n">
        <v>13.275</v>
      </c>
      <c r="V362" s="15" t="n"/>
      <c r="W362" s="15" t="n"/>
      <c r="X362" s="15" t="n">
        <v>28.835</v>
      </c>
      <c r="Y362" s="15" t="n">
        <v>37.084</v>
      </c>
      <c r="Z362" s="15" t="n">
        <v>33.879</v>
      </c>
      <c r="AA362" s="15" t="n">
        <v>50.463</v>
      </c>
      <c r="AB362" s="15" t="n">
        <v>49.252</v>
      </c>
      <c r="AC362" s="15" t="n"/>
      <c r="AD362" s="16" t="n">
        <v>969</v>
      </c>
      <c r="AE362" s="17">
        <f>IF(ISNUMBER(K362),K362,IF(AND(ISNUMBER(H362),ISNUMBER(I362)),H362+I362,IF(ISNUMBER(H362),H362,"")))</f>
        <v/>
      </c>
      <c r="AF362" s="18">
        <f>IF(OR(NOT(ISNUMBER(J362)),NOT(ISNUMBER(H362)),H362&lt;=0),기준표!$B$8,MIN(MAX(J362/H362,기준표!$B$6),기준표!$B$7))</f>
        <v/>
      </c>
      <c r="AG362" s="17">
        <f>IF(ISNUMBER(AE362),AE362*(1-AF362),"")</f>
        <v/>
      </c>
      <c r="AH362" s="17">
        <f>IF(AND(NOT(ISNUMBER(V362)),NOT(ISNUMBER(X362))),"",IF(ISNUMBER(V362),V362,0)+IF(ISNUMBER(X362),X362,0))</f>
        <v/>
      </c>
      <c r="AI362" s="17">
        <f>IF(E362="금융","",IF(AND(ISNUMBER(R362),ISNUMBER(AH362),ISNUMBER(T362)),R362+AH362-T362,""))</f>
        <v/>
      </c>
      <c r="AJ362" s="17">
        <f>IF(E362="금융","",IF(NOT(ISNUMBER(AI362)),"",IF(ISNUMBER(AC362),(AI362+AC362)/2,AI362)))</f>
        <v/>
      </c>
      <c r="AK362" s="19">
        <f>IF(AND(ISNUMBER(AG362),ISNUMBER(AJ362),AJ362&gt;0),AG362/AJ362,"")</f>
        <v/>
      </c>
      <c r="AL362" s="17">
        <f>IF(E362="금융","",IF(AND(ISNUMBER(R362),ISNUMBER(AH362)),R362+AH362,""))</f>
        <v/>
      </c>
      <c r="AM362" s="19">
        <f>IF(OR(NOT(ISNUMBER(AG362)),NOT(ISNUMBER(AL362)),AL362&lt;=0),"",IF(AND(ISNUMBER(G362),AL362&lt;0.1*G362),"",AG362/AL362))</f>
        <v/>
      </c>
      <c r="AN362" s="17">
        <f>IF(NOT(ISNUMBER(R362)),"",IF(ISNUMBER(S362),(R362+S362)/2,R362))</f>
        <v/>
      </c>
      <c r="AO362" s="19">
        <f>IF(AND(ISNUMBER(L362),ISNUMBER(AN362),AN362&gt;0),L362/AN362,"")</f>
        <v/>
      </c>
      <c r="AP362" s="19">
        <f>IF(AND(ISNUMBER(AO362),ISNUMBER({ROIC})),AO362-{ROIC},"")</f>
        <v/>
      </c>
      <c r="AQ362" s="17">
        <f>IF(AND(ISNUMBER(AE362),ISNUMBER(N362)),AE362+N362,"")</f>
        <v/>
      </c>
      <c r="AR362" s="20">
        <f>IF(AND(ISNUMBER(AH362),ISNUMBER(T362),ISNUMBER(AQ362),AQ362&gt;0),(AH362-T362)/AQ362,"")</f>
        <v/>
      </c>
      <c r="AS362" s="20">
        <f>IF(AND(ISNUMBER(AE362),ISNUMBER(I362),I362&lt;&gt;0,AE362&gt;0),AE362/I362,"")</f>
        <v/>
      </c>
      <c r="AT362" s="17">
        <f>IF(AND(ISNUMBER(Y362),ISNUMBER(AA362)),Y362-IF(ISNUMBER(T362),T362,0)-(AA362-IF(ISNUMBER(V362),V362,0)),"")</f>
        <v/>
      </c>
      <c r="AU362" s="17">
        <f>IF(AND(ISNUMBER(Z362),ISNUMBER(AB362)),Z362-IF(ISNUMBER(U362),U362,0)-(AB362-IF(ISNUMBER(W362),W362,0)),"")</f>
        <v/>
      </c>
      <c r="AV362" s="17">
        <f>IF(AND(ISNUMBER(AT362),ISNUMBER(AU362)),AT362-AU362,"")</f>
        <v/>
      </c>
      <c r="AW362" s="17">
        <f>IF(AND(ISNUMBER(L362),ISNUMBER(M362),ISNUMBER(AF362)),L362-M362*(1-AF362),IF(ISNUMBER(L362),L362,""))</f>
        <v/>
      </c>
      <c r="AX362" s="17">
        <f>IF(E362="금융","",IF(AND(ISNUMBER(AW362),ISNUMBER(N362),ISNUMBER(O362),ISNUMBER(AV362)),AW362+N362-O362-AV362,IF(AND(ISNUMBER(P362),ISNUMBER(O362)),P362-O362-IF(ISNUMBER(Q362),Q362,0),"")))</f>
        <v/>
      </c>
      <c r="AY362" s="8">
        <f>IF(E362="금융","금융업 - 정의되지 않음",IF(AND(ISNUMBER(AW362),ISNUMBER(N362),ISNUMBER(O362),ISNUMBER(AV362)),"영업순이익+감가상각-설비투자-운전자본증감",IF(AND(ISNUMBER(P362),ISNUMBER(O362)),IF(ISNUMBER(Q362),"영업현금흐름-설비투자-주식보상비용","영업현금흐름-설비투자(주식보상비용 미태깅)"),"산출불가")))</f>
        <v/>
      </c>
      <c r="AZ362" s="19">
        <f>IF(AND(ISNUMBER(AX362),ISNUMBER(G362),G362&lt;&gt;0),AX362/G362,"")</f>
        <v/>
      </c>
      <c r="BA362" s="19">
        <f>IF(AND(ISNUMBER(AE362),ISNUMBER(G362),G362&lt;&gt;0),AE362/G362,"")</f>
        <v/>
      </c>
    </row>
    <row r="363">
      <c r="A363" s="8" t="inlineStr">
        <is>
          <t>UNH</t>
        </is>
      </c>
      <c r="B363" s="8" t="inlineStr">
        <is>
          <t>UNITEDHEALTH GROUP INC</t>
        </is>
      </c>
      <c r="C363" s="8" t="n">
        <v>2018</v>
      </c>
      <c r="D363" s="8" t="inlineStr">
        <is>
          <t>2018-12-31</t>
        </is>
      </c>
      <c r="E363" s="8" t="inlineStr">
        <is>
          <t>금융</t>
        </is>
      </c>
      <c r="F363" s="8" t="inlineStr">
        <is>
          <t>0000731766-21-000013</t>
        </is>
      </c>
      <c r="G363" s="15" t="n">
        <v>226.247</v>
      </c>
      <c r="H363" s="15" t="n"/>
      <c r="I363" s="15" t="n">
        <v>1.4</v>
      </c>
      <c r="J363" s="15" t="n">
        <v>3.562</v>
      </c>
      <c r="K363" s="15" t="n">
        <v>17.344</v>
      </c>
      <c r="L363" s="15" t="n">
        <v>11.986</v>
      </c>
      <c r="M363" s="15" t="n"/>
      <c r="N363" s="15" t="n">
        <v>2.428</v>
      </c>
      <c r="O363" s="15" t="n">
        <v>2.063</v>
      </c>
      <c r="P363" s="15" t="n">
        <v>15.713</v>
      </c>
      <c r="Q363" s="15" t="n">
        <v>0.638</v>
      </c>
      <c r="R363" s="15" t="n">
        <v>54.319</v>
      </c>
      <c r="S363" s="15" t="n">
        <v>49.833</v>
      </c>
      <c r="T363" s="15" t="n">
        <v>14.324</v>
      </c>
      <c r="U363" s="15" t="n">
        <v>15.49</v>
      </c>
      <c r="V363" s="15" t="n"/>
      <c r="W363" s="15" t="n"/>
      <c r="X363" s="15" t="n">
        <v>34.581</v>
      </c>
      <c r="Y363" s="15" t="n">
        <v>38.692</v>
      </c>
      <c r="Z363" s="15" t="n">
        <v>37.084</v>
      </c>
      <c r="AA363" s="15" t="n">
        <v>53.209</v>
      </c>
      <c r="AB363" s="15" t="n">
        <v>50.463</v>
      </c>
      <c r="AC363" s="15" t="n"/>
      <c r="AD363" s="16" t="n">
        <v>960</v>
      </c>
      <c r="AE363" s="17">
        <f>IF(ISNUMBER(K363),K363,IF(AND(ISNUMBER(H363),ISNUMBER(I363)),H363+I363,IF(ISNUMBER(H363),H363,"")))</f>
        <v/>
      </c>
      <c r="AF363" s="18">
        <f>IF(OR(NOT(ISNUMBER(J363)),NOT(ISNUMBER(H363)),H363&lt;=0),기준표!$B$8,MIN(MAX(J363/H363,기준표!$B$6),기준표!$B$7))</f>
        <v/>
      </c>
      <c r="AG363" s="17">
        <f>IF(ISNUMBER(AE363),AE363*(1-AF363),"")</f>
        <v/>
      </c>
      <c r="AH363" s="17">
        <f>IF(AND(NOT(ISNUMBER(V363)),NOT(ISNUMBER(X363))),"",IF(ISNUMBER(V363),V363,0)+IF(ISNUMBER(X363),X363,0))</f>
        <v/>
      </c>
      <c r="AI363" s="17">
        <f>IF(E363="금융","",IF(AND(ISNUMBER(R363),ISNUMBER(AH363),ISNUMBER(T363)),R363+AH363-T363,""))</f>
        <v/>
      </c>
      <c r="AJ363" s="17">
        <f>IF(E363="금융","",IF(NOT(ISNUMBER(AI363)),"",IF(ISNUMBER(AC363),(AI363+AC363)/2,AI363)))</f>
        <v/>
      </c>
      <c r="AK363" s="19">
        <f>IF(AND(ISNUMBER(AG363),ISNUMBER(AJ363),AJ363&gt;0),AG363/AJ363,"")</f>
        <v/>
      </c>
      <c r="AL363" s="17">
        <f>IF(E363="금융","",IF(AND(ISNUMBER(R363),ISNUMBER(AH363)),R363+AH363,""))</f>
        <v/>
      </c>
      <c r="AM363" s="19">
        <f>IF(OR(NOT(ISNUMBER(AG363)),NOT(ISNUMBER(AL363)),AL363&lt;=0),"",IF(AND(ISNUMBER(G363),AL363&lt;0.1*G363),"",AG363/AL363))</f>
        <v/>
      </c>
      <c r="AN363" s="17">
        <f>IF(NOT(ISNUMBER(R363)),"",IF(ISNUMBER(S363),(R363+S363)/2,R363))</f>
        <v/>
      </c>
      <c r="AO363" s="19">
        <f>IF(AND(ISNUMBER(L363),ISNUMBER(AN363),AN363&gt;0),L363/AN363,"")</f>
        <v/>
      </c>
      <c r="AP363" s="19">
        <f>IF(AND(ISNUMBER(AO363),ISNUMBER({ROIC})),AO363-{ROIC},"")</f>
        <v/>
      </c>
      <c r="AQ363" s="17">
        <f>IF(AND(ISNUMBER(AE363),ISNUMBER(N363)),AE363+N363,"")</f>
        <v/>
      </c>
      <c r="AR363" s="20">
        <f>IF(AND(ISNUMBER(AH363),ISNUMBER(T363),ISNUMBER(AQ363),AQ363&gt;0),(AH363-T363)/AQ363,"")</f>
        <v/>
      </c>
      <c r="AS363" s="20">
        <f>IF(AND(ISNUMBER(AE363),ISNUMBER(I363),I363&lt;&gt;0,AE363&gt;0),AE363/I363,"")</f>
        <v/>
      </c>
      <c r="AT363" s="17">
        <f>IF(AND(ISNUMBER(Y363),ISNUMBER(AA363)),Y363-IF(ISNUMBER(T363),T363,0)-(AA363-IF(ISNUMBER(V363),V363,0)),"")</f>
        <v/>
      </c>
      <c r="AU363" s="17">
        <f>IF(AND(ISNUMBER(Z363),ISNUMBER(AB363)),Z363-IF(ISNUMBER(U363),U363,0)-(AB363-IF(ISNUMBER(W363),W363,0)),"")</f>
        <v/>
      </c>
      <c r="AV363" s="17">
        <f>IF(AND(ISNUMBER(AT363),ISNUMBER(AU363)),AT363-AU363,"")</f>
        <v/>
      </c>
      <c r="AW363" s="17">
        <f>IF(AND(ISNUMBER(L363),ISNUMBER(M363),ISNUMBER(AF363)),L363-M363*(1-AF363),IF(ISNUMBER(L363),L363,""))</f>
        <v/>
      </c>
      <c r="AX363" s="17">
        <f>IF(E363="금융","",IF(AND(ISNUMBER(AW363),ISNUMBER(N363),ISNUMBER(O363),ISNUMBER(AV363)),AW363+N363-O363-AV363,IF(AND(ISNUMBER(P363),ISNUMBER(O363)),P363-O363-IF(ISNUMBER(Q363),Q363,0),"")))</f>
        <v/>
      </c>
      <c r="AY363" s="8">
        <f>IF(E363="금융","금융업 - 정의되지 않음",IF(AND(ISNUMBER(AW363),ISNUMBER(N363),ISNUMBER(O363),ISNUMBER(AV363)),"영업순이익+감가상각-설비투자-운전자본증감",IF(AND(ISNUMBER(P363),ISNUMBER(O363)),IF(ISNUMBER(Q363),"영업현금흐름-설비투자-주식보상비용","영업현금흐름-설비투자(주식보상비용 미태깅)"),"산출불가")))</f>
        <v/>
      </c>
      <c r="AZ363" s="19">
        <f>IF(AND(ISNUMBER(AX363),ISNUMBER(G363),G363&lt;&gt;0),AX363/G363,"")</f>
        <v/>
      </c>
      <c r="BA363" s="19">
        <f>IF(AND(ISNUMBER(AE363),ISNUMBER(G363),G363&lt;&gt;0),AE363/G363,"")</f>
        <v/>
      </c>
    </row>
    <row r="364">
      <c r="A364" s="8" t="inlineStr">
        <is>
          <t>UNH</t>
        </is>
      </c>
      <c r="B364" s="8" t="inlineStr">
        <is>
          <t>UNITEDHEALTH GROUP INC</t>
        </is>
      </c>
      <c r="C364" s="8" t="n">
        <v>2019</v>
      </c>
      <c r="D364" s="8" t="inlineStr">
        <is>
          <t>2019-12-31</t>
        </is>
      </c>
      <c r="E364" s="8" t="inlineStr">
        <is>
          <t>금융</t>
        </is>
      </c>
      <c r="F364" s="8" t="inlineStr">
        <is>
          <t>0000731766-22-000008</t>
        </is>
      </c>
      <c r="G364" s="15" t="n">
        <v>242.155</v>
      </c>
      <c r="H364" s="15" t="n">
        <v>17.981</v>
      </c>
      <c r="I364" s="15" t="n">
        <v>1.704</v>
      </c>
      <c r="J364" s="15" t="n">
        <v>3.742</v>
      </c>
      <c r="K364" s="15" t="n">
        <v>19.685</v>
      </c>
      <c r="L364" s="15" t="n">
        <v>13.839</v>
      </c>
      <c r="M364" s="15" t="n"/>
      <c r="N364" s="15" t="n">
        <v>2.72</v>
      </c>
      <c r="O364" s="15" t="n">
        <v>2.071</v>
      </c>
      <c r="P364" s="15" t="n">
        <v>18.463</v>
      </c>
      <c r="Q364" s="15" t="n">
        <v>0.697</v>
      </c>
      <c r="R364" s="15" t="n">
        <v>60.436</v>
      </c>
      <c r="S364" s="15" t="n">
        <v>54.319</v>
      </c>
      <c r="T364" s="15" t="n">
        <v>14.245</v>
      </c>
      <c r="U364" s="15" t="n">
        <v>14.324</v>
      </c>
      <c r="V364" s="15" t="n"/>
      <c r="W364" s="15" t="n"/>
      <c r="X364" s="15" t="n">
        <v>36.808</v>
      </c>
      <c r="Y364" s="15" t="n">
        <v>42.634</v>
      </c>
      <c r="Z364" s="15" t="n">
        <v>38.692</v>
      </c>
      <c r="AA364" s="15" t="n">
        <v>61.782</v>
      </c>
      <c r="AB364" s="15" t="n">
        <v>53.209</v>
      </c>
      <c r="AC364" s="15" t="n"/>
      <c r="AD364" s="16" t="n">
        <v>948</v>
      </c>
      <c r="AE364" s="17">
        <f>IF(ISNUMBER(K364),K364,IF(AND(ISNUMBER(H364),ISNUMBER(I364)),H364+I364,IF(ISNUMBER(H364),H364,"")))</f>
        <v/>
      </c>
      <c r="AF364" s="18">
        <f>IF(OR(NOT(ISNUMBER(J364)),NOT(ISNUMBER(H364)),H364&lt;=0),기준표!$B$8,MIN(MAX(J364/H364,기준표!$B$6),기준표!$B$7))</f>
        <v/>
      </c>
      <c r="AG364" s="17">
        <f>IF(ISNUMBER(AE364),AE364*(1-AF364),"")</f>
        <v/>
      </c>
      <c r="AH364" s="17">
        <f>IF(AND(NOT(ISNUMBER(V364)),NOT(ISNUMBER(X364))),"",IF(ISNUMBER(V364),V364,0)+IF(ISNUMBER(X364),X364,0))</f>
        <v/>
      </c>
      <c r="AI364" s="17">
        <f>IF(E364="금융","",IF(AND(ISNUMBER(R364),ISNUMBER(AH364),ISNUMBER(T364)),R364+AH364-T364,""))</f>
        <v/>
      </c>
      <c r="AJ364" s="17">
        <f>IF(E364="금융","",IF(NOT(ISNUMBER(AI364)),"",IF(ISNUMBER(AC364),(AI364+AC364)/2,AI364)))</f>
        <v/>
      </c>
      <c r="AK364" s="19">
        <f>IF(AND(ISNUMBER(AG364),ISNUMBER(AJ364),AJ364&gt;0),AG364/AJ364,"")</f>
        <v/>
      </c>
      <c r="AL364" s="17">
        <f>IF(E364="금융","",IF(AND(ISNUMBER(R364),ISNUMBER(AH364)),R364+AH364,""))</f>
        <v/>
      </c>
      <c r="AM364" s="19">
        <f>IF(OR(NOT(ISNUMBER(AG364)),NOT(ISNUMBER(AL364)),AL364&lt;=0),"",IF(AND(ISNUMBER(G364),AL364&lt;0.1*G364),"",AG364/AL364))</f>
        <v/>
      </c>
      <c r="AN364" s="17">
        <f>IF(NOT(ISNUMBER(R364)),"",IF(ISNUMBER(S364),(R364+S364)/2,R364))</f>
        <v/>
      </c>
      <c r="AO364" s="19">
        <f>IF(AND(ISNUMBER(L364),ISNUMBER(AN364),AN364&gt;0),L364/AN364,"")</f>
        <v/>
      </c>
      <c r="AP364" s="19">
        <f>IF(AND(ISNUMBER(AO364),ISNUMBER({ROIC})),AO364-{ROIC},"")</f>
        <v/>
      </c>
      <c r="AQ364" s="17">
        <f>IF(AND(ISNUMBER(AE364),ISNUMBER(N364)),AE364+N364,"")</f>
        <v/>
      </c>
      <c r="AR364" s="20">
        <f>IF(AND(ISNUMBER(AH364),ISNUMBER(T364),ISNUMBER(AQ364),AQ364&gt;0),(AH364-T364)/AQ364,"")</f>
        <v/>
      </c>
      <c r="AS364" s="20">
        <f>IF(AND(ISNUMBER(AE364),ISNUMBER(I364),I364&lt;&gt;0,AE364&gt;0),AE364/I364,"")</f>
        <v/>
      </c>
      <c r="AT364" s="17">
        <f>IF(AND(ISNUMBER(Y364),ISNUMBER(AA364)),Y364-IF(ISNUMBER(T364),T364,0)-(AA364-IF(ISNUMBER(V364),V364,0)),"")</f>
        <v/>
      </c>
      <c r="AU364" s="17">
        <f>IF(AND(ISNUMBER(Z364),ISNUMBER(AB364)),Z364-IF(ISNUMBER(U364),U364,0)-(AB364-IF(ISNUMBER(W364),W364,0)),"")</f>
        <v/>
      </c>
      <c r="AV364" s="17">
        <f>IF(AND(ISNUMBER(AT364),ISNUMBER(AU364)),AT364-AU364,"")</f>
        <v/>
      </c>
      <c r="AW364" s="17">
        <f>IF(AND(ISNUMBER(L364),ISNUMBER(M364),ISNUMBER(AF364)),L364-M364*(1-AF364),IF(ISNUMBER(L364),L364,""))</f>
        <v/>
      </c>
      <c r="AX364" s="17">
        <f>IF(E364="금융","",IF(AND(ISNUMBER(AW364),ISNUMBER(N364),ISNUMBER(O364),ISNUMBER(AV364)),AW364+N364-O364-AV364,IF(AND(ISNUMBER(P364),ISNUMBER(O364)),P364-O364-IF(ISNUMBER(Q364),Q364,0),"")))</f>
        <v/>
      </c>
      <c r="AY364" s="8">
        <f>IF(E364="금융","금융업 - 정의되지 않음",IF(AND(ISNUMBER(AW364),ISNUMBER(N364),ISNUMBER(O364),ISNUMBER(AV364)),"영업순이익+감가상각-설비투자-운전자본증감",IF(AND(ISNUMBER(P364),ISNUMBER(O364)),IF(ISNUMBER(Q364),"영업현금흐름-설비투자-주식보상비용","영업현금흐름-설비투자(주식보상비용 미태깅)"),"산출불가")))</f>
        <v/>
      </c>
      <c r="AZ364" s="19">
        <f>IF(AND(ISNUMBER(AX364),ISNUMBER(G364),G364&lt;&gt;0),AX364/G364,"")</f>
        <v/>
      </c>
      <c r="BA364" s="19">
        <f>IF(AND(ISNUMBER(AE364),ISNUMBER(G364),G364&lt;&gt;0),AE364/G364,"")</f>
        <v/>
      </c>
    </row>
    <row r="365">
      <c r="A365" s="8" t="inlineStr">
        <is>
          <t>UNH</t>
        </is>
      </c>
      <c r="B365" s="8" t="inlineStr">
        <is>
          <t>UNITEDHEALTH GROUP INC</t>
        </is>
      </c>
      <c r="C365" s="8" t="n">
        <v>2020</v>
      </c>
      <c r="D365" s="8" t="inlineStr">
        <is>
          <t>2020-12-31</t>
        </is>
      </c>
      <c r="E365" s="8" t="inlineStr">
        <is>
          <t>금융</t>
        </is>
      </c>
      <c r="F365" s="8" t="inlineStr">
        <is>
          <t>0000731766-23-000008</t>
        </is>
      </c>
      <c r="G365" s="15" t="n">
        <v>257.141</v>
      </c>
      <c r="H365" s="15" t="n">
        <v>20.742</v>
      </c>
      <c r="I365" s="15" t="n">
        <v>1.663</v>
      </c>
      <c r="J365" s="15" t="n">
        <v>4.973</v>
      </c>
      <c r="K365" s="15" t="n">
        <v>22.405</v>
      </c>
      <c r="L365" s="15" t="n">
        <v>15.403</v>
      </c>
      <c r="M365" s="15" t="n"/>
      <c r="N365" s="15" t="n">
        <v>2.891</v>
      </c>
      <c r="O365" s="15" t="n">
        <v>2.051</v>
      </c>
      <c r="P365" s="15" t="n">
        <v>22.174</v>
      </c>
      <c r="Q365" s="15" t="n">
        <v>0.679</v>
      </c>
      <c r="R365" s="15" t="n">
        <v>68.328</v>
      </c>
      <c r="S365" s="15" t="n">
        <v>60.436</v>
      </c>
      <c r="T365" s="15" t="n">
        <v>19.781</v>
      </c>
      <c r="U365" s="15" t="n">
        <v>14.245</v>
      </c>
      <c r="V365" s="15" t="n"/>
      <c r="W365" s="15" t="n"/>
      <c r="X365" s="15" t="n">
        <v>38.648</v>
      </c>
      <c r="Y365" s="15" t="n">
        <v>53.718</v>
      </c>
      <c r="Z365" s="15" t="n">
        <v>42.634</v>
      </c>
      <c r="AA365" s="15" t="n">
        <v>72.42</v>
      </c>
      <c r="AB365" s="15" t="n">
        <v>61.782</v>
      </c>
      <c r="AC365" s="15" t="n"/>
      <c r="AD365" s="16" t="n">
        <v>946</v>
      </c>
      <c r="AE365" s="17">
        <f>IF(ISNUMBER(K365),K365,IF(AND(ISNUMBER(H365),ISNUMBER(I365)),H365+I365,IF(ISNUMBER(H365),H365,"")))</f>
        <v/>
      </c>
      <c r="AF365" s="18">
        <f>IF(OR(NOT(ISNUMBER(J365)),NOT(ISNUMBER(H365)),H365&lt;=0),기준표!$B$8,MIN(MAX(J365/H365,기준표!$B$6),기준표!$B$7))</f>
        <v/>
      </c>
      <c r="AG365" s="17">
        <f>IF(ISNUMBER(AE365),AE365*(1-AF365),"")</f>
        <v/>
      </c>
      <c r="AH365" s="17">
        <f>IF(AND(NOT(ISNUMBER(V365)),NOT(ISNUMBER(X365))),"",IF(ISNUMBER(V365),V365,0)+IF(ISNUMBER(X365),X365,0))</f>
        <v/>
      </c>
      <c r="AI365" s="17">
        <f>IF(E365="금융","",IF(AND(ISNUMBER(R365),ISNUMBER(AH365),ISNUMBER(T365)),R365+AH365-T365,""))</f>
        <v/>
      </c>
      <c r="AJ365" s="17">
        <f>IF(E365="금융","",IF(NOT(ISNUMBER(AI365)),"",IF(ISNUMBER(AC365),(AI365+AC365)/2,AI365)))</f>
        <v/>
      </c>
      <c r="AK365" s="19">
        <f>IF(AND(ISNUMBER(AG365),ISNUMBER(AJ365),AJ365&gt;0),AG365/AJ365,"")</f>
        <v/>
      </c>
      <c r="AL365" s="17">
        <f>IF(E365="금융","",IF(AND(ISNUMBER(R365),ISNUMBER(AH365)),R365+AH365,""))</f>
        <v/>
      </c>
      <c r="AM365" s="19">
        <f>IF(OR(NOT(ISNUMBER(AG365)),NOT(ISNUMBER(AL365)),AL365&lt;=0),"",IF(AND(ISNUMBER(G365),AL365&lt;0.1*G365),"",AG365/AL365))</f>
        <v/>
      </c>
      <c r="AN365" s="17">
        <f>IF(NOT(ISNUMBER(R365)),"",IF(ISNUMBER(S365),(R365+S365)/2,R365))</f>
        <v/>
      </c>
      <c r="AO365" s="19">
        <f>IF(AND(ISNUMBER(L365),ISNUMBER(AN365),AN365&gt;0),L365/AN365,"")</f>
        <v/>
      </c>
      <c r="AP365" s="19">
        <f>IF(AND(ISNUMBER(AO365),ISNUMBER({ROIC})),AO365-{ROIC},"")</f>
        <v/>
      </c>
      <c r="AQ365" s="17">
        <f>IF(AND(ISNUMBER(AE365),ISNUMBER(N365)),AE365+N365,"")</f>
        <v/>
      </c>
      <c r="AR365" s="20">
        <f>IF(AND(ISNUMBER(AH365),ISNUMBER(T365),ISNUMBER(AQ365),AQ365&gt;0),(AH365-T365)/AQ365,"")</f>
        <v/>
      </c>
      <c r="AS365" s="20">
        <f>IF(AND(ISNUMBER(AE365),ISNUMBER(I365),I365&lt;&gt;0,AE365&gt;0),AE365/I365,"")</f>
        <v/>
      </c>
      <c r="AT365" s="17">
        <f>IF(AND(ISNUMBER(Y365),ISNUMBER(AA365)),Y365-IF(ISNUMBER(T365),T365,0)-(AA365-IF(ISNUMBER(V365),V365,0)),"")</f>
        <v/>
      </c>
      <c r="AU365" s="17">
        <f>IF(AND(ISNUMBER(Z365),ISNUMBER(AB365)),Z365-IF(ISNUMBER(U365),U365,0)-(AB365-IF(ISNUMBER(W365),W365,0)),"")</f>
        <v/>
      </c>
      <c r="AV365" s="17">
        <f>IF(AND(ISNUMBER(AT365),ISNUMBER(AU365)),AT365-AU365,"")</f>
        <v/>
      </c>
      <c r="AW365" s="17">
        <f>IF(AND(ISNUMBER(L365),ISNUMBER(M365),ISNUMBER(AF365)),L365-M365*(1-AF365),IF(ISNUMBER(L365),L365,""))</f>
        <v/>
      </c>
      <c r="AX365" s="17">
        <f>IF(E365="금융","",IF(AND(ISNUMBER(AW365),ISNUMBER(N365),ISNUMBER(O365),ISNUMBER(AV365)),AW365+N365-O365-AV365,IF(AND(ISNUMBER(P365),ISNUMBER(O365)),P365-O365-IF(ISNUMBER(Q365),Q365,0),"")))</f>
        <v/>
      </c>
      <c r="AY365" s="8">
        <f>IF(E365="금융","금융업 - 정의되지 않음",IF(AND(ISNUMBER(AW365),ISNUMBER(N365),ISNUMBER(O365),ISNUMBER(AV365)),"영업순이익+감가상각-설비투자-운전자본증감",IF(AND(ISNUMBER(P365),ISNUMBER(O365)),IF(ISNUMBER(Q365),"영업현금흐름-설비투자-주식보상비용","영업현금흐름-설비투자(주식보상비용 미태깅)"),"산출불가")))</f>
        <v/>
      </c>
      <c r="AZ365" s="19">
        <f>IF(AND(ISNUMBER(AX365),ISNUMBER(G365),G365&lt;&gt;0),AX365/G365,"")</f>
        <v/>
      </c>
      <c r="BA365" s="19">
        <f>IF(AND(ISNUMBER(AE365),ISNUMBER(G365),G365&lt;&gt;0),AE365/G365,"")</f>
        <v/>
      </c>
    </row>
    <row r="366">
      <c r="A366" s="8" t="inlineStr">
        <is>
          <t>UNH</t>
        </is>
      </c>
      <c r="B366" s="8" t="inlineStr">
        <is>
          <t>UNITEDHEALTH GROUP INC</t>
        </is>
      </c>
      <c r="C366" s="8" t="n">
        <v>2021</v>
      </c>
      <c r="D366" s="8" t="inlineStr">
        <is>
          <t>2021-12-31</t>
        </is>
      </c>
      <c r="E366" s="8" t="inlineStr">
        <is>
          <t>금융</t>
        </is>
      </c>
      <c r="F366" s="8" t="inlineStr">
        <is>
          <t>0000731766-24-000081</t>
        </is>
      </c>
      <c r="G366" s="15" t="n">
        <v>287.597</v>
      </c>
      <c r="H366" s="15" t="n">
        <v>22.31</v>
      </c>
      <c r="I366" s="15" t="n">
        <v>1.66</v>
      </c>
      <c r="J366" s="15" t="n">
        <v>4.578</v>
      </c>
      <c r="K366" s="15" t="n">
        <v>23.97</v>
      </c>
      <c r="L366" s="15" t="n">
        <v>17.285</v>
      </c>
      <c r="M366" s="15" t="n"/>
      <c r="N366" s="15" t="n">
        <v>3.103</v>
      </c>
      <c r="O366" s="15" t="n">
        <v>2.454</v>
      </c>
      <c r="P366" s="15" t="n">
        <v>22.343</v>
      </c>
      <c r="Q366" s="15" t="n">
        <v>0.8</v>
      </c>
      <c r="R366" s="15" t="n">
        <v>75.045</v>
      </c>
      <c r="S366" s="15" t="n">
        <v>68.328</v>
      </c>
      <c r="T366" s="15" t="n">
        <v>23.907</v>
      </c>
      <c r="U366" s="15" t="n">
        <v>19.781</v>
      </c>
      <c r="V366" s="15" t="n">
        <v>3.62</v>
      </c>
      <c r="W366" s="15" t="n"/>
      <c r="X366" s="15" t="n">
        <v>42.383</v>
      </c>
      <c r="Y366" s="15" t="n">
        <v>61.758</v>
      </c>
      <c r="Z366" s="15" t="n">
        <v>53.718</v>
      </c>
      <c r="AA366" s="15" t="n">
        <v>78.292</v>
      </c>
      <c r="AB366" s="15" t="n">
        <v>72.42</v>
      </c>
      <c r="AC366" s="15" t="n"/>
      <c r="AD366" s="16" t="n">
        <v>941</v>
      </c>
      <c r="AE366" s="17">
        <f>IF(ISNUMBER(K366),K366,IF(AND(ISNUMBER(H366),ISNUMBER(I366)),H366+I366,IF(ISNUMBER(H366),H366,"")))</f>
        <v/>
      </c>
      <c r="AF366" s="18">
        <f>IF(OR(NOT(ISNUMBER(J366)),NOT(ISNUMBER(H366)),H366&lt;=0),기준표!$B$8,MIN(MAX(J366/H366,기준표!$B$6),기준표!$B$7))</f>
        <v/>
      </c>
      <c r="AG366" s="17">
        <f>IF(ISNUMBER(AE366),AE366*(1-AF366),"")</f>
        <v/>
      </c>
      <c r="AH366" s="17">
        <f>IF(AND(NOT(ISNUMBER(V366)),NOT(ISNUMBER(X366))),"",IF(ISNUMBER(V366),V366,0)+IF(ISNUMBER(X366),X366,0))</f>
        <v/>
      </c>
      <c r="AI366" s="17">
        <f>IF(E366="금융","",IF(AND(ISNUMBER(R366),ISNUMBER(AH366),ISNUMBER(T366)),R366+AH366-T366,""))</f>
        <v/>
      </c>
      <c r="AJ366" s="17">
        <f>IF(E366="금융","",IF(NOT(ISNUMBER(AI366)),"",IF(ISNUMBER(AC366),(AI366+AC366)/2,AI366)))</f>
        <v/>
      </c>
      <c r="AK366" s="19">
        <f>IF(AND(ISNUMBER(AG366),ISNUMBER(AJ366),AJ366&gt;0),AG366/AJ366,"")</f>
        <v/>
      </c>
      <c r="AL366" s="17">
        <f>IF(E366="금융","",IF(AND(ISNUMBER(R366),ISNUMBER(AH366)),R366+AH366,""))</f>
        <v/>
      </c>
      <c r="AM366" s="19">
        <f>IF(OR(NOT(ISNUMBER(AG366)),NOT(ISNUMBER(AL366)),AL366&lt;=0),"",IF(AND(ISNUMBER(G366),AL366&lt;0.1*G366),"",AG366/AL366))</f>
        <v/>
      </c>
      <c r="AN366" s="17">
        <f>IF(NOT(ISNUMBER(R366)),"",IF(ISNUMBER(S366),(R366+S366)/2,R366))</f>
        <v/>
      </c>
      <c r="AO366" s="19">
        <f>IF(AND(ISNUMBER(L366),ISNUMBER(AN366),AN366&gt;0),L366/AN366,"")</f>
        <v/>
      </c>
      <c r="AP366" s="19">
        <f>IF(AND(ISNUMBER(AO366),ISNUMBER({ROIC})),AO366-{ROIC},"")</f>
        <v/>
      </c>
      <c r="AQ366" s="17">
        <f>IF(AND(ISNUMBER(AE366),ISNUMBER(N366)),AE366+N366,"")</f>
        <v/>
      </c>
      <c r="AR366" s="20">
        <f>IF(AND(ISNUMBER(AH366),ISNUMBER(T366),ISNUMBER(AQ366),AQ366&gt;0),(AH366-T366)/AQ366,"")</f>
        <v/>
      </c>
      <c r="AS366" s="20">
        <f>IF(AND(ISNUMBER(AE366),ISNUMBER(I366),I366&lt;&gt;0,AE366&gt;0),AE366/I366,"")</f>
        <v/>
      </c>
      <c r="AT366" s="17">
        <f>IF(AND(ISNUMBER(Y366),ISNUMBER(AA366)),Y366-IF(ISNUMBER(T366),T366,0)-(AA366-IF(ISNUMBER(V366),V366,0)),"")</f>
        <v/>
      </c>
      <c r="AU366" s="17">
        <f>IF(AND(ISNUMBER(Z366),ISNUMBER(AB366)),Z366-IF(ISNUMBER(U366),U366,0)-(AB366-IF(ISNUMBER(W366),W366,0)),"")</f>
        <v/>
      </c>
      <c r="AV366" s="17">
        <f>IF(AND(ISNUMBER(AT366),ISNUMBER(AU366)),AT366-AU366,"")</f>
        <v/>
      </c>
      <c r="AW366" s="17">
        <f>IF(AND(ISNUMBER(L366),ISNUMBER(M366),ISNUMBER(AF366)),L366-M366*(1-AF366),IF(ISNUMBER(L366),L366,""))</f>
        <v/>
      </c>
      <c r="AX366" s="17">
        <f>IF(E366="금융","",IF(AND(ISNUMBER(AW366),ISNUMBER(N366),ISNUMBER(O366),ISNUMBER(AV366)),AW366+N366-O366-AV366,IF(AND(ISNUMBER(P366),ISNUMBER(O366)),P366-O366-IF(ISNUMBER(Q366),Q366,0),"")))</f>
        <v/>
      </c>
      <c r="AY366" s="8">
        <f>IF(E366="금융","금융업 - 정의되지 않음",IF(AND(ISNUMBER(AW366),ISNUMBER(N366),ISNUMBER(O366),ISNUMBER(AV366)),"영업순이익+감가상각-설비투자-운전자본증감",IF(AND(ISNUMBER(P366),ISNUMBER(O366)),IF(ISNUMBER(Q366),"영업현금흐름-설비투자-주식보상비용","영업현금흐름-설비투자(주식보상비용 미태깅)"),"산출불가")))</f>
        <v/>
      </c>
      <c r="AZ366" s="19">
        <f>IF(AND(ISNUMBER(AX366),ISNUMBER(G366),G366&lt;&gt;0),AX366/G366,"")</f>
        <v/>
      </c>
      <c r="BA366" s="19">
        <f>IF(AND(ISNUMBER(AE366),ISNUMBER(G366),G366&lt;&gt;0),AE366/G366,"")</f>
        <v/>
      </c>
    </row>
    <row r="367">
      <c r="A367" s="8" t="inlineStr">
        <is>
          <t>UNH</t>
        </is>
      </c>
      <c r="B367" s="8" t="inlineStr">
        <is>
          <t>UNITEDHEALTH GROUP INC</t>
        </is>
      </c>
      <c r="C367" s="8" t="n">
        <v>2022</v>
      </c>
      <c r="D367" s="8" t="inlineStr">
        <is>
          <t>2022-12-31</t>
        </is>
      </c>
      <c r="E367" s="8" t="inlineStr">
        <is>
          <t>금융</t>
        </is>
      </c>
      <c r="F367" s="8" t="inlineStr">
        <is>
          <t>0000731766-25-000063</t>
        </is>
      </c>
      <c r="G367" s="15" t="n">
        <v>324.162</v>
      </c>
      <c r="H367" s="15" t="n">
        <v>26.343</v>
      </c>
      <c r="I367" s="15" t="n">
        <v>2.092</v>
      </c>
      <c r="J367" s="15" t="n">
        <v>5.704</v>
      </c>
      <c r="K367" s="15" t="n">
        <v>28.435</v>
      </c>
      <c r="L367" s="15" t="n">
        <v>20.12</v>
      </c>
      <c r="M367" s="15" t="n"/>
      <c r="N367" s="15" t="n">
        <v>3.4</v>
      </c>
      <c r="O367" s="15" t="n">
        <v>2.802</v>
      </c>
      <c r="P367" s="15" t="n">
        <v>26.206</v>
      </c>
      <c r="Q367" s="15" t="n">
        <v>0.925</v>
      </c>
      <c r="R367" s="15" t="n">
        <v>81.45</v>
      </c>
      <c r="S367" s="15" t="n">
        <v>75.045</v>
      </c>
      <c r="T367" s="15" t="n">
        <v>27.911</v>
      </c>
      <c r="U367" s="15" t="n">
        <v>23.907</v>
      </c>
      <c r="V367" s="15" t="n">
        <v>3.11</v>
      </c>
      <c r="W367" s="15" t="n">
        <v>3.62</v>
      </c>
      <c r="X367" s="15" t="n">
        <v>54.513</v>
      </c>
      <c r="Y367" s="15" t="n">
        <v>69.069</v>
      </c>
      <c r="Z367" s="15" t="n">
        <v>61.758</v>
      </c>
      <c r="AA367" s="15" t="n">
        <v>89.23699999999999</v>
      </c>
      <c r="AB367" s="15" t="n">
        <v>78.292</v>
      </c>
      <c r="AC367" s="15" t="n"/>
      <c r="AD367" s="16" t="n">
        <v>934</v>
      </c>
      <c r="AE367" s="17">
        <f>IF(ISNUMBER(K367),K367,IF(AND(ISNUMBER(H367),ISNUMBER(I367)),H367+I367,IF(ISNUMBER(H367),H367,"")))</f>
        <v/>
      </c>
      <c r="AF367" s="18">
        <f>IF(OR(NOT(ISNUMBER(J367)),NOT(ISNUMBER(H367)),H367&lt;=0),기준표!$B$8,MIN(MAX(J367/H367,기준표!$B$6),기준표!$B$7))</f>
        <v/>
      </c>
      <c r="AG367" s="17">
        <f>IF(ISNUMBER(AE367),AE367*(1-AF367),"")</f>
        <v/>
      </c>
      <c r="AH367" s="17">
        <f>IF(AND(NOT(ISNUMBER(V367)),NOT(ISNUMBER(X367))),"",IF(ISNUMBER(V367),V367,0)+IF(ISNUMBER(X367),X367,0))</f>
        <v/>
      </c>
      <c r="AI367" s="17">
        <f>IF(E367="금융","",IF(AND(ISNUMBER(R367),ISNUMBER(AH367),ISNUMBER(T367)),R367+AH367-T367,""))</f>
        <v/>
      </c>
      <c r="AJ367" s="17">
        <f>IF(E367="금융","",IF(NOT(ISNUMBER(AI367)),"",IF(ISNUMBER(AC367),(AI367+AC367)/2,AI367)))</f>
        <v/>
      </c>
      <c r="AK367" s="19">
        <f>IF(AND(ISNUMBER(AG367),ISNUMBER(AJ367),AJ367&gt;0),AG367/AJ367,"")</f>
        <v/>
      </c>
      <c r="AL367" s="17">
        <f>IF(E367="금융","",IF(AND(ISNUMBER(R367),ISNUMBER(AH367)),R367+AH367,""))</f>
        <v/>
      </c>
      <c r="AM367" s="19">
        <f>IF(OR(NOT(ISNUMBER(AG367)),NOT(ISNUMBER(AL367)),AL367&lt;=0),"",IF(AND(ISNUMBER(G367),AL367&lt;0.1*G367),"",AG367/AL367))</f>
        <v/>
      </c>
      <c r="AN367" s="17">
        <f>IF(NOT(ISNUMBER(R367)),"",IF(ISNUMBER(S367),(R367+S367)/2,R367))</f>
        <v/>
      </c>
      <c r="AO367" s="19">
        <f>IF(AND(ISNUMBER(L367),ISNUMBER(AN367),AN367&gt;0),L367/AN367,"")</f>
        <v/>
      </c>
      <c r="AP367" s="19">
        <f>IF(AND(ISNUMBER(AO367),ISNUMBER({ROIC})),AO367-{ROIC},"")</f>
        <v/>
      </c>
      <c r="AQ367" s="17">
        <f>IF(AND(ISNUMBER(AE367),ISNUMBER(N367)),AE367+N367,"")</f>
        <v/>
      </c>
      <c r="AR367" s="20">
        <f>IF(AND(ISNUMBER(AH367),ISNUMBER(T367),ISNUMBER(AQ367),AQ367&gt;0),(AH367-T367)/AQ367,"")</f>
        <v/>
      </c>
      <c r="AS367" s="20">
        <f>IF(AND(ISNUMBER(AE367),ISNUMBER(I367),I367&lt;&gt;0,AE367&gt;0),AE367/I367,"")</f>
        <v/>
      </c>
      <c r="AT367" s="17">
        <f>IF(AND(ISNUMBER(Y367),ISNUMBER(AA367)),Y367-IF(ISNUMBER(T367),T367,0)-(AA367-IF(ISNUMBER(V367),V367,0)),"")</f>
        <v/>
      </c>
      <c r="AU367" s="17">
        <f>IF(AND(ISNUMBER(Z367),ISNUMBER(AB367)),Z367-IF(ISNUMBER(U367),U367,0)-(AB367-IF(ISNUMBER(W367),W367,0)),"")</f>
        <v/>
      </c>
      <c r="AV367" s="17">
        <f>IF(AND(ISNUMBER(AT367),ISNUMBER(AU367)),AT367-AU367,"")</f>
        <v/>
      </c>
      <c r="AW367" s="17">
        <f>IF(AND(ISNUMBER(L367),ISNUMBER(M367),ISNUMBER(AF367)),L367-M367*(1-AF367),IF(ISNUMBER(L367),L367,""))</f>
        <v/>
      </c>
      <c r="AX367" s="17">
        <f>IF(E367="금융","",IF(AND(ISNUMBER(AW367),ISNUMBER(N367),ISNUMBER(O367),ISNUMBER(AV367)),AW367+N367-O367-AV367,IF(AND(ISNUMBER(P367),ISNUMBER(O367)),P367-O367-IF(ISNUMBER(Q367),Q367,0),"")))</f>
        <v/>
      </c>
      <c r="AY367" s="8">
        <f>IF(E367="금융","금융업 - 정의되지 않음",IF(AND(ISNUMBER(AW367),ISNUMBER(N367),ISNUMBER(O367),ISNUMBER(AV367)),"영업순이익+감가상각-설비투자-운전자본증감",IF(AND(ISNUMBER(P367),ISNUMBER(O367)),IF(ISNUMBER(Q367),"영업현금흐름-설비투자-주식보상비용","영업현금흐름-설비투자(주식보상비용 미태깅)"),"산출불가")))</f>
        <v/>
      </c>
      <c r="AZ367" s="19">
        <f>IF(AND(ISNUMBER(AX367),ISNUMBER(G367),G367&lt;&gt;0),AX367/G367,"")</f>
        <v/>
      </c>
      <c r="BA367" s="19">
        <f>IF(AND(ISNUMBER(AE367),ISNUMBER(G367),G367&lt;&gt;0),AE367/G367,"")</f>
        <v/>
      </c>
    </row>
    <row r="368">
      <c r="A368" s="8" t="inlineStr">
        <is>
          <t>UNH</t>
        </is>
      </c>
      <c r="B368" s="8" t="inlineStr">
        <is>
          <t>UNITEDHEALTH GROUP INC</t>
        </is>
      </c>
      <c r="C368" s="8" t="n">
        <v>2023</v>
      </c>
      <c r="D368" s="8" t="inlineStr">
        <is>
          <t>2023-12-31</t>
        </is>
      </c>
      <c r="E368" s="8" t="inlineStr">
        <is>
          <t>금융</t>
        </is>
      </c>
      <c r="F368" s="8" t="inlineStr">
        <is>
          <t>0000731766-26-000062</t>
        </is>
      </c>
      <c r="G368" s="15" t="n">
        <v>371.622</v>
      </c>
      <c r="H368" s="15" t="n">
        <v>29.112</v>
      </c>
      <c r="I368" s="15" t="n">
        <v>3.246</v>
      </c>
      <c r="J368" s="15" t="n">
        <v>5.968</v>
      </c>
      <c r="K368" s="15" t="n">
        <v>32.358</v>
      </c>
      <c r="L368" s="15" t="n">
        <v>22.381</v>
      </c>
      <c r="M368" s="15" t="n"/>
      <c r="N368" s="15" t="n">
        <v>3.972</v>
      </c>
      <c r="O368" s="15" t="n">
        <v>3.386</v>
      </c>
      <c r="P368" s="15" t="n">
        <v>29.068</v>
      </c>
      <c r="Q368" s="15" t="n">
        <v>1.059</v>
      </c>
      <c r="R368" s="15" t="n">
        <v>94.42100000000001</v>
      </c>
      <c r="S368" s="15" t="n">
        <v>81.45</v>
      </c>
      <c r="T368" s="15" t="n">
        <v>29.628</v>
      </c>
      <c r="U368" s="15" t="n">
        <v>27.911</v>
      </c>
      <c r="V368" s="15" t="n">
        <v>4.274</v>
      </c>
      <c r="W368" s="15" t="n">
        <v>3.11</v>
      </c>
      <c r="X368" s="15" t="n">
        <v>58.263</v>
      </c>
      <c r="Y368" s="15" t="n">
        <v>78.437</v>
      </c>
      <c r="Z368" s="15" t="n">
        <v>69.069</v>
      </c>
      <c r="AA368" s="15" t="n">
        <v>99.054</v>
      </c>
      <c r="AB368" s="15" t="n">
        <v>89.23699999999999</v>
      </c>
      <c r="AC368" s="15" t="n"/>
      <c r="AD368" s="16" t="n">
        <v>924</v>
      </c>
      <c r="AE368" s="17">
        <f>IF(ISNUMBER(K368),K368,IF(AND(ISNUMBER(H368),ISNUMBER(I368)),H368+I368,IF(ISNUMBER(H368),H368,"")))</f>
        <v/>
      </c>
      <c r="AF368" s="18">
        <f>IF(OR(NOT(ISNUMBER(J368)),NOT(ISNUMBER(H368)),H368&lt;=0),기준표!$B$8,MIN(MAX(J368/H368,기준표!$B$6),기준표!$B$7))</f>
        <v/>
      </c>
      <c r="AG368" s="17">
        <f>IF(ISNUMBER(AE368),AE368*(1-AF368),"")</f>
        <v/>
      </c>
      <c r="AH368" s="17">
        <f>IF(AND(NOT(ISNUMBER(V368)),NOT(ISNUMBER(X368))),"",IF(ISNUMBER(V368),V368,0)+IF(ISNUMBER(X368),X368,0))</f>
        <v/>
      </c>
      <c r="AI368" s="17">
        <f>IF(E368="금융","",IF(AND(ISNUMBER(R368),ISNUMBER(AH368),ISNUMBER(T368)),R368+AH368-T368,""))</f>
        <v/>
      </c>
      <c r="AJ368" s="17">
        <f>IF(E368="금융","",IF(NOT(ISNUMBER(AI368)),"",IF(ISNUMBER(AC368),(AI368+AC368)/2,AI368)))</f>
        <v/>
      </c>
      <c r="AK368" s="19">
        <f>IF(AND(ISNUMBER(AG368),ISNUMBER(AJ368),AJ368&gt;0),AG368/AJ368,"")</f>
        <v/>
      </c>
      <c r="AL368" s="17">
        <f>IF(E368="금융","",IF(AND(ISNUMBER(R368),ISNUMBER(AH368)),R368+AH368,""))</f>
        <v/>
      </c>
      <c r="AM368" s="19">
        <f>IF(OR(NOT(ISNUMBER(AG368)),NOT(ISNUMBER(AL368)),AL368&lt;=0),"",IF(AND(ISNUMBER(G368),AL368&lt;0.1*G368),"",AG368/AL368))</f>
        <v/>
      </c>
      <c r="AN368" s="17">
        <f>IF(NOT(ISNUMBER(R368)),"",IF(ISNUMBER(S368),(R368+S368)/2,R368))</f>
        <v/>
      </c>
      <c r="AO368" s="19">
        <f>IF(AND(ISNUMBER(L368),ISNUMBER(AN368),AN368&gt;0),L368/AN368,"")</f>
        <v/>
      </c>
      <c r="AP368" s="19">
        <f>IF(AND(ISNUMBER(AO368),ISNUMBER({ROIC})),AO368-{ROIC},"")</f>
        <v/>
      </c>
      <c r="AQ368" s="17">
        <f>IF(AND(ISNUMBER(AE368),ISNUMBER(N368)),AE368+N368,"")</f>
        <v/>
      </c>
      <c r="AR368" s="20">
        <f>IF(AND(ISNUMBER(AH368),ISNUMBER(T368),ISNUMBER(AQ368),AQ368&gt;0),(AH368-T368)/AQ368,"")</f>
        <v/>
      </c>
      <c r="AS368" s="20">
        <f>IF(AND(ISNUMBER(AE368),ISNUMBER(I368),I368&lt;&gt;0,AE368&gt;0),AE368/I368,"")</f>
        <v/>
      </c>
      <c r="AT368" s="17">
        <f>IF(AND(ISNUMBER(Y368),ISNUMBER(AA368)),Y368-IF(ISNUMBER(T368),T368,0)-(AA368-IF(ISNUMBER(V368),V368,0)),"")</f>
        <v/>
      </c>
      <c r="AU368" s="17">
        <f>IF(AND(ISNUMBER(Z368),ISNUMBER(AB368)),Z368-IF(ISNUMBER(U368),U368,0)-(AB368-IF(ISNUMBER(W368),W368,0)),"")</f>
        <v/>
      </c>
      <c r="AV368" s="17">
        <f>IF(AND(ISNUMBER(AT368),ISNUMBER(AU368)),AT368-AU368,"")</f>
        <v/>
      </c>
      <c r="AW368" s="17">
        <f>IF(AND(ISNUMBER(L368),ISNUMBER(M368),ISNUMBER(AF368)),L368-M368*(1-AF368),IF(ISNUMBER(L368),L368,""))</f>
        <v/>
      </c>
      <c r="AX368" s="17">
        <f>IF(E368="금융","",IF(AND(ISNUMBER(AW368),ISNUMBER(N368),ISNUMBER(O368),ISNUMBER(AV368)),AW368+N368-O368-AV368,IF(AND(ISNUMBER(P368),ISNUMBER(O368)),P368-O368-IF(ISNUMBER(Q368),Q368,0),"")))</f>
        <v/>
      </c>
      <c r="AY368" s="8">
        <f>IF(E368="금융","금융업 - 정의되지 않음",IF(AND(ISNUMBER(AW368),ISNUMBER(N368),ISNUMBER(O368),ISNUMBER(AV368)),"영업순이익+감가상각-설비투자-운전자본증감",IF(AND(ISNUMBER(P368),ISNUMBER(O368)),IF(ISNUMBER(Q368),"영업현금흐름-설비투자-주식보상비용","영업현금흐름-설비투자(주식보상비용 미태깅)"),"산출불가")))</f>
        <v/>
      </c>
      <c r="AZ368" s="19">
        <f>IF(AND(ISNUMBER(AX368),ISNUMBER(G368),G368&lt;&gt;0),AX368/G368,"")</f>
        <v/>
      </c>
      <c r="BA368" s="19">
        <f>IF(AND(ISNUMBER(AE368),ISNUMBER(G368),G368&lt;&gt;0),AE368/G368,"")</f>
        <v/>
      </c>
    </row>
    <row r="369">
      <c r="A369" s="8" t="inlineStr">
        <is>
          <t>UNH</t>
        </is>
      </c>
      <c r="B369" s="8" t="inlineStr">
        <is>
          <t>UNITEDHEALTH GROUP INC</t>
        </is>
      </c>
      <c r="C369" s="8" t="n">
        <v>2024</v>
      </c>
      <c r="D369" s="8" t="inlineStr">
        <is>
          <t>2024-12-31</t>
        </is>
      </c>
      <c r="E369" s="8" t="inlineStr">
        <is>
          <t>금융</t>
        </is>
      </c>
      <c r="F369" s="8" t="inlineStr">
        <is>
          <t>0000731766-26-000062</t>
        </is>
      </c>
      <c r="G369" s="15" t="n">
        <v>400.278</v>
      </c>
      <c r="H369" s="15" t="n">
        <v>20.071</v>
      </c>
      <c r="I369" s="15" t="n">
        <v>3.906</v>
      </c>
      <c r="J369" s="15" t="n">
        <v>4.829</v>
      </c>
      <c r="K369" s="15" t="n">
        <v>32.287</v>
      </c>
      <c r="L369" s="15" t="n">
        <v>14.405</v>
      </c>
      <c r="M369" s="15" t="n"/>
      <c r="N369" s="15" t="n">
        <v>4.099</v>
      </c>
      <c r="O369" s="15" t="n">
        <v>3.499</v>
      </c>
      <c r="P369" s="15" t="n">
        <v>24.204</v>
      </c>
      <c r="Q369" s="15" t="n">
        <v>1.018</v>
      </c>
      <c r="R369" s="15" t="n">
        <v>98.268</v>
      </c>
      <c r="S369" s="15" t="n">
        <v>94.42100000000001</v>
      </c>
      <c r="T369" s="15" t="n">
        <v>29.113</v>
      </c>
      <c r="U369" s="15" t="n">
        <v>29.628</v>
      </c>
      <c r="V369" s="15" t="n">
        <v>4.545</v>
      </c>
      <c r="W369" s="15" t="n">
        <v>4.274</v>
      </c>
      <c r="X369" s="15" t="n">
        <v>72.35899999999999</v>
      </c>
      <c r="Y369" s="15" t="n">
        <v>85.779</v>
      </c>
      <c r="Z369" s="15" t="n">
        <v>78.437</v>
      </c>
      <c r="AA369" s="15" t="n">
        <v>103.769</v>
      </c>
      <c r="AB369" s="15" t="n">
        <v>99.054</v>
      </c>
      <c r="AC369" s="15" t="n"/>
      <c r="AD369" s="16" t="n">
        <v>915</v>
      </c>
      <c r="AE369" s="17">
        <f>IF(ISNUMBER(K369),K369,IF(AND(ISNUMBER(H369),ISNUMBER(I369)),H369+I369,IF(ISNUMBER(H369),H369,"")))</f>
        <v/>
      </c>
      <c r="AF369" s="18">
        <f>IF(OR(NOT(ISNUMBER(J369)),NOT(ISNUMBER(H369)),H369&lt;=0),기준표!$B$8,MIN(MAX(J369/H369,기준표!$B$6),기준표!$B$7))</f>
        <v/>
      </c>
      <c r="AG369" s="17">
        <f>IF(ISNUMBER(AE369),AE369*(1-AF369),"")</f>
        <v/>
      </c>
      <c r="AH369" s="17">
        <f>IF(AND(NOT(ISNUMBER(V369)),NOT(ISNUMBER(X369))),"",IF(ISNUMBER(V369),V369,0)+IF(ISNUMBER(X369),X369,0))</f>
        <v/>
      </c>
      <c r="AI369" s="17">
        <f>IF(E369="금융","",IF(AND(ISNUMBER(R369),ISNUMBER(AH369),ISNUMBER(T369)),R369+AH369-T369,""))</f>
        <v/>
      </c>
      <c r="AJ369" s="17">
        <f>IF(E369="금융","",IF(NOT(ISNUMBER(AI369)),"",IF(ISNUMBER(AC369),(AI369+AC369)/2,AI369)))</f>
        <v/>
      </c>
      <c r="AK369" s="19">
        <f>IF(AND(ISNUMBER(AG369),ISNUMBER(AJ369),AJ369&gt;0),AG369/AJ369,"")</f>
        <v/>
      </c>
      <c r="AL369" s="17">
        <f>IF(E369="금융","",IF(AND(ISNUMBER(R369),ISNUMBER(AH369)),R369+AH369,""))</f>
        <v/>
      </c>
      <c r="AM369" s="19">
        <f>IF(OR(NOT(ISNUMBER(AG369)),NOT(ISNUMBER(AL369)),AL369&lt;=0),"",IF(AND(ISNUMBER(G369),AL369&lt;0.1*G369),"",AG369/AL369))</f>
        <v/>
      </c>
      <c r="AN369" s="17">
        <f>IF(NOT(ISNUMBER(R369)),"",IF(ISNUMBER(S369),(R369+S369)/2,R369))</f>
        <v/>
      </c>
      <c r="AO369" s="19">
        <f>IF(AND(ISNUMBER(L369),ISNUMBER(AN369),AN369&gt;0),L369/AN369,"")</f>
        <v/>
      </c>
      <c r="AP369" s="19">
        <f>IF(AND(ISNUMBER(AO369),ISNUMBER({ROIC})),AO369-{ROIC},"")</f>
        <v/>
      </c>
      <c r="AQ369" s="17">
        <f>IF(AND(ISNUMBER(AE369),ISNUMBER(N369)),AE369+N369,"")</f>
        <v/>
      </c>
      <c r="AR369" s="20">
        <f>IF(AND(ISNUMBER(AH369),ISNUMBER(T369),ISNUMBER(AQ369),AQ369&gt;0),(AH369-T369)/AQ369,"")</f>
        <v/>
      </c>
      <c r="AS369" s="20">
        <f>IF(AND(ISNUMBER(AE369),ISNUMBER(I369),I369&lt;&gt;0,AE369&gt;0),AE369/I369,"")</f>
        <v/>
      </c>
      <c r="AT369" s="17">
        <f>IF(AND(ISNUMBER(Y369),ISNUMBER(AA369)),Y369-IF(ISNUMBER(T369),T369,0)-(AA369-IF(ISNUMBER(V369),V369,0)),"")</f>
        <v/>
      </c>
      <c r="AU369" s="17">
        <f>IF(AND(ISNUMBER(Z369),ISNUMBER(AB369)),Z369-IF(ISNUMBER(U369),U369,0)-(AB369-IF(ISNUMBER(W369),W369,0)),"")</f>
        <v/>
      </c>
      <c r="AV369" s="17">
        <f>IF(AND(ISNUMBER(AT369),ISNUMBER(AU369)),AT369-AU369,"")</f>
        <v/>
      </c>
      <c r="AW369" s="17">
        <f>IF(AND(ISNUMBER(L369),ISNUMBER(M369),ISNUMBER(AF369)),L369-M369*(1-AF369),IF(ISNUMBER(L369),L369,""))</f>
        <v/>
      </c>
      <c r="AX369" s="17">
        <f>IF(E369="금융","",IF(AND(ISNUMBER(AW369),ISNUMBER(N369),ISNUMBER(O369),ISNUMBER(AV369)),AW369+N369-O369-AV369,IF(AND(ISNUMBER(P369),ISNUMBER(O369)),P369-O369-IF(ISNUMBER(Q369),Q369,0),"")))</f>
        <v/>
      </c>
      <c r="AY369" s="8">
        <f>IF(E369="금융","금융업 - 정의되지 않음",IF(AND(ISNUMBER(AW369),ISNUMBER(N369),ISNUMBER(O369),ISNUMBER(AV369)),"영업순이익+감가상각-설비투자-운전자본증감",IF(AND(ISNUMBER(P369),ISNUMBER(O369)),IF(ISNUMBER(Q369),"영업현금흐름-설비투자-주식보상비용","영업현금흐름-설비투자(주식보상비용 미태깅)"),"산출불가")))</f>
        <v/>
      </c>
      <c r="AZ369" s="19">
        <f>IF(AND(ISNUMBER(AX369),ISNUMBER(G369),G369&lt;&gt;0),AX369/G369,"")</f>
        <v/>
      </c>
      <c r="BA369" s="19">
        <f>IF(AND(ISNUMBER(AE369),ISNUMBER(G369),G369&lt;&gt;0),AE369/G369,"")</f>
        <v/>
      </c>
    </row>
    <row r="370">
      <c r="A370" s="8" t="inlineStr">
        <is>
          <t>UNH</t>
        </is>
      </c>
      <c r="B370" s="8" t="inlineStr">
        <is>
          <t>UNITEDHEALTH GROUP INC</t>
        </is>
      </c>
      <c r="C370" s="8" t="n">
        <v>2025</v>
      </c>
      <c r="D370" s="8" t="inlineStr">
        <is>
          <t>2025-12-31</t>
        </is>
      </c>
      <c r="E370" s="8" t="inlineStr">
        <is>
          <t>금융</t>
        </is>
      </c>
      <c r="F370" s="8" t="inlineStr">
        <is>
          <t>0000731766-26-000062</t>
        </is>
      </c>
      <c r="G370" s="15" t="n">
        <v>447.567</v>
      </c>
      <c r="H370" s="15" t="n">
        <v>14.697</v>
      </c>
      <c r="I370" s="15" t="n">
        <v>4.002</v>
      </c>
      <c r="J370" s="15" t="n">
        <v>1.89</v>
      </c>
      <c r="K370" s="15" t="n">
        <v>18.964</v>
      </c>
      <c r="L370" s="15" t="n">
        <v>12.056</v>
      </c>
      <c r="M370" s="15" t="n"/>
      <c r="N370" s="15" t="n">
        <v>4.361</v>
      </c>
      <c r="O370" s="15" t="n">
        <v>3.622</v>
      </c>
      <c r="P370" s="15" t="n">
        <v>19.697</v>
      </c>
      <c r="Q370" s="15" t="n">
        <v>0.971</v>
      </c>
      <c r="R370" s="15" t="n">
        <v>100.09</v>
      </c>
      <c r="S370" s="15" t="n">
        <v>98.268</v>
      </c>
      <c r="T370" s="15" t="n">
        <v>28.121</v>
      </c>
      <c r="U370" s="15" t="n">
        <v>29.113</v>
      </c>
      <c r="V370" s="15" t="n">
        <v>6.069</v>
      </c>
      <c r="W370" s="15" t="n">
        <v>4.545</v>
      </c>
      <c r="X370" s="15" t="n">
        <v>72.31999999999999</v>
      </c>
      <c r="Y370" s="15" t="n">
        <v>90.58199999999999</v>
      </c>
      <c r="Z370" s="15" t="n">
        <v>85.779</v>
      </c>
      <c r="AA370" s="15" t="n">
        <v>114.897</v>
      </c>
      <c r="AB370" s="15" t="n">
        <v>103.769</v>
      </c>
      <c r="AC370" s="15" t="n"/>
      <c r="AD370" s="16" t="n">
        <v>906</v>
      </c>
      <c r="AE370" s="17">
        <f>IF(ISNUMBER(K370),K370,IF(AND(ISNUMBER(H370),ISNUMBER(I370)),H370+I370,IF(ISNUMBER(H370),H370,"")))</f>
        <v/>
      </c>
      <c r="AF370" s="18">
        <f>IF(OR(NOT(ISNUMBER(J370)),NOT(ISNUMBER(H370)),H370&lt;=0),기준표!$B$8,MIN(MAX(J370/H370,기준표!$B$6),기준표!$B$7))</f>
        <v/>
      </c>
      <c r="AG370" s="17">
        <f>IF(ISNUMBER(AE370),AE370*(1-AF370),"")</f>
        <v/>
      </c>
      <c r="AH370" s="17">
        <f>IF(AND(NOT(ISNUMBER(V370)),NOT(ISNUMBER(X370))),"",IF(ISNUMBER(V370),V370,0)+IF(ISNUMBER(X370),X370,0))</f>
        <v/>
      </c>
      <c r="AI370" s="17">
        <f>IF(E370="금융","",IF(AND(ISNUMBER(R370),ISNUMBER(AH370),ISNUMBER(T370)),R370+AH370-T370,""))</f>
        <v/>
      </c>
      <c r="AJ370" s="17">
        <f>IF(E370="금융","",IF(NOT(ISNUMBER(AI370)),"",IF(ISNUMBER(AC370),(AI370+AC370)/2,AI370)))</f>
        <v/>
      </c>
      <c r="AK370" s="19">
        <f>IF(AND(ISNUMBER(AG370),ISNUMBER(AJ370),AJ370&gt;0),AG370/AJ370,"")</f>
        <v/>
      </c>
      <c r="AL370" s="17">
        <f>IF(E370="금융","",IF(AND(ISNUMBER(R370),ISNUMBER(AH370)),R370+AH370,""))</f>
        <v/>
      </c>
      <c r="AM370" s="19">
        <f>IF(OR(NOT(ISNUMBER(AG370)),NOT(ISNUMBER(AL370)),AL370&lt;=0),"",IF(AND(ISNUMBER(G370),AL370&lt;0.1*G370),"",AG370/AL370))</f>
        <v/>
      </c>
      <c r="AN370" s="17">
        <f>IF(NOT(ISNUMBER(R370)),"",IF(ISNUMBER(S370),(R370+S370)/2,R370))</f>
        <v/>
      </c>
      <c r="AO370" s="19">
        <f>IF(AND(ISNUMBER(L370),ISNUMBER(AN370),AN370&gt;0),L370/AN370,"")</f>
        <v/>
      </c>
      <c r="AP370" s="19">
        <f>IF(AND(ISNUMBER(AO370),ISNUMBER({ROIC})),AO370-{ROIC},"")</f>
        <v/>
      </c>
      <c r="AQ370" s="17">
        <f>IF(AND(ISNUMBER(AE370),ISNUMBER(N370)),AE370+N370,"")</f>
        <v/>
      </c>
      <c r="AR370" s="20">
        <f>IF(AND(ISNUMBER(AH370),ISNUMBER(T370),ISNUMBER(AQ370),AQ370&gt;0),(AH370-T370)/AQ370,"")</f>
        <v/>
      </c>
      <c r="AS370" s="20">
        <f>IF(AND(ISNUMBER(AE370),ISNUMBER(I370),I370&lt;&gt;0,AE370&gt;0),AE370/I370,"")</f>
        <v/>
      </c>
      <c r="AT370" s="17">
        <f>IF(AND(ISNUMBER(Y370),ISNUMBER(AA370)),Y370-IF(ISNUMBER(T370),T370,0)-(AA370-IF(ISNUMBER(V370),V370,0)),"")</f>
        <v/>
      </c>
      <c r="AU370" s="17">
        <f>IF(AND(ISNUMBER(Z370),ISNUMBER(AB370)),Z370-IF(ISNUMBER(U370),U370,0)-(AB370-IF(ISNUMBER(W370),W370,0)),"")</f>
        <v/>
      </c>
      <c r="AV370" s="17">
        <f>IF(AND(ISNUMBER(AT370),ISNUMBER(AU370)),AT370-AU370,"")</f>
        <v/>
      </c>
      <c r="AW370" s="17">
        <f>IF(AND(ISNUMBER(L370),ISNUMBER(M370),ISNUMBER(AF370)),L370-M370*(1-AF370),IF(ISNUMBER(L370),L370,""))</f>
        <v/>
      </c>
      <c r="AX370" s="17">
        <f>IF(E370="금융","",IF(AND(ISNUMBER(AW370),ISNUMBER(N370),ISNUMBER(O370),ISNUMBER(AV370)),AW370+N370-O370-AV370,IF(AND(ISNUMBER(P370),ISNUMBER(O370)),P370-O370-IF(ISNUMBER(Q370),Q370,0),"")))</f>
        <v/>
      </c>
      <c r="AY370" s="8">
        <f>IF(E370="금융","금융업 - 정의되지 않음",IF(AND(ISNUMBER(AW370),ISNUMBER(N370),ISNUMBER(O370),ISNUMBER(AV370)),"영업순이익+감가상각-설비투자-운전자본증감",IF(AND(ISNUMBER(P370),ISNUMBER(O370)),IF(ISNUMBER(Q370),"영업현금흐름-설비투자-주식보상비용","영업현금흐름-설비투자(주식보상비용 미태깅)"),"산출불가")))</f>
        <v/>
      </c>
      <c r="AZ370" s="19">
        <f>IF(AND(ISNUMBER(AX370),ISNUMBER(G370),G370&lt;&gt;0),AX370/G370,"")</f>
        <v/>
      </c>
      <c r="BA370" s="19">
        <f>IF(AND(ISNUMBER(AE370),ISNUMBER(G370),G370&lt;&gt;0),AE370/G370,"")</f>
        <v/>
      </c>
    </row>
    <row r="371">
      <c r="A371" s="8" t="inlineStr">
        <is>
          <t>CVX</t>
        </is>
      </c>
      <c r="B371" s="8" t="inlineStr">
        <is>
          <t>CHEVRON CORP</t>
        </is>
      </c>
      <c r="C371" s="8" t="n">
        <v>2014</v>
      </c>
      <c r="D371" s="8" t="inlineStr">
        <is>
          <t>2014-12-31</t>
        </is>
      </c>
      <c r="E371" s="8" t="inlineStr">
        <is>
          <t>일반</t>
        </is>
      </c>
      <c r="F371" s="8" t="inlineStr">
        <is>
          <t>0000093410-17-000013</t>
        </is>
      </c>
      <c r="G371" s="15" t="n">
        <v>211.97</v>
      </c>
      <c r="H371" s="15" t="n">
        <v>31.202</v>
      </c>
      <c r="I371" s="15" t="n">
        <v>0</v>
      </c>
      <c r="J371" s="15" t="n">
        <v>11.892</v>
      </c>
      <c r="K371" s="15" t="n"/>
      <c r="L371" s="15" t="n">
        <v>19.241</v>
      </c>
      <c r="M371" s="15" t="n"/>
      <c r="N371" s="15" t="n">
        <v>16.793</v>
      </c>
      <c r="O371" s="15" t="n">
        <v>35.407</v>
      </c>
      <c r="P371" s="15" t="n">
        <v>31.475</v>
      </c>
      <c r="Q371" s="15" t="n"/>
      <c r="R371" s="15" t="n">
        <v>155.028</v>
      </c>
      <c r="S371" s="15" t="n"/>
      <c r="T371" s="15" t="n"/>
      <c r="U371" s="15" t="n"/>
      <c r="V371" s="15" t="n">
        <v>11.79</v>
      </c>
      <c r="W371" s="15" t="n"/>
      <c r="X371" s="15" t="n"/>
      <c r="Y371" s="15" t="n">
        <v>42.232</v>
      </c>
      <c r="Z371" s="15" t="n"/>
      <c r="AA371" s="15" t="n">
        <v>31.926</v>
      </c>
      <c r="AB371" s="15" t="n"/>
      <c r="AC371" s="15" t="n"/>
      <c r="AD371" s="16" t="n">
        <v>1898</v>
      </c>
      <c r="AE371" s="17">
        <f>IF(ISNUMBER(K371),K371,IF(AND(ISNUMBER(H371),ISNUMBER(I371)),H371+I371,IF(ISNUMBER(H371),H371,"")))</f>
        <v/>
      </c>
      <c r="AF371" s="18">
        <f>IF(OR(NOT(ISNUMBER(J371)),NOT(ISNUMBER(H371)),H371&lt;=0),기준표!$B$8,MIN(MAX(J371/H371,기준표!$B$6),기준표!$B$7))</f>
        <v/>
      </c>
      <c r="AG371" s="17">
        <f>IF(ISNUMBER(AE371),AE371*(1-AF371),"")</f>
        <v/>
      </c>
      <c r="AH371" s="17">
        <f>IF(AND(NOT(ISNUMBER(V371)),NOT(ISNUMBER(X371))),"",IF(ISNUMBER(V371),V371,0)+IF(ISNUMBER(X371),X371,0))</f>
        <v/>
      </c>
      <c r="AI371" s="17">
        <f>IF(E371="금융","",IF(AND(ISNUMBER(R371),ISNUMBER(AH371),ISNUMBER(T371)),R371+AH371-T371,""))</f>
        <v/>
      </c>
      <c r="AJ371" s="17">
        <f>IF(E371="금융","",IF(NOT(ISNUMBER(AI371)),"",IF(ISNUMBER(AC371),(AI371+AC371)/2,AI371)))</f>
        <v/>
      </c>
      <c r="AK371" s="19">
        <f>IF(AND(ISNUMBER(AG371),ISNUMBER(AJ371),AJ371&gt;0),AG371/AJ371,"")</f>
        <v/>
      </c>
      <c r="AL371" s="17">
        <f>IF(E371="금융","",IF(AND(ISNUMBER(R371),ISNUMBER(AH371)),R371+AH371,""))</f>
        <v/>
      </c>
      <c r="AM371" s="19">
        <f>IF(OR(NOT(ISNUMBER(AG371)),NOT(ISNUMBER(AL371)),AL371&lt;=0),"",IF(AND(ISNUMBER(G371),AL371&lt;0.1*G371),"",AG371/AL371))</f>
        <v/>
      </c>
      <c r="AN371" s="17">
        <f>IF(NOT(ISNUMBER(R371)),"",IF(ISNUMBER(S371),(R371+S371)/2,R371))</f>
        <v/>
      </c>
      <c r="AO371" s="19">
        <f>IF(AND(ISNUMBER(L371),ISNUMBER(AN371),AN371&gt;0),L371/AN371,"")</f>
        <v/>
      </c>
      <c r="AP371" s="19">
        <f>IF(AND(ISNUMBER(AO371),ISNUMBER({ROIC})),AO371-{ROIC},"")</f>
        <v/>
      </c>
      <c r="AQ371" s="17">
        <f>IF(AND(ISNUMBER(AE371),ISNUMBER(N371)),AE371+N371,"")</f>
        <v/>
      </c>
      <c r="AR371" s="20">
        <f>IF(AND(ISNUMBER(AH371),ISNUMBER(T371),ISNUMBER(AQ371),AQ371&gt;0),(AH371-T371)/AQ371,"")</f>
        <v/>
      </c>
      <c r="AS371" s="20">
        <f>IF(AND(ISNUMBER(AE371),ISNUMBER(I371),I371&lt;&gt;0,AE371&gt;0),AE371/I371,"")</f>
        <v/>
      </c>
      <c r="AT371" s="17">
        <f>IF(AND(ISNUMBER(Y371),ISNUMBER(AA371)),Y371-IF(ISNUMBER(T371),T371,0)-(AA371-IF(ISNUMBER(V371),V371,0)),"")</f>
        <v/>
      </c>
      <c r="AU371" s="17">
        <f>IF(AND(ISNUMBER(Z371),ISNUMBER(AB371)),Z371-IF(ISNUMBER(U371),U371,0)-(AB371-IF(ISNUMBER(W371),W371,0)),"")</f>
        <v/>
      </c>
      <c r="AV371" s="17">
        <f>IF(AND(ISNUMBER(AT371),ISNUMBER(AU371)),AT371-AU371,"")</f>
        <v/>
      </c>
      <c r="AW371" s="17">
        <f>IF(AND(ISNUMBER(L371),ISNUMBER(M371),ISNUMBER(AF371)),L371-M371*(1-AF371),IF(ISNUMBER(L371),L371,""))</f>
        <v/>
      </c>
      <c r="AX371" s="17">
        <f>IF(E371="금융","",IF(AND(ISNUMBER(AW371),ISNUMBER(N371),ISNUMBER(O371),ISNUMBER(AV371)),AW371+N371-O371-AV371,IF(AND(ISNUMBER(P371),ISNUMBER(O371)),P371-O371-IF(ISNUMBER(Q371),Q371,0),"")))</f>
        <v/>
      </c>
      <c r="AY371" s="8">
        <f>IF(E371="금융","금융업 - 정의되지 않음",IF(AND(ISNUMBER(AW371),ISNUMBER(N371),ISNUMBER(O371),ISNUMBER(AV371)),"영업순이익+감가상각-설비투자-운전자본증감",IF(AND(ISNUMBER(P371),ISNUMBER(O371)),IF(ISNUMBER(Q371),"영업현금흐름-설비투자-주식보상비용","영업현금흐름-설비투자(주식보상비용 미태깅)"),"산출불가")))</f>
        <v/>
      </c>
      <c r="AZ371" s="19">
        <f>IF(AND(ISNUMBER(AX371),ISNUMBER(G371),G371&lt;&gt;0),AX371/G371,"")</f>
        <v/>
      </c>
      <c r="BA371" s="19">
        <f>IF(AND(ISNUMBER(AE371),ISNUMBER(G371),G371&lt;&gt;0),AE371/G371,"")</f>
        <v/>
      </c>
    </row>
    <row r="372">
      <c r="A372" s="8" t="inlineStr">
        <is>
          <t>CVX</t>
        </is>
      </c>
      <c r="B372" s="8" t="inlineStr">
        <is>
          <t>CHEVRON CORP</t>
        </is>
      </c>
      <c r="C372" s="8" t="n">
        <v>2015</v>
      </c>
      <c r="D372" s="8" t="inlineStr">
        <is>
          <t>2015-12-31</t>
        </is>
      </c>
      <c r="E372" s="8" t="inlineStr">
        <is>
          <t>일반</t>
        </is>
      </c>
      <c r="F372" s="8" t="inlineStr">
        <is>
          <t>0000093410-18-000010</t>
        </is>
      </c>
      <c r="G372" s="15" t="n">
        <v>138.477</v>
      </c>
      <c r="H372" s="15" t="n">
        <v>4.842</v>
      </c>
      <c r="I372" s="15" t="n">
        <v>0</v>
      </c>
      <c r="J372" s="15" t="n">
        <v>0.132</v>
      </c>
      <c r="K372" s="15" t="n"/>
      <c r="L372" s="15" t="n">
        <v>4.587</v>
      </c>
      <c r="M372" s="15" t="n"/>
      <c r="N372" s="15" t="n">
        <v>21.037</v>
      </c>
      <c r="O372" s="15" t="n">
        <v>29.504</v>
      </c>
      <c r="P372" s="15" t="n">
        <v>19.456</v>
      </c>
      <c r="Q372" s="15" t="n"/>
      <c r="R372" s="15" t="n">
        <v>152.716</v>
      </c>
      <c r="S372" s="15" t="n">
        <v>155.028</v>
      </c>
      <c r="T372" s="15" t="n">
        <v>12.432</v>
      </c>
      <c r="U372" s="15" t="n"/>
      <c r="V372" s="15" t="n">
        <v>12.927</v>
      </c>
      <c r="W372" s="15" t="n">
        <v>11.79</v>
      </c>
      <c r="X372" s="15" t="n"/>
      <c r="Y372" s="15" t="n">
        <v>34.43</v>
      </c>
      <c r="Z372" s="15" t="n">
        <v>42.232</v>
      </c>
      <c r="AA372" s="15" t="n">
        <v>25.467</v>
      </c>
      <c r="AB372" s="15" t="n">
        <v>31.926</v>
      </c>
      <c r="AC372" s="15" t="n"/>
      <c r="AD372" s="16" t="n">
        <v>1875</v>
      </c>
      <c r="AE372" s="17">
        <f>IF(ISNUMBER(K372),K372,IF(AND(ISNUMBER(H372),ISNUMBER(I372)),H372+I372,IF(ISNUMBER(H372),H372,"")))</f>
        <v/>
      </c>
      <c r="AF372" s="18">
        <f>IF(OR(NOT(ISNUMBER(J372)),NOT(ISNUMBER(H372)),H372&lt;=0),기준표!$B$8,MIN(MAX(J372/H372,기준표!$B$6),기준표!$B$7))</f>
        <v/>
      </c>
      <c r="AG372" s="17">
        <f>IF(ISNUMBER(AE372),AE372*(1-AF372),"")</f>
        <v/>
      </c>
      <c r="AH372" s="17">
        <f>IF(AND(NOT(ISNUMBER(V372)),NOT(ISNUMBER(X372))),"",IF(ISNUMBER(V372),V372,0)+IF(ISNUMBER(X372),X372,0))</f>
        <v/>
      </c>
      <c r="AI372" s="17">
        <f>IF(E372="금융","",IF(AND(ISNUMBER(R372),ISNUMBER(AH372),ISNUMBER(T372)),R372+AH372-T372,""))</f>
        <v/>
      </c>
      <c r="AJ372" s="17">
        <f>IF(E372="금융","",IF(NOT(ISNUMBER(AI372)),"",IF(ISNUMBER(AC372),(AI372+AC372)/2,AI372)))</f>
        <v/>
      </c>
      <c r="AK372" s="19">
        <f>IF(AND(ISNUMBER(AG372),ISNUMBER(AJ372),AJ372&gt;0),AG372/AJ372,"")</f>
        <v/>
      </c>
      <c r="AL372" s="17">
        <f>IF(E372="금융","",IF(AND(ISNUMBER(R372),ISNUMBER(AH372)),R372+AH372,""))</f>
        <v/>
      </c>
      <c r="AM372" s="19">
        <f>IF(OR(NOT(ISNUMBER(AG372)),NOT(ISNUMBER(AL372)),AL372&lt;=0),"",IF(AND(ISNUMBER(G372),AL372&lt;0.1*G372),"",AG372/AL372))</f>
        <v/>
      </c>
      <c r="AN372" s="17">
        <f>IF(NOT(ISNUMBER(R372)),"",IF(ISNUMBER(S372),(R372+S372)/2,R372))</f>
        <v/>
      </c>
      <c r="AO372" s="19">
        <f>IF(AND(ISNUMBER(L372),ISNUMBER(AN372),AN372&gt;0),L372/AN372,"")</f>
        <v/>
      </c>
      <c r="AP372" s="19">
        <f>IF(AND(ISNUMBER(AO372),ISNUMBER({ROIC})),AO372-{ROIC},"")</f>
        <v/>
      </c>
      <c r="AQ372" s="17">
        <f>IF(AND(ISNUMBER(AE372),ISNUMBER(N372)),AE372+N372,"")</f>
        <v/>
      </c>
      <c r="AR372" s="20">
        <f>IF(AND(ISNUMBER(AH372),ISNUMBER(T372),ISNUMBER(AQ372),AQ372&gt;0),(AH372-T372)/AQ372,"")</f>
        <v/>
      </c>
      <c r="AS372" s="20">
        <f>IF(AND(ISNUMBER(AE372),ISNUMBER(I372),I372&lt;&gt;0,AE372&gt;0),AE372/I372,"")</f>
        <v/>
      </c>
      <c r="AT372" s="17">
        <f>IF(AND(ISNUMBER(Y372),ISNUMBER(AA372)),Y372-IF(ISNUMBER(T372),T372,0)-(AA372-IF(ISNUMBER(V372),V372,0)),"")</f>
        <v/>
      </c>
      <c r="AU372" s="17">
        <f>IF(AND(ISNUMBER(Z372),ISNUMBER(AB372)),Z372-IF(ISNUMBER(U372),U372,0)-(AB372-IF(ISNUMBER(W372),W372,0)),"")</f>
        <v/>
      </c>
      <c r="AV372" s="17">
        <f>IF(AND(ISNUMBER(AT372),ISNUMBER(AU372)),AT372-AU372,"")</f>
        <v/>
      </c>
      <c r="AW372" s="17">
        <f>IF(AND(ISNUMBER(L372),ISNUMBER(M372),ISNUMBER(AF372)),L372-M372*(1-AF372),IF(ISNUMBER(L372),L372,""))</f>
        <v/>
      </c>
      <c r="AX372" s="17">
        <f>IF(E372="금융","",IF(AND(ISNUMBER(AW372),ISNUMBER(N372),ISNUMBER(O372),ISNUMBER(AV372)),AW372+N372-O372-AV372,IF(AND(ISNUMBER(P372),ISNUMBER(O372)),P372-O372-IF(ISNUMBER(Q372),Q372,0),"")))</f>
        <v/>
      </c>
      <c r="AY372" s="8">
        <f>IF(E372="금융","금융업 - 정의되지 않음",IF(AND(ISNUMBER(AW372),ISNUMBER(N372),ISNUMBER(O372),ISNUMBER(AV372)),"영업순이익+감가상각-설비투자-운전자본증감",IF(AND(ISNUMBER(P372),ISNUMBER(O372)),IF(ISNUMBER(Q372),"영업현금흐름-설비투자-주식보상비용","영업현금흐름-설비투자(주식보상비용 미태깅)"),"산출불가")))</f>
        <v/>
      </c>
      <c r="AZ372" s="19">
        <f>IF(AND(ISNUMBER(AX372),ISNUMBER(G372),G372&lt;&gt;0),AX372/G372,"")</f>
        <v/>
      </c>
      <c r="BA372" s="19">
        <f>IF(AND(ISNUMBER(AE372),ISNUMBER(G372),G372&lt;&gt;0),AE372/G372,"")</f>
        <v/>
      </c>
    </row>
    <row r="373">
      <c r="A373" s="8" t="inlineStr">
        <is>
          <t>CVX</t>
        </is>
      </c>
      <c r="B373" s="8" t="inlineStr">
        <is>
          <t>CHEVRON CORP</t>
        </is>
      </c>
      <c r="C373" s="8" t="n">
        <v>2016</v>
      </c>
      <c r="D373" s="8" t="inlineStr">
        <is>
          <t>2016-12-31</t>
        </is>
      </c>
      <c r="E373" s="8" t="inlineStr">
        <is>
          <t>일반</t>
        </is>
      </c>
      <c r="F373" s="8" t="inlineStr">
        <is>
          <t>0000093410-19-000008</t>
        </is>
      </c>
      <c r="G373" s="15" t="n">
        <v>114.472</v>
      </c>
      <c r="H373" s="15" t="n">
        <v>-2.16</v>
      </c>
      <c r="I373" s="15" t="n">
        <v>0.201</v>
      </c>
      <c r="J373" s="15" t="n">
        <v>-1.729</v>
      </c>
      <c r="K373" s="15" t="n"/>
      <c r="L373" s="15" t="n">
        <v>-0.497</v>
      </c>
      <c r="M373" s="15" t="n"/>
      <c r="N373" s="15" t="n">
        <v>19.457</v>
      </c>
      <c r="O373" s="15" t="n">
        <v>18.109</v>
      </c>
      <c r="P373" s="15" t="n">
        <v>12.69</v>
      </c>
      <c r="Q373" s="15" t="n"/>
      <c r="R373" s="15" t="n">
        <v>145.556</v>
      </c>
      <c r="S373" s="15" t="n">
        <v>152.716</v>
      </c>
      <c r="T373" s="15" t="n">
        <v>8.427</v>
      </c>
      <c r="U373" s="15" t="n">
        <v>12.432</v>
      </c>
      <c r="V373" s="15" t="n">
        <v>19.84</v>
      </c>
      <c r="W373" s="15" t="n">
        <v>12.927</v>
      </c>
      <c r="X373" s="15" t="n"/>
      <c r="Y373" s="15" t="n">
        <v>29.619</v>
      </c>
      <c r="Z373" s="15" t="n">
        <v>34.43</v>
      </c>
      <c r="AA373" s="15" t="n">
        <v>31.785</v>
      </c>
      <c r="AB373" s="15" t="n">
        <v>25.467</v>
      </c>
      <c r="AC373" s="15" t="n">
        <v>153.211</v>
      </c>
      <c r="AD373" s="16" t="n">
        <v>1873</v>
      </c>
      <c r="AE373" s="17">
        <f>IF(ISNUMBER(K373),K373,IF(AND(ISNUMBER(H373),ISNUMBER(I373)),H373+I373,IF(ISNUMBER(H373),H373,"")))</f>
        <v/>
      </c>
      <c r="AF373" s="18">
        <f>IF(OR(NOT(ISNUMBER(J373)),NOT(ISNUMBER(H373)),H373&lt;=0),기준표!$B$8,MIN(MAX(J373/H373,기준표!$B$6),기준표!$B$7))</f>
        <v/>
      </c>
      <c r="AG373" s="17">
        <f>IF(ISNUMBER(AE373),AE373*(1-AF373),"")</f>
        <v/>
      </c>
      <c r="AH373" s="17">
        <f>IF(AND(NOT(ISNUMBER(V373)),NOT(ISNUMBER(X373))),"",IF(ISNUMBER(V373),V373,0)+IF(ISNUMBER(X373),X373,0))</f>
        <v/>
      </c>
      <c r="AI373" s="17">
        <f>IF(E373="금융","",IF(AND(ISNUMBER(R373),ISNUMBER(AH373),ISNUMBER(T373)),R373+AH373-T373,""))</f>
        <v/>
      </c>
      <c r="AJ373" s="17">
        <f>IF(E373="금융","",IF(NOT(ISNUMBER(AI373)),"",IF(ISNUMBER(AC373),(AI373+AC373)/2,AI373)))</f>
        <v/>
      </c>
      <c r="AK373" s="19">
        <f>IF(AND(ISNUMBER(AG373),ISNUMBER(AJ373),AJ373&gt;0),AG373/AJ373,"")</f>
        <v/>
      </c>
      <c r="AL373" s="17">
        <f>IF(E373="금융","",IF(AND(ISNUMBER(R373),ISNUMBER(AH373)),R373+AH373,""))</f>
        <v/>
      </c>
      <c r="AM373" s="19">
        <f>IF(OR(NOT(ISNUMBER(AG373)),NOT(ISNUMBER(AL373)),AL373&lt;=0),"",IF(AND(ISNUMBER(G373),AL373&lt;0.1*G373),"",AG373/AL373))</f>
        <v/>
      </c>
      <c r="AN373" s="17">
        <f>IF(NOT(ISNUMBER(R373)),"",IF(ISNUMBER(S373),(R373+S373)/2,R373))</f>
        <v/>
      </c>
      <c r="AO373" s="19">
        <f>IF(AND(ISNUMBER(L373),ISNUMBER(AN373),AN373&gt;0),L373/AN373,"")</f>
        <v/>
      </c>
      <c r="AP373" s="19">
        <f>IF(AND(ISNUMBER(AO373),ISNUMBER({ROIC})),AO373-{ROIC},"")</f>
        <v/>
      </c>
      <c r="AQ373" s="17">
        <f>IF(AND(ISNUMBER(AE373),ISNUMBER(N373)),AE373+N373,"")</f>
        <v/>
      </c>
      <c r="AR373" s="20">
        <f>IF(AND(ISNUMBER(AH373),ISNUMBER(T373),ISNUMBER(AQ373),AQ373&gt;0),(AH373-T373)/AQ373,"")</f>
        <v/>
      </c>
      <c r="AS373" s="20">
        <f>IF(AND(ISNUMBER(AE373),ISNUMBER(I373),I373&lt;&gt;0,AE373&gt;0),AE373/I373,"")</f>
        <v/>
      </c>
      <c r="AT373" s="17">
        <f>IF(AND(ISNUMBER(Y373),ISNUMBER(AA373)),Y373-IF(ISNUMBER(T373),T373,0)-(AA373-IF(ISNUMBER(V373),V373,0)),"")</f>
        <v/>
      </c>
      <c r="AU373" s="17">
        <f>IF(AND(ISNUMBER(Z373),ISNUMBER(AB373)),Z373-IF(ISNUMBER(U373),U373,0)-(AB373-IF(ISNUMBER(W373),W373,0)),"")</f>
        <v/>
      </c>
      <c r="AV373" s="17">
        <f>IF(AND(ISNUMBER(AT373),ISNUMBER(AU373)),AT373-AU373,"")</f>
        <v/>
      </c>
      <c r="AW373" s="17">
        <f>IF(AND(ISNUMBER(L373),ISNUMBER(M373),ISNUMBER(AF373)),L373-M373*(1-AF373),IF(ISNUMBER(L373),L373,""))</f>
        <v/>
      </c>
      <c r="AX373" s="17">
        <f>IF(E373="금융","",IF(AND(ISNUMBER(AW373),ISNUMBER(N373),ISNUMBER(O373),ISNUMBER(AV373)),AW373+N373-O373-AV373,IF(AND(ISNUMBER(P373),ISNUMBER(O373)),P373-O373-IF(ISNUMBER(Q373),Q373,0),"")))</f>
        <v/>
      </c>
      <c r="AY373" s="8">
        <f>IF(E373="금융","금융업 - 정의되지 않음",IF(AND(ISNUMBER(AW373),ISNUMBER(N373),ISNUMBER(O373),ISNUMBER(AV373)),"영업순이익+감가상각-설비투자-운전자본증감",IF(AND(ISNUMBER(P373),ISNUMBER(O373)),IF(ISNUMBER(Q373),"영업현금흐름-설비투자-주식보상비용","영업현금흐름-설비투자(주식보상비용 미태깅)"),"산출불가")))</f>
        <v/>
      </c>
      <c r="AZ373" s="19">
        <f>IF(AND(ISNUMBER(AX373),ISNUMBER(G373),G373&lt;&gt;0),AX373/G373,"")</f>
        <v/>
      </c>
      <c r="BA373" s="19">
        <f>IF(AND(ISNUMBER(AE373),ISNUMBER(G373),G373&lt;&gt;0),AE373/G373,"")</f>
        <v/>
      </c>
    </row>
    <row r="374">
      <c r="A374" s="8" t="inlineStr">
        <is>
          <t>CVX</t>
        </is>
      </c>
      <c r="B374" s="8" t="inlineStr">
        <is>
          <t>CHEVRON CORP</t>
        </is>
      </c>
      <c r="C374" s="8" t="n">
        <v>2017</v>
      </c>
      <c r="D374" s="8" t="inlineStr">
        <is>
          <t>2017-12-31</t>
        </is>
      </c>
      <c r="E374" s="8" t="inlineStr">
        <is>
          <t>일반</t>
        </is>
      </c>
      <c r="F374" s="8" t="inlineStr">
        <is>
          <t>0000093410-20-000010</t>
        </is>
      </c>
      <c r="G374" s="15" t="n">
        <v>141.722</v>
      </c>
      <c r="H374" s="15" t="n">
        <v>9.221</v>
      </c>
      <c r="I374" s="15" t="n">
        <v>0.307</v>
      </c>
      <c r="J374" s="15" t="n">
        <v>-0.048</v>
      </c>
      <c r="K374" s="15" t="n"/>
      <c r="L374" s="15" t="n">
        <v>9.195</v>
      </c>
      <c r="M374" s="15" t="n"/>
      <c r="N374" s="15" t="n">
        <v>19.349</v>
      </c>
      <c r="O374" s="15" t="n">
        <v>13.404</v>
      </c>
      <c r="P374" s="15" t="n">
        <v>20.338</v>
      </c>
      <c r="Q374" s="15" t="n"/>
      <c r="R374" s="15" t="n">
        <v>148.124</v>
      </c>
      <c r="S374" s="15" t="n">
        <v>145.556</v>
      </c>
      <c r="T374" s="15" t="n">
        <v>5.952</v>
      </c>
      <c r="U374" s="15" t="n">
        <v>8.427</v>
      </c>
      <c r="V374" s="15" t="n">
        <v>15.192</v>
      </c>
      <c r="W374" s="15" t="n">
        <v>19.84</v>
      </c>
      <c r="X374" s="15" t="n"/>
      <c r="Y374" s="15" t="n">
        <v>28.56</v>
      </c>
      <c r="Z374" s="15" t="n">
        <v>29.619</v>
      </c>
      <c r="AA374" s="15" t="n">
        <v>27.737</v>
      </c>
      <c r="AB374" s="15" t="n">
        <v>31.785</v>
      </c>
      <c r="AC374" s="15" t="n">
        <v>156.969</v>
      </c>
      <c r="AD374" s="16" t="n">
        <v>1898</v>
      </c>
      <c r="AE374" s="17">
        <f>IF(ISNUMBER(K374),K374,IF(AND(ISNUMBER(H374),ISNUMBER(I374)),H374+I374,IF(ISNUMBER(H374),H374,"")))</f>
        <v/>
      </c>
      <c r="AF374" s="18">
        <f>IF(OR(NOT(ISNUMBER(J374)),NOT(ISNUMBER(H374)),H374&lt;=0),기준표!$B$8,MIN(MAX(J374/H374,기준표!$B$6),기준표!$B$7))</f>
        <v/>
      </c>
      <c r="AG374" s="17">
        <f>IF(ISNUMBER(AE374),AE374*(1-AF374),"")</f>
        <v/>
      </c>
      <c r="AH374" s="17">
        <f>IF(AND(NOT(ISNUMBER(V374)),NOT(ISNUMBER(X374))),"",IF(ISNUMBER(V374),V374,0)+IF(ISNUMBER(X374),X374,0))</f>
        <v/>
      </c>
      <c r="AI374" s="17">
        <f>IF(E374="금융","",IF(AND(ISNUMBER(R374),ISNUMBER(AH374),ISNUMBER(T374)),R374+AH374-T374,""))</f>
        <v/>
      </c>
      <c r="AJ374" s="17">
        <f>IF(E374="금융","",IF(NOT(ISNUMBER(AI374)),"",IF(ISNUMBER(AC374),(AI374+AC374)/2,AI374)))</f>
        <v/>
      </c>
      <c r="AK374" s="19">
        <f>IF(AND(ISNUMBER(AG374),ISNUMBER(AJ374),AJ374&gt;0),AG374/AJ374,"")</f>
        <v/>
      </c>
      <c r="AL374" s="17">
        <f>IF(E374="금융","",IF(AND(ISNUMBER(R374),ISNUMBER(AH374)),R374+AH374,""))</f>
        <v/>
      </c>
      <c r="AM374" s="19">
        <f>IF(OR(NOT(ISNUMBER(AG374)),NOT(ISNUMBER(AL374)),AL374&lt;=0),"",IF(AND(ISNUMBER(G374),AL374&lt;0.1*G374),"",AG374/AL374))</f>
        <v/>
      </c>
      <c r="AN374" s="17">
        <f>IF(NOT(ISNUMBER(R374)),"",IF(ISNUMBER(S374),(R374+S374)/2,R374))</f>
        <v/>
      </c>
      <c r="AO374" s="19">
        <f>IF(AND(ISNUMBER(L374),ISNUMBER(AN374),AN374&gt;0),L374/AN374,"")</f>
        <v/>
      </c>
      <c r="AP374" s="19">
        <f>IF(AND(ISNUMBER(AO374),ISNUMBER({ROIC})),AO374-{ROIC},"")</f>
        <v/>
      </c>
      <c r="AQ374" s="17">
        <f>IF(AND(ISNUMBER(AE374),ISNUMBER(N374)),AE374+N374,"")</f>
        <v/>
      </c>
      <c r="AR374" s="20">
        <f>IF(AND(ISNUMBER(AH374),ISNUMBER(T374),ISNUMBER(AQ374),AQ374&gt;0),(AH374-T374)/AQ374,"")</f>
        <v/>
      </c>
      <c r="AS374" s="20">
        <f>IF(AND(ISNUMBER(AE374),ISNUMBER(I374),I374&lt;&gt;0,AE374&gt;0),AE374/I374,"")</f>
        <v/>
      </c>
      <c r="AT374" s="17">
        <f>IF(AND(ISNUMBER(Y374),ISNUMBER(AA374)),Y374-IF(ISNUMBER(T374),T374,0)-(AA374-IF(ISNUMBER(V374),V374,0)),"")</f>
        <v/>
      </c>
      <c r="AU374" s="17">
        <f>IF(AND(ISNUMBER(Z374),ISNUMBER(AB374)),Z374-IF(ISNUMBER(U374),U374,0)-(AB374-IF(ISNUMBER(W374),W374,0)),"")</f>
        <v/>
      </c>
      <c r="AV374" s="17">
        <f>IF(AND(ISNUMBER(AT374),ISNUMBER(AU374)),AT374-AU374,"")</f>
        <v/>
      </c>
      <c r="AW374" s="17">
        <f>IF(AND(ISNUMBER(L374),ISNUMBER(M374),ISNUMBER(AF374)),L374-M374*(1-AF374),IF(ISNUMBER(L374),L374,""))</f>
        <v/>
      </c>
      <c r="AX374" s="17">
        <f>IF(E374="금융","",IF(AND(ISNUMBER(AW374),ISNUMBER(N374),ISNUMBER(O374),ISNUMBER(AV374)),AW374+N374-O374-AV374,IF(AND(ISNUMBER(P374),ISNUMBER(O374)),P374-O374-IF(ISNUMBER(Q374),Q374,0),"")))</f>
        <v/>
      </c>
      <c r="AY374" s="8">
        <f>IF(E374="금융","금융업 - 정의되지 않음",IF(AND(ISNUMBER(AW374),ISNUMBER(N374),ISNUMBER(O374),ISNUMBER(AV374)),"영업순이익+감가상각-설비투자-운전자본증감",IF(AND(ISNUMBER(P374),ISNUMBER(O374)),IF(ISNUMBER(Q374),"영업현금흐름-설비투자-주식보상비용","영업현금흐름-설비투자(주식보상비용 미태깅)"),"산출불가")))</f>
        <v/>
      </c>
      <c r="AZ374" s="19">
        <f>IF(AND(ISNUMBER(AX374),ISNUMBER(G374),G374&lt;&gt;0),AX374/G374,"")</f>
        <v/>
      </c>
      <c r="BA374" s="19">
        <f>IF(AND(ISNUMBER(AE374),ISNUMBER(G374),G374&lt;&gt;0),AE374/G374,"")</f>
        <v/>
      </c>
    </row>
    <row r="375">
      <c r="A375" s="8" t="inlineStr">
        <is>
          <t>CVX</t>
        </is>
      </c>
      <c r="B375" s="8" t="inlineStr">
        <is>
          <t>CHEVRON CORP</t>
        </is>
      </c>
      <c r="C375" s="8" t="n">
        <v>2018</v>
      </c>
      <c r="D375" s="8" t="inlineStr">
        <is>
          <t>2018-12-31</t>
        </is>
      </c>
      <c r="E375" s="8" t="inlineStr">
        <is>
          <t>일반</t>
        </is>
      </c>
      <c r="F375" s="8" t="inlineStr">
        <is>
          <t>0000093410-21-000009</t>
        </is>
      </c>
      <c r="G375" s="15" t="n">
        <v>166.339</v>
      </c>
      <c r="H375" s="15" t="n">
        <v>20.575</v>
      </c>
      <c r="I375" s="15" t="n">
        <v>0.748</v>
      </c>
      <c r="J375" s="15" t="n">
        <v>5.715</v>
      </c>
      <c r="K375" s="15" t="n"/>
      <c r="L375" s="15" t="n">
        <v>14.824</v>
      </c>
      <c r="M375" s="15" t="n"/>
      <c r="N375" s="15" t="n">
        <v>19.419</v>
      </c>
      <c r="O375" s="15" t="n">
        <v>13.792</v>
      </c>
      <c r="P375" s="15" t="n">
        <v>30.618</v>
      </c>
      <c r="Q375" s="15" t="n"/>
      <c r="R375" s="15" t="n">
        <v>154.554</v>
      </c>
      <c r="S375" s="15" t="n">
        <v>148.124</v>
      </c>
      <c r="T375" s="15" t="n">
        <v>10.534</v>
      </c>
      <c r="U375" s="15" t="n">
        <v>5.952</v>
      </c>
      <c r="V375" s="15" t="n">
        <v>15.626</v>
      </c>
      <c r="W375" s="15" t="n">
        <v>15.192</v>
      </c>
      <c r="X375" s="15" t="n">
        <v>28.733</v>
      </c>
      <c r="Y375" s="15" t="n">
        <v>34.021</v>
      </c>
      <c r="Z375" s="15" t="n">
        <v>28.56</v>
      </c>
      <c r="AA375" s="15" t="n">
        <v>27.171</v>
      </c>
      <c r="AB375" s="15" t="n">
        <v>27.737</v>
      </c>
      <c r="AC375" s="15" t="n">
        <v>157.364</v>
      </c>
      <c r="AD375" s="16" t="n">
        <v>1914</v>
      </c>
      <c r="AE375" s="17">
        <f>IF(ISNUMBER(K375),K375,IF(AND(ISNUMBER(H375),ISNUMBER(I375)),H375+I375,IF(ISNUMBER(H375),H375,"")))</f>
        <v/>
      </c>
      <c r="AF375" s="18">
        <f>IF(OR(NOT(ISNUMBER(J375)),NOT(ISNUMBER(H375)),H375&lt;=0),기준표!$B$8,MIN(MAX(J375/H375,기준표!$B$6),기준표!$B$7))</f>
        <v/>
      </c>
      <c r="AG375" s="17">
        <f>IF(ISNUMBER(AE375),AE375*(1-AF375),"")</f>
        <v/>
      </c>
      <c r="AH375" s="17">
        <f>IF(AND(NOT(ISNUMBER(V375)),NOT(ISNUMBER(X375))),"",IF(ISNUMBER(V375),V375,0)+IF(ISNUMBER(X375),X375,0))</f>
        <v/>
      </c>
      <c r="AI375" s="17">
        <f>IF(E375="금융","",IF(AND(ISNUMBER(R375),ISNUMBER(AH375),ISNUMBER(T375)),R375+AH375-T375,""))</f>
        <v/>
      </c>
      <c r="AJ375" s="17">
        <f>IF(E375="금융","",IF(NOT(ISNUMBER(AI375)),"",IF(ISNUMBER(AC375),(AI375+AC375)/2,AI375)))</f>
        <v/>
      </c>
      <c r="AK375" s="19">
        <f>IF(AND(ISNUMBER(AG375),ISNUMBER(AJ375),AJ375&gt;0),AG375/AJ375,"")</f>
        <v/>
      </c>
      <c r="AL375" s="17">
        <f>IF(E375="금융","",IF(AND(ISNUMBER(R375),ISNUMBER(AH375)),R375+AH375,""))</f>
        <v/>
      </c>
      <c r="AM375" s="19">
        <f>IF(OR(NOT(ISNUMBER(AG375)),NOT(ISNUMBER(AL375)),AL375&lt;=0),"",IF(AND(ISNUMBER(G375),AL375&lt;0.1*G375),"",AG375/AL375))</f>
        <v/>
      </c>
      <c r="AN375" s="17">
        <f>IF(NOT(ISNUMBER(R375)),"",IF(ISNUMBER(S375),(R375+S375)/2,R375))</f>
        <v/>
      </c>
      <c r="AO375" s="19">
        <f>IF(AND(ISNUMBER(L375),ISNUMBER(AN375),AN375&gt;0),L375/AN375,"")</f>
        <v/>
      </c>
      <c r="AP375" s="19">
        <f>IF(AND(ISNUMBER(AO375),ISNUMBER({ROIC})),AO375-{ROIC},"")</f>
        <v/>
      </c>
      <c r="AQ375" s="17">
        <f>IF(AND(ISNUMBER(AE375),ISNUMBER(N375)),AE375+N375,"")</f>
        <v/>
      </c>
      <c r="AR375" s="20">
        <f>IF(AND(ISNUMBER(AH375),ISNUMBER(T375),ISNUMBER(AQ375),AQ375&gt;0),(AH375-T375)/AQ375,"")</f>
        <v/>
      </c>
      <c r="AS375" s="20">
        <f>IF(AND(ISNUMBER(AE375),ISNUMBER(I375),I375&lt;&gt;0,AE375&gt;0),AE375/I375,"")</f>
        <v/>
      </c>
      <c r="AT375" s="17">
        <f>IF(AND(ISNUMBER(Y375),ISNUMBER(AA375)),Y375-IF(ISNUMBER(T375),T375,0)-(AA375-IF(ISNUMBER(V375),V375,0)),"")</f>
        <v/>
      </c>
      <c r="AU375" s="17">
        <f>IF(AND(ISNUMBER(Z375),ISNUMBER(AB375)),Z375-IF(ISNUMBER(U375),U375,0)-(AB375-IF(ISNUMBER(W375),W375,0)),"")</f>
        <v/>
      </c>
      <c r="AV375" s="17">
        <f>IF(AND(ISNUMBER(AT375),ISNUMBER(AU375)),AT375-AU375,"")</f>
        <v/>
      </c>
      <c r="AW375" s="17">
        <f>IF(AND(ISNUMBER(L375),ISNUMBER(M375),ISNUMBER(AF375)),L375-M375*(1-AF375),IF(ISNUMBER(L375),L375,""))</f>
        <v/>
      </c>
      <c r="AX375" s="17">
        <f>IF(E375="금융","",IF(AND(ISNUMBER(AW375),ISNUMBER(N375),ISNUMBER(O375),ISNUMBER(AV375)),AW375+N375-O375-AV375,IF(AND(ISNUMBER(P375),ISNUMBER(O375)),P375-O375-IF(ISNUMBER(Q375),Q375,0),"")))</f>
        <v/>
      </c>
      <c r="AY375" s="8">
        <f>IF(E375="금융","금융업 - 정의되지 않음",IF(AND(ISNUMBER(AW375),ISNUMBER(N375),ISNUMBER(O375),ISNUMBER(AV375)),"영업순이익+감가상각-설비투자-운전자본증감",IF(AND(ISNUMBER(P375),ISNUMBER(O375)),IF(ISNUMBER(Q375),"영업현금흐름-설비투자-주식보상비용","영업현금흐름-설비투자(주식보상비용 미태깅)"),"산출불가")))</f>
        <v/>
      </c>
      <c r="AZ375" s="19">
        <f>IF(AND(ISNUMBER(AX375),ISNUMBER(G375),G375&lt;&gt;0),AX375/G375,"")</f>
        <v/>
      </c>
      <c r="BA375" s="19">
        <f>IF(AND(ISNUMBER(AE375),ISNUMBER(G375),G375&lt;&gt;0),AE375/G375,"")</f>
        <v/>
      </c>
    </row>
    <row r="376">
      <c r="A376" s="8" t="inlineStr">
        <is>
          <t>CVX</t>
        </is>
      </c>
      <c r="B376" s="8" t="inlineStr">
        <is>
          <t>CHEVRON CORP</t>
        </is>
      </c>
      <c r="C376" s="8" t="n">
        <v>2019</v>
      </c>
      <c r="D376" s="8" t="inlineStr">
        <is>
          <t>2019-12-31</t>
        </is>
      </c>
      <c r="E376" s="8" t="inlineStr">
        <is>
          <t>일반</t>
        </is>
      </c>
      <c r="F376" s="8" t="inlineStr">
        <is>
          <t>0000093410-22-000019</t>
        </is>
      </c>
      <c r="G376" s="15" t="n">
        <v>146.516</v>
      </c>
      <c r="H376" s="15" t="n">
        <v>5.536</v>
      </c>
      <c r="I376" s="15" t="n">
        <v>0.798</v>
      </c>
      <c r="J376" s="15" t="n">
        <v>2.691</v>
      </c>
      <c r="K376" s="15" t="n"/>
      <c r="L376" s="15" t="n">
        <v>2.924</v>
      </c>
      <c r="M376" s="15" t="n"/>
      <c r="N376" s="15" t="n">
        <v>29.218</v>
      </c>
      <c r="O376" s="15" t="n">
        <v>14.116</v>
      </c>
      <c r="P376" s="15" t="n">
        <v>27.314</v>
      </c>
      <c r="Q376" s="15" t="n"/>
      <c r="R376" s="15" t="n">
        <v>144.213</v>
      </c>
      <c r="S376" s="15" t="n">
        <v>154.554</v>
      </c>
      <c r="T376" s="15" t="n">
        <v>6.974</v>
      </c>
      <c r="U376" s="15" t="n">
        <v>10.534</v>
      </c>
      <c r="V376" s="15" t="n">
        <v>13.032</v>
      </c>
      <c r="W376" s="15" t="n">
        <v>15.626</v>
      </c>
      <c r="X376" s="15" t="n">
        <v>23.691</v>
      </c>
      <c r="Y376" s="15" t="n">
        <v>28.329</v>
      </c>
      <c r="Z376" s="15" t="n">
        <v>34.021</v>
      </c>
      <c r="AA376" s="15" t="n">
        <v>26.53</v>
      </c>
      <c r="AB376" s="15" t="n">
        <v>27.171</v>
      </c>
      <c r="AC376" s="15" t="n">
        <v>188.379</v>
      </c>
      <c r="AD376" s="16" t="n">
        <v>1895</v>
      </c>
      <c r="AE376" s="17">
        <f>IF(ISNUMBER(K376),K376,IF(AND(ISNUMBER(H376),ISNUMBER(I376)),H376+I376,IF(ISNUMBER(H376),H376,"")))</f>
        <v/>
      </c>
      <c r="AF376" s="18">
        <f>IF(OR(NOT(ISNUMBER(J376)),NOT(ISNUMBER(H376)),H376&lt;=0),기준표!$B$8,MIN(MAX(J376/H376,기준표!$B$6),기준표!$B$7))</f>
        <v/>
      </c>
      <c r="AG376" s="17">
        <f>IF(ISNUMBER(AE376),AE376*(1-AF376),"")</f>
        <v/>
      </c>
      <c r="AH376" s="17">
        <f>IF(AND(NOT(ISNUMBER(V376)),NOT(ISNUMBER(X376))),"",IF(ISNUMBER(V376),V376,0)+IF(ISNUMBER(X376),X376,0))</f>
        <v/>
      </c>
      <c r="AI376" s="17">
        <f>IF(E376="금융","",IF(AND(ISNUMBER(R376),ISNUMBER(AH376),ISNUMBER(T376)),R376+AH376-T376,""))</f>
        <v/>
      </c>
      <c r="AJ376" s="17">
        <f>IF(E376="금융","",IF(NOT(ISNUMBER(AI376)),"",IF(ISNUMBER(AC376),(AI376+AC376)/2,AI376)))</f>
        <v/>
      </c>
      <c r="AK376" s="19">
        <f>IF(AND(ISNUMBER(AG376),ISNUMBER(AJ376),AJ376&gt;0),AG376/AJ376,"")</f>
        <v/>
      </c>
      <c r="AL376" s="17">
        <f>IF(E376="금융","",IF(AND(ISNUMBER(R376),ISNUMBER(AH376)),R376+AH376,""))</f>
        <v/>
      </c>
      <c r="AM376" s="19">
        <f>IF(OR(NOT(ISNUMBER(AG376)),NOT(ISNUMBER(AL376)),AL376&lt;=0),"",IF(AND(ISNUMBER(G376),AL376&lt;0.1*G376),"",AG376/AL376))</f>
        <v/>
      </c>
      <c r="AN376" s="17">
        <f>IF(NOT(ISNUMBER(R376)),"",IF(ISNUMBER(S376),(R376+S376)/2,R376))</f>
        <v/>
      </c>
      <c r="AO376" s="19">
        <f>IF(AND(ISNUMBER(L376),ISNUMBER(AN376),AN376&gt;0),L376/AN376,"")</f>
        <v/>
      </c>
      <c r="AP376" s="19">
        <f>IF(AND(ISNUMBER(AO376),ISNUMBER({ROIC})),AO376-{ROIC},"")</f>
        <v/>
      </c>
      <c r="AQ376" s="17">
        <f>IF(AND(ISNUMBER(AE376),ISNUMBER(N376)),AE376+N376,"")</f>
        <v/>
      </c>
      <c r="AR376" s="20">
        <f>IF(AND(ISNUMBER(AH376),ISNUMBER(T376),ISNUMBER(AQ376),AQ376&gt;0),(AH376-T376)/AQ376,"")</f>
        <v/>
      </c>
      <c r="AS376" s="20">
        <f>IF(AND(ISNUMBER(AE376),ISNUMBER(I376),I376&lt;&gt;0,AE376&gt;0),AE376/I376,"")</f>
        <v/>
      </c>
      <c r="AT376" s="17">
        <f>IF(AND(ISNUMBER(Y376),ISNUMBER(AA376)),Y376-IF(ISNUMBER(T376),T376,0)-(AA376-IF(ISNUMBER(V376),V376,0)),"")</f>
        <v/>
      </c>
      <c r="AU376" s="17">
        <f>IF(AND(ISNUMBER(Z376),ISNUMBER(AB376)),Z376-IF(ISNUMBER(U376),U376,0)-(AB376-IF(ISNUMBER(W376),W376,0)),"")</f>
        <v/>
      </c>
      <c r="AV376" s="17">
        <f>IF(AND(ISNUMBER(AT376),ISNUMBER(AU376)),AT376-AU376,"")</f>
        <v/>
      </c>
      <c r="AW376" s="17">
        <f>IF(AND(ISNUMBER(L376),ISNUMBER(M376),ISNUMBER(AF376)),L376-M376*(1-AF376),IF(ISNUMBER(L376),L376,""))</f>
        <v/>
      </c>
      <c r="AX376" s="17">
        <f>IF(E376="금융","",IF(AND(ISNUMBER(AW376),ISNUMBER(N376),ISNUMBER(O376),ISNUMBER(AV376)),AW376+N376-O376-AV376,IF(AND(ISNUMBER(P376),ISNUMBER(O376)),P376-O376-IF(ISNUMBER(Q376),Q376,0),"")))</f>
        <v/>
      </c>
      <c r="AY376" s="8">
        <f>IF(E376="금융","금융업 - 정의되지 않음",IF(AND(ISNUMBER(AW376),ISNUMBER(N376),ISNUMBER(O376),ISNUMBER(AV376)),"영업순이익+감가상각-설비투자-운전자본증감",IF(AND(ISNUMBER(P376),ISNUMBER(O376)),IF(ISNUMBER(Q376),"영업현금흐름-설비투자-주식보상비용","영업현금흐름-설비투자(주식보상비용 미태깅)"),"산출불가")))</f>
        <v/>
      </c>
      <c r="AZ376" s="19">
        <f>IF(AND(ISNUMBER(AX376),ISNUMBER(G376),G376&lt;&gt;0),AX376/G376,"")</f>
        <v/>
      </c>
      <c r="BA376" s="19">
        <f>IF(AND(ISNUMBER(AE376),ISNUMBER(G376),G376&lt;&gt;0),AE376/G376,"")</f>
        <v/>
      </c>
    </row>
    <row r="377">
      <c r="A377" s="8" t="inlineStr">
        <is>
          <t>CVX</t>
        </is>
      </c>
      <c r="B377" s="8" t="inlineStr">
        <is>
          <t>CHEVRON CORP</t>
        </is>
      </c>
      <c r="C377" s="8" t="n">
        <v>2020</v>
      </c>
      <c r="D377" s="8" t="inlineStr">
        <is>
          <t>2020-12-31</t>
        </is>
      </c>
      <c r="E377" s="8" t="inlineStr">
        <is>
          <t>일반</t>
        </is>
      </c>
      <c r="F377" s="8" t="inlineStr">
        <is>
          <t>0000093410-23-000009</t>
        </is>
      </c>
      <c r="G377" s="15" t="n">
        <v>94.69199999999999</v>
      </c>
      <c r="H377" s="15" t="n">
        <v>-7.453</v>
      </c>
      <c r="I377" s="15" t="n">
        <v>0.697</v>
      </c>
      <c r="J377" s="15" t="n">
        <v>-1.892</v>
      </c>
      <c r="K377" s="15" t="n"/>
      <c r="L377" s="15" t="n">
        <v>-5.543</v>
      </c>
      <c r="M377" s="15" t="n"/>
      <c r="N377" s="15" t="n">
        <v>19.508</v>
      </c>
      <c r="O377" s="15" t="n">
        <v>8.922000000000001</v>
      </c>
      <c r="P377" s="15" t="n">
        <v>10.577</v>
      </c>
      <c r="Q377" s="15" t="n"/>
      <c r="R377" s="15" t="n">
        <v>131.688</v>
      </c>
      <c r="S377" s="15" t="n">
        <v>144.213</v>
      </c>
      <c r="T377" s="15" t="n">
        <v>6.768</v>
      </c>
      <c r="U377" s="15" t="n">
        <v>6.974</v>
      </c>
      <c r="V377" s="15" t="n">
        <v>11.373</v>
      </c>
      <c r="W377" s="15" t="n">
        <v>13.032</v>
      </c>
      <c r="X377" s="15" t="n">
        <v>42.767</v>
      </c>
      <c r="Y377" s="15" t="n">
        <v>26.078</v>
      </c>
      <c r="Z377" s="15" t="n">
        <v>28.329</v>
      </c>
      <c r="AA377" s="15" t="n">
        <v>22.183</v>
      </c>
      <c r="AB377" s="15" t="n">
        <v>26.53</v>
      </c>
      <c r="AC377" s="15" t="n">
        <v>173.962</v>
      </c>
      <c r="AD377" s="16" t="n">
        <v>1870</v>
      </c>
      <c r="AE377" s="17">
        <f>IF(ISNUMBER(K377),K377,IF(AND(ISNUMBER(H377),ISNUMBER(I377)),H377+I377,IF(ISNUMBER(H377),H377,"")))</f>
        <v/>
      </c>
      <c r="AF377" s="18">
        <f>IF(OR(NOT(ISNUMBER(J377)),NOT(ISNUMBER(H377)),H377&lt;=0),기준표!$B$8,MIN(MAX(J377/H377,기준표!$B$6),기준표!$B$7))</f>
        <v/>
      </c>
      <c r="AG377" s="17">
        <f>IF(ISNUMBER(AE377),AE377*(1-AF377),"")</f>
        <v/>
      </c>
      <c r="AH377" s="17">
        <f>IF(AND(NOT(ISNUMBER(V377)),NOT(ISNUMBER(X377))),"",IF(ISNUMBER(V377),V377,0)+IF(ISNUMBER(X377),X377,0))</f>
        <v/>
      </c>
      <c r="AI377" s="17">
        <f>IF(E377="금융","",IF(AND(ISNUMBER(R377),ISNUMBER(AH377),ISNUMBER(T377)),R377+AH377-T377,""))</f>
        <v/>
      </c>
      <c r="AJ377" s="17">
        <f>IF(E377="금융","",IF(NOT(ISNUMBER(AI377)),"",IF(ISNUMBER(AC377),(AI377+AC377)/2,AI377)))</f>
        <v/>
      </c>
      <c r="AK377" s="19">
        <f>IF(AND(ISNUMBER(AG377),ISNUMBER(AJ377),AJ377&gt;0),AG377/AJ377,"")</f>
        <v/>
      </c>
      <c r="AL377" s="17">
        <f>IF(E377="금융","",IF(AND(ISNUMBER(R377),ISNUMBER(AH377)),R377+AH377,""))</f>
        <v/>
      </c>
      <c r="AM377" s="19">
        <f>IF(OR(NOT(ISNUMBER(AG377)),NOT(ISNUMBER(AL377)),AL377&lt;=0),"",IF(AND(ISNUMBER(G377),AL377&lt;0.1*G377),"",AG377/AL377))</f>
        <v/>
      </c>
      <c r="AN377" s="17">
        <f>IF(NOT(ISNUMBER(R377)),"",IF(ISNUMBER(S377),(R377+S377)/2,R377))</f>
        <v/>
      </c>
      <c r="AO377" s="19">
        <f>IF(AND(ISNUMBER(L377),ISNUMBER(AN377),AN377&gt;0),L377/AN377,"")</f>
        <v/>
      </c>
      <c r="AP377" s="19">
        <f>IF(AND(ISNUMBER(AO377),ISNUMBER({ROIC})),AO377-{ROIC},"")</f>
        <v/>
      </c>
      <c r="AQ377" s="17">
        <f>IF(AND(ISNUMBER(AE377),ISNUMBER(N377)),AE377+N377,"")</f>
        <v/>
      </c>
      <c r="AR377" s="20">
        <f>IF(AND(ISNUMBER(AH377),ISNUMBER(T377),ISNUMBER(AQ377),AQ377&gt;0),(AH377-T377)/AQ377,"")</f>
        <v/>
      </c>
      <c r="AS377" s="20">
        <f>IF(AND(ISNUMBER(AE377),ISNUMBER(I377),I377&lt;&gt;0,AE377&gt;0),AE377/I377,"")</f>
        <v/>
      </c>
      <c r="AT377" s="17">
        <f>IF(AND(ISNUMBER(Y377),ISNUMBER(AA377)),Y377-IF(ISNUMBER(T377),T377,0)-(AA377-IF(ISNUMBER(V377),V377,0)),"")</f>
        <v/>
      </c>
      <c r="AU377" s="17">
        <f>IF(AND(ISNUMBER(Z377),ISNUMBER(AB377)),Z377-IF(ISNUMBER(U377),U377,0)-(AB377-IF(ISNUMBER(W377),W377,0)),"")</f>
        <v/>
      </c>
      <c r="AV377" s="17">
        <f>IF(AND(ISNUMBER(AT377),ISNUMBER(AU377)),AT377-AU377,"")</f>
        <v/>
      </c>
      <c r="AW377" s="17">
        <f>IF(AND(ISNUMBER(L377),ISNUMBER(M377),ISNUMBER(AF377)),L377-M377*(1-AF377),IF(ISNUMBER(L377),L377,""))</f>
        <v/>
      </c>
      <c r="AX377" s="17">
        <f>IF(E377="금융","",IF(AND(ISNUMBER(AW377),ISNUMBER(N377),ISNUMBER(O377),ISNUMBER(AV377)),AW377+N377-O377-AV377,IF(AND(ISNUMBER(P377),ISNUMBER(O377)),P377-O377-IF(ISNUMBER(Q377),Q377,0),"")))</f>
        <v/>
      </c>
      <c r="AY377" s="8">
        <f>IF(E377="금융","금융업 - 정의되지 않음",IF(AND(ISNUMBER(AW377),ISNUMBER(N377),ISNUMBER(O377),ISNUMBER(AV377)),"영업순이익+감가상각-설비투자-운전자본증감",IF(AND(ISNUMBER(P377),ISNUMBER(O377)),IF(ISNUMBER(Q377),"영업현금흐름-설비투자-주식보상비용","영업현금흐름-설비투자(주식보상비용 미태깅)"),"산출불가")))</f>
        <v/>
      </c>
      <c r="AZ377" s="19">
        <f>IF(AND(ISNUMBER(AX377),ISNUMBER(G377),G377&lt;&gt;0),AX377/G377,"")</f>
        <v/>
      </c>
      <c r="BA377" s="19">
        <f>IF(AND(ISNUMBER(AE377),ISNUMBER(G377),G377&lt;&gt;0),AE377/G377,"")</f>
        <v/>
      </c>
    </row>
    <row r="378">
      <c r="A378" s="8" t="inlineStr">
        <is>
          <t>CVX</t>
        </is>
      </c>
      <c r="B378" s="8" t="inlineStr">
        <is>
          <t>CHEVRON CORP</t>
        </is>
      </c>
      <c r="C378" s="8" t="n">
        <v>2021</v>
      </c>
      <c r="D378" s="8" t="inlineStr">
        <is>
          <t>2021-12-31</t>
        </is>
      </c>
      <c r="E378" s="8" t="inlineStr">
        <is>
          <t>일반</t>
        </is>
      </c>
      <c r="F378" s="8" t="inlineStr">
        <is>
          <t>0000093410-24-000013</t>
        </is>
      </c>
      <c r="G378" s="15" t="n">
        <v>162.465</v>
      </c>
      <c r="H378" s="15" t="n">
        <v>21.639</v>
      </c>
      <c r="I378" s="15" t="n">
        <v>0.712</v>
      </c>
      <c r="J378" s="15" t="n">
        <v>5.95</v>
      </c>
      <c r="K378" s="15" t="n"/>
      <c r="L378" s="15" t="n">
        <v>15.625</v>
      </c>
      <c r="M378" s="15" t="n"/>
      <c r="N378" s="15" t="n">
        <v>17.925</v>
      </c>
      <c r="O378" s="15" t="n">
        <v>8.055999999999999</v>
      </c>
      <c r="P378" s="15" t="n">
        <v>29.187</v>
      </c>
      <c r="Q378" s="15" t="n"/>
      <c r="R378" s="15" t="n">
        <v>139.067</v>
      </c>
      <c r="S378" s="15" t="n">
        <v>131.688</v>
      </c>
      <c r="T378" s="15" t="n">
        <v>6.83</v>
      </c>
      <c r="U378" s="15" t="n">
        <v>6.768</v>
      </c>
      <c r="V378" s="15" t="n">
        <v>8.015000000000001</v>
      </c>
      <c r="W378" s="15" t="n">
        <v>11.373</v>
      </c>
      <c r="X378" s="15" t="n">
        <v>31.113</v>
      </c>
      <c r="Y378" s="15" t="n">
        <v>33.738</v>
      </c>
      <c r="Z378" s="15" t="n">
        <v>26.078</v>
      </c>
      <c r="AA378" s="15" t="n">
        <v>26.791</v>
      </c>
      <c r="AB378" s="15" t="n">
        <v>22.183</v>
      </c>
      <c r="AC378" s="15" t="n">
        <v>179.06</v>
      </c>
      <c r="AD378" s="16" t="n">
        <v>1920</v>
      </c>
      <c r="AE378" s="17">
        <f>IF(ISNUMBER(K378),K378,IF(AND(ISNUMBER(H378),ISNUMBER(I378)),H378+I378,IF(ISNUMBER(H378),H378,"")))</f>
        <v/>
      </c>
      <c r="AF378" s="18">
        <f>IF(OR(NOT(ISNUMBER(J378)),NOT(ISNUMBER(H378)),H378&lt;=0),기준표!$B$8,MIN(MAX(J378/H378,기준표!$B$6),기준표!$B$7))</f>
        <v/>
      </c>
      <c r="AG378" s="17">
        <f>IF(ISNUMBER(AE378),AE378*(1-AF378),"")</f>
        <v/>
      </c>
      <c r="AH378" s="17">
        <f>IF(AND(NOT(ISNUMBER(V378)),NOT(ISNUMBER(X378))),"",IF(ISNUMBER(V378),V378,0)+IF(ISNUMBER(X378),X378,0))</f>
        <v/>
      </c>
      <c r="AI378" s="17">
        <f>IF(E378="금융","",IF(AND(ISNUMBER(R378),ISNUMBER(AH378),ISNUMBER(T378)),R378+AH378-T378,""))</f>
        <v/>
      </c>
      <c r="AJ378" s="17">
        <f>IF(E378="금융","",IF(NOT(ISNUMBER(AI378)),"",IF(ISNUMBER(AC378),(AI378+AC378)/2,AI378)))</f>
        <v/>
      </c>
      <c r="AK378" s="19">
        <f>IF(AND(ISNUMBER(AG378),ISNUMBER(AJ378),AJ378&gt;0),AG378/AJ378,"")</f>
        <v/>
      </c>
      <c r="AL378" s="17">
        <f>IF(E378="금융","",IF(AND(ISNUMBER(R378),ISNUMBER(AH378)),R378+AH378,""))</f>
        <v/>
      </c>
      <c r="AM378" s="19">
        <f>IF(OR(NOT(ISNUMBER(AG378)),NOT(ISNUMBER(AL378)),AL378&lt;=0),"",IF(AND(ISNUMBER(G378),AL378&lt;0.1*G378),"",AG378/AL378))</f>
        <v/>
      </c>
      <c r="AN378" s="17">
        <f>IF(NOT(ISNUMBER(R378)),"",IF(ISNUMBER(S378),(R378+S378)/2,R378))</f>
        <v/>
      </c>
      <c r="AO378" s="19">
        <f>IF(AND(ISNUMBER(L378),ISNUMBER(AN378),AN378&gt;0),L378/AN378,"")</f>
        <v/>
      </c>
      <c r="AP378" s="19">
        <f>IF(AND(ISNUMBER(AO378),ISNUMBER({ROIC})),AO378-{ROIC},"")</f>
        <v/>
      </c>
      <c r="AQ378" s="17">
        <f>IF(AND(ISNUMBER(AE378),ISNUMBER(N378)),AE378+N378,"")</f>
        <v/>
      </c>
      <c r="AR378" s="20">
        <f>IF(AND(ISNUMBER(AH378),ISNUMBER(T378),ISNUMBER(AQ378),AQ378&gt;0),(AH378-T378)/AQ378,"")</f>
        <v/>
      </c>
      <c r="AS378" s="20">
        <f>IF(AND(ISNUMBER(AE378),ISNUMBER(I378),I378&lt;&gt;0,AE378&gt;0),AE378/I378,"")</f>
        <v/>
      </c>
      <c r="AT378" s="17">
        <f>IF(AND(ISNUMBER(Y378),ISNUMBER(AA378)),Y378-IF(ISNUMBER(T378),T378,0)-(AA378-IF(ISNUMBER(V378),V378,0)),"")</f>
        <v/>
      </c>
      <c r="AU378" s="17">
        <f>IF(AND(ISNUMBER(Z378),ISNUMBER(AB378)),Z378-IF(ISNUMBER(U378),U378,0)-(AB378-IF(ISNUMBER(W378),W378,0)),"")</f>
        <v/>
      </c>
      <c r="AV378" s="17">
        <f>IF(AND(ISNUMBER(AT378),ISNUMBER(AU378)),AT378-AU378,"")</f>
        <v/>
      </c>
      <c r="AW378" s="17">
        <f>IF(AND(ISNUMBER(L378),ISNUMBER(M378),ISNUMBER(AF378)),L378-M378*(1-AF378),IF(ISNUMBER(L378),L378,""))</f>
        <v/>
      </c>
      <c r="AX378" s="17">
        <f>IF(E378="금융","",IF(AND(ISNUMBER(AW378),ISNUMBER(N378),ISNUMBER(O378),ISNUMBER(AV378)),AW378+N378-O378-AV378,IF(AND(ISNUMBER(P378),ISNUMBER(O378)),P378-O378-IF(ISNUMBER(Q378),Q378,0),"")))</f>
        <v/>
      </c>
      <c r="AY378" s="8">
        <f>IF(E378="금융","금융업 - 정의되지 않음",IF(AND(ISNUMBER(AW378),ISNUMBER(N378),ISNUMBER(O378),ISNUMBER(AV378)),"영업순이익+감가상각-설비투자-운전자본증감",IF(AND(ISNUMBER(P378),ISNUMBER(O378)),IF(ISNUMBER(Q378),"영업현금흐름-설비투자-주식보상비용","영업현금흐름-설비투자(주식보상비용 미태깅)"),"산출불가")))</f>
        <v/>
      </c>
      <c r="AZ378" s="19">
        <f>IF(AND(ISNUMBER(AX378),ISNUMBER(G378),G378&lt;&gt;0),AX378/G378,"")</f>
        <v/>
      </c>
      <c r="BA378" s="19">
        <f>IF(AND(ISNUMBER(AE378),ISNUMBER(G378),G378&lt;&gt;0),AE378/G378,"")</f>
        <v/>
      </c>
    </row>
    <row r="379">
      <c r="A379" s="8" t="inlineStr">
        <is>
          <t>CVX</t>
        </is>
      </c>
      <c r="B379" s="8" t="inlineStr">
        <is>
          <t>CHEVRON CORP</t>
        </is>
      </c>
      <c r="C379" s="8" t="n">
        <v>2022</v>
      </c>
      <c r="D379" s="8" t="inlineStr">
        <is>
          <t>2022-12-31</t>
        </is>
      </c>
      <c r="E379" s="8" t="inlineStr">
        <is>
          <t>일반</t>
        </is>
      </c>
      <c r="F379" s="8" t="inlineStr">
        <is>
          <t>0000093410-25-000009</t>
        </is>
      </c>
      <c r="G379" s="15" t="n">
        <v>246.252</v>
      </c>
      <c r="H379" s="15" t="n">
        <v>49.674</v>
      </c>
      <c r="I379" s="15" t="n">
        <v>0.516</v>
      </c>
      <c r="J379" s="15" t="n">
        <v>14.066</v>
      </c>
      <c r="K379" s="15" t="n"/>
      <c r="L379" s="15" t="n">
        <v>35.465</v>
      </c>
      <c r="M379" s="15" t="n"/>
      <c r="N379" s="15" t="n">
        <v>16.319</v>
      </c>
      <c r="O379" s="15" t="n">
        <v>11.974</v>
      </c>
      <c r="P379" s="15" t="n">
        <v>49.602</v>
      </c>
      <c r="Q379" s="15" t="n"/>
      <c r="R379" s="15" t="n">
        <v>159.282</v>
      </c>
      <c r="S379" s="15" t="n">
        <v>139.067</v>
      </c>
      <c r="T379" s="15" t="n">
        <v>19.344</v>
      </c>
      <c r="U379" s="15" t="n">
        <v>6.83</v>
      </c>
      <c r="V379" s="15" t="n">
        <v>6.014</v>
      </c>
      <c r="W379" s="15" t="n">
        <v>8.015000000000001</v>
      </c>
      <c r="X379" s="15" t="n">
        <v>21.375</v>
      </c>
      <c r="Y379" s="15" t="n">
        <v>50.343</v>
      </c>
      <c r="Z379" s="15" t="n">
        <v>33.738</v>
      </c>
      <c r="AA379" s="15" t="n">
        <v>34.208</v>
      </c>
      <c r="AB379" s="15" t="n">
        <v>26.791</v>
      </c>
      <c r="AC379" s="15" t="n">
        <v>171.365</v>
      </c>
      <c r="AD379" s="16" t="n">
        <v>1940</v>
      </c>
      <c r="AE379" s="17">
        <f>IF(ISNUMBER(K379),K379,IF(AND(ISNUMBER(H379),ISNUMBER(I379)),H379+I379,IF(ISNUMBER(H379),H379,"")))</f>
        <v/>
      </c>
      <c r="AF379" s="18">
        <f>IF(OR(NOT(ISNUMBER(J379)),NOT(ISNUMBER(H379)),H379&lt;=0),기준표!$B$8,MIN(MAX(J379/H379,기준표!$B$6),기준표!$B$7))</f>
        <v/>
      </c>
      <c r="AG379" s="17">
        <f>IF(ISNUMBER(AE379),AE379*(1-AF379),"")</f>
        <v/>
      </c>
      <c r="AH379" s="17">
        <f>IF(AND(NOT(ISNUMBER(V379)),NOT(ISNUMBER(X379))),"",IF(ISNUMBER(V379),V379,0)+IF(ISNUMBER(X379),X379,0))</f>
        <v/>
      </c>
      <c r="AI379" s="17">
        <f>IF(E379="금융","",IF(AND(ISNUMBER(R379),ISNUMBER(AH379),ISNUMBER(T379)),R379+AH379-T379,""))</f>
        <v/>
      </c>
      <c r="AJ379" s="17">
        <f>IF(E379="금융","",IF(NOT(ISNUMBER(AI379)),"",IF(ISNUMBER(AC379),(AI379+AC379)/2,AI379)))</f>
        <v/>
      </c>
      <c r="AK379" s="19">
        <f>IF(AND(ISNUMBER(AG379),ISNUMBER(AJ379),AJ379&gt;0),AG379/AJ379,"")</f>
        <v/>
      </c>
      <c r="AL379" s="17">
        <f>IF(E379="금융","",IF(AND(ISNUMBER(R379),ISNUMBER(AH379)),R379+AH379,""))</f>
        <v/>
      </c>
      <c r="AM379" s="19">
        <f>IF(OR(NOT(ISNUMBER(AG379)),NOT(ISNUMBER(AL379)),AL379&lt;=0),"",IF(AND(ISNUMBER(G379),AL379&lt;0.1*G379),"",AG379/AL379))</f>
        <v/>
      </c>
      <c r="AN379" s="17">
        <f>IF(NOT(ISNUMBER(R379)),"",IF(ISNUMBER(S379),(R379+S379)/2,R379))</f>
        <v/>
      </c>
      <c r="AO379" s="19">
        <f>IF(AND(ISNUMBER(L379),ISNUMBER(AN379),AN379&gt;0),L379/AN379,"")</f>
        <v/>
      </c>
      <c r="AP379" s="19">
        <f>IF(AND(ISNUMBER(AO379),ISNUMBER({ROIC})),AO379-{ROIC},"")</f>
        <v/>
      </c>
      <c r="AQ379" s="17">
        <f>IF(AND(ISNUMBER(AE379),ISNUMBER(N379)),AE379+N379,"")</f>
        <v/>
      </c>
      <c r="AR379" s="20">
        <f>IF(AND(ISNUMBER(AH379),ISNUMBER(T379),ISNUMBER(AQ379),AQ379&gt;0),(AH379-T379)/AQ379,"")</f>
        <v/>
      </c>
      <c r="AS379" s="20">
        <f>IF(AND(ISNUMBER(AE379),ISNUMBER(I379),I379&lt;&gt;0,AE379&gt;0),AE379/I379,"")</f>
        <v/>
      </c>
      <c r="AT379" s="17">
        <f>IF(AND(ISNUMBER(Y379),ISNUMBER(AA379)),Y379-IF(ISNUMBER(T379),T379,0)-(AA379-IF(ISNUMBER(V379),V379,0)),"")</f>
        <v/>
      </c>
      <c r="AU379" s="17">
        <f>IF(AND(ISNUMBER(Z379),ISNUMBER(AB379)),Z379-IF(ISNUMBER(U379),U379,0)-(AB379-IF(ISNUMBER(W379),W379,0)),"")</f>
        <v/>
      </c>
      <c r="AV379" s="17">
        <f>IF(AND(ISNUMBER(AT379),ISNUMBER(AU379)),AT379-AU379,"")</f>
        <v/>
      </c>
      <c r="AW379" s="17">
        <f>IF(AND(ISNUMBER(L379),ISNUMBER(M379),ISNUMBER(AF379)),L379-M379*(1-AF379),IF(ISNUMBER(L379),L379,""))</f>
        <v/>
      </c>
      <c r="AX379" s="17">
        <f>IF(E379="금융","",IF(AND(ISNUMBER(AW379),ISNUMBER(N379),ISNUMBER(O379),ISNUMBER(AV379)),AW379+N379-O379-AV379,IF(AND(ISNUMBER(P379),ISNUMBER(O379)),P379-O379-IF(ISNUMBER(Q379),Q379,0),"")))</f>
        <v/>
      </c>
      <c r="AY379" s="8">
        <f>IF(E379="금융","금융업 - 정의되지 않음",IF(AND(ISNUMBER(AW379),ISNUMBER(N379),ISNUMBER(O379),ISNUMBER(AV379)),"영업순이익+감가상각-설비투자-운전자본증감",IF(AND(ISNUMBER(P379),ISNUMBER(O379)),IF(ISNUMBER(Q379),"영업현금흐름-설비투자-주식보상비용","영업현금흐름-설비투자(주식보상비용 미태깅)"),"산출불가")))</f>
        <v/>
      </c>
      <c r="AZ379" s="19">
        <f>IF(AND(ISNUMBER(AX379),ISNUMBER(G379),G379&lt;&gt;0),AX379/G379,"")</f>
        <v/>
      </c>
      <c r="BA379" s="19">
        <f>IF(AND(ISNUMBER(AE379),ISNUMBER(G379),G379&lt;&gt;0),AE379/G379,"")</f>
        <v/>
      </c>
    </row>
    <row r="380">
      <c r="A380" s="8" t="inlineStr">
        <is>
          <t>CVX</t>
        </is>
      </c>
      <c r="B380" s="8" t="inlineStr">
        <is>
          <t>CHEVRON CORP</t>
        </is>
      </c>
      <c r="C380" s="8" t="n">
        <v>2023</v>
      </c>
      <c r="D380" s="8" t="inlineStr">
        <is>
          <t>2023-12-31</t>
        </is>
      </c>
      <c r="E380" s="8" t="inlineStr">
        <is>
          <t>일반</t>
        </is>
      </c>
      <c r="F380" s="8" t="inlineStr">
        <is>
          <t>0000093410-26-000078</t>
        </is>
      </c>
      <c r="G380" s="15" t="n">
        <v>200.949</v>
      </c>
      <c r="H380" s="15" t="n">
        <v>29.584</v>
      </c>
      <c r="I380" s="15" t="n">
        <v>0.469</v>
      </c>
      <c r="J380" s="15" t="n">
        <v>8.173</v>
      </c>
      <c r="K380" s="15" t="n"/>
      <c r="L380" s="15" t="n">
        <v>21.369</v>
      </c>
      <c r="M380" s="15" t="n"/>
      <c r="N380" s="15" t="n">
        <v>17.326</v>
      </c>
      <c r="O380" s="15" t="n">
        <v>15.829</v>
      </c>
      <c r="P380" s="15" t="n">
        <v>35.609</v>
      </c>
      <c r="Q380" s="15" t="n"/>
      <c r="R380" s="15" t="n">
        <v>160.957</v>
      </c>
      <c r="S380" s="15" t="n">
        <v>159.282</v>
      </c>
      <c r="T380" s="15" t="n">
        <v>9.32</v>
      </c>
      <c r="U380" s="15" t="n">
        <v>19.344</v>
      </c>
      <c r="V380" s="15" t="n">
        <v>5.072</v>
      </c>
      <c r="W380" s="15" t="n">
        <v>6.014</v>
      </c>
      <c r="X380" s="15" t="n">
        <v>20.307</v>
      </c>
      <c r="Y380" s="15" t="n">
        <v>41.128</v>
      </c>
      <c r="Z380" s="15" t="n">
        <v>50.343</v>
      </c>
      <c r="AA380" s="15" t="n">
        <v>32.258</v>
      </c>
      <c r="AB380" s="15" t="n">
        <v>34.208</v>
      </c>
      <c r="AC380" s="15" t="n">
        <v>167.327</v>
      </c>
      <c r="AD380" s="16" t="n">
        <v>1880</v>
      </c>
      <c r="AE380" s="17">
        <f>IF(ISNUMBER(K380),K380,IF(AND(ISNUMBER(H380),ISNUMBER(I380)),H380+I380,IF(ISNUMBER(H380),H380,"")))</f>
        <v/>
      </c>
      <c r="AF380" s="18">
        <f>IF(OR(NOT(ISNUMBER(J380)),NOT(ISNUMBER(H380)),H380&lt;=0),기준표!$B$8,MIN(MAX(J380/H380,기준표!$B$6),기준표!$B$7))</f>
        <v/>
      </c>
      <c r="AG380" s="17">
        <f>IF(ISNUMBER(AE380),AE380*(1-AF380),"")</f>
        <v/>
      </c>
      <c r="AH380" s="17">
        <f>IF(AND(NOT(ISNUMBER(V380)),NOT(ISNUMBER(X380))),"",IF(ISNUMBER(V380),V380,0)+IF(ISNUMBER(X380),X380,0))</f>
        <v/>
      </c>
      <c r="AI380" s="17">
        <f>IF(E380="금융","",IF(AND(ISNUMBER(R380),ISNUMBER(AH380),ISNUMBER(T380)),R380+AH380-T380,""))</f>
        <v/>
      </c>
      <c r="AJ380" s="17">
        <f>IF(E380="금융","",IF(NOT(ISNUMBER(AI380)),"",IF(ISNUMBER(AC380),(AI380+AC380)/2,AI380)))</f>
        <v/>
      </c>
      <c r="AK380" s="19">
        <f>IF(AND(ISNUMBER(AG380),ISNUMBER(AJ380),AJ380&gt;0),AG380/AJ380,"")</f>
        <v/>
      </c>
      <c r="AL380" s="17">
        <f>IF(E380="금융","",IF(AND(ISNUMBER(R380),ISNUMBER(AH380)),R380+AH380,""))</f>
        <v/>
      </c>
      <c r="AM380" s="19">
        <f>IF(OR(NOT(ISNUMBER(AG380)),NOT(ISNUMBER(AL380)),AL380&lt;=0),"",IF(AND(ISNUMBER(G380),AL380&lt;0.1*G380),"",AG380/AL380))</f>
        <v/>
      </c>
      <c r="AN380" s="17">
        <f>IF(NOT(ISNUMBER(R380)),"",IF(ISNUMBER(S380),(R380+S380)/2,R380))</f>
        <v/>
      </c>
      <c r="AO380" s="19">
        <f>IF(AND(ISNUMBER(L380),ISNUMBER(AN380),AN380&gt;0),L380/AN380,"")</f>
        <v/>
      </c>
      <c r="AP380" s="19">
        <f>IF(AND(ISNUMBER(AO380),ISNUMBER({ROIC})),AO380-{ROIC},"")</f>
        <v/>
      </c>
      <c r="AQ380" s="17">
        <f>IF(AND(ISNUMBER(AE380),ISNUMBER(N380)),AE380+N380,"")</f>
        <v/>
      </c>
      <c r="AR380" s="20">
        <f>IF(AND(ISNUMBER(AH380),ISNUMBER(T380),ISNUMBER(AQ380),AQ380&gt;0),(AH380-T380)/AQ380,"")</f>
        <v/>
      </c>
      <c r="AS380" s="20">
        <f>IF(AND(ISNUMBER(AE380),ISNUMBER(I380),I380&lt;&gt;0,AE380&gt;0),AE380/I380,"")</f>
        <v/>
      </c>
      <c r="AT380" s="17">
        <f>IF(AND(ISNUMBER(Y380),ISNUMBER(AA380)),Y380-IF(ISNUMBER(T380),T380,0)-(AA380-IF(ISNUMBER(V380),V380,0)),"")</f>
        <v/>
      </c>
      <c r="AU380" s="17">
        <f>IF(AND(ISNUMBER(Z380),ISNUMBER(AB380)),Z380-IF(ISNUMBER(U380),U380,0)-(AB380-IF(ISNUMBER(W380),W380,0)),"")</f>
        <v/>
      </c>
      <c r="AV380" s="17">
        <f>IF(AND(ISNUMBER(AT380),ISNUMBER(AU380)),AT380-AU380,"")</f>
        <v/>
      </c>
      <c r="AW380" s="17">
        <f>IF(AND(ISNUMBER(L380),ISNUMBER(M380),ISNUMBER(AF380)),L380-M380*(1-AF380),IF(ISNUMBER(L380),L380,""))</f>
        <v/>
      </c>
      <c r="AX380" s="17">
        <f>IF(E380="금융","",IF(AND(ISNUMBER(AW380),ISNUMBER(N380),ISNUMBER(O380),ISNUMBER(AV380)),AW380+N380-O380-AV380,IF(AND(ISNUMBER(P380),ISNUMBER(O380)),P380-O380-IF(ISNUMBER(Q380),Q380,0),"")))</f>
        <v/>
      </c>
      <c r="AY380" s="8">
        <f>IF(E380="금융","금융업 - 정의되지 않음",IF(AND(ISNUMBER(AW380),ISNUMBER(N380),ISNUMBER(O380),ISNUMBER(AV380)),"영업순이익+감가상각-설비투자-운전자본증감",IF(AND(ISNUMBER(P380),ISNUMBER(O380)),IF(ISNUMBER(Q380),"영업현금흐름-설비투자-주식보상비용","영업현금흐름-설비투자(주식보상비용 미태깅)"),"산출불가")))</f>
        <v/>
      </c>
      <c r="AZ380" s="19">
        <f>IF(AND(ISNUMBER(AX380),ISNUMBER(G380),G380&lt;&gt;0),AX380/G380,"")</f>
        <v/>
      </c>
      <c r="BA380" s="19">
        <f>IF(AND(ISNUMBER(AE380),ISNUMBER(G380),G380&lt;&gt;0),AE380/G380,"")</f>
        <v/>
      </c>
    </row>
    <row r="381">
      <c r="A381" s="8" t="inlineStr">
        <is>
          <t>CVX</t>
        </is>
      </c>
      <c r="B381" s="8" t="inlineStr">
        <is>
          <t>CHEVRON CORP</t>
        </is>
      </c>
      <c r="C381" s="8" t="n">
        <v>2024</v>
      </c>
      <c r="D381" s="8" t="inlineStr">
        <is>
          <t>2024-12-31</t>
        </is>
      </c>
      <c r="E381" s="8" t="inlineStr">
        <is>
          <t>일반</t>
        </is>
      </c>
      <c r="F381" s="8" t="inlineStr">
        <is>
          <t>0000093410-26-000078</t>
        </is>
      </c>
      <c r="G381" s="15" t="n">
        <v>202.792</v>
      </c>
      <c r="H381" s="15" t="n">
        <v>27.506</v>
      </c>
      <c r="I381" s="15" t="n">
        <v>0.594</v>
      </c>
      <c r="J381" s="15" t="n">
        <v>9.757</v>
      </c>
      <c r="K381" s="15" t="n"/>
      <c r="L381" s="15" t="n">
        <v>17.661</v>
      </c>
      <c r="M381" s="15" t="n"/>
      <c r="N381" s="15" t="n">
        <v>17.282</v>
      </c>
      <c r="O381" s="15" t="n">
        <v>16.448</v>
      </c>
      <c r="P381" s="15" t="n">
        <v>31.492</v>
      </c>
      <c r="Q381" s="15" t="n"/>
      <c r="R381" s="15" t="n">
        <v>152.318</v>
      </c>
      <c r="S381" s="15" t="n">
        <v>160.957</v>
      </c>
      <c r="T381" s="15" t="n">
        <v>8.262</v>
      </c>
      <c r="U381" s="15" t="n">
        <v>9.32</v>
      </c>
      <c r="V381" s="15" t="n">
        <v>12.656</v>
      </c>
      <c r="W381" s="15" t="n">
        <v>5.072</v>
      </c>
      <c r="X381" s="15" t="n">
        <v>20.135</v>
      </c>
      <c r="Y381" s="15" t="n">
        <v>40.911</v>
      </c>
      <c r="Z381" s="15" t="n">
        <v>41.128</v>
      </c>
      <c r="AA381" s="15" t="n">
        <v>38.558</v>
      </c>
      <c r="AB381" s="15" t="n">
        <v>32.258</v>
      </c>
      <c r="AC381" s="15" t="n">
        <v>177.016</v>
      </c>
      <c r="AD381" s="16" t="n">
        <v>1817</v>
      </c>
      <c r="AE381" s="17">
        <f>IF(ISNUMBER(K381),K381,IF(AND(ISNUMBER(H381),ISNUMBER(I381)),H381+I381,IF(ISNUMBER(H381),H381,"")))</f>
        <v/>
      </c>
      <c r="AF381" s="18">
        <f>IF(OR(NOT(ISNUMBER(J381)),NOT(ISNUMBER(H381)),H381&lt;=0),기준표!$B$8,MIN(MAX(J381/H381,기준표!$B$6),기준표!$B$7))</f>
        <v/>
      </c>
      <c r="AG381" s="17">
        <f>IF(ISNUMBER(AE381),AE381*(1-AF381),"")</f>
        <v/>
      </c>
      <c r="AH381" s="17">
        <f>IF(AND(NOT(ISNUMBER(V381)),NOT(ISNUMBER(X381))),"",IF(ISNUMBER(V381),V381,0)+IF(ISNUMBER(X381),X381,0))</f>
        <v/>
      </c>
      <c r="AI381" s="17">
        <f>IF(E381="금융","",IF(AND(ISNUMBER(R381),ISNUMBER(AH381),ISNUMBER(T381)),R381+AH381-T381,""))</f>
        <v/>
      </c>
      <c r="AJ381" s="17">
        <f>IF(E381="금융","",IF(NOT(ISNUMBER(AI381)),"",IF(ISNUMBER(AC381),(AI381+AC381)/2,AI381)))</f>
        <v/>
      </c>
      <c r="AK381" s="19">
        <f>IF(AND(ISNUMBER(AG381),ISNUMBER(AJ381),AJ381&gt;0),AG381/AJ381,"")</f>
        <v/>
      </c>
      <c r="AL381" s="17">
        <f>IF(E381="금융","",IF(AND(ISNUMBER(R381),ISNUMBER(AH381)),R381+AH381,""))</f>
        <v/>
      </c>
      <c r="AM381" s="19">
        <f>IF(OR(NOT(ISNUMBER(AG381)),NOT(ISNUMBER(AL381)),AL381&lt;=0),"",IF(AND(ISNUMBER(G381),AL381&lt;0.1*G381),"",AG381/AL381))</f>
        <v/>
      </c>
      <c r="AN381" s="17">
        <f>IF(NOT(ISNUMBER(R381)),"",IF(ISNUMBER(S381),(R381+S381)/2,R381))</f>
        <v/>
      </c>
      <c r="AO381" s="19">
        <f>IF(AND(ISNUMBER(L381),ISNUMBER(AN381),AN381&gt;0),L381/AN381,"")</f>
        <v/>
      </c>
      <c r="AP381" s="19">
        <f>IF(AND(ISNUMBER(AO381),ISNUMBER({ROIC})),AO381-{ROIC},"")</f>
        <v/>
      </c>
      <c r="AQ381" s="17">
        <f>IF(AND(ISNUMBER(AE381),ISNUMBER(N381)),AE381+N381,"")</f>
        <v/>
      </c>
      <c r="AR381" s="20">
        <f>IF(AND(ISNUMBER(AH381),ISNUMBER(T381),ISNUMBER(AQ381),AQ381&gt;0),(AH381-T381)/AQ381,"")</f>
        <v/>
      </c>
      <c r="AS381" s="20">
        <f>IF(AND(ISNUMBER(AE381),ISNUMBER(I381),I381&lt;&gt;0,AE381&gt;0),AE381/I381,"")</f>
        <v/>
      </c>
      <c r="AT381" s="17">
        <f>IF(AND(ISNUMBER(Y381),ISNUMBER(AA381)),Y381-IF(ISNUMBER(T381),T381,0)-(AA381-IF(ISNUMBER(V381),V381,0)),"")</f>
        <v/>
      </c>
      <c r="AU381" s="17">
        <f>IF(AND(ISNUMBER(Z381),ISNUMBER(AB381)),Z381-IF(ISNUMBER(U381),U381,0)-(AB381-IF(ISNUMBER(W381),W381,0)),"")</f>
        <v/>
      </c>
      <c r="AV381" s="17">
        <f>IF(AND(ISNUMBER(AT381),ISNUMBER(AU381)),AT381-AU381,"")</f>
        <v/>
      </c>
      <c r="AW381" s="17">
        <f>IF(AND(ISNUMBER(L381),ISNUMBER(M381),ISNUMBER(AF381)),L381-M381*(1-AF381),IF(ISNUMBER(L381),L381,""))</f>
        <v/>
      </c>
      <c r="AX381" s="17">
        <f>IF(E381="금융","",IF(AND(ISNUMBER(AW381),ISNUMBER(N381),ISNUMBER(O381),ISNUMBER(AV381)),AW381+N381-O381-AV381,IF(AND(ISNUMBER(P381),ISNUMBER(O381)),P381-O381-IF(ISNUMBER(Q381),Q381,0),"")))</f>
        <v/>
      </c>
      <c r="AY381" s="8">
        <f>IF(E381="금융","금융업 - 정의되지 않음",IF(AND(ISNUMBER(AW381),ISNUMBER(N381),ISNUMBER(O381),ISNUMBER(AV381)),"영업순이익+감가상각-설비투자-운전자본증감",IF(AND(ISNUMBER(P381),ISNUMBER(O381)),IF(ISNUMBER(Q381),"영업현금흐름-설비투자-주식보상비용","영업현금흐름-설비투자(주식보상비용 미태깅)"),"산출불가")))</f>
        <v/>
      </c>
      <c r="AZ381" s="19">
        <f>IF(AND(ISNUMBER(AX381),ISNUMBER(G381),G381&lt;&gt;0),AX381/G381,"")</f>
        <v/>
      </c>
      <c r="BA381" s="19">
        <f>IF(AND(ISNUMBER(AE381),ISNUMBER(G381),G381&lt;&gt;0),AE381/G381,"")</f>
        <v/>
      </c>
    </row>
    <row r="382">
      <c r="A382" s="8" t="inlineStr">
        <is>
          <t>CVX</t>
        </is>
      </c>
      <c r="B382" s="8" t="inlineStr">
        <is>
          <t>CHEVRON CORP</t>
        </is>
      </c>
      <c r="C382" s="8" t="n">
        <v>2025</v>
      </c>
      <c r="D382" s="8" t="inlineStr">
        <is>
          <t>2025-12-31</t>
        </is>
      </c>
      <c r="E382" s="8" t="inlineStr">
        <is>
          <t>일반</t>
        </is>
      </c>
      <c r="F382" s="8" t="inlineStr">
        <is>
          <t>0000093410-26-000078</t>
        </is>
      </c>
      <c r="G382" s="15" t="n">
        <v>189.031</v>
      </c>
      <c r="H382" s="15" t="n">
        <v>19.743</v>
      </c>
      <c r="I382" s="15" t="n">
        <v>1.217</v>
      </c>
      <c r="J382" s="15" t="n">
        <v>7.258</v>
      </c>
      <c r="K382" s="15" t="n"/>
      <c r="L382" s="15" t="n">
        <v>12.299</v>
      </c>
      <c r="M382" s="15" t="n"/>
      <c r="N382" s="15" t="n">
        <v>20.132</v>
      </c>
      <c r="O382" s="15" t="n">
        <v>17.347</v>
      </c>
      <c r="P382" s="15" t="n">
        <v>33.939</v>
      </c>
      <c r="Q382" s="15" t="n"/>
      <c r="R382" s="15" t="n">
        <v>186.45</v>
      </c>
      <c r="S382" s="15" t="n">
        <v>152.318</v>
      </c>
      <c r="T382" s="15" t="n">
        <v>7.285</v>
      </c>
      <c r="U382" s="15" t="n">
        <v>8.262</v>
      </c>
      <c r="V382" s="15" t="n">
        <v>10.918</v>
      </c>
      <c r="W382" s="15" t="n">
        <v>12.656</v>
      </c>
      <c r="X382" s="15" t="n">
        <v>39.781</v>
      </c>
      <c r="Y382" s="15" t="n">
        <v>38.552</v>
      </c>
      <c r="Z382" s="15" t="n">
        <v>40.911</v>
      </c>
      <c r="AA382" s="15" t="n">
        <v>33.387</v>
      </c>
      <c r="AB382" s="15" t="n">
        <v>38.558</v>
      </c>
      <c r="AC382" s="15" t="n">
        <v>176.847</v>
      </c>
      <c r="AD382" s="16" t="n">
        <v>1856</v>
      </c>
      <c r="AE382" s="17">
        <f>IF(ISNUMBER(K382),K382,IF(AND(ISNUMBER(H382),ISNUMBER(I382)),H382+I382,IF(ISNUMBER(H382),H382,"")))</f>
        <v/>
      </c>
      <c r="AF382" s="18">
        <f>IF(OR(NOT(ISNUMBER(J382)),NOT(ISNUMBER(H382)),H382&lt;=0),기준표!$B$8,MIN(MAX(J382/H382,기준표!$B$6),기준표!$B$7))</f>
        <v/>
      </c>
      <c r="AG382" s="17">
        <f>IF(ISNUMBER(AE382),AE382*(1-AF382),"")</f>
        <v/>
      </c>
      <c r="AH382" s="17">
        <f>IF(AND(NOT(ISNUMBER(V382)),NOT(ISNUMBER(X382))),"",IF(ISNUMBER(V382),V382,0)+IF(ISNUMBER(X382),X382,0))</f>
        <v/>
      </c>
      <c r="AI382" s="17">
        <f>IF(E382="금융","",IF(AND(ISNUMBER(R382),ISNUMBER(AH382),ISNUMBER(T382)),R382+AH382-T382,""))</f>
        <v/>
      </c>
      <c r="AJ382" s="17">
        <f>IF(E382="금융","",IF(NOT(ISNUMBER(AI382)),"",IF(ISNUMBER(AC382),(AI382+AC382)/2,AI382)))</f>
        <v/>
      </c>
      <c r="AK382" s="19">
        <f>IF(AND(ISNUMBER(AG382),ISNUMBER(AJ382),AJ382&gt;0),AG382/AJ382,"")</f>
        <v/>
      </c>
      <c r="AL382" s="17">
        <f>IF(E382="금융","",IF(AND(ISNUMBER(R382),ISNUMBER(AH382)),R382+AH382,""))</f>
        <v/>
      </c>
      <c r="AM382" s="19">
        <f>IF(OR(NOT(ISNUMBER(AG382)),NOT(ISNUMBER(AL382)),AL382&lt;=0),"",IF(AND(ISNUMBER(G382),AL382&lt;0.1*G382),"",AG382/AL382))</f>
        <v/>
      </c>
      <c r="AN382" s="17">
        <f>IF(NOT(ISNUMBER(R382)),"",IF(ISNUMBER(S382),(R382+S382)/2,R382))</f>
        <v/>
      </c>
      <c r="AO382" s="19">
        <f>IF(AND(ISNUMBER(L382),ISNUMBER(AN382),AN382&gt;0),L382/AN382,"")</f>
        <v/>
      </c>
      <c r="AP382" s="19">
        <f>IF(AND(ISNUMBER(AO382),ISNUMBER({ROIC})),AO382-{ROIC},"")</f>
        <v/>
      </c>
      <c r="AQ382" s="17">
        <f>IF(AND(ISNUMBER(AE382),ISNUMBER(N382)),AE382+N382,"")</f>
        <v/>
      </c>
      <c r="AR382" s="20">
        <f>IF(AND(ISNUMBER(AH382),ISNUMBER(T382),ISNUMBER(AQ382),AQ382&gt;0),(AH382-T382)/AQ382,"")</f>
        <v/>
      </c>
      <c r="AS382" s="20">
        <f>IF(AND(ISNUMBER(AE382),ISNUMBER(I382),I382&lt;&gt;0,AE382&gt;0),AE382/I382,"")</f>
        <v/>
      </c>
      <c r="AT382" s="17">
        <f>IF(AND(ISNUMBER(Y382),ISNUMBER(AA382)),Y382-IF(ISNUMBER(T382),T382,0)-(AA382-IF(ISNUMBER(V382),V382,0)),"")</f>
        <v/>
      </c>
      <c r="AU382" s="17">
        <f>IF(AND(ISNUMBER(Z382),ISNUMBER(AB382)),Z382-IF(ISNUMBER(U382),U382,0)-(AB382-IF(ISNUMBER(W382),W382,0)),"")</f>
        <v/>
      </c>
      <c r="AV382" s="17">
        <f>IF(AND(ISNUMBER(AT382),ISNUMBER(AU382)),AT382-AU382,"")</f>
        <v/>
      </c>
      <c r="AW382" s="17">
        <f>IF(AND(ISNUMBER(L382),ISNUMBER(M382),ISNUMBER(AF382)),L382-M382*(1-AF382),IF(ISNUMBER(L382),L382,""))</f>
        <v/>
      </c>
      <c r="AX382" s="17">
        <f>IF(E382="금융","",IF(AND(ISNUMBER(AW382),ISNUMBER(N382),ISNUMBER(O382),ISNUMBER(AV382)),AW382+N382-O382-AV382,IF(AND(ISNUMBER(P382),ISNUMBER(O382)),P382-O382-IF(ISNUMBER(Q382),Q382,0),"")))</f>
        <v/>
      </c>
      <c r="AY382" s="8">
        <f>IF(E382="금융","금융업 - 정의되지 않음",IF(AND(ISNUMBER(AW382),ISNUMBER(N382),ISNUMBER(O382),ISNUMBER(AV382)),"영업순이익+감가상각-설비투자-운전자본증감",IF(AND(ISNUMBER(P382),ISNUMBER(O382)),IF(ISNUMBER(Q382),"영업현금흐름-설비투자-주식보상비용","영업현금흐름-설비투자(주식보상비용 미태깅)"),"산출불가")))</f>
        <v/>
      </c>
      <c r="AZ382" s="19">
        <f>IF(AND(ISNUMBER(AX382),ISNUMBER(G382),G382&lt;&gt;0),AX382/G382,"")</f>
        <v/>
      </c>
      <c r="BA382" s="19">
        <f>IF(AND(ISNUMBER(AE382),ISNUMBER(G382),G382&lt;&gt;0),AE382/G382,"")</f>
        <v/>
      </c>
    </row>
    <row r="383">
      <c r="A383" s="8" t="inlineStr">
        <is>
          <t>HD</t>
        </is>
      </c>
      <c r="B383" s="8" t="inlineStr">
        <is>
          <t>HOME DEPOT, INC.</t>
        </is>
      </c>
      <c r="C383" s="8" t="n">
        <v>2014</v>
      </c>
      <c r="D383" s="8" t="inlineStr">
        <is>
          <t>2015-02-01</t>
        </is>
      </c>
      <c r="E383" s="8" t="inlineStr">
        <is>
          <t>일반</t>
        </is>
      </c>
      <c r="F383" s="8" t="inlineStr">
        <is>
          <t>0000354950-17-000005</t>
        </is>
      </c>
      <c r="G383" s="15" t="n"/>
      <c r="H383" s="15" t="n">
        <v>9.976000000000001</v>
      </c>
      <c r="I383" s="15" t="n"/>
      <c r="J383" s="15" t="n">
        <v>3.631</v>
      </c>
      <c r="K383" s="15" t="n">
        <v>10.469</v>
      </c>
      <c r="L383" s="15" t="n">
        <v>6.345</v>
      </c>
      <c r="M383" s="15" t="n"/>
      <c r="N383" s="15" t="n">
        <v>1.786</v>
      </c>
      <c r="O383" s="15" t="n">
        <v>1.442</v>
      </c>
      <c r="P383" s="15" t="n">
        <v>8.242000000000001</v>
      </c>
      <c r="Q383" s="15" t="n">
        <v>0.225</v>
      </c>
      <c r="R383" s="15" t="n">
        <v>9.321999999999999</v>
      </c>
      <c r="S383" s="15" t="n"/>
      <c r="T383" s="15" t="n">
        <v>2.216</v>
      </c>
      <c r="U383" s="15" t="n"/>
      <c r="V383" s="15" t="n">
        <v>0.038</v>
      </c>
      <c r="W383" s="15" t="n"/>
      <c r="X383" s="15" t="n">
        <v>16.869</v>
      </c>
      <c r="Y383" s="15" t="n">
        <v>15.302</v>
      </c>
      <c r="Z383" s="15" t="n"/>
      <c r="AA383" s="15" t="n">
        <v>11.269</v>
      </c>
      <c r="AB383" s="15" t="n"/>
      <c r="AC383" s="15" t="n"/>
      <c r="AD383" s="16" t="n">
        <v>1307</v>
      </c>
      <c r="AE383" s="17">
        <f>IF(ISNUMBER(K383),K383,IF(AND(ISNUMBER(H383),ISNUMBER(I383)),H383+I383,IF(ISNUMBER(H383),H383,"")))</f>
        <v/>
      </c>
      <c r="AF383" s="18">
        <f>IF(OR(NOT(ISNUMBER(J383)),NOT(ISNUMBER(H383)),H383&lt;=0),기준표!$B$8,MIN(MAX(J383/H383,기준표!$B$6),기준표!$B$7))</f>
        <v/>
      </c>
      <c r="AG383" s="17">
        <f>IF(ISNUMBER(AE383),AE383*(1-AF383),"")</f>
        <v/>
      </c>
      <c r="AH383" s="17">
        <f>IF(AND(NOT(ISNUMBER(V383)),NOT(ISNUMBER(X383))),"",IF(ISNUMBER(V383),V383,0)+IF(ISNUMBER(X383),X383,0))</f>
        <v/>
      </c>
      <c r="AI383" s="17">
        <f>IF(E383="금융","",IF(AND(ISNUMBER(R383),ISNUMBER(AH383),ISNUMBER(T383)),R383+AH383-T383,""))</f>
        <v/>
      </c>
      <c r="AJ383" s="17">
        <f>IF(E383="금융","",IF(NOT(ISNUMBER(AI383)),"",IF(ISNUMBER(AC383),(AI383+AC383)/2,AI383)))</f>
        <v/>
      </c>
      <c r="AK383" s="19">
        <f>IF(AND(ISNUMBER(AG383),ISNUMBER(AJ383),AJ383&gt;0),AG383/AJ383,"")</f>
        <v/>
      </c>
      <c r="AL383" s="17">
        <f>IF(E383="금융","",IF(AND(ISNUMBER(R383),ISNUMBER(AH383)),R383+AH383,""))</f>
        <v/>
      </c>
      <c r="AM383" s="19">
        <f>IF(OR(NOT(ISNUMBER(AG383)),NOT(ISNUMBER(AL383)),AL383&lt;=0),"",IF(AND(ISNUMBER(G383),AL383&lt;0.1*G383),"",AG383/AL383))</f>
        <v/>
      </c>
      <c r="AN383" s="17">
        <f>IF(NOT(ISNUMBER(R383)),"",IF(ISNUMBER(S383),(R383+S383)/2,R383))</f>
        <v/>
      </c>
      <c r="AO383" s="19">
        <f>IF(AND(ISNUMBER(L383),ISNUMBER(AN383),AN383&gt;0),L383/AN383,"")</f>
        <v/>
      </c>
      <c r="AP383" s="19">
        <f>IF(AND(ISNUMBER(AO383),ISNUMBER({ROIC})),AO383-{ROIC},"")</f>
        <v/>
      </c>
      <c r="AQ383" s="17">
        <f>IF(AND(ISNUMBER(AE383),ISNUMBER(N383)),AE383+N383,"")</f>
        <v/>
      </c>
      <c r="AR383" s="20">
        <f>IF(AND(ISNUMBER(AH383),ISNUMBER(T383),ISNUMBER(AQ383),AQ383&gt;0),(AH383-T383)/AQ383,"")</f>
        <v/>
      </c>
      <c r="AS383" s="20">
        <f>IF(AND(ISNUMBER(AE383),ISNUMBER(I383),I383&lt;&gt;0,AE383&gt;0),AE383/I383,"")</f>
        <v/>
      </c>
      <c r="AT383" s="17">
        <f>IF(AND(ISNUMBER(Y383),ISNUMBER(AA383)),Y383-IF(ISNUMBER(T383),T383,0)-(AA383-IF(ISNUMBER(V383),V383,0)),"")</f>
        <v/>
      </c>
      <c r="AU383" s="17">
        <f>IF(AND(ISNUMBER(Z383),ISNUMBER(AB383)),Z383-IF(ISNUMBER(U383),U383,0)-(AB383-IF(ISNUMBER(W383),W383,0)),"")</f>
        <v/>
      </c>
      <c r="AV383" s="17">
        <f>IF(AND(ISNUMBER(AT383),ISNUMBER(AU383)),AT383-AU383,"")</f>
        <v/>
      </c>
      <c r="AW383" s="17">
        <f>IF(AND(ISNUMBER(L383),ISNUMBER(M383),ISNUMBER(AF383)),L383-M383*(1-AF383),IF(ISNUMBER(L383),L383,""))</f>
        <v/>
      </c>
      <c r="AX383" s="17">
        <f>IF(E383="금융","",IF(AND(ISNUMBER(AW383),ISNUMBER(N383),ISNUMBER(O383),ISNUMBER(AV383)),AW383+N383-O383-AV383,IF(AND(ISNUMBER(P383),ISNUMBER(O383)),P383-O383-IF(ISNUMBER(Q383),Q383,0),"")))</f>
        <v/>
      </c>
      <c r="AY383" s="8">
        <f>IF(E383="금융","금융업 - 정의되지 않음",IF(AND(ISNUMBER(AW383),ISNUMBER(N383),ISNUMBER(O383),ISNUMBER(AV383)),"영업순이익+감가상각-설비투자-운전자본증감",IF(AND(ISNUMBER(P383),ISNUMBER(O383)),IF(ISNUMBER(Q383),"영업현금흐름-설비투자-주식보상비용","영업현금흐름-설비투자(주식보상비용 미태깅)"),"산출불가")))</f>
        <v/>
      </c>
      <c r="AZ383" s="19">
        <f>IF(AND(ISNUMBER(AX383),ISNUMBER(G383),G383&lt;&gt;0),AX383/G383,"")</f>
        <v/>
      </c>
      <c r="BA383" s="19">
        <f>IF(AND(ISNUMBER(AE383),ISNUMBER(G383),G383&lt;&gt;0),AE383/G383,"")</f>
        <v/>
      </c>
    </row>
    <row r="384">
      <c r="A384" s="8" t="inlineStr">
        <is>
          <t>HD</t>
        </is>
      </c>
      <c r="B384" s="8" t="inlineStr">
        <is>
          <t>HOME DEPOT, INC.</t>
        </is>
      </c>
      <c r="C384" s="8" t="n">
        <v>2015</v>
      </c>
      <c r="D384" s="8" t="inlineStr">
        <is>
          <t>2016-01-31</t>
        </is>
      </c>
      <c r="E384" s="8" t="inlineStr">
        <is>
          <t>일반</t>
        </is>
      </c>
      <c r="F384" s="8" t="inlineStr">
        <is>
          <t>0000354950-18-000019</t>
        </is>
      </c>
      <c r="G384" s="15" t="n"/>
      <c r="H384" s="15" t="n">
        <v>11.021</v>
      </c>
      <c r="I384" s="15" t="n"/>
      <c r="J384" s="15" t="n">
        <v>4.012</v>
      </c>
      <c r="K384" s="15" t="n">
        <v>11.774</v>
      </c>
      <c r="L384" s="15" t="n">
        <v>7.009</v>
      </c>
      <c r="M384" s="15" t="n"/>
      <c r="N384" s="15" t="n">
        <v>1.863</v>
      </c>
      <c r="O384" s="15" t="n">
        <v>1.503</v>
      </c>
      <c r="P384" s="15" t="n">
        <v>9.372999999999999</v>
      </c>
      <c r="Q384" s="15" t="n">
        <v>0.244</v>
      </c>
      <c r="R384" s="15" t="n">
        <v>6.316</v>
      </c>
      <c r="S384" s="15" t="n">
        <v>9.321999999999999</v>
      </c>
      <c r="T384" s="15" t="n">
        <v>2.216</v>
      </c>
      <c r="U384" s="15" t="n">
        <v>2.216</v>
      </c>
      <c r="V384" s="15" t="n">
        <v>0.077</v>
      </c>
      <c r="W384" s="15" t="n">
        <v>0.038</v>
      </c>
      <c r="X384" s="15" t="n">
        <v>20.789</v>
      </c>
      <c r="Y384" s="15" t="n">
        <v>16.484</v>
      </c>
      <c r="Z384" s="15" t="n">
        <v>15.302</v>
      </c>
      <c r="AA384" s="15" t="n">
        <v>12.524</v>
      </c>
      <c r="AB384" s="15" t="n">
        <v>11.269</v>
      </c>
      <c r="AC384" s="15" t="n">
        <v>24.013</v>
      </c>
      <c r="AD384" s="16" t="n">
        <v>1252</v>
      </c>
      <c r="AE384" s="17">
        <f>IF(ISNUMBER(K384),K384,IF(AND(ISNUMBER(H384),ISNUMBER(I384)),H384+I384,IF(ISNUMBER(H384),H384,"")))</f>
        <v/>
      </c>
      <c r="AF384" s="18">
        <f>IF(OR(NOT(ISNUMBER(J384)),NOT(ISNUMBER(H384)),H384&lt;=0),기준표!$B$8,MIN(MAX(J384/H384,기준표!$B$6),기준표!$B$7))</f>
        <v/>
      </c>
      <c r="AG384" s="17">
        <f>IF(ISNUMBER(AE384),AE384*(1-AF384),"")</f>
        <v/>
      </c>
      <c r="AH384" s="17">
        <f>IF(AND(NOT(ISNUMBER(V384)),NOT(ISNUMBER(X384))),"",IF(ISNUMBER(V384),V384,0)+IF(ISNUMBER(X384),X384,0))</f>
        <v/>
      </c>
      <c r="AI384" s="17">
        <f>IF(E384="금융","",IF(AND(ISNUMBER(R384),ISNUMBER(AH384),ISNUMBER(T384)),R384+AH384-T384,""))</f>
        <v/>
      </c>
      <c r="AJ384" s="17">
        <f>IF(E384="금융","",IF(NOT(ISNUMBER(AI384)),"",IF(ISNUMBER(AC384),(AI384+AC384)/2,AI384)))</f>
        <v/>
      </c>
      <c r="AK384" s="19">
        <f>IF(AND(ISNUMBER(AG384),ISNUMBER(AJ384),AJ384&gt;0),AG384/AJ384,"")</f>
        <v/>
      </c>
      <c r="AL384" s="17">
        <f>IF(E384="금융","",IF(AND(ISNUMBER(R384),ISNUMBER(AH384)),R384+AH384,""))</f>
        <v/>
      </c>
      <c r="AM384" s="19">
        <f>IF(OR(NOT(ISNUMBER(AG384)),NOT(ISNUMBER(AL384)),AL384&lt;=0),"",IF(AND(ISNUMBER(G384),AL384&lt;0.1*G384),"",AG384/AL384))</f>
        <v/>
      </c>
      <c r="AN384" s="17">
        <f>IF(NOT(ISNUMBER(R384)),"",IF(ISNUMBER(S384),(R384+S384)/2,R384))</f>
        <v/>
      </c>
      <c r="AO384" s="19">
        <f>IF(AND(ISNUMBER(L384),ISNUMBER(AN384),AN384&gt;0),L384/AN384,"")</f>
        <v/>
      </c>
      <c r="AP384" s="19">
        <f>IF(AND(ISNUMBER(AO384),ISNUMBER({ROIC})),AO384-{ROIC},"")</f>
        <v/>
      </c>
      <c r="AQ384" s="17">
        <f>IF(AND(ISNUMBER(AE384),ISNUMBER(N384)),AE384+N384,"")</f>
        <v/>
      </c>
      <c r="AR384" s="20">
        <f>IF(AND(ISNUMBER(AH384),ISNUMBER(T384),ISNUMBER(AQ384),AQ384&gt;0),(AH384-T384)/AQ384,"")</f>
        <v/>
      </c>
      <c r="AS384" s="20">
        <f>IF(AND(ISNUMBER(AE384),ISNUMBER(I384),I384&lt;&gt;0,AE384&gt;0),AE384/I384,"")</f>
        <v/>
      </c>
      <c r="AT384" s="17">
        <f>IF(AND(ISNUMBER(Y384),ISNUMBER(AA384)),Y384-IF(ISNUMBER(T384),T384,0)-(AA384-IF(ISNUMBER(V384),V384,0)),"")</f>
        <v/>
      </c>
      <c r="AU384" s="17">
        <f>IF(AND(ISNUMBER(Z384),ISNUMBER(AB384)),Z384-IF(ISNUMBER(U384),U384,0)-(AB384-IF(ISNUMBER(W384),W384,0)),"")</f>
        <v/>
      </c>
      <c r="AV384" s="17">
        <f>IF(AND(ISNUMBER(AT384),ISNUMBER(AU384)),AT384-AU384,"")</f>
        <v/>
      </c>
      <c r="AW384" s="17">
        <f>IF(AND(ISNUMBER(L384),ISNUMBER(M384),ISNUMBER(AF384)),L384-M384*(1-AF384),IF(ISNUMBER(L384),L384,""))</f>
        <v/>
      </c>
      <c r="AX384" s="17">
        <f>IF(E384="금융","",IF(AND(ISNUMBER(AW384),ISNUMBER(N384),ISNUMBER(O384),ISNUMBER(AV384)),AW384+N384-O384-AV384,IF(AND(ISNUMBER(P384),ISNUMBER(O384)),P384-O384-IF(ISNUMBER(Q384),Q384,0),"")))</f>
        <v/>
      </c>
      <c r="AY384" s="8">
        <f>IF(E384="금융","금융업 - 정의되지 않음",IF(AND(ISNUMBER(AW384),ISNUMBER(N384),ISNUMBER(O384),ISNUMBER(AV384)),"영업순이익+감가상각-설비투자-운전자본증감",IF(AND(ISNUMBER(P384),ISNUMBER(O384)),IF(ISNUMBER(Q384),"영업현금흐름-설비투자-주식보상비용","영업현금흐름-설비투자(주식보상비용 미태깅)"),"산출불가")))</f>
        <v/>
      </c>
      <c r="AZ384" s="19">
        <f>IF(AND(ISNUMBER(AX384),ISNUMBER(G384),G384&lt;&gt;0),AX384/G384,"")</f>
        <v/>
      </c>
      <c r="BA384" s="19">
        <f>IF(AND(ISNUMBER(AE384),ISNUMBER(G384),G384&lt;&gt;0),AE384/G384,"")</f>
        <v/>
      </c>
    </row>
    <row r="385">
      <c r="A385" s="8" t="inlineStr">
        <is>
          <t>HD</t>
        </is>
      </c>
      <c r="B385" s="8" t="inlineStr">
        <is>
          <t>HOME DEPOT, INC.</t>
        </is>
      </c>
      <c r="C385" s="8" t="n">
        <v>2016</v>
      </c>
      <c r="D385" s="8" t="inlineStr">
        <is>
          <t>2017-01-29</t>
        </is>
      </c>
      <c r="E385" s="8" t="inlineStr">
        <is>
          <t>일반</t>
        </is>
      </c>
      <c r="F385" s="8" t="inlineStr">
        <is>
          <t>0000354950-19-000010</t>
        </is>
      </c>
      <c r="G385" s="15" t="n">
        <v>94.595</v>
      </c>
      <c r="H385" s="15" t="n">
        <v>12.491</v>
      </c>
      <c r="I385" s="15" t="n"/>
      <c r="J385" s="15" t="n">
        <v>4.534</v>
      </c>
      <c r="K385" s="15" t="n">
        <v>13.427</v>
      </c>
      <c r="L385" s="15" t="n">
        <v>7.957</v>
      </c>
      <c r="M385" s="15" t="n"/>
      <c r="N385" s="15" t="n">
        <v>1.973</v>
      </c>
      <c r="O385" s="15" t="n">
        <v>1.621</v>
      </c>
      <c r="P385" s="15" t="n">
        <v>9.782999999999999</v>
      </c>
      <c r="Q385" s="15" t="n">
        <v>0.267</v>
      </c>
      <c r="R385" s="15" t="n">
        <v>4.333</v>
      </c>
      <c r="S385" s="15" t="n">
        <v>6.316</v>
      </c>
      <c r="T385" s="15" t="n">
        <v>2.538</v>
      </c>
      <c r="U385" s="15" t="n">
        <v>2.216</v>
      </c>
      <c r="V385" s="15" t="n">
        <v>0.542</v>
      </c>
      <c r="W385" s="15" t="n">
        <v>0.077</v>
      </c>
      <c r="X385" s="15" t="n">
        <v>22.349</v>
      </c>
      <c r="Y385" s="15" t="n">
        <v>17.724</v>
      </c>
      <c r="Z385" s="15" t="n">
        <v>16.484</v>
      </c>
      <c r="AA385" s="15" t="n">
        <v>14.133</v>
      </c>
      <c r="AB385" s="15" t="n">
        <v>12.524</v>
      </c>
      <c r="AC385" s="15" t="n">
        <v>24.966</v>
      </c>
      <c r="AD385" s="16" t="n">
        <v>1203</v>
      </c>
      <c r="AE385" s="17">
        <f>IF(ISNUMBER(K385),K385,IF(AND(ISNUMBER(H385),ISNUMBER(I385)),H385+I385,IF(ISNUMBER(H385),H385,"")))</f>
        <v/>
      </c>
      <c r="AF385" s="18">
        <f>IF(OR(NOT(ISNUMBER(J385)),NOT(ISNUMBER(H385)),H385&lt;=0),기준표!$B$8,MIN(MAX(J385/H385,기준표!$B$6),기준표!$B$7))</f>
        <v/>
      </c>
      <c r="AG385" s="17">
        <f>IF(ISNUMBER(AE385),AE385*(1-AF385),"")</f>
        <v/>
      </c>
      <c r="AH385" s="17">
        <f>IF(AND(NOT(ISNUMBER(V385)),NOT(ISNUMBER(X385))),"",IF(ISNUMBER(V385),V385,0)+IF(ISNUMBER(X385),X385,0))</f>
        <v/>
      </c>
      <c r="AI385" s="17">
        <f>IF(E385="금융","",IF(AND(ISNUMBER(R385),ISNUMBER(AH385),ISNUMBER(T385)),R385+AH385-T385,""))</f>
        <v/>
      </c>
      <c r="AJ385" s="17">
        <f>IF(E385="금융","",IF(NOT(ISNUMBER(AI385)),"",IF(ISNUMBER(AC385),(AI385+AC385)/2,AI385)))</f>
        <v/>
      </c>
      <c r="AK385" s="19">
        <f>IF(AND(ISNUMBER(AG385),ISNUMBER(AJ385),AJ385&gt;0),AG385/AJ385,"")</f>
        <v/>
      </c>
      <c r="AL385" s="17">
        <f>IF(E385="금융","",IF(AND(ISNUMBER(R385),ISNUMBER(AH385)),R385+AH385,""))</f>
        <v/>
      </c>
      <c r="AM385" s="19">
        <f>IF(OR(NOT(ISNUMBER(AG385)),NOT(ISNUMBER(AL385)),AL385&lt;=0),"",IF(AND(ISNUMBER(G385),AL385&lt;0.1*G385),"",AG385/AL385))</f>
        <v/>
      </c>
      <c r="AN385" s="17">
        <f>IF(NOT(ISNUMBER(R385)),"",IF(ISNUMBER(S385),(R385+S385)/2,R385))</f>
        <v/>
      </c>
      <c r="AO385" s="19">
        <f>IF(AND(ISNUMBER(L385),ISNUMBER(AN385),AN385&gt;0),L385/AN385,"")</f>
        <v/>
      </c>
      <c r="AP385" s="19">
        <f>IF(AND(ISNUMBER(AO385),ISNUMBER({ROIC})),AO385-{ROIC},"")</f>
        <v/>
      </c>
      <c r="AQ385" s="17">
        <f>IF(AND(ISNUMBER(AE385),ISNUMBER(N385)),AE385+N385,"")</f>
        <v/>
      </c>
      <c r="AR385" s="20">
        <f>IF(AND(ISNUMBER(AH385),ISNUMBER(T385),ISNUMBER(AQ385),AQ385&gt;0),(AH385-T385)/AQ385,"")</f>
        <v/>
      </c>
      <c r="AS385" s="20">
        <f>IF(AND(ISNUMBER(AE385),ISNUMBER(I385),I385&lt;&gt;0,AE385&gt;0),AE385/I385,"")</f>
        <v/>
      </c>
      <c r="AT385" s="17">
        <f>IF(AND(ISNUMBER(Y385),ISNUMBER(AA385)),Y385-IF(ISNUMBER(T385),T385,0)-(AA385-IF(ISNUMBER(V385),V385,0)),"")</f>
        <v/>
      </c>
      <c r="AU385" s="17">
        <f>IF(AND(ISNUMBER(Z385),ISNUMBER(AB385)),Z385-IF(ISNUMBER(U385),U385,0)-(AB385-IF(ISNUMBER(W385),W385,0)),"")</f>
        <v/>
      </c>
      <c r="AV385" s="17">
        <f>IF(AND(ISNUMBER(AT385),ISNUMBER(AU385)),AT385-AU385,"")</f>
        <v/>
      </c>
      <c r="AW385" s="17">
        <f>IF(AND(ISNUMBER(L385),ISNUMBER(M385),ISNUMBER(AF385)),L385-M385*(1-AF385),IF(ISNUMBER(L385),L385,""))</f>
        <v/>
      </c>
      <c r="AX385" s="17">
        <f>IF(E385="금융","",IF(AND(ISNUMBER(AW385),ISNUMBER(N385),ISNUMBER(O385),ISNUMBER(AV385)),AW385+N385-O385-AV385,IF(AND(ISNUMBER(P385),ISNUMBER(O385)),P385-O385-IF(ISNUMBER(Q385),Q385,0),"")))</f>
        <v/>
      </c>
      <c r="AY385" s="8">
        <f>IF(E385="금융","금융업 - 정의되지 않음",IF(AND(ISNUMBER(AW385),ISNUMBER(N385),ISNUMBER(O385),ISNUMBER(AV385)),"영업순이익+감가상각-설비투자-운전자본증감",IF(AND(ISNUMBER(P385),ISNUMBER(O385)),IF(ISNUMBER(Q385),"영업현금흐름-설비투자-주식보상비용","영업현금흐름-설비투자(주식보상비용 미태깅)"),"산출불가")))</f>
        <v/>
      </c>
      <c r="AZ385" s="19">
        <f>IF(AND(ISNUMBER(AX385),ISNUMBER(G385),G385&lt;&gt;0),AX385/G385,"")</f>
        <v/>
      </c>
      <c r="BA385" s="19">
        <f>IF(AND(ISNUMBER(AE385),ISNUMBER(G385),G385&lt;&gt;0),AE385/G385,"")</f>
        <v/>
      </c>
    </row>
    <row r="386">
      <c r="A386" s="8" t="inlineStr">
        <is>
          <t>HD</t>
        </is>
      </c>
      <c r="B386" s="8" t="inlineStr">
        <is>
          <t>HOME DEPOT, INC.</t>
        </is>
      </c>
      <c r="C386" s="8" t="n">
        <v>2017</v>
      </c>
      <c r="D386" s="8" t="inlineStr">
        <is>
          <t>2018-01-28</t>
        </is>
      </c>
      <c r="E386" s="8" t="inlineStr">
        <is>
          <t>일반</t>
        </is>
      </c>
      <c r="F386" s="8" t="inlineStr">
        <is>
          <t>0000354950-20-000015</t>
        </is>
      </c>
      <c r="G386" s="15" t="n">
        <v>100.904</v>
      </c>
      <c r="H386" s="15" t="n">
        <v>13.698</v>
      </c>
      <c r="I386" s="15" t="n"/>
      <c r="J386" s="15" t="n">
        <v>5.068</v>
      </c>
      <c r="K386" s="15" t="n">
        <v>14.681</v>
      </c>
      <c r="L386" s="15" t="n">
        <v>8.630000000000001</v>
      </c>
      <c r="M386" s="15" t="n"/>
      <c r="N386" s="15" t="n">
        <v>2.062</v>
      </c>
      <c r="O386" s="15" t="n">
        <v>1.897</v>
      </c>
      <c r="P386" s="15" t="n">
        <v>12.031</v>
      </c>
      <c r="Q386" s="15" t="n">
        <v>0.273</v>
      </c>
      <c r="R386" s="15" t="n">
        <v>1.454</v>
      </c>
      <c r="S386" s="15" t="n">
        <v>4.333</v>
      </c>
      <c r="T386" s="15" t="n">
        <v>3.595</v>
      </c>
      <c r="U386" s="15" t="n">
        <v>2.538</v>
      </c>
      <c r="V386" s="15" t="n">
        <v>1.202</v>
      </c>
      <c r="W386" s="15" t="n">
        <v>0.542</v>
      </c>
      <c r="X386" s="15" t="n">
        <v>24.267</v>
      </c>
      <c r="Y386" s="15" t="n">
        <v>18.933</v>
      </c>
      <c r="Z386" s="15" t="n">
        <v>17.724</v>
      </c>
      <c r="AA386" s="15" t="n">
        <v>16.194</v>
      </c>
      <c r="AB386" s="15" t="n">
        <v>14.133</v>
      </c>
      <c r="AC386" s="15" t="n">
        <v>24.686</v>
      </c>
      <c r="AD386" s="16" t="n">
        <v>1158</v>
      </c>
      <c r="AE386" s="17">
        <f>IF(ISNUMBER(K386),K386,IF(AND(ISNUMBER(H386),ISNUMBER(I386)),H386+I386,IF(ISNUMBER(H386),H386,"")))</f>
        <v/>
      </c>
      <c r="AF386" s="18">
        <f>IF(OR(NOT(ISNUMBER(J386)),NOT(ISNUMBER(H386)),H386&lt;=0),기준표!$B$8,MIN(MAX(J386/H386,기준표!$B$6),기준표!$B$7))</f>
        <v/>
      </c>
      <c r="AG386" s="17">
        <f>IF(ISNUMBER(AE386),AE386*(1-AF386),"")</f>
        <v/>
      </c>
      <c r="AH386" s="17">
        <f>IF(AND(NOT(ISNUMBER(V386)),NOT(ISNUMBER(X386))),"",IF(ISNUMBER(V386),V386,0)+IF(ISNUMBER(X386),X386,0))</f>
        <v/>
      </c>
      <c r="AI386" s="17">
        <f>IF(E386="금융","",IF(AND(ISNUMBER(R386),ISNUMBER(AH386),ISNUMBER(T386)),R386+AH386-T386,""))</f>
        <v/>
      </c>
      <c r="AJ386" s="17">
        <f>IF(E386="금융","",IF(NOT(ISNUMBER(AI386)),"",IF(ISNUMBER(AC386),(AI386+AC386)/2,AI386)))</f>
        <v/>
      </c>
      <c r="AK386" s="19">
        <f>IF(AND(ISNUMBER(AG386),ISNUMBER(AJ386),AJ386&gt;0),AG386/AJ386,"")</f>
        <v/>
      </c>
      <c r="AL386" s="17">
        <f>IF(E386="금융","",IF(AND(ISNUMBER(R386),ISNUMBER(AH386)),R386+AH386,""))</f>
        <v/>
      </c>
      <c r="AM386" s="19">
        <f>IF(OR(NOT(ISNUMBER(AG386)),NOT(ISNUMBER(AL386)),AL386&lt;=0),"",IF(AND(ISNUMBER(G386),AL386&lt;0.1*G386),"",AG386/AL386))</f>
        <v/>
      </c>
      <c r="AN386" s="17">
        <f>IF(NOT(ISNUMBER(R386)),"",IF(ISNUMBER(S386),(R386+S386)/2,R386))</f>
        <v/>
      </c>
      <c r="AO386" s="19">
        <f>IF(AND(ISNUMBER(L386),ISNUMBER(AN386),AN386&gt;0),L386/AN386,"")</f>
        <v/>
      </c>
      <c r="AP386" s="19">
        <f>IF(AND(ISNUMBER(AO386),ISNUMBER({ROIC})),AO386-{ROIC},"")</f>
        <v/>
      </c>
      <c r="AQ386" s="17">
        <f>IF(AND(ISNUMBER(AE386),ISNUMBER(N386)),AE386+N386,"")</f>
        <v/>
      </c>
      <c r="AR386" s="20">
        <f>IF(AND(ISNUMBER(AH386),ISNUMBER(T386),ISNUMBER(AQ386),AQ386&gt;0),(AH386-T386)/AQ386,"")</f>
        <v/>
      </c>
      <c r="AS386" s="20">
        <f>IF(AND(ISNUMBER(AE386),ISNUMBER(I386),I386&lt;&gt;0,AE386&gt;0),AE386/I386,"")</f>
        <v/>
      </c>
      <c r="AT386" s="17">
        <f>IF(AND(ISNUMBER(Y386),ISNUMBER(AA386)),Y386-IF(ISNUMBER(T386),T386,0)-(AA386-IF(ISNUMBER(V386),V386,0)),"")</f>
        <v/>
      </c>
      <c r="AU386" s="17">
        <f>IF(AND(ISNUMBER(Z386),ISNUMBER(AB386)),Z386-IF(ISNUMBER(U386),U386,0)-(AB386-IF(ISNUMBER(W386),W386,0)),"")</f>
        <v/>
      </c>
      <c r="AV386" s="17">
        <f>IF(AND(ISNUMBER(AT386),ISNUMBER(AU386)),AT386-AU386,"")</f>
        <v/>
      </c>
      <c r="AW386" s="17">
        <f>IF(AND(ISNUMBER(L386),ISNUMBER(M386),ISNUMBER(AF386)),L386-M386*(1-AF386),IF(ISNUMBER(L386),L386,""))</f>
        <v/>
      </c>
      <c r="AX386" s="17">
        <f>IF(E386="금융","",IF(AND(ISNUMBER(AW386),ISNUMBER(N386),ISNUMBER(O386),ISNUMBER(AV386)),AW386+N386-O386-AV386,IF(AND(ISNUMBER(P386),ISNUMBER(O386)),P386-O386-IF(ISNUMBER(Q386),Q386,0),"")))</f>
        <v/>
      </c>
      <c r="AY386" s="8">
        <f>IF(E386="금융","금융업 - 정의되지 않음",IF(AND(ISNUMBER(AW386),ISNUMBER(N386),ISNUMBER(O386),ISNUMBER(AV386)),"영업순이익+감가상각-설비투자-운전자본증감",IF(AND(ISNUMBER(P386),ISNUMBER(O386)),IF(ISNUMBER(Q386),"영업현금흐름-설비투자-주식보상비용","영업현금흐름-설비투자(주식보상비용 미태깅)"),"산출불가")))</f>
        <v/>
      </c>
      <c r="AZ386" s="19">
        <f>IF(AND(ISNUMBER(AX386),ISNUMBER(G386),G386&lt;&gt;0),AX386/G386,"")</f>
        <v/>
      </c>
      <c r="BA386" s="19">
        <f>IF(AND(ISNUMBER(AE386),ISNUMBER(G386),G386&lt;&gt;0),AE386/G386,"")</f>
        <v/>
      </c>
    </row>
    <row r="387">
      <c r="A387" s="8" t="inlineStr">
        <is>
          <t>HD</t>
        </is>
      </c>
      <c r="B387" s="8" t="inlineStr">
        <is>
          <t>HOME DEPOT, INC.</t>
        </is>
      </c>
      <c r="C387" s="8" t="n">
        <v>2018</v>
      </c>
      <c r="D387" s="8" t="inlineStr">
        <is>
          <t>2019-02-03</t>
        </is>
      </c>
      <c r="E387" s="8" t="inlineStr">
        <is>
          <t>일반</t>
        </is>
      </c>
      <c r="F387" s="8" t="inlineStr">
        <is>
          <t>0000354950-21-000089</t>
        </is>
      </c>
      <c r="G387" s="15" t="n">
        <v>108.203</v>
      </c>
      <c r="H387" s="15" t="n">
        <v>14.556</v>
      </c>
      <c r="I387" s="15" t="n"/>
      <c r="J387" s="15" t="n">
        <v>3.435</v>
      </c>
      <c r="K387" s="15" t="n">
        <v>15.53</v>
      </c>
      <c r="L387" s="15" t="n">
        <v>11.121</v>
      </c>
      <c r="M387" s="15" t="n"/>
      <c r="N387" s="15" t="n">
        <v>2.152</v>
      </c>
      <c r="O387" s="15" t="n">
        <v>2.442</v>
      </c>
      <c r="P387" s="15" t="n">
        <v>13.165</v>
      </c>
      <c r="Q387" s="15" t="n">
        <v>0.282</v>
      </c>
      <c r="R387" s="15" t="n">
        <v>-1.878</v>
      </c>
      <c r="S387" s="15" t="n">
        <v>1.454</v>
      </c>
      <c r="T387" s="15" t="n">
        <v>1.778</v>
      </c>
      <c r="U387" s="15" t="n">
        <v>3.595</v>
      </c>
      <c r="V387" s="15" t="n">
        <v>1.056</v>
      </c>
      <c r="W387" s="15" t="n">
        <v>1.202</v>
      </c>
      <c r="X387" s="15" t="n">
        <v>26.807</v>
      </c>
      <c r="Y387" s="15" t="n">
        <v>18.529</v>
      </c>
      <c r="Z387" s="15" t="n">
        <v>18.933</v>
      </c>
      <c r="AA387" s="15" t="n">
        <v>16.716</v>
      </c>
      <c r="AB387" s="15" t="n">
        <v>16.194</v>
      </c>
      <c r="AC387" s="15" t="n">
        <v>23.328</v>
      </c>
      <c r="AD387" s="16" t="n">
        <v>1105</v>
      </c>
      <c r="AE387" s="17">
        <f>IF(ISNUMBER(K387),K387,IF(AND(ISNUMBER(H387),ISNUMBER(I387)),H387+I387,IF(ISNUMBER(H387),H387,"")))</f>
        <v/>
      </c>
      <c r="AF387" s="18">
        <f>IF(OR(NOT(ISNUMBER(J387)),NOT(ISNUMBER(H387)),H387&lt;=0),기준표!$B$8,MIN(MAX(J387/H387,기준표!$B$6),기준표!$B$7))</f>
        <v/>
      </c>
      <c r="AG387" s="17">
        <f>IF(ISNUMBER(AE387),AE387*(1-AF387),"")</f>
        <v/>
      </c>
      <c r="AH387" s="17">
        <f>IF(AND(NOT(ISNUMBER(V387)),NOT(ISNUMBER(X387))),"",IF(ISNUMBER(V387),V387,0)+IF(ISNUMBER(X387),X387,0))</f>
        <v/>
      </c>
      <c r="AI387" s="17">
        <f>IF(E387="금융","",IF(AND(ISNUMBER(R387),ISNUMBER(AH387),ISNUMBER(T387)),R387+AH387-T387,""))</f>
        <v/>
      </c>
      <c r="AJ387" s="17">
        <f>IF(E387="금융","",IF(NOT(ISNUMBER(AI387)),"",IF(ISNUMBER(AC387),(AI387+AC387)/2,AI387)))</f>
        <v/>
      </c>
      <c r="AK387" s="19">
        <f>IF(AND(ISNUMBER(AG387),ISNUMBER(AJ387),AJ387&gt;0),AG387/AJ387,"")</f>
        <v/>
      </c>
      <c r="AL387" s="17">
        <f>IF(E387="금융","",IF(AND(ISNUMBER(R387),ISNUMBER(AH387)),R387+AH387,""))</f>
        <v/>
      </c>
      <c r="AM387" s="19">
        <f>IF(OR(NOT(ISNUMBER(AG387)),NOT(ISNUMBER(AL387)),AL387&lt;=0),"",IF(AND(ISNUMBER(G387),AL387&lt;0.1*G387),"",AG387/AL387))</f>
        <v/>
      </c>
      <c r="AN387" s="17">
        <f>IF(NOT(ISNUMBER(R387)),"",IF(ISNUMBER(S387),(R387+S387)/2,R387))</f>
        <v/>
      </c>
      <c r="AO387" s="19">
        <f>IF(AND(ISNUMBER(L387),ISNUMBER(AN387),AN387&gt;0),L387/AN387,"")</f>
        <v/>
      </c>
      <c r="AP387" s="19">
        <f>IF(AND(ISNUMBER(AO387),ISNUMBER({ROIC})),AO387-{ROIC},"")</f>
        <v/>
      </c>
      <c r="AQ387" s="17">
        <f>IF(AND(ISNUMBER(AE387),ISNUMBER(N387)),AE387+N387,"")</f>
        <v/>
      </c>
      <c r="AR387" s="20">
        <f>IF(AND(ISNUMBER(AH387),ISNUMBER(T387),ISNUMBER(AQ387),AQ387&gt;0),(AH387-T387)/AQ387,"")</f>
        <v/>
      </c>
      <c r="AS387" s="20">
        <f>IF(AND(ISNUMBER(AE387),ISNUMBER(I387),I387&lt;&gt;0,AE387&gt;0),AE387/I387,"")</f>
        <v/>
      </c>
      <c r="AT387" s="17">
        <f>IF(AND(ISNUMBER(Y387),ISNUMBER(AA387)),Y387-IF(ISNUMBER(T387),T387,0)-(AA387-IF(ISNUMBER(V387),V387,0)),"")</f>
        <v/>
      </c>
      <c r="AU387" s="17">
        <f>IF(AND(ISNUMBER(Z387),ISNUMBER(AB387)),Z387-IF(ISNUMBER(U387),U387,0)-(AB387-IF(ISNUMBER(W387),W387,0)),"")</f>
        <v/>
      </c>
      <c r="AV387" s="17">
        <f>IF(AND(ISNUMBER(AT387),ISNUMBER(AU387)),AT387-AU387,"")</f>
        <v/>
      </c>
      <c r="AW387" s="17">
        <f>IF(AND(ISNUMBER(L387),ISNUMBER(M387),ISNUMBER(AF387)),L387-M387*(1-AF387),IF(ISNUMBER(L387),L387,""))</f>
        <v/>
      </c>
      <c r="AX387" s="17">
        <f>IF(E387="금융","",IF(AND(ISNUMBER(AW387),ISNUMBER(N387),ISNUMBER(O387),ISNUMBER(AV387)),AW387+N387-O387-AV387,IF(AND(ISNUMBER(P387),ISNUMBER(O387)),P387-O387-IF(ISNUMBER(Q387),Q387,0),"")))</f>
        <v/>
      </c>
      <c r="AY387" s="8">
        <f>IF(E387="금융","금융업 - 정의되지 않음",IF(AND(ISNUMBER(AW387),ISNUMBER(N387),ISNUMBER(O387),ISNUMBER(AV387)),"영업순이익+감가상각-설비투자-운전자본증감",IF(AND(ISNUMBER(P387),ISNUMBER(O387)),IF(ISNUMBER(Q387),"영업현금흐름-설비투자-주식보상비용","영업현금흐름-설비투자(주식보상비용 미태깅)"),"산출불가")))</f>
        <v/>
      </c>
      <c r="AZ387" s="19">
        <f>IF(AND(ISNUMBER(AX387),ISNUMBER(G387),G387&lt;&gt;0),AX387/G387,"")</f>
        <v/>
      </c>
      <c r="BA387" s="19">
        <f>IF(AND(ISNUMBER(AE387),ISNUMBER(G387),G387&lt;&gt;0),AE387/G387,"")</f>
        <v/>
      </c>
    </row>
    <row r="388">
      <c r="A388" s="8" t="inlineStr">
        <is>
          <t>HD</t>
        </is>
      </c>
      <c r="B388" s="8" t="inlineStr">
        <is>
          <t>HOME DEPOT, INC.</t>
        </is>
      </c>
      <c r="C388" s="8" t="n">
        <v>2019</v>
      </c>
      <c r="D388" s="8" t="inlineStr">
        <is>
          <t>2020-02-02</t>
        </is>
      </c>
      <c r="E388" s="8" t="inlineStr">
        <is>
          <t>일반</t>
        </is>
      </c>
      <c r="F388" s="8" t="inlineStr">
        <is>
          <t>0000354950-22-000070</t>
        </is>
      </c>
      <c r="G388" s="15" t="n">
        <v>110.225</v>
      </c>
      <c r="H388" s="15" t="n">
        <v>14.715</v>
      </c>
      <c r="I388" s="15" t="n"/>
      <c r="J388" s="15" t="n">
        <v>3.473</v>
      </c>
      <c r="K388" s="15" t="n">
        <v>15.843</v>
      </c>
      <c r="L388" s="15" t="n">
        <v>11.242</v>
      </c>
      <c r="M388" s="15" t="n"/>
      <c r="N388" s="15" t="n">
        <v>2.296</v>
      </c>
      <c r="O388" s="15" t="n">
        <v>2.678</v>
      </c>
      <c r="P388" s="15" t="n">
        <v>13.687</v>
      </c>
      <c r="Q388" s="15" t="n">
        <v>0.251</v>
      </c>
      <c r="R388" s="15" t="n">
        <v>-3.116</v>
      </c>
      <c r="S388" s="15" t="n">
        <v>-1.878</v>
      </c>
      <c r="T388" s="15" t="n">
        <v>2.133</v>
      </c>
      <c r="U388" s="15" t="n">
        <v>1.778</v>
      </c>
      <c r="V388" s="15" t="n">
        <v>1.839</v>
      </c>
      <c r="W388" s="15" t="n">
        <v>1.056</v>
      </c>
      <c r="X388" s="15" t="n">
        <v>28.67</v>
      </c>
      <c r="Y388" s="15" t="n">
        <v>19.81</v>
      </c>
      <c r="Z388" s="15" t="n">
        <v>18.529</v>
      </c>
      <c r="AA388" s="15" t="n">
        <v>18.375</v>
      </c>
      <c r="AB388" s="15" t="n">
        <v>16.716</v>
      </c>
      <c r="AC388" s="15" t="n">
        <v>24.207</v>
      </c>
      <c r="AD388" s="16" t="n">
        <v>1077</v>
      </c>
      <c r="AE388" s="17">
        <f>IF(ISNUMBER(K388),K388,IF(AND(ISNUMBER(H388),ISNUMBER(I388)),H388+I388,IF(ISNUMBER(H388),H388,"")))</f>
        <v/>
      </c>
      <c r="AF388" s="18">
        <f>IF(OR(NOT(ISNUMBER(J388)),NOT(ISNUMBER(H388)),H388&lt;=0),기준표!$B$8,MIN(MAX(J388/H388,기준표!$B$6),기준표!$B$7))</f>
        <v/>
      </c>
      <c r="AG388" s="17">
        <f>IF(ISNUMBER(AE388),AE388*(1-AF388),"")</f>
        <v/>
      </c>
      <c r="AH388" s="17">
        <f>IF(AND(NOT(ISNUMBER(V388)),NOT(ISNUMBER(X388))),"",IF(ISNUMBER(V388),V388,0)+IF(ISNUMBER(X388),X388,0))</f>
        <v/>
      </c>
      <c r="AI388" s="17">
        <f>IF(E388="금융","",IF(AND(ISNUMBER(R388),ISNUMBER(AH388),ISNUMBER(T388)),R388+AH388-T388,""))</f>
        <v/>
      </c>
      <c r="AJ388" s="17">
        <f>IF(E388="금융","",IF(NOT(ISNUMBER(AI388)),"",IF(ISNUMBER(AC388),(AI388+AC388)/2,AI388)))</f>
        <v/>
      </c>
      <c r="AK388" s="19">
        <f>IF(AND(ISNUMBER(AG388),ISNUMBER(AJ388),AJ388&gt;0),AG388/AJ388,"")</f>
        <v/>
      </c>
      <c r="AL388" s="17">
        <f>IF(E388="금융","",IF(AND(ISNUMBER(R388),ISNUMBER(AH388)),R388+AH388,""))</f>
        <v/>
      </c>
      <c r="AM388" s="19">
        <f>IF(OR(NOT(ISNUMBER(AG388)),NOT(ISNUMBER(AL388)),AL388&lt;=0),"",IF(AND(ISNUMBER(G388),AL388&lt;0.1*G388),"",AG388/AL388))</f>
        <v/>
      </c>
      <c r="AN388" s="17">
        <f>IF(NOT(ISNUMBER(R388)),"",IF(ISNUMBER(S388),(R388+S388)/2,R388))</f>
        <v/>
      </c>
      <c r="AO388" s="19">
        <f>IF(AND(ISNUMBER(L388),ISNUMBER(AN388),AN388&gt;0),L388/AN388,"")</f>
        <v/>
      </c>
      <c r="AP388" s="19">
        <f>IF(AND(ISNUMBER(AO388),ISNUMBER({ROIC})),AO388-{ROIC},"")</f>
        <v/>
      </c>
      <c r="AQ388" s="17">
        <f>IF(AND(ISNUMBER(AE388),ISNUMBER(N388)),AE388+N388,"")</f>
        <v/>
      </c>
      <c r="AR388" s="20">
        <f>IF(AND(ISNUMBER(AH388),ISNUMBER(T388),ISNUMBER(AQ388),AQ388&gt;0),(AH388-T388)/AQ388,"")</f>
        <v/>
      </c>
      <c r="AS388" s="20">
        <f>IF(AND(ISNUMBER(AE388),ISNUMBER(I388),I388&lt;&gt;0,AE388&gt;0),AE388/I388,"")</f>
        <v/>
      </c>
      <c r="AT388" s="17">
        <f>IF(AND(ISNUMBER(Y388),ISNUMBER(AA388)),Y388-IF(ISNUMBER(T388),T388,0)-(AA388-IF(ISNUMBER(V388),V388,0)),"")</f>
        <v/>
      </c>
      <c r="AU388" s="17">
        <f>IF(AND(ISNUMBER(Z388),ISNUMBER(AB388)),Z388-IF(ISNUMBER(U388),U388,0)-(AB388-IF(ISNUMBER(W388),W388,0)),"")</f>
        <v/>
      </c>
      <c r="AV388" s="17">
        <f>IF(AND(ISNUMBER(AT388),ISNUMBER(AU388)),AT388-AU388,"")</f>
        <v/>
      </c>
      <c r="AW388" s="17">
        <f>IF(AND(ISNUMBER(L388),ISNUMBER(M388),ISNUMBER(AF388)),L388-M388*(1-AF388),IF(ISNUMBER(L388),L388,""))</f>
        <v/>
      </c>
      <c r="AX388" s="17">
        <f>IF(E388="금융","",IF(AND(ISNUMBER(AW388),ISNUMBER(N388),ISNUMBER(O388),ISNUMBER(AV388)),AW388+N388-O388-AV388,IF(AND(ISNUMBER(P388),ISNUMBER(O388)),P388-O388-IF(ISNUMBER(Q388),Q388,0),"")))</f>
        <v/>
      </c>
      <c r="AY388" s="8">
        <f>IF(E388="금융","금융업 - 정의되지 않음",IF(AND(ISNUMBER(AW388),ISNUMBER(N388),ISNUMBER(O388),ISNUMBER(AV388)),"영업순이익+감가상각-설비투자-운전자본증감",IF(AND(ISNUMBER(P388),ISNUMBER(O388)),IF(ISNUMBER(Q388),"영업현금흐름-설비투자-주식보상비용","영업현금흐름-설비투자(주식보상비용 미태깅)"),"산출불가")))</f>
        <v/>
      </c>
      <c r="AZ388" s="19">
        <f>IF(AND(ISNUMBER(AX388),ISNUMBER(G388),G388&lt;&gt;0),AX388/G388,"")</f>
        <v/>
      </c>
      <c r="BA388" s="19">
        <f>IF(AND(ISNUMBER(AE388),ISNUMBER(G388),G388&lt;&gt;0),AE388/G388,"")</f>
        <v/>
      </c>
    </row>
    <row r="389">
      <c r="A389" s="8" t="inlineStr">
        <is>
          <t>HD</t>
        </is>
      </c>
      <c r="B389" s="8" t="inlineStr">
        <is>
          <t>HOME DEPOT, INC.</t>
        </is>
      </c>
      <c r="C389" s="8" t="n">
        <v>2020</v>
      </c>
      <c r="D389" s="8" t="inlineStr">
        <is>
          <t>2021-01-31</t>
        </is>
      </c>
      <c r="E389" s="8" t="inlineStr">
        <is>
          <t>일반</t>
        </is>
      </c>
      <c r="F389" s="8" t="inlineStr">
        <is>
          <t>0000354950-23-000059</t>
        </is>
      </c>
      <c r="G389" s="15" t="n">
        <v>132.11</v>
      </c>
      <c r="H389" s="15" t="n">
        <v>16.978</v>
      </c>
      <c r="I389" s="15" t="n"/>
      <c r="J389" s="15" t="n">
        <v>4.112</v>
      </c>
      <c r="K389" s="15" t="n">
        <v>18.278</v>
      </c>
      <c r="L389" s="15" t="n">
        <v>12.866</v>
      </c>
      <c r="M389" s="15" t="n"/>
      <c r="N389" s="15" t="n">
        <v>2.519</v>
      </c>
      <c r="O389" s="15" t="n">
        <v>2.463</v>
      </c>
      <c r="P389" s="15" t="n">
        <v>18.839</v>
      </c>
      <c r="Q389" s="15" t="n">
        <v>0.31</v>
      </c>
      <c r="R389" s="15" t="n">
        <v>3.299</v>
      </c>
      <c r="S389" s="15" t="n">
        <v>-3.116</v>
      </c>
      <c r="T389" s="15" t="n">
        <v>7.895</v>
      </c>
      <c r="U389" s="15" t="n">
        <v>2.133</v>
      </c>
      <c r="V389" s="15" t="n">
        <v>1.416</v>
      </c>
      <c r="W389" s="15" t="n">
        <v>1.839</v>
      </c>
      <c r="X389" s="15" t="n">
        <v>35.822</v>
      </c>
      <c r="Y389" s="15" t="n">
        <v>28.477</v>
      </c>
      <c r="Z389" s="15" t="n">
        <v>19.81</v>
      </c>
      <c r="AA389" s="15" t="n">
        <v>23.166</v>
      </c>
      <c r="AB389" s="15" t="n">
        <v>18.375</v>
      </c>
      <c r="AC389" s="15" t="n">
        <v>25.26</v>
      </c>
      <c r="AD389" s="16" t="n">
        <v>1077</v>
      </c>
      <c r="AE389" s="17">
        <f>IF(ISNUMBER(K389),K389,IF(AND(ISNUMBER(H389),ISNUMBER(I389)),H389+I389,IF(ISNUMBER(H389),H389,"")))</f>
        <v/>
      </c>
      <c r="AF389" s="18">
        <f>IF(OR(NOT(ISNUMBER(J389)),NOT(ISNUMBER(H389)),H389&lt;=0),기준표!$B$8,MIN(MAX(J389/H389,기준표!$B$6),기준표!$B$7))</f>
        <v/>
      </c>
      <c r="AG389" s="17">
        <f>IF(ISNUMBER(AE389),AE389*(1-AF389),"")</f>
        <v/>
      </c>
      <c r="AH389" s="17">
        <f>IF(AND(NOT(ISNUMBER(V389)),NOT(ISNUMBER(X389))),"",IF(ISNUMBER(V389),V389,0)+IF(ISNUMBER(X389),X389,0))</f>
        <v/>
      </c>
      <c r="AI389" s="17">
        <f>IF(E389="금융","",IF(AND(ISNUMBER(R389),ISNUMBER(AH389),ISNUMBER(T389)),R389+AH389-T389,""))</f>
        <v/>
      </c>
      <c r="AJ389" s="17">
        <f>IF(E389="금융","",IF(NOT(ISNUMBER(AI389)),"",IF(ISNUMBER(AC389),(AI389+AC389)/2,AI389)))</f>
        <v/>
      </c>
      <c r="AK389" s="19">
        <f>IF(AND(ISNUMBER(AG389),ISNUMBER(AJ389),AJ389&gt;0),AG389/AJ389,"")</f>
        <v/>
      </c>
      <c r="AL389" s="17">
        <f>IF(E389="금융","",IF(AND(ISNUMBER(R389),ISNUMBER(AH389)),R389+AH389,""))</f>
        <v/>
      </c>
      <c r="AM389" s="19">
        <f>IF(OR(NOT(ISNUMBER(AG389)),NOT(ISNUMBER(AL389)),AL389&lt;=0),"",IF(AND(ISNUMBER(G389),AL389&lt;0.1*G389),"",AG389/AL389))</f>
        <v/>
      </c>
      <c r="AN389" s="17">
        <f>IF(NOT(ISNUMBER(R389)),"",IF(ISNUMBER(S389),(R389+S389)/2,R389))</f>
        <v/>
      </c>
      <c r="AO389" s="19">
        <f>IF(AND(ISNUMBER(L389),ISNUMBER(AN389),AN389&gt;0),L389/AN389,"")</f>
        <v/>
      </c>
      <c r="AP389" s="19">
        <f>IF(AND(ISNUMBER(AO389),ISNUMBER({ROIC})),AO389-{ROIC},"")</f>
        <v/>
      </c>
      <c r="AQ389" s="17">
        <f>IF(AND(ISNUMBER(AE389),ISNUMBER(N389)),AE389+N389,"")</f>
        <v/>
      </c>
      <c r="AR389" s="20">
        <f>IF(AND(ISNUMBER(AH389),ISNUMBER(T389),ISNUMBER(AQ389),AQ389&gt;0),(AH389-T389)/AQ389,"")</f>
        <v/>
      </c>
      <c r="AS389" s="20">
        <f>IF(AND(ISNUMBER(AE389),ISNUMBER(I389),I389&lt;&gt;0,AE389&gt;0),AE389/I389,"")</f>
        <v/>
      </c>
      <c r="AT389" s="17">
        <f>IF(AND(ISNUMBER(Y389),ISNUMBER(AA389)),Y389-IF(ISNUMBER(T389),T389,0)-(AA389-IF(ISNUMBER(V389),V389,0)),"")</f>
        <v/>
      </c>
      <c r="AU389" s="17">
        <f>IF(AND(ISNUMBER(Z389),ISNUMBER(AB389)),Z389-IF(ISNUMBER(U389),U389,0)-(AB389-IF(ISNUMBER(W389),W389,0)),"")</f>
        <v/>
      </c>
      <c r="AV389" s="17">
        <f>IF(AND(ISNUMBER(AT389),ISNUMBER(AU389)),AT389-AU389,"")</f>
        <v/>
      </c>
      <c r="AW389" s="17">
        <f>IF(AND(ISNUMBER(L389),ISNUMBER(M389),ISNUMBER(AF389)),L389-M389*(1-AF389),IF(ISNUMBER(L389),L389,""))</f>
        <v/>
      </c>
      <c r="AX389" s="17">
        <f>IF(E389="금융","",IF(AND(ISNUMBER(AW389),ISNUMBER(N389),ISNUMBER(O389),ISNUMBER(AV389)),AW389+N389-O389-AV389,IF(AND(ISNUMBER(P389),ISNUMBER(O389)),P389-O389-IF(ISNUMBER(Q389),Q389,0),"")))</f>
        <v/>
      </c>
      <c r="AY389" s="8">
        <f>IF(E389="금융","금융업 - 정의되지 않음",IF(AND(ISNUMBER(AW389),ISNUMBER(N389),ISNUMBER(O389),ISNUMBER(AV389)),"영업순이익+감가상각-설비투자-운전자본증감",IF(AND(ISNUMBER(P389),ISNUMBER(O389)),IF(ISNUMBER(Q389),"영업현금흐름-설비투자-주식보상비용","영업현금흐름-설비투자(주식보상비용 미태깅)"),"산출불가")))</f>
        <v/>
      </c>
      <c r="AZ389" s="19">
        <f>IF(AND(ISNUMBER(AX389),ISNUMBER(G389),G389&lt;&gt;0),AX389/G389,"")</f>
        <v/>
      </c>
      <c r="BA389" s="19">
        <f>IF(AND(ISNUMBER(AE389),ISNUMBER(G389),G389&lt;&gt;0),AE389/G389,"")</f>
        <v/>
      </c>
    </row>
    <row r="390">
      <c r="A390" s="8" t="inlineStr">
        <is>
          <t>HD</t>
        </is>
      </c>
      <c r="B390" s="8" t="inlineStr">
        <is>
          <t>HOME DEPOT, INC.</t>
        </is>
      </c>
      <c r="C390" s="8" t="n">
        <v>2021</v>
      </c>
      <c r="D390" s="8" t="inlineStr">
        <is>
          <t>2022-01-30</t>
        </is>
      </c>
      <c r="E390" s="8" t="inlineStr">
        <is>
          <t>일반</t>
        </is>
      </c>
      <c r="F390" s="8" t="inlineStr">
        <is>
          <t>0000354950-24-000062</t>
        </is>
      </c>
      <c r="G390" s="15" t="n">
        <v>151.157</v>
      </c>
      <c r="H390" s="15" t="n">
        <v>21.737</v>
      </c>
      <c r="I390" s="15" t="n"/>
      <c r="J390" s="15" t="n">
        <v>5.304</v>
      </c>
      <c r="K390" s="15" t="n">
        <v>23.04</v>
      </c>
      <c r="L390" s="15" t="n">
        <v>16.433</v>
      </c>
      <c r="M390" s="15" t="n"/>
      <c r="N390" s="15" t="n">
        <v>2.862</v>
      </c>
      <c r="O390" s="15" t="n">
        <v>2.566</v>
      </c>
      <c r="P390" s="15" t="n">
        <v>16.571</v>
      </c>
      <c r="Q390" s="15" t="n">
        <v>0.399</v>
      </c>
      <c r="R390" s="15" t="n">
        <v>-1.696</v>
      </c>
      <c r="S390" s="15" t="n">
        <v>3.299</v>
      </c>
      <c r="T390" s="15" t="n">
        <v>2.343</v>
      </c>
      <c r="U390" s="15" t="n">
        <v>7.895</v>
      </c>
      <c r="V390" s="15" t="n">
        <v>2.447</v>
      </c>
      <c r="W390" s="15" t="n">
        <v>1.416</v>
      </c>
      <c r="X390" s="15" t="n">
        <v>36.604</v>
      </c>
      <c r="Y390" s="15" t="n">
        <v>29.055</v>
      </c>
      <c r="Z390" s="15" t="n">
        <v>28.477</v>
      </c>
      <c r="AA390" s="15" t="n">
        <v>28.693</v>
      </c>
      <c r="AB390" s="15" t="n">
        <v>23.166</v>
      </c>
      <c r="AC390" s="15" t="n">
        <v>32.642</v>
      </c>
      <c r="AD390" s="16" t="n">
        <v>1035</v>
      </c>
      <c r="AE390" s="17">
        <f>IF(ISNUMBER(K390),K390,IF(AND(ISNUMBER(H390),ISNUMBER(I390)),H390+I390,IF(ISNUMBER(H390),H390,"")))</f>
        <v/>
      </c>
      <c r="AF390" s="18">
        <f>IF(OR(NOT(ISNUMBER(J390)),NOT(ISNUMBER(H390)),H390&lt;=0),기준표!$B$8,MIN(MAX(J390/H390,기준표!$B$6),기준표!$B$7))</f>
        <v/>
      </c>
      <c r="AG390" s="17">
        <f>IF(ISNUMBER(AE390),AE390*(1-AF390),"")</f>
        <v/>
      </c>
      <c r="AH390" s="17">
        <f>IF(AND(NOT(ISNUMBER(V390)),NOT(ISNUMBER(X390))),"",IF(ISNUMBER(V390),V390,0)+IF(ISNUMBER(X390),X390,0))</f>
        <v/>
      </c>
      <c r="AI390" s="17">
        <f>IF(E390="금융","",IF(AND(ISNUMBER(R390),ISNUMBER(AH390),ISNUMBER(T390)),R390+AH390-T390,""))</f>
        <v/>
      </c>
      <c r="AJ390" s="17">
        <f>IF(E390="금융","",IF(NOT(ISNUMBER(AI390)),"",IF(ISNUMBER(AC390),(AI390+AC390)/2,AI390)))</f>
        <v/>
      </c>
      <c r="AK390" s="19">
        <f>IF(AND(ISNUMBER(AG390),ISNUMBER(AJ390),AJ390&gt;0),AG390/AJ390,"")</f>
        <v/>
      </c>
      <c r="AL390" s="17">
        <f>IF(E390="금융","",IF(AND(ISNUMBER(R390),ISNUMBER(AH390)),R390+AH390,""))</f>
        <v/>
      </c>
      <c r="AM390" s="19">
        <f>IF(OR(NOT(ISNUMBER(AG390)),NOT(ISNUMBER(AL390)),AL390&lt;=0),"",IF(AND(ISNUMBER(G390),AL390&lt;0.1*G390),"",AG390/AL390))</f>
        <v/>
      </c>
      <c r="AN390" s="17">
        <f>IF(NOT(ISNUMBER(R390)),"",IF(ISNUMBER(S390),(R390+S390)/2,R390))</f>
        <v/>
      </c>
      <c r="AO390" s="19">
        <f>IF(AND(ISNUMBER(L390),ISNUMBER(AN390),AN390&gt;0),L390/AN390,"")</f>
        <v/>
      </c>
      <c r="AP390" s="19">
        <f>IF(AND(ISNUMBER(AO390),ISNUMBER({ROIC})),AO390-{ROIC},"")</f>
        <v/>
      </c>
      <c r="AQ390" s="17">
        <f>IF(AND(ISNUMBER(AE390),ISNUMBER(N390)),AE390+N390,"")</f>
        <v/>
      </c>
      <c r="AR390" s="20">
        <f>IF(AND(ISNUMBER(AH390),ISNUMBER(T390),ISNUMBER(AQ390),AQ390&gt;0),(AH390-T390)/AQ390,"")</f>
        <v/>
      </c>
      <c r="AS390" s="20">
        <f>IF(AND(ISNUMBER(AE390),ISNUMBER(I390),I390&lt;&gt;0,AE390&gt;0),AE390/I390,"")</f>
        <v/>
      </c>
      <c r="AT390" s="17">
        <f>IF(AND(ISNUMBER(Y390),ISNUMBER(AA390)),Y390-IF(ISNUMBER(T390),T390,0)-(AA390-IF(ISNUMBER(V390),V390,0)),"")</f>
        <v/>
      </c>
      <c r="AU390" s="17">
        <f>IF(AND(ISNUMBER(Z390),ISNUMBER(AB390)),Z390-IF(ISNUMBER(U390),U390,0)-(AB390-IF(ISNUMBER(W390),W390,0)),"")</f>
        <v/>
      </c>
      <c r="AV390" s="17">
        <f>IF(AND(ISNUMBER(AT390),ISNUMBER(AU390)),AT390-AU390,"")</f>
        <v/>
      </c>
      <c r="AW390" s="17">
        <f>IF(AND(ISNUMBER(L390),ISNUMBER(M390),ISNUMBER(AF390)),L390-M390*(1-AF390),IF(ISNUMBER(L390),L390,""))</f>
        <v/>
      </c>
      <c r="AX390" s="17">
        <f>IF(E390="금융","",IF(AND(ISNUMBER(AW390),ISNUMBER(N390),ISNUMBER(O390),ISNUMBER(AV390)),AW390+N390-O390-AV390,IF(AND(ISNUMBER(P390),ISNUMBER(O390)),P390-O390-IF(ISNUMBER(Q390),Q390,0),"")))</f>
        <v/>
      </c>
      <c r="AY390" s="8">
        <f>IF(E390="금융","금융업 - 정의되지 않음",IF(AND(ISNUMBER(AW390),ISNUMBER(N390),ISNUMBER(O390),ISNUMBER(AV390)),"영업순이익+감가상각-설비투자-운전자본증감",IF(AND(ISNUMBER(P390),ISNUMBER(O390)),IF(ISNUMBER(Q390),"영업현금흐름-설비투자-주식보상비용","영업현금흐름-설비투자(주식보상비용 미태깅)"),"산출불가")))</f>
        <v/>
      </c>
      <c r="AZ390" s="19">
        <f>IF(AND(ISNUMBER(AX390),ISNUMBER(G390),G390&lt;&gt;0),AX390/G390,"")</f>
        <v/>
      </c>
      <c r="BA390" s="19">
        <f>IF(AND(ISNUMBER(AE390),ISNUMBER(G390),G390&lt;&gt;0),AE390/G390,"")</f>
        <v/>
      </c>
    </row>
    <row r="391">
      <c r="A391" s="8" t="inlineStr">
        <is>
          <t>HD</t>
        </is>
      </c>
      <c r="B391" s="8" t="inlineStr">
        <is>
          <t>HOME DEPOT, INC.</t>
        </is>
      </c>
      <c r="C391" s="8" t="n">
        <v>2022</v>
      </c>
      <c r="D391" s="8" t="inlineStr">
        <is>
          <t>2023-01-29</t>
        </is>
      </c>
      <c r="E391" s="8" t="inlineStr">
        <is>
          <t>일반</t>
        </is>
      </c>
      <c r="F391" s="8" t="inlineStr">
        <is>
          <t>0000354950-25-000085</t>
        </is>
      </c>
      <c r="G391" s="15" t="n">
        <v>157.403</v>
      </c>
      <c r="H391" s="15" t="n">
        <v>22.477</v>
      </c>
      <c r="I391" s="15" t="n">
        <v>1.617</v>
      </c>
      <c r="J391" s="15" t="n">
        <v>5.372</v>
      </c>
      <c r="K391" s="15" t="n">
        <v>24.039</v>
      </c>
      <c r="L391" s="15" t="n">
        <v>17.105</v>
      </c>
      <c r="M391" s="15" t="n"/>
      <c r="N391" s="15" t="n">
        <v>2.796</v>
      </c>
      <c r="O391" s="15" t="n">
        <v>3.119</v>
      </c>
      <c r="P391" s="15" t="n">
        <v>14.615</v>
      </c>
      <c r="Q391" s="15" t="n">
        <v>0.366</v>
      </c>
      <c r="R391" s="15" t="n">
        <v>1.562</v>
      </c>
      <c r="S391" s="15" t="n">
        <v>-1.696</v>
      </c>
      <c r="T391" s="15" t="n">
        <v>2.757</v>
      </c>
      <c r="U391" s="15" t="n">
        <v>2.343</v>
      </c>
      <c r="V391" s="15" t="n">
        <v>1.231</v>
      </c>
      <c r="W391" s="15" t="n">
        <v>2.447</v>
      </c>
      <c r="X391" s="15" t="n">
        <v>41.962</v>
      </c>
      <c r="Y391" s="15" t="n">
        <v>32.471</v>
      </c>
      <c r="Z391" s="15" t="n">
        <v>29.055</v>
      </c>
      <c r="AA391" s="15" t="n">
        <v>23.11</v>
      </c>
      <c r="AB391" s="15" t="n">
        <v>28.693</v>
      </c>
      <c r="AC391" s="15" t="n">
        <v>35.012</v>
      </c>
      <c r="AD391" s="16" t="n">
        <v>1016</v>
      </c>
      <c r="AE391" s="17">
        <f>IF(ISNUMBER(K391),K391,IF(AND(ISNUMBER(H391),ISNUMBER(I391)),H391+I391,IF(ISNUMBER(H391),H391,"")))</f>
        <v/>
      </c>
      <c r="AF391" s="18">
        <f>IF(OR(NOT(ISNUMBER(J391)),NOT(ISNUMBER(H391)),H391&lt;=0),기준표!$B$8,MIN(MAX(J391/H391,기준표!$B$6),기준표!$B$7))</f>
        <v/>
      </c>
      <c r="AG391" s="17">
        <f>IF(ISNUMBER(AE391),AE391*(1-AF391),"")</f>
        <v/>
      </c>
      <c r="AH391" s="17">
        <f>IF(AND(NOT(ISNUMBER(V391)),NOT(ISNUMBER(X391))),"",IF(ISNUMBER(V391),V391,0)+IF(ISNUMBER(X391),X391,0))</f>
        <v/>
      </c>
      <c r="AI391" s="17">
        <f>IF(E391="금융","",IF(AND(ISNUMBER(R391),ISNUMBER(AH391),ISNUMBER(T391)),R391+AH391-T391,""))</f>
        <v/>
      </c>
      <c r="AJ391" s="17">
        <f>IF(E391="금융","",IF(NOT(ISNUMBER(AI391)),"",IF(ISNUMBER(AC391),(AI391+AC391)/2,AI391)))</f>
        <v/>
      </c>
      <c r="AK391" s="19">
        <f>IF(AND(ISNUMBER(AG391),ISNUMBER(AJ391),AJ391&gt;0),AG391/AJ391,"")</f>
        <v/>
      </c>
      <c r="AL391" s="17">
        <f>IF(E391="금융","",IF(AND(ISNUMBER(R391),ISNUMBER(AH391)),R391+AH391,""))</f>
        <v/>
      </c>
      <c r="AM391" s="19">
        <f>IF(OR(NOT(ISNUMBER(AG391)),NOT(ISNUMBER(AL391)),AL391&lt;=0),"",IF(AND(ISNUMBER(G391),AL391&lt;0.1*G391),"",AG391/AL391))</f>
        <v/>
      </c>
      <c r="AN391" s="17">
        <f>IF(NOT(ISNUMBER(R391)),"",IF(ISNUMBER(S391),(R391+S391)/2,R391))</f>
        <v/>
      </c>
      <c r="AO391" s="19">
        <f>IF(AND(ISNUMBER(L391),ISNUMBER(AN391),AN391&gt;0),L391/AN391,"")</f>
        <v/>
      </c>
      <c r="AP391" s="19">
        <f>IF(AND(ISNUMBER(AO391),ISNUMBER({ROIC})),AO391-{ROIC},"")</f>
        <v/>
      </c>
      <c r="AQ391" s="17">
        <f>IF(AND(ISNUMBER(AE391),ISNUMBER(N391)),AE391+N391,"")</f>
        <v/>
      </c>
      <c r="AR391" s="20">
        <f>IF(AND(ISNUMBER(AH391),ISNUMBER(T391),ISNUMBER(AQ391),AQ391&gt;0),(AH391-T391)/AQ391,"")</f>
        <v/>
      </c>
      <c r="AS391" s="20">
        <f>IF(AND(ISNUMBER(AE391),ISNUMBER(I391),I391&lt;&gt;0,AE391&gt;0),AE391/I391,"")</f>
        <v/>
      </c>
      <c r="AT391" s="17">
        <f>IF(AND(ISNUMBER(Y391),ISNUMBER(AA391)),Y391-IF(ISNUMBER(T391),T391,0)-(AA391-IF(ISNUMBER(V391),V391,0)),"")</f>
        <v/>
      </c>
      <c r="AU391" s="17">
        <f>IF(AND(ISNUMBER(Z391),ISNUMBER(AB391)),Z391-IF(ISNUMBER(U391),U391,0)-(AB391-IF(ISNUMBER(W391),W391,0)),"")</f>
        <v/>
      </c>
      <c r="AV391" s="17">
        <f>IF(AND(ISNUMBER(AT391),ISNUMBER(AU391)),AT391-AU391,"")</f>
        <v/>
      </c>
      <c r="AW391" s="17">
        <f>IF(AND(ISNUMBER(L391),ISNUMBER(M391),ISNUMBER(AF391)),L391-M391*(1-AF391),IF(ISNUMBER(L391),L391,""))</f>
        <v/>
      </c>
      <c r="AX391" s="17">
        <f>IF(E391="금융","",IF(AND(ISNUMBER(AW391),ISNUMBER(N391),ISNUMBER(O391),ISNUMBER(AV391)),AW391+N391-O391-AV391,IF(AND(ISNUMBER(P391),ISNUMBER(O391)),P391-O391-IF(ISNUMBER(Q391),Q391,0),"")))</f>
        <v/>
      </c>
      <c r="AY391" s="8">
        <f>IF(E391="금융","금융업 - 정의되지 않음",IF(AND(ISNUMBER(AW391),ISNUMBER(N391),ISNUMBER(O391),ISNUMBER(AV391)),"영업순이익+감가상각-설비투자-운전자본증감",IF(AND(ISNUMBER(P391),ISNUMBER(O391)),IF(ISNUMBER(Q391),"영업현금흐름-설비투자-주식보상비용","영업현금흐름-설비투자(주식보상비용 미태깅)"),"산출불가")))</f>
        <v/>
      </c>
      <c r="AZ391" s="19">
        <f>IF(AND(ISNUMBER(AX391),ISNUMBER(G391),G391&lt;&gt;0),AX391/G391,"")</f>
        <v/>
      </c>
      <c r="BA391" s="19">
        <f>IF(AND(ISNUMBER(AE391),ISNUMBER(G391),G391&lt;&gt;0),AE391/G391,"")</f>
        <v/>
      </c>
    </row>
    <row r="392">
      <c r="A392" s="8" t="inlineStr">
        <is>
          <t>HD</t>
        </is>
      </c>
      <c r="B392" s="8" t="inlineStr">
        <is>
          <t>HOME DEPOT, INC.</t>
        </is>
      </c>
      <c r="C392" s="8" t="n">
        <v>2023</v>
      </c>
      <c r="D392" s="8" t="inlineStr">
        <is>
          <t>2024-01-28</t>
        </is>
      </c>
      <c r="E392" s="8" t="inlineStr">
        <is>
          <t>일반</t>
        </is>
      </c>
      <c r="F392" s="8" t="inlineStr">
        <is>
          <t>0001628280-26-019436</t>
        </is>
      </c>
      <c r="G392" s="15" t="n">
        <v>152.669</v>
      </c>
      <c r="H392" s="15" t="n">
        <v>19.924</v>
      </c>
      <c r="I392" s="15" t="n">
        <v>1.943</v>
      </c>
      <c r="J392" s="15" t="n">
        <v>4.781</v>
      </c>
      <c r="K392" s="15" t="n">
        <v>21.689</v>
      </c>
      <c r="L392" s="15" t="n">
        <v>15.143</v>
      </c>
      <c r="M392" s="15" t="n"/>
      <c r="N392" s="15" t="n">
        <v>3.061</v>
      </c>
      <c r="O392" s="15" t="n">
        <v>3.226</v>
      </c>
      <c r="P392" s="15" t="n">
        <v>21.172</v>
      </c>
      <c r="Q392" s="15" t="n">
        <v>0.38</v>
      </c>
      <c r="R392" s="15" t="n">
        <v>1.044</v>
      </c>
      <c r="S392" s="15" t="n">
        <v>1.562</v>
      </c>
      <c r="T392" s="15" t="n">
        <v>3.76</v>
      </c>
      <c r="U392" s="15" t="n">
        <v>2.757</v>
      </c>
      <c r="V392" s="15" t="n">
        <v>1.368</v>
      </c>
      <c r="W392" s="15" t="n">
        <v>1.231</v>
      </c>
      <c r="X392" s="15" t="n">
        <v>42.743</v>
      </c>
      <c r="Y392" s="15" t="n">
        <v>29.775</v>
      </c>
      <c r="Z392" s="15" t="n">
        <v>32.471</v>
      </c>
      <c r="AA392" s="15" t="n">
        <v>22.015</v>
      </c>
      <c r="AB392" s="15" t="n">
        <v>23.11</v>
      </c>
      <c r="AC392" s="15" t="n">
        <v>41.998</v>
      </c>
      <c r="AD392" s="16" t="n">
        <v>992</v>
      </c>
      <c r="AE392" s="17">
        <f>IF(ISNUMBER(K392),K392,IF(AND(ISNUMBER(H392),ISNUMBER(I392)),H392+I392,IF(ISNUMBER(H392),H392,"")))</f>
        <v/>
      </c>
      <c r="AF392" s="18">
        <f>IF(OR(NOT(ISNUMBER(J392)),NOT(ISNUMBER(H392)),H392&lt;=0),기준표!$B$8,MIN(MAX(J392/H392,기준표!$B$6),기준표!$B$7))</f>
        <v/>
      </c>
      <c r="AG392" s="17">
        <f>IF(ISNUMBER(AE392),AE392*(1-AF392),"")</f>
        <v/>
      </c>
      <c r="AH392" s="17">
        <f>IF(AND(NOT(ISNUMBER(V392)),NOT(ISNUMBER(X392))),"",IF(ISNUMBER(V392),V392,0)+IF(ISNUMBER(X392),X392,0))</f>
        <v/>
      </c>
      <c r="AI392" s="17">
        <f>IF(E392="금융","",IF(AND(ISNUMBER(R392),ISNUMBER(AH392),ISNUMBER(T392)),R392+AH392-T392,""))</f>
        <v/>
      </c>
      <c r="AJ392" s="17">
        <f>IF(E392="금융","",IF(NOT(ISNUMBER(AI392)),"",IF(ISNUMBER(AC392),(AI392+AC392)/2,AI392)))</f>
        <v/>
      </c>
      <c r="AK392" s="19">
        <f>IF(AND(ISNUMBER(AG392),ISNUMBER(AJ392),AJ392&gt;0),AG392/AJ392,"")</f>
        <v/>
      </c>
      <c r="AL392" s="17">
        <f>IF(E392="금융","",IF(AND(ISNUMBER(R392),ISNUMBER(AH392)),R392+AH392,""))</f>
        <v/>
      </c>
      <c r="AM392" s="19">
        <f>IF(OR(NOT(ISNUMBER(AG392)),NOT(ISNUMBER(AL392)),AL392&lt;=0),"",IF(AND(ISNUMBER(G392),AL392&lt;0.1*G392),"",AG392/AL392))</f>
        <v/>
      </c>
      <c r="AN392" s="17">
        <f>IF(NOT(ISNUMBER(R392)),"",IF(ISNUMBER(S392),(R392+S392)/2,R392))</f>
        <v/>
      </c>
      <c r="AO392" s="19">
        <f>IF(AND(ISNUMBER(L392),ISNUMBER(AN392),AN392&gt;0),L392/AN392,"")</f>
        <v/>
      </c>
      <c r="AP392" s="19">
        <f>IF(AND(ISNUMBER(AO392),ISNUMBER({ROIC})),AO392-{ROIC},"")</f>
        <v/>
      </c>
      <c r="AQ392" s="17">
        <f>IF(AND(ISNUMBER(AE392),ISNUMBER(N392)),AE392+N392,"")</f>
        <v/>
      </c>
      <c r="AR392" s="20">
        <f>IF(AND(ISNUMBER(AH392),ISNUMBER(T392),ISNUMBER(AQ392),AQ392&gt;0),(AH392-T392)/AQ392,"")</f>
        <v/>
      </c>
      <c r="AS392" s="20">
        <f>IF(AND(ISNUMBER(AE392),ISNUMBER(I392),I392&lt;&gt;0,AE392&gt;0),AE392/I392,"")</f>
        <v/>
      </c>
      <c r="AT392" s="17">
        <f>IF(AND(ISNUMBER(Y392),ISNUMBER(AA392)),Y392-IF(ISNUMBER(T392),T392,0)-(AA392-IF(ISNUMBER(V392),V392,0)),"")</f>
        <v/>
      </c>
      <c r="AU392" s="17">
        <f>IF(AND(ISNUMBER(Z392),ISNUMBER(AB392)),Z392-IF(ISNUMBER(U392),U392,0)-(AB392-IF(ISNUMBER(W392),W392,0)),"")</f>
        <v/>
      </c>
      <c r="AV392" s="17">
        <f>IF(AND(ISNUMBER(AT392),ISNUMBER(AU392)),AT392-AU392,"")</f>
        <v/>
      </c>
      <c r="AW392" s="17">
        <f>IF(AND(ISNUMBER(L392),ISNUMBER(M392),ISNUMBER(AF392)),L392-M392*(1-AF392),IF(ISNUMBER(L392),L392,""))</f>
        <v/>
      </c>
      <c r="AX392" s="17">
        <f>IF(E392="금융","",IF(AND(ISNUMBER(AW392),ISNUMBER(N392),ISNUMBER(O392),ISNUMBER(AV392)),AW392+N392-O392-AV392,IF(AND(ISNUMBER(P392),ISNUMBER(O392)),P392-O392-IF(ISNUMBER(Q392),Q392,0),"")))</f>
        <v/>
      </c>
      <c r="AY392" s="8">
        <f>IF(E392="금융","금융업 - 정의되지 않음",IF(AND(ISNUMBER(AW392),ISNUMBER(N392),ISNUMBER(O392),ISNUMBER(AV392)),"영업순이익+감가상각-설비투자-운전자본증감",IF(AND(ISNUMBER(P392),ISNUMBER(O392)),IF(ISNUMBER(Q392),"영업현금흐름-설비투자-주식보상비용","영업현금흐름-설비투자(주식보상비용 미태깅)"),"산출불가")))</f>
        <v/>
      </c>
      <c r="AZ392" s="19">
        <f>IF(AND(ISNUMBER(AX392),ISNUMBER(G392),G392&lt;&gt;0),AX392/G392,"")</f>
        <v/>
      </c>
      <c r="BA392" s="19">
        <f>IF(AND(ISNUMBER(AE392),ISNUMBER(G392),G392&lt;&gt;0),AE392/G392,"")</f>
        <v/>
      </c>
    </row>
    <row r="393">
      <c r="A393" s="8" t="inlineStr">
        <is>
          <t>HD</t>
        </is>
      </c>
      <c r="B393" s="8" t="inlineStr">
        <is>
          <t>HOME DEPOT, INC.</t>
        </is>
      </c>
      <c r="C393" s="8" t="n">
        <v>2024</v>
      </c>
      <c r="D393" s="8" t="inlineStr">
        <is>
          <t>2025-02-02</t>
        </is>
      </c>
      <c r="E393" s="8" t="inlineStr">
        <is>
          <t>일반</t>
        </is>
      </c>
      <c r="F393" s="8" t="inlineStr">
        <is>
          <t>0001628280-26-019436</t>
        </is>
      </c>
      <c r="G393" s="15" t="n">
        <v>159.514</v>
      </c>
      <c r="H393" s="15" t="n">
        <v>19.406</v>
      </c>
      <c r="I393" s="15" t="n">
        <v>2.321</v>
      </c>
      <c r="J393" s="15" t="n">
        <v>4.6</v>
      </c>
      <c r="K393" s="15" t="n">
        <v>21.526</v>
      </c>
      <c r="L393" s="15" t="n">
        <v>14.806</v>
      </c>
      <c r="M393" s="15" t="n"/>
      <c r="N393" s="15" t="n">
        <v>3.336</v>
      </c>
      <c r="O393" s="15" t="n">
        <v>3.485</v>
      </c>
      <c r="P393" s="15" t="n">
        <v>19.81</v>
      </c>
      <c r="Q393" s="15" t="n">
        <v>0.442</v>
      </c>
      <c r="R393" s="15" t="n">
        <v>6.64</v>
      </c>
      <c r="S393" s="15" t="n">
        <v>1.044</v>
      </c>
      <c r="T393" s="15" t="n">
        <v>1.659</v>
      </c>
      <c r="U393" s="15" t="n">
        <v>3.76</v>
      </c>
      <c r="V393" s="15" t="n">
        <v>4.582</v>
      </c>
      <c r="W393" s="15" t="n">
        <v>1.368</v>
      </c>
      <c r="X393" s="15" t="n">
        <v>48.485</v>
      </c>
      <c r="Y393" s="15" t="n">
        <v>31.683</v>
      </c>
      <c r="Z393" s="15" t="n">
        <v>29.775</v>
      </c>
      <c r="AA393" s="15" t="n">
        <v>28.661</v>
      </c>
      <c r="AB393" s="15" t="n">
        <v>22.015</v>
      </c>
      <c r="AC393" s="15" t="n">
        <v>41.395</v>
      </c>
      <c r="AD393" s="16" t="n">
        <v>994</v>
      </c>
      <c r="AE393" s="17">
        <f>IF(ISNUMBER(K393),K393,IF(AND(ISNUMBER(H393),ISNUMBER(I393)),H393+I393,IF(ISNUMBER(H393),H393,"")))</f>
        <v/>
      </c>
      <c r="AF393" s="18">
        <f>IF(OR(NOT(ISNUMBER(J393)),NOT(ISNUMBER(H393)),H393&lt;=0),기준표!$B$8,MIN(MAX(J393/H393,기준표!$B$6),기준표!$B$7))</f>
        <v/>
      </c>
      <c r="AG393" s="17">
        <f>IF(ISNUMBER(AE393),AE393*(1-AF393),"")</f>
        <v/>
      </c>
      <c r="AH393" s="17">
        <f>IF(AND(NOT(ISNUMBER(V393)),NOT(ISNUMBER(X393))),"",IF(ISNUMBER(V393),V393,0)+IF(ISNUMBER(X393),X393,0))</f>
        <v/>
      </c>
      <c r="AI393" s="17">
        <f>IF(E393="금융","",IF(AND(ISNUMBER(R393),ISNUMBER(AH393),ISNUMBER(T393)),R393+AH393-T393,""))</f>
        <v/>
      </c>
      <c r="AJ393" s="17">
        <f>IF(E393="금융","",IF(NOT(ISNUMBER(AI393)),"",IF(ISNUMBER(AC393),(AI393+AC393)/2,AI393)))</f>
        <v/>
      </c>
      <c r="AK393" s="19">
        <f>IF(AND(ISNUMBER(AG393),ISNUMBER(AJ393),AJ393&gt;0),AG393/AJ393,"")</f>
        <v/>
      </c>
      <c r="AL393" s="17">
        <f>IF(E393="금융","",IF(AND(ISNUMBER(R393),ISNUMBER(AH393)),R393+AH393,""))</f>
        <v/>
      </c>
      <c r="AM393" s="19">
        <f>IF(OR(NOT(ISNUMBER(AG393)),NOT(ISNUMBER(AL393)),AL393&lt;=0),"",IF(AND(ISNUMBER(G393),AL393&lt;0.1*G393),"",AG393/AL393))</f>
        <v/>
      </c>
      <c r="AN393" s="17">
        <f>IF(NOT(ISNUMBER(R393)),"",IF(ISNUMBER(S393),(R393+S393)/2,R393))</f>
        <v/>
      </c>
      <c r="AO393" s="19">
        <f>IF(AND(ISNUMBER(L393),ISNUMBER(AN393),AN393&gt;0),L393/AN393,"")</f>
        <v/>
      </c>
      <c r="AP393" s="19">
        <f>IF(AND(ISNUMBER(AO393),ISNUMBER({ROIC})),AO393-{ROIC},"")</f>
        <v/>
      </c>
      <c r="AQ393" s="17">
        <f>IF(AND(ISNUMBER(AE393),ISNUMBER(N393)),AE393+N393,"")</f>
        <v/>
      </c>
      <c r="AR393" s="20">
        <f>IF(AND(ISNUMBER(AH393),ISNUMBER(T393),ISNUMBER(AQ393),AQ393&gt;0),(AH393-T393)/AQ393,"")</f>
        <v/>
      </c>
      <c r="AS393" s="20">
        <f>IF(AND(ISNUMBER(AE393),ISNUMBER(I393),I393&lt;&gt;0,AE393&gt;0),AE393/I393,"")</f>
        <v/>
      </c>
      <c r="AT393" s="17">
        <f>IF(AND(ISNUMBER(Y393),ISNUMBER(AA393)),Y393-IF(ISNUMBER(T393),T393,0)-(AA393-IF(ISNUMBER(V393),V393,0)),"")</f>
        <v/>
      </c>
      <c r="AU393" s="17">
        <f>IF(AND(ISNUMBER(Z393),ISNUMBER(AB393)),Z393-IF(ISNUMBER(U393),U393,0)-(AB393-IF(ISNUMBER(W393),W393,0)),"")</f>
        <v/>
      </c>
      <c r="AV393" s="17">
        <f>IF(AND(ISNUMBER(AT393),ISNUMBER(AU393)),AT393-AU393,"")</f>
        <v/>
      </c>
      <c r="AW393" s="17">
        <f>IF(AND(ISNUMBER(L393),ISNUMBER(M393),ISNUMBER(AF393)),L393-M393*(1-AF393),IF(ISNUMBER(L393),L393,""))</f>
        <v/>
      </c>
      <c r="AX393" s="17">
        <f>IF(E393="금융","",IF(AND(ISNUMBER(AW393),ISNUMBER(N393),ISNUMBER(O393),ISNUMBER(AV393)),AW393+N393-O393-AV393,IF(AND(ISNUMBER(P393),ISNUMBER(O393)),P393-O393-IF(ISNUMBER(Q393),Q393,0),"")))</f>
        <v/>
      </c>
      <c r="AY393" s="8">
        <f>IF(E393="금융","금융업 - 정의되지 않음",IF(AND(ISNUMBER(AW393),ISNUMBER(N393),ISNUMBER(O393),ISNUMBER(AV393)),"영업순이익+감가상각-설비투자-운전자본증감",IF(AND(ISNUMBER(P393),ISNUMBER(O393)),IF(ISNUMBER(Q393),"영업현금흐름-설비투자-주식보상비용","영업현금흐름-설비투자(주식보상비용 미태깅)"),"산출불가")))</f>
        <v/>
      </c>
      <c r="AZ393" s="19">
        <f>IF(AND(ISNUMBER(AX393),ISNUMBER(G393),G393&lt;&gt;0),AX393/G393,"")</f>
        <v/>
      </c>
      <c r="BA393" s="19">
        <f>IF(AND(ISNUMBER(AE393),ISNUMBER(G393),G393&lt;&gt;0),AE393/G393,"")</f>
        <v/>
      </c>
    </row>
    <row r="394">
      <c r="A394" s="8" t="inlineStr">
        <is>
          <t>HD</t>
        </is>
      </c>
      <c r="B394" s="8" t="inlineStr">
        <is>
          <t>HOME DEPOT, INC.</t>
        </is>
      </c>
      <c r="C394" s="8" t="n">
        <v>2025</v>
      </c>
      <c r="D394" s="8" t="inlineStr">
        <is>
          <t>2026-02-01</t>
        </is>
      </c>
      <c r="E394" s="8" t="inlineStr">
        <is>
          <t>일반</t>
        </is>
      </c>
      <c r="F394" s="8" t="inlineStr">
        <is>
          <t>0001628280-26-019436</t>
        </is>
      </c>
      <c r="G394" s="15" t="n">
        <v>164.683</v>
      </c>
      <c r="H394" s="15" t="n">
        <v>18.602</v>
      </c>
      <c r="I394" s="15" t="n">
        <v>2.412</v>
      </c>
      <c r="J394" s="15" t="n">
        <v>4.446</v>
      </c>
      <c r="K394" s="15" t="n">
        <v>20.89</v>
      </c>
      <c r="L394" s="15" t="n">
        <v>14.156</v>
      </c>
      <c r="M394" s="15" t="n"/>
      <c r="N394" s="15" t="n">
        <v>3.514</v>
      </c>
      <c r="O394" s="15" t="n">
        <v>3.679</v>
      </c>
      <c r="P394" s="15" t="n">
        <v>16.325</v>
      </c>
      <c r="Q394" s="15" t="n">
        <v>0.522</v>
      </c>
      <c r="R394" s="15" t="n">
        <v>12.813</v>
      </c>
      <c r="S394" s="15" t="n">
        <v>6.64</v>
      </c>
      <c r="T394" s="15" t="n">
        <v>1.389</v>
      </c>
      <c r="U394" s="15" t="n">
        <v>1.659</v>
      </c>
      <c r="V394" s="15" t="n">
        <v>4.967</v>
      </c>
      <c r="W394" s="15" t="n">
        <v>4.582</v>
      </c>
      <c r="X394" s="15" t="n">
        <v>46.341</v>
      </c>
      <c r="Y394" s="15" t="n">
        <v>34.391</v>
      </c>
      <c r="Z394" s="15" t="n">
        <v>31.683</v>
      </c>
      <c r="AA394" s="15" t="n">
        <v>32.424</v>
      </c>
      <c r="AB394" s="15" t="n">
        <v>28.661</v>
      </c>
      <c r="AC394" s="15" t="n">
        <v>58.048</v>
      </c>
      <c r="AD394" s="16" t="n">
        <v>996</v>
      </c>
      <c r="AE394" s="17">
        <f>IF(ISNUMBER(K394),K394,IF(AND(ISNUMBER(H394),ISNUMBER(I394)),H394+I394,IF(ISNUMBER(H394),H394,"")))</f>
        <v/>
      </c>
      <c r="AF394" s="18">
        <f>IF(OR(NOT(ISNUMBER(J394)),NOT(ISNUMBER(H394)),H394&lt;=0),기준표!$B$8,MIN(MAX(J394/H394,기준표!$B$6),기준표!$B$7))</f>
        <v/>
      </c>
      <c r="AG394" s="17">
        <f>IF(ISNUMBER(AE394),AE394*(1-AF394),"")</f>
        <v/>
      </c>
      <c r="AH394" s="17">
        <f>IF(AND(NOT(ISNUMBER(V394)),NOT(ISNUMBER(X394))),"",IF(ISNUMBER(V394),V394,0)+IF(ISNUMBER(X394),X394,0))</f>
        <v/>
      </c>
      <c r="AI394" s="17">
        <f>IF(E394="금융","",IF(AND(ISNUMBER(R394),ISNUMBER(AH394),ISNUMBER(T394)),R394+AH394-T394,""))</f>
        <v/>
      </c>
      <c r="AJ394" s="17">
        <f>IF(E394="금융","",IF(NOT(ISNUMBER(AI394)),"",IF(ISNUMBER(AC394),(AI394+AC394)/2,AI394)))</f>
        <v/>
      </c>
      <c r="AK394" s="19">
        <f>IF(AND(ISNUMBER(AG394),ISNUMBER(AJ394),AJ394&gt;0),AG394/AJ394,"")</f>
        <v/>
      </c>
      <c r="AL394" s="17">
        <f>IF(E394="금융","",IF(AND(ISNUMBER(R394),ISNUMBER(AH394)),R394+AH394,""))</f>
        <v/>
      </c>
      <c r="AM394" s="19">
        <f>IF(OR(NOT(ISNUMBER(AG394)),NOT(ISNUMBER(AL394)),AL394&lt;=0),"",IF(AND(ISNUMBER(G394),AL394&lt;0.1*G394),"",AG394/AL394))</f>
        <v/>
      </c>
      <c r="AN394" s="17">
        <f>IF(NOT(ISNUMBER(R394)),"",IF(ISNUMBER(S394),(R394+S394)/2,R394))</f>
        <v/>
      </c>
      <c r="AO394" s="19">
        <f>IF(AND(ISNUMBER(L394),ISNUMBER(AN394),AN394&gt;0),L394/AN394,"")</f>
        <v/>
      </c>
      <c r="AP394" s="19">
        <f>IF(AND(ISNUMBER(AO394),ISNUMBER({ROIC})),AO394-{ROIC},"")</f>
        <v/>
      </c>
      <c r="AQ394" s="17">
        <f>IF(AND(ISNUMBER(AE394),ISNUMBER(N394)),AE394+N394,"")</f>
        <v/>
      </c>
      <c r="AR394" s="20">
        <f>IF(AND(ISNUMBER(AH394),ISNUMBER(T394),ISNUMBER(AQ394),AQ394&gt;0),(AH394-T394)/AQ394,"")</f>
        <v/>
      </c>
      <c r="AS394" s="20">
        <f>IF(AND(ISNUMBER(AE394),ISNUMBER(I394),I394&lt;&gt;0,AE394&gt;0),AE394/I394,"")</f>
        <v/>
      </c>
      <c r="AT394" s="17">
        <f>IF(AND(ISNUMBER(Y394),ISNUMBER(AA394)),Y394-IF(ISNUMBER(T394),T394,0)-(AA394-IF(ISNUMBER(V394),V394,0)),"")</f>
        <v/>
      </c>
      <c r="AU394" s="17">
        <f>IF(AND(ISNUMBER(Z394),ISNUMBER(AB394)),Z394-IF(ISNUMBER(U394),U394,0)-(AB394-IF(ISNUMBER(W394),W394,0)),"")</f>
        <v/>
      </c>
      <c r="AV394" s="17">
        <f>IF(AND(ISNUMBER(AT394),ISNUMBER(AU394)),AT394-AU394,"")</f>
        <v/>
      </c>
      <c r="AW394" s="17">
        <f>IF(AND(ISNUMBER(L394),ISNUMBER(M394),ISNUMBER(AF394)),L394-M394*(1-AF394),IF(ISNUMBER(L394),L394,""))</f>
        <v/>
      </c>
      <c r="AX394" s="17">
        <f>IF(E394="금융","",IF(AND(ISNUMBER(AW394),ISNUMBER(N394),ISNUMBER(O394),ISNUMBER(AV394)),AW394+N394-O394-AV394,IF(AND(ISNUMBER(P394),ISNUMBER(O394)),P394-O394-IF(ISNUMBER(Q394),Q394,0),"")))</f>
        <v/>
      </c>
      <c r="AY394" s="8">
        <f>IF(E394="금융","금융업 - 정의되지 않음",IF(AND(ISNUMBER(AW394),ISNUMBER(N394),ISNUMBER(O394),ISNUMBER(AV394)),"영업순이익+감가상각-설비투자-운전자본증감",IF(AND(ISNUMBER(P394),ISNUMBER(O394)),IF(ISNUMBER(Q394),"영업현금흐름-설비투자-주식보상비용","영업현금흐름-설비투자(주식보상비용 미태깅)"),"산출불가")))</f>
        <v/>
      </c>
      <c r="AZ394" s="19">
        <f>IF(AND(ISNUMBER(AX394),ISNUMBER(G394),G394&lt;&gt;0),AX394/G394,"")</f>
        <v/>
      </c>
      <c r="BA394" s="19">
        <f>IF(AND(ISNUMBER(AE394),ISNUMBER(G394),G394&lt;&gt;0),AE394/G394,"")</f>
        <v/>
      </c>
    </row>
    <row r="395">
      <c r="A395" s="8" t="inlineStr">
        <is>
          <t>MS</t>
        </is>
      </c>
      <c r="B395" s="8" t="inlineStr">
        <is>
          <t>MORGAN STANLEY</t>
        </is>
      </c>
      <c r="C395" s="8" t="n">
        <v>2014</v>
      </c>
      <c r="D395" s="8" t="inlineStr">
        <is>
          <t>2014-12-31</t>
        </is>
      </c>
      <c r="E395" s="8" t="inlineStr">
        <is>
          <t>금융</t>
        </is>
      </c>
      <c r="F395" s="8" t="inlineStr">
        <is>
          <t>0001193125-17-059212</t>
        </is>
      </c>
      <c r="G395" s="15" t="n">
        <v>34.275</v>
      </c>
      <c r="H395" s="15" t="n">
        <v>3.591</v>
      </c>
      <c r="I395" s="15" t="n">
        <v>1.735</v>
      </c>
      <c r="J395" s="15" t="n">
        <v>-0.09</v>
      </c>
      <c r="K395" s="15" t="n"/>
      <c r="L395" s="15" t="n">
        <v>3.467</v>
      </c>
      <c r="M395" s="15" t="n"/>
      <c r="N395" s="15" t="n">
        <v>1.161</v>
      </c>
      <c r="O395" s="15" t="n"/>
      <c r="P395" s="15" t="n"/>
      <c r="Q395" s="15" t="n">
        <v>1.26</v>
      </c>
      <c r="R395" s="15" t="n">
        <v>70.90000000000001</v>
      </c>
      <c r="S395" s="15" t="n"/>
      <c r="T395" s="15" t="n">
        <v>87.59099999999999</v>
      </c>
      <c r="U395" s="15" t="n"/>
      <c r="V395" s="15" t="n">
        <v>20.74</v>
      </c>
      <c r="W395" s="15" t="n"/>
      <c r="X395" s="15" t="n">
        <v>152.772</v>
      </c>
      <c r="Y395" s="15" t="n"/>
      <c r="Z395" s="15" t="n"/>
      <c r="AA395" s="15" t="n"/>
      <c r="AB395" s="15" t="n"/>
      <c r="AC395" s="15" t="n"/>
      <c r="AD395" s="16" t="n">
        <v>1951</v>
      </c>
      <c r="AE395" s="17">
        <f>IF(ISNUMBER(K395),K395,IF(AND(ISNUMBER(H395),ISNUMBER(I395)),H395+I395,IF(ISNUMBER(H395),H395,"")))</f>
        <v/>
      </c>
      <c r="AF395" s="18">
        <f>IF(OR(NOT(ISNUMBER(J395)),NOT(ISNUMBER(H395)),H395&lt;=0),기준표!$B$8,MIN(MAX(J395/H395,기준표!$B$6),기준표!$B$7))</f>
        <v/>
      </c>
      <c r="AG395" s="17">
        <f>IF(ISNUMBER(AE395),AE395*(1-AF395),"")</f>
        <v/>
      </c>
      <c r="AH395" s="17">
        <f>IF(AND(NOT(ISNUMBER(V395)),NOT(ISNUMBER(X395))),"",IF(ISNUMBER(V395),V395,0)+IF(ISNUMBER(X395),X395,0))</f>
        <v/>
      </c>
      <c r="AI395" s="17">
        <f>IF(E395="금융","",IF(AND(ISNUMBER(R395),ISNUMBER(AH395),ISNUMBER(T395)),R395+AH395-T395,""))</f>
        <v/>
      </c>
      <c r="AJ395" s="17">
        <f>IF(E395="금융","",IF(NOT(ISNUMBER(AI395)),"",IF(ISNUMBER(AC395),(AI395+AC395)/2,AI395)))</f>
        <v/>
      </c>
      <c r="AK395" s="19">
        <f>IF(AND(ISNUMBER(AG395),ISNUMBER(AJ395),AJ395&gt;0),AG395/AJ395,"")</f>
        <v/>
      </c>
      <c r="AL395" s="17">
        <f>IF(E395="금융","",IF(AND(ISNUMBER(R395),ISNUMBER(AH395)),R395+AH395,""))</f>
        <v/>
      </c>
      <c r="AM395" s="19">
        <f>IF(OR(NOT(ISNUMBER(AG395)),NOT(ISNUMBER(AL395)),AL395&lt;=0),"",IF(AND(ISNUMBER(G395),AL395&lt;0.1*G395),"",AG395/AL395))</f>
        <v/>
      </c>
      <c r="AN395" s="17">
        <f>IF(NOT(ISNUMBER(R395)),"",IF(ISNUMBER(S395),(R395+S395)/2,R395))</f>
        <v/>
      </c>
      <c r="AO395" s="19">
        <f>IF(AND(ISNUMBER(L395),ISNUMBER(AN395),AN395&gt;0),L395/AN395,"")</f>
        <v/>
      </c>
      <c r="AP395" s="19">
        <f>IF(AND(ISNUMBER(AO395),ISNUMBER({ROIC})),AO395-{ROIC},"")</f>
        <v/>
      </c>
      <c r="AQ395" s="17">
        <f>IF(AND(ISNUMBER(AE395),ISNUMBER(N395)),AE395+N395,"")</f>
        <v/>
      </c>
      <c r="AR395" s="20">
        <f>IF(AND(ISNUMBER(AH395),ISNUMBER(T395),ISNUMBER(AQ395),AQ395&gt;0),(AH395-T395)/AQ395,"")</f>
        <v/>
      </c>
      <c r="AS395" s="20">
        <f>IF(AND(ISNUMBER(AE395),ISNUMBER(I395),I395&lt;&gt;0,AE395&gt;0),AE395/I395,"")</f>
        <v/>
      </c>
      <c r="AT395" s="17">
        <f>IF(AND(ISNUMBER(Y395),ISNUMBER(AA395)),Y395-IF(ISNUMBER(T395),T395,0)-(AA395-IF(ISNUMBER(V395),V395,0)),"")</f>
        <v/>
      </c>
      <c r="AU395" s="17">
        <f>IF(AND(ISNUMBER(Z395),ISNUMBER(AB395)),Z395-IF(ISNUMBER(U395),U395,0)-(AB395-IF(ISNUMBER(W395),W395,0)),"")</f>
        <v/>
      </c>
      <c r="AV395" s="17">
        <f>IF(AND(ISNUMBER(AT395),ISNUMBER(AU395)),AT395-AU395,"")</f>
        <v/>
      </c>
      <c r="AW395" s="17">
        <f>IF(AND(ISNUMBER(L395),ISNUMBER(M395),ISNUMBER(AF395)),L395-M395*(1-AF395),IF(ISNUMBER(L395),L395,""))</f>
        <v/>
      </c>
      <c r="AX395" s="17">
        <f>IF(E395="금융","",IF(AND(ISNUMBER(AW395),ISNUMBER(N395),ISNUMBER(O395),ISNUMBER(AV395)),AW395+N395-O395-AV395,IF(AND(ISNUMBER(P395),ISNUMBER(O395)),P395-O395-IF(ISNUMBER(Q395),Q395,0),"")))</f>
        <v/>
      </c>
      <c r="AY395" s="8">
        <f>IF(E395="금융","금융업 - 정의되지 않음",IF(AND(ISNUMBER(AW395),ISNUMBER(N395),ISNUMBER(O395),ISNUMBER(AV395)),"영업순이익+감가상각-설비투자-운전자본증감",IF(AND(ISNUMBER(P395),ISNUMBER(O395)),IF(ISNUMBER(Q395),"영업현금흐름-설비투자-주식보상비용","영업현금흐름-설비투자(주식보상비용 미태깅)"),"산출불가")))</f>
        <v/>
      </c>
      <c r="AZ395" s="19">
        <f>IF(AND(ISNUMBER(AX395),ISNUMBER(G395),G395&lt;&gt;0),AX395/G395,"")</f>
        <v/>
      </c>
      <c r="BA395" s="19">
        <f>IF(AND(ISNUMBER(AE395),ISNUMBER(G395),G395&lt;&gt;0),AE395/G395,"")</f>
        <v/>
      </c>
    </row>
    <row r="396">
      <c r="A396" s="8" t="inlineStr">
        <is>
          <t>MS</t>
        </is>
      </c>
      <c r="B396" s="8" t="inlineStr">
        <is>
          <t>MORGAN STANLEY</t>
        </is>
      </c>
      <c r="C396" s="8" t="n">
        <v>2015</v>
      </c>
      <c r="D396" s="8" t="inlineStr">
        <is>
          <t>2015-12-31</t>
        </is>
      </c>
      <c r="E396" s="8" t="inlineStr">
        <is>
          <t>금융</t>
        </is>
      </c>
      <c r="F396" s="8" t="inlineStr">
        <is>
          <t>0001193125-18-060831</t>
        </is>
      </c>
      <c r="G396" s="15" t="n">
        <v>35.155</v>
      </c>
      <c r="H396" s="15" t="n">
        <v>8.494999999999999</v>
      </c>
      <c r="I396" s="15" t="n">
        <v>3.093</v>
      </c>
      <c r="J396" s="15" t="n">
        <v>2.2</v>
      </c>
      <c r="K396" s="15" t="n"/>
      <c r="L396" s="15" t="n">
        <v>6.127</v>
      </c>
      <c r="M396" s="15" t="n"/>
      <c r="N396" s="15" t="n">
        <v>1.433</v>
      </c>
      <c r="O396" s="15" t="n"/>
      <c r="P396" s="15" t="n">
        <v>-4.463</v>
      </c>
      <c r="Q396" s="15" t="n">
        <v>1.104</v>
      </c>
      <c r="R396" s="15" t="n">
        <v>75.182</v>
      </c>
      <c r="S396" s="15" t="n">
        <v>70.90000000000001</v>
      </c>
      <c r="T396" s="15" t="n">
        <v>85.55200000000001</v>
      </c>
      <c r="U396" s="15" t="n">
        <v>87.59099999999999</v>
      </c>
      <c r="V396" s="15" t="n">
        <v>22.396</v>
      </c>
      <c r="W396" s="15" t="n">
        <v>20.74</v>
      </c>
      <c r="X396" s="15" t="n">
        <v>153.768</v>
      </c>
      <c r="Y396" s="15" t="n"/>
      <c r="Z396" s="15" t="n"/>
      <c r="AA396" s="15" t="n"/>
      <c r="AB396" s="15" t="n"/>
      <c r="AC396" s="15" t="n"/>
      <c r="AD396" s="16" t="n">
        <v>1920</v>
      </c>
      <c r="AE396" s="17">
        <f>IF(ISNUMBER(K396),K396,IF(AND(ISNUMBER(H396),ISNUMBER(I396)),H396+I396,IF(ISNUMBER(H396),H396,"")))</f>
        <v/>
      </c>
      <c r="AF396" s="18">
        <f>IF(OR(NOT(ISNUMBER(J396)),NOT(ISNUMBER(H396)),H396&lt;=0),기준표!$B$8,MIN(MAX(J396/H396,기준표!$B$6),기준표!$B$7))</f>
        <v/>
      </c>
      <c r="AG396" s="17">
        <f>IF(ISNUMBER(AE396),AE396*(1-AF396),"")</f>
        <v/>
      </c>
      <c r="AH396" s="17">
        <f>IF(AND(NOT(ISNUMBER(V396)),NOT(ISNUMBER(X396))),"",IF(ISNUMBER(V396),V396,0)+IF(ISNUMBER(X396),X396,0))</f>
        <v/>
      </c>
      <c r="AI396" s="17">
        <f>IF(E396="금융","",IF(AND(ISNUMBER(R396),ISNUMBER(AH396),ISNUMBER(T396)),R396+AH396-T396,""))</f>
        <v/>
      </c>
      <c r="AJ396" s="17">
        <f>IF(E396="금융","",IF(NOT(ISNUMBER(AI396)),"",IF(ISNUMBER(AC396),(AI396+AC396)/2,AI396)))</f>
        <v/>
      </c>
      <c r="AK396" s="19">
        <f>IF(AND(ISNUMBER(AG396),ISNUMBER(AJ396),AJ396&gt;0),AG396/AJ396,"")</f>
        <v/>
      </c>
      <c r="AL396" s="17">
        <f>IF(E396="금융","",IF(AND(ISNUMBER(R396),ISNUMBER(AH396)),R396+AH396,""))</f>
        <v/>
      </c>
      <c r="AM396" s="19">
        <f>IF(OR(NOT(ISNUMBER(AG396)),NOT(ISNUMBER(AL396)),AL396&lt;=0),"",IF(AND(ISNUMBER(G396),AL396&lt;0.1*G396),"",AG396/AL396))</f>
        <v/>
      </c>
      <c r="AN396" s="17">
        <f>IF(NOT(ISNUMBER(R396)),"",IF(ISNUMBER(S396),(R396+S396)/2,R396))</f>
        <v/>
      </c>
      <c r="AO396" s="19">
        <f>IF(AND(ISNUMBER(L396),ISNUMBER(AN396),AN396&gt;0),L396/AN396,"")</f>
        <v/>
      </c>
      <c r="AP396" s="19">
        <f>IF(AND(ISNUMBER(AO396),ISNUMBER({ROIC})),AO396-{ROIC},"")</f>
        <v/>
      </c>
      <c r="AQ396" s="17">
        <f>IF(AND(ISNUMBER(AE396),ISNUMBER(N396)),AE396+N396,"")</f>
        <v/>
      </c>
      <c r="AR396" s="20">
        <f>IF(AND(ISNUMBER(AH396),ISNUMBER(T396),ISNUMBER(AQ396),AQ396&gt;0),(AH396-T396)/AQ396,"")</f>
        <v/>
      </c>
      <c r="AS396" s="20">
        <f>IF(AND(ISNUMBER(AE396),ISNUMBER(I396),I396&lt;&gt;0,AE396&gt;0),AE396/I396,"")</f>
        <v/>
      </c>
      <c r="AT396" s="17">
        <f>IF(AND(ISNUMBER(Y396),ISNUMBER(AA396)),Y396-IF(ISNUMBER(T396),T396,0)-(AA396-IF(ISNUMBER(V396),V396,0)),"")</f>
        <v/>
      </c>
      <c r="AU396" s="17">
        <f>IF(AND(ISNUMBER(Z396),ISNUMBER(AB396)),Z396-IF(ISNUMBER(U396),U396,0)-(AB396-IF(ISNUMBER(W396),W396,0)),"")</f>
        <v/>
      </c>
      <c r="AV396" s="17">
        <f>IF(AND(ISNUMBER(AT396),ISNUMBER(AU396)),AT396-AU396,"")</f>
        <v/>
      </c>
      <c r="AW396" s="17">
        <f>IF(AND(ISNUMBER(L396),ISNUMBER(M396),ISNUMBER(AF396)),L396-M396*(1-AF396),IF(ISNUMBER(L396),L396,""))</f>
        <v/>
      </c>
      <c r="AX396" s="17">
        <f>IF(E396="금융","",IF(AND(ISNUMBER(AW396),ISNUMBER(N396),ISNUMBER(O396),ISNUMBER(AV396)),AW396+N396-O396-AV396,IF(AND(ISNUMBER(P396),ISNUMBER(O396)),P396-O396-IF(ISNUMBER(Q396),Q396,0),"")))</f>
        <v/>
      </c>
      <c r="AY396" s="8">
        <f>IF(E396="금융","금융업 - 정의되지 않음",IF(AND(ISNUMBER(AW396),ISNUMBER(N396),ISNUMBER(O396),ISNUMBER(AV396)),"영업순이익+감가상각-설비투자-운전자본증감",IF(AND(ISNUMBER(P396),ISNUMBER(O396)),IF(ISNUMBER(Q396),"영업현금흐름-설비투자-주식보상비용","영업현금흐름-설비투자(주식보상비용 미태깅)"),"산출불가")))</f>
        <v/>
      </c>
      <c r="AZ396" s="19">
        <f>IF(AND(ISNUMBER(AX396),ISNUMBER(G396),G396&lt;&gt;0),AX396/G396,"")</f>
        <v/>
      </c>
      <c r="BA396" s="19">
        <f>IF(AND(ISNUMBER(AE396),ISNUMBER(G396),G396&lt;&gt;0),AE396/G396,"")</f>
        <v/>
      </c>
    </row>
    <row r="397">
      <c r="A397" s="8" t="inlineStr">
        <is>
          <t>MS</t>
        </is>
      </c>
      <c r="B397" s="8" t="inlineStr">
        <is>
          <t>MORGAN STANLEY</t>
        </is>
      </c>
      <c r="C397" s="8" t="n">
        <v>2016</v>
      </c>
      <c r="D397" s="8" t="inlineStr">
        <is>
          <t>2016-12-31</t>
        </is>
      </c>
      <c r="E397" s="8" t="inlineStr">
        <is>
          <t>금융</t>
        </is>
      </c>
      <c r="F397" s="8" t="inlineStr">
        <is>
          <t>0001193125-19-051943</t>
        </is>
      </c>
      <c r="G397" s="15" t="n">
        <v>34.631</v>
      </c>
      <c r="H397" s="15" t="n">
        <v>8.848000000000001</v>
      </c>
      <c r="I397" s="15" t="n">
        <v>3.698</v>
      </c>
      <c r="J397" s="15" t="n">
        <v>2.726</v>
      </c>
      <c r="K397" s="15" t="n"/>
      <c r="L397" s="15" t="n">
        <v>5.979</v>
      </c>
      <c r="M397" s="15" t="n"/>
      <c r="N397" s="15" t="n">
        <v>1.736</v>
      </c>
      <c r="O397" s="15" t="n"/>
      <c r="P397" s="15" t="n">
        <v>5.383</v>
      </c>
      <c r="Q397" s="15" t="n">
        <v>1.136</v>
      </c>
      <c r="R397" s="15" t="n">
        <v>76.05</v>
      </c>
      <c r="S397" s="15" t="n">
        <v>75.182</v>
      </c>
      <c r="T397" s="15" t="n">
        <v>77.36</v>
      </c>
      <c r="U397" s="15" t="n">
        <v>85.55200000000001</v>
      </c>
      <c r="V397" s="15" t="n">
        <v>26.127</v>
      </c>
      <c r="W397" s="15" t="n">
        <v>22.396</v>
      </c>
      <c r="X397" s="15" t="n">
        <v>164.775</v>
      </c>
      <c r="Y397" s="15" t="n"/>
      <c r="Z397" s="15" t="n"/>
      <c r="AA397" s="15" t="n"/>
      <c r="AB397" s="15" t="n"/>
      <c r="AC397" s="15" t="n"/>
      <c r="AD397" s="16" t="n">
        <v>1852</v>
      </c>
      <c r="AE397" s="17">
        <f>IF(ISNUMBER(K397),K397,IF(AND(ISNUMBER(H397),ISNUMBER(I397)),H397+I397,IF(ISNUMBER(H397),H397,"")))</f>
        <v/>
      </c>
      <c r="AF397" s="18">
        <f>IF(OR(NOT(ISNUMBER(J397)),NOT(ISNUMBER(H397)),H397&lt;=0),기준표!$B$8,MIN(MAX(J397/H397,기준표!$B$6),기준표!$B$7))</f>
        <v/>
      </c>
      <c r="AG397" s="17">
        <f>IF(ISNUMBER(AE397),AE397*(1-AF397),"")</f>
        <v/>
      </c>
      <c r="AH397" s="17">
        <f>IF(AND(NOT(ISNUMBER(V397)),NOT(ISNUMBER(X397))),"",IF(ISNUMBER(V397),V397,0)+IF(ISNUMBER(X397),X397,0))</f>
        <v/>
      </c>
      <c r="AI397" s="17">
        <f>IF(E397="금융","",IF(AND(ISNUMBER(R397),ISNUMBER(AH397),ISNUMBER(T397)),R397+AH397-T397,""))</f>
        <v/>
      </c>
      <c r="AJ397" s="17">
        <f>IF(E397="금융","",IF(NOT(ISNUMBER(AI397)),"",IF(ISNUMBER(AC397),(AI397+AC397)/2,AI397)))</f>
        <v/>
      </c>
      <c r="AK397" s="19">
        <f>IF(AND(ISNUMBER(AG397),ISNUMBER(AJ397),AJ397&gt;0),AG397/AJ397,"")</f>
        <v/>
      </c>
      <c r="AL397" s="17">
        <f>IF(E397="금융","",IF(AND(ISNUMBER(R397),ISNUMBER(AH397)),R397+AH397,""))</f>
        <v/>
      </c>
      <c r="AM397" s="19">
        <f>IF(OR(NOT(ISNUMBER(AG397)),NOT(ISNUMBER(AL397)),AL397&lt;=0),"",IF(AND(ISNUMBER(G397),AL397&lt;0.1*G397),"",AG397/AL397))</f>
        <v/>
      </c>
      <c r="AN397" s="17">
        <f>IF(NOT(ISNUMBER(R397)),"",IF(ISNUMBER(S397),(R397+S397)/2,R397))</f>
        <v/>
      </c>
      <c r="AO397" s="19">
        <f>IF(AND(ISNUMBER(L397),ISNUMBER(AN397),AN397&gt;0),L397/AN397,"")</f>
        <v/>
      </c>
      <c r="AP397" s="19">
        <f>IF(AND(ISNUMBER(AO397),ISNUMBER({ROIC})),AO397-{ROIC},"")</f>
        <v/>
      </c>
      <c r="AQ397" s="17">
        <f>IF(AND(ISNUMBER(AE397),ISNUMBER(N397)),AE397+N397,"")</f>
        <v/>
      </c>
      <c r="AR397" s="20">
        <f>IF(AND(ISNUMBER(AH397),ISNUMBER(T397),ISNUMBER(AQ397),AQ397&gt;0),(AH397-T397)/AQ397,"")</f>
        <v/>
      </c>
      <c r="AS397" s="20">
        <f>IF(AND(ISNUMBER(AE397),ISNUMBER(I397),I397&lt;&gt;0,AE397&gt;0),AE397/I397,"")</f>
        <v/>
      </c>
      <c r="AT397" s="17">
        <f>IF(AND(ISNUMBER(Y397),ISNUMBER(AA397)),Y397-IF(ISNUMBER(T397),T397,0)-(AA397-IF(ISNUMBER(V397),V397,0)),"")</f>
        <v/>
      </c>
      <c r="AU397" s="17">
        <f>IF(AND(ISNUMBER(Z397),ISNUMBER(AB397)),Z397-IF(ISNUMBER(U397),U397,0)-(AB397-IF(ISNUMBER(W397),W397,0)),"")</f>
        <v/>
      </c>
      <c r="AV397" s="17">
        <f>IF(AND(ISNUMBER(AT397),ISNUMBER(AU397)),AT397-AU397,"")</f>
        <v/>
      </c>
      <c r="AW397" s="17">
        <f>IF(AND(ISNUMBER(L397),ISNUMBER(M397),ISNUMBER(AF397)),L397-M397*(1-AF397),IF(ISNUMBER(L397),L397,""))</f>
        <v/>
      </c>
      <c r="AX397" s="17">
        <f>IF(E397="금융","",IF(AND(ISNUMBER(AW397),ISNUMBER(N397),ISNUMBER(O397),ISNUMBER(AV397)),AW397+N397-O397-AV397,IF(AND(ISNUMBER(P397),ISNUMBER(O397)),P397-O397-IF(ISNUMBER(Q397),Q397,0),"")))</f>
        <v/>
      </c>
      <c r="AY397" s="8">
        <f>IF(E397="금융","금융업 - 정의되지 않음",IF(AND(ISNUMBER(AW397),ISNUMBER(N397),ISNUMBER(O397),ISNUMBER(AV397)),"영업순이익+감가상각-설비투자-운전자본증감",IF(AND(ISNUMBER(P397),ISNUMBER(O397)),IF(ISNUMBER(Q397),"영업현금흐름-설비투자-주식보상비용","영업현금흐름-설비투자(주식보상비용 미태깅)"),"산출불가")))</f>
        <v/>
      </c>
      <c r="AZ397" s="19">
        <f>IF(AND(ISNUMBER(AX397),ISNUMBER(G397),G397&lt;&gt;0),AX397/G397,"")</f>
        <v/>
      </c>
      <c r="BA397" s="19">
        <f>IF(AND(ISNUMBER(AE397),ISNUMBER(G397),G397&lt;&gt;0),AE397/G397,"")</f>
        <v/>
      </c>
    </row>
    <row r="398">
      <c r="A398" s="8" t="inlineStr">
        <is>
          <t>MS</t>
        </is>
      </c>
      <c r="B398" s="8" t="inlineStr">
        <is>
          <t>MORGAN STANLEY</t>
        </is>
      </c>
      <c r="C398" s="8" t="n">
        <v>2017</v>
      </c>
      <c r="D398" s="8" t="inlineStr">
        <is>
          <t>2017-12-31</t>
        </is>
      </c>
      <c r="E398" s="8" t="inlineStr">
        <is>
          <t>금융</t>
        </is>
      </c>
      <c r="F398" s="8" t="inlineStr">
        <is>
          <t>0000895421-20-000265</t>
        </is>
      </c>
      <c r="G398" s="15" t="n">
        <v>37.945</v>
      </c>
      <c r="H398" s="15" t="n">
        <v>10.403</v>
      </c>
      <c r="I398" s="15" t="n">
        <v>3.3</v>
      </c>
      <c r="J398" s="15" t="n">
        <v>4.168</v>
      </c>
      <c r="K398" s="15" t="n"/>
      <c r="L398" s="15" t="n">
        <v>6.111</v>
      </c>
      <c r="M398" s="15" t="n"/>
      <c r="N398" s="15" t="n">
        <v>1.753</v>
      </c>
      <c r="O398" s="15" t="n"/>
      <c r="P398" s="15" t="n">
        <v>-4.505</v>
      </c>
      <c r="Q398" s="15" t="n">
        <v>1.026</v>
      </c>
      <c r="R398" s="15" t="n">
        <v>77.39100000000001</v>
      </c>
      <c r="S398" s="15" t="n">
        <v>76.05</v>
      </c>
      <c r="T398" s="15" t="n">
        <v>80.395</v>
      </c>
      <c r="U398" s="15" t="n">
        <v>77.36</v>
      </c>
      <c r="V398" s="15" t="n">
        <v>23.87</v>
      </c>
      <c r="W398" s="15" t="n">
        <v>26.127</v>
      </c>
      <c r="X398" s="15" t="n">
        <v>191.063</v>
      </c>
      <c r="Y398" s="15" t="n"/>
      <c r="Z398" s="15" t="n"/>
      <c r="AA398" s="15" t="n"/>
      <c r="AB398" s="15" t="n"/>
      <c r="AC398" s="15" t="n"/>
      <c r="AD398" s="16" t="n">
        <v>1788</v>
      </c>
      <c r="AE398" s="17">
        <f>IF(ISNUMBER(K398),K398,IF(AND(ISNUMBER(H398),ISNUMBER(I398)),H398+I398,IF(ISNUMBER(H398),H398,"")))</f>
        <v/>
      </c>
      <c r="AF398" s="18">
        <f>IF(OR(NOT(ISNUMBER(J398)),NOT(ISNUMBER(H398)),H398&lt;=0),기준표!$B$8,MIN(MAX(J398/H398,기준표!$B$6),기준표!$B$7))</f>
        <v/>
      </c>
      <c r="AG398" s="17">
        <f>IF(ISNUMBER(AE398),AE398*(1-AF398),"")</f>
        <v/>
      </c>
      <c r="AH398" s="17">
        <f>IF(AND(NOT(ISNUMBER(V398)),NOT(ISNUMBER(X398))),"",IF(ISNUMBER(V398),V398,0)+IF(ISNUMBER(X398),X398,0))</f>
        <v/>
      </c>
      <c r="AI398" s="17">
        <f>IF(E398="금융","",IF(AND(ISNUMBER(R398),ISNUMBER(AH398),ISNUMBER(T398)),R398+AH398-T398,""))</f>
        <v/>
      </c>
      <c r="AJ398" s="17">
        <f>IF(E398="금융","",IF(NOT(ISNUMBER(AI398)),"",IF(ISNUMBER(AC398),(AI398+AC398)/2,AI398)))</f>
        <v/>
      </c>
      <c r="AK398" s="19">
        <f>IF(AND(ISNUMBER(AG398),ISNUMBER(AJ398),AJ398&gt;0),AG398/AJ398,"")</f>
        <v/>
      </c>
      <c r="AL398" s="17">
        <f>IF(E398="금융","",IF(AND(ISNUMBER(R398),ISNUMBER(AH398)),R398+AH398,""))</f>
        <v/>
      </c>
      <c r="AM398" s="19">
        <f>IF(OR(NOT(ISNUMBER(AG398)),NOT(ISNUMBER(AL398)),AL398&lt;=0),"",IF(AND(ISNUMBER(G398),AL398&lt;0.1*G398),"",AG398/AL398))</f>
        <v/>
      </c>
      <c r="AN398" s="17">
        <f>IF(NOT(ISNUMBER(R398)),"",IF(ISNUMBER(S398),(R398+S398)/2,R398))</f>
        <v/>
      </c>
      <c r="AO398" s="19">
        <f>IF(AND(ISNUMBER(L398),ISNUMBER(AN398),AN398&gt;0),L398/AN398,"")</f>
        <v/>
      </c>
      <c r="AP398" s="19">
        <f>IF(AND(ISNUMBER(AO398),ISNUMBER({ROIC})),AO398-{ROIC},"")</f>
        <v/>
      </c>
      <c r="AQ398" s="17">
        <f>IF(AND(ISNUMBER(AE398),ISNUMBER(N398)),AE398+N398,"")</f>
        <v/>
      </c>
      <c r="AR398" s="20">
        <f>IF(AND(ISNUMBER(AH398),ISNUMBER(T398),ISNUMBER(AQ398),AQ398&gt;0),(AH398-T398)/AQ398,"")</f>
        <v/>
      </c>
      <c r="AS398" s="20">
        <f>IF(AND(ISNUMBER(AE398),ISNUMBER(I398),I398&lt;&gt;0,AE398&gt;0),AE398/I398,"")</f>
        <v/>
      </c>
      <c r="AT398" s="17">
        <f>IF(AND(ISNUMBER(Y398),ISNUMBER(AA398)),Y398-IF(ISNUMBER(T398),T398,0)-(AA398-IF(ISNUMBER(V398),V398,0)),"")</f>
        <v/>
      </c>
      <c r="AU398" s="17">
        <f>IF(AND(ISNUMBER(Z398),ISNUMBER(AB398)),Z398-IF(ISNUMBER(U398),U398,0)-(AB398-IF(ISNUMBER(W398),W398,0)),"")</f>
        <v/>
      </c>
      <c r="AV398" s="17">
        <f>IF(AND(ISNUMBER(AT398),ISNUMBER(AU398)),AT398-AU398,"")</f>
        <v/>
      </c>
      <c r="AW398" s="17">
        <f>IF(AND(ISNUMBER(L398),ISNUMBER(M398),ISNUMBER(AF398)),L398-M398*(1-AF398),IF(ISNUMBER(L398),L398,""))</f>
        <v/>
      </c>
      <c r="AX398" s="17">
        <f>IF(E398="금융","",IF(AND(ISNUMBER(AW398),ISNUMBER(N398),ISNUMBER(O398),ISNUMBER(AV398)),AW398+N398-O398-AV398,IF(AND(ISNUMBER(P398),ISNUMBER(O398)),P398-O398-IF(ISNUMBER(Q398),Q398,0),"")))</f>
        <v/>
      </c>
      <c r="AY398" s="8">
        <f>IF(E398="금융","금융업 - 정의되지 않음",IF(AND(ISNUMBER(AW398),ISNUMBER(N398),ISNUMBER(O398),ISNUMBER(AV398)),"영업순이익+감가상각-설비투자-운전자본증감",IF(AND(ISNUMBER(P398),ISNUMBER(O398)),IF(ISNUMBER(Q398),"영업현금흐름-설비투자-주식보상비용","영업현금흐름-설비투자(주식보상비용 미태깅)"),"산출불가")))</f>
        <v/>
      </c>
      <c r="AZ398" s="19">
        <f>IF(AND(ISNUMBER(AX398),ISNUMBER(G398),G398&lt;&gt;0),AX398/G398,"")</f>
        <v/>
      </c>
      <c r="BA398" s="19">
        <f>IF(AND(ISNUMBER(AE398),ISNUMBER(G398),G398&lt;&gt;0),AE398/G398,"")</f>
        <v/>
      </c>
    </row>
    <row r="399">
      <c r="A399" s="8" t="inlineStr">
        <is>
          <t>MS</t>
        </is>
      </c>
      <c r="B399" s="8" t="inlineStr">
        <is>
          <t>MORGAN STANLEY</t>
        </is>
      </c>
      <c r="C399" s="8" t="n">
        <v>2018</v>
      </c>
      <c r="D399" s="8" t="inlineStr">
        <is>
          <t>2018-12-31</t>
        </is>
      </c>
      <c r="E399" s="8" t="inlineStr">
        <is>
          <t>금융</t>
        </is>
      </c>
      <c r="F399" s="8" t="inlineStr">
        <is>
          <t>0000895421-21-000286</t>
        </is>
      </c>
      <c r="G399" s="15" t="n">
        <v>40.107</v>
      </c>
      <c r="H399" s="15" t="n">
        <v>11.237</v>
      </c>
      <c r="I399" s="15" t="n">
        <v>3.806</v>
      </c>
      <c r="J399" s="15" t="n">
        <v>2.35</v>
      </c>
      <c r="K399" s="15" t="n"/>
      <c r="L399" s="15" t="n">
        <v>8.747999999999999</v>
      </c>
      <c r="M399" s="15" t="n"/>
      <c r="N399" s="15" t="n">
        <v>1.844</v>
      </c>
      <c r="O399" s="15" t="n"/>
      <c r="P399" s="15" t="n">
        <v>7.305</v>
      </c>
      <c r="Q399" s="15" t="n">
        <v>0.92</v>
      </c>
      <c r="R399" s="15" t="n">
        <v>80.246</v>
      </c>
      <c r="S399" s="15" t="n">
        <v>77.39100000000001</v>
      </c>
      <c r="T399" s="15" t="n">
        <v>87.196</v>
      </c>
      <c r="U399" s="15" t="n">
        <v>80.395</v>
      </c>
      <c r="V399" s="15" t="n">
        <v>24.694</v>
      </c>
      <c r="W399" s="15" t="n">
        <v>23.87</v>
      </c>
      <c r="X399" s="15" t="n">
        <v>188.117</v>
      </c>
      <c r="Y399" s="15" t="n"/>
      <c r="Z399" s="15" t="n"/>
      <c r="AA399" s="15" t="n"/>
      <c r="AB399" s="15" t="n"/>
      <c r="AC399" s="15" t="n"/>
      <c r="AD399" s="16" t="n">
        <v>1700</v>
      </c>
      <c r="AE399" s="17">
        <f>IF(ISNUMBER(K399),K399,IF(AND(ISNUMBER(H399),ISNUMBER(I399)),H399+I399,IF(ISNUMBER(H399),H399,"")))</f>
        <v/>
      </c>
      <c r="AF399" s="18">
        <f>IF(OR(NOT(ISNUMBER(J399)),NOT(ISNUMBER(H399)),H399&lt;=0),기준표!$B$8,MIN(MAX(J399/H399,기준표!$B$6),기준표!$B$7))</f>
        <v/>
      </c>
      <c r="AG399" s="17">
        <f>IF(ISNUMBER(AE399),AE399*(1-AF399),"")</f>
        <v/>
      </c>
      <c r="AH399" s="17">
        <f>IF(AND(NOT(ISNUMBER(V399)),NOT(ISNUMBER(X399))),"",IF(ISNUMBER(V399),V399,0)+IF(ISNUMBER(X399),X399,0))</f>
        <v/>
      </c>
      <c r="AI399" s="17">
        <f>IF(E399="금융","",IF(AND(ISNUMBER(R399),ISNUMBER(AH399),ISNUMBER(T399)),R399+AH399-T399,""))</f>
        <v/>
      </c>
      <c r="AJ399" s="17">
        <f>IF(E399="금융","",IF(NOT(ISNUMBER(AI399)),"",IF(ISNUMBER(AC399),(AI399+AC399)/2,AI399)))</f>
        <v/>
      </c>
      <c r="AK399" s="19">
        <f>IF(AND(ISNUMBER(AG399),ISNUMBER(AJ399),AJ399&gt;0),AG399/AJ399,"")</f>
        <v/>
      </c>
      <c r="AL399" s="17">
        <f>IF(E399="금융","",IF(AND(ISNUMBER(R399),ISNUMBER(AH399)),R399+AH399,""))</f>
        <v/>
      </c>
      <c r="AM399" s="19">
        <f>IF(OR(NOT(ISNUMBER(AG399)),NOT(ISNUMBER(AL399)),AL399&lt;=0),"",IF(AND(ISNUMBER(G399),AL399&lt;0.1*G399),"",AG399/AL399))</f>
        <v/>
      </c>
      <c r="AN399" s="17">
        <f>IF(NOT(ISNUMBER(R399)),"",IF(ISNUMBER(S399),(R399+S399)/2,R399))</f>
        <v/>
      </c>
      <c r="AO399" s="19">
        <f>IF(AND(ISNUMBER(L399),ISNUMBER(AN399),AN399&gt;0),L399/AN399,"")</f>
        <v/>
      </c>
      <c r="AP399" s="19">
        <f>IF(AND(ISNUMBER(AO399),ISNUMBER({ROIC})),AO399-{ROIC},"")</f>
        <v/>
      </c>
      <c r="AQ399" s="17">
        <f>IF(AND(ISNUMBER(AE399),ISNUMBER(N399)),AE399+N399,"")</f>
        <v/>
      </c>
      <c r="AR399" s="20">
        <f>IF(AND(ISNUMBER(AH399),ISNUMBER(T399),ISNUMBER(AQ399),AQ399&gt;0),(AH399-T399)/AQ399,"")</f>
        <v/>
      </c>
      <c r="AS399" s="20">
        <f>IF(AND(ISNUMBER(AE399),ISNUMBER(I399),I399&lt;&gt;0,AE399&gt;0),AE399/I399,"")</f>
        <v/>
      </c>
      <c r="AT399" s="17">
        <f>IF(AND(ISNUMBER(Y399),ISNUMBER(AA399)),Y399-IF(ISNUMBER(T399),T399,0)-(AA399-IF(ISNUMBER(V399),V399,0)),"")</f>
        <v/>
      </c>
      <c r="AU399" s="17">
        <f>IF(AND(ISNUMBER(Z399),ISNUMBER(AB399)),Z399-IF(ISNUMBER(U399),U399,0)-(AB399-IF(ISNUMBER(W399),W399,0)),"")</f>
        <v/>
      </c>
      <c r="AV399" s="17">
        <f>IF(AND(ISNUMBER(AT399),ISNUMBER(AU399)),AT399-AU399,"")</f>
        <v/>
      </c>
      <c r="AW399" s="17">
        <f>IF(AND(ISNUMBER(L399),ISNUMBER(M399),ISNUMBER(AF399)),L399-M399*(1-AF399),IF(ISNUMBER(L399),L399,""))</f>
        <v/>
      </c>
      <c r="AX399" s="17">
        <f>IF(E399="금융","",IF(AND(ISNUMBER(AW399),ISNUMBER(N399),ISNUMBER(O399),ISNUMBER(AV399)),AW399+N399-O399-AV399,IF(AND(ISNUMBER(P399),ISNUMBER(O399)),P399-O399-IF(ISNUMBER(Q399),Q399,0),"")))</f>
        <v/>
      </c>
      <c r="AY399" s="8">
        <f>IF(E399="금융","금융업 - 정의되지 않음",IF(AND(ISNUMBER(AW399),ISNUMBER(N399),ISNUMBER(O399),ISNUMBER(AV399)),"영업순이익+감가상각-설비투자-운전자본증감",IF(AND(ISNUMBER(P399),ISNUMBER(O399)),IF(ISNUMBER(Q399),"영업현금흐름-설비투자-주식보상비용","영업현금흐름-설비투자(주식보상비용 미태깅)"),"산출불가")))</f>
        <v/>
      </c>
      <c r="AZ399" s="19">
        <f>IF(AND(ISNUMBER(AX399),ISNUMBER(G399),G399&lt;&gt;0),AX399/G399,"")</f>
        <v/>
      </c>
      <c r="BA399" s="19">
        <f>IF(AND(ISNUMBER(AE399),ISNUMBER(G399),G399&lt;&gt;0),AE399/G399,"")</f>
        <v/>
      </c>
    </row>
    <row r="400">
      <c r="A400" s="8" t="inlineStr">
        <is>
          <t>MS</t>
        </is>
      </c>
      <c r="B400" s="8" t="inlineStr">
        <is>
          <t>MORGAN STANLEY</t>
        </is>
      </c>
      <c r="C400" s="8" t="n">
        <v>2019</v>
      </c>
      <c r="D400" s="8" t="inlineStr">
        <is>
          <t>2019-12-31</t>
        </is>
      </c>
      <c r="E400" s="8" t="inlineStr">
        <is>
          <t>금융</t>
        </is>
      </c>
      <c r="F400" s="8" t="inlineStr">
        <is>
          <t>0000895421-22-000400</t>
        </is>
      </c>
      <c r="G400" s="15" t="n">
        <v>41.538</v>
      </c>
      <c r="H400" s="15" t="n">
        <v>11.301</v>
      </c>
      <c r="I400" s="15" t="n">
        <v>4.694</v>
      </c>
      <c r="J400" s="15" t="n">
        <v>2.064</v>
      </c>
      <c r="K400" s="15" t="n"/>
      <c r="L400" s="15" t="n">
        <v>9.042</v>
      </c>
      <c r="M400" s="15" t="n"/>
      <c r="N400" s="15" t="n">
        <v>2.643</v>
      </c>
      <c r="O400" s="15" t="n"/>
      <c r="P400" s="15" t="n">
        <v>40.773</v>
      </c>
      <c r="Q400" s="15" t="n">
        <v>1.153</v>
      </c>
      <c r="R400" s="15" t="n">
        <v>81.54900000000001</v>
      </c>
      <c r="S400" s="15" t="n">
        <v>80.246</v>
      </c>
      <c r="T400" s="15" t="n">
        <v>82.17100000000001</v>
      </c>
      <c r="U400" s="15" t="n">
        <v>87.196</v>
      </c>
      <c r="V400" s="15" t="n">
        <v>20.402</v>
      </c>
      <c r="W400" s="15" t="n">
        <v>24.694</v>
      </c>
      <c r="X400" s="15" t="n">
        <v>190.06</v>
      </c>
      <c r="Y400" s="15" t="n"/>
      <c r="Z400" s="15" t="n"/>
      <c r="AA400" s="15" t="n"/>
      <c r="AB400" s="15" t="n"/>
      <c r="AC400" s="15" t="n"/>
      <c r="AD400" s="16" t="n">
        <v>1594</v>
      </c>
      <c r="AE400" s="17">
        <f>IF(ISNUMBER(K400),K400,IF(AND(ISNUMBER(H400),ISNUMBER(I400)),H400+I400,IF(ISNUMBER(H400),H400,"")))</f>
        <v/>
      </c>
      <c r="AF400" s="18">
        <f>IF(OR(NOT(ISNUMBER(J400)),NOT(ISNUMBER(H400)),H400&lt;=0),기준표!$B$8,MIN(MAX(J400/H400,기준표!$B$6),기준표!$B$7))</f>
        <v/>
      </c>
      <c r="AG400" s="17">
        <f>IF(ISNUMBER(AE400),AE400*(1-AF400),"")</f>
        <v/>
      </c>
      <c r="AH400" s="17">
        <f>IF(AND(NOT(ISNUMBER(V400)),NOT(ISNUMBER(X400))),"",IF(ISNUMBER(V400),V400,0)+IF(ISNUMBER(X400),X400,0))</f>
        <v/>
      </c>
      <c r="AI400" s="17">
        <f>IF(E400="금융","",IF(AND(ISNUMBER(R400),ISNUMBER(AH400),ISNUMBER(T400)),R400+AH400-T400,""))</f>
        <v/>
      </c>
      <c r="AJ400" s="17">
        <f>IF(E400="금융","",IF(NOT(ISNUMBER(AI400)),"",IF(ISNUMBER(AC400),(AI400+AC400)/2,AI400)))</f>
        <v/>
      </c>
      <c r="AK400" s="19">
        <f>IF(AND(ISNUMBER(AG400),ISNUMBER(AJ400),AJ400&gt;0),AG400/AJ400,"")</f>
        <v/>
      </c>
      <c r="AL400" s="17">
        <f>IF(E400="금융","",IF(AND(ISNUMBER(R400),ISNUMBER(AH400)),R400+AH400,""))</f>
        <v/>
      </c>
      <c r="AM400" s="19">
        <f>IF(OR(NOT(ISNUMBER(AG400)),NOT(ISNUMBER(AL400)),AL400&lt;=0),"",IF(AND(ISNUMBER(G400),AL400&lt;0.1*G400),"",AG400/AL400))</f>
        <v/>
      </c>
      <c r="AN400" s="17">
        <f>IF(NOT(ISNUMBER(R400)),"",IF(ISNUMBER(S400),(R400+S400)/2,R400))</f>
        <v/>
      </c>
      <c r="AO400" s="19">
        <f>IF(AND(ISNUMBER(L400),ISNUMBER(AN400),AN400&gt;0),L400/AN400,"")</f>
        <v/>
      </c>
      <c r="AP400" s="19">
        <f>IF(AND(ISNUMBER(AO400),ISNUMBER({ROIC})),AO400-{ROIC},"")</f>
        <v/>
      </c>
      <c r="AQ400" s="17">
        <f>IF(AND(ISNUMBER(AE400),ISNUMBER(N400)),AE400+N400,"")</f>
        <v/>
      </c>
      <c r="AR400" s="20">
        <f>IF(AND(ISNUMBER(AH400),ISNUMBER(T400),ISNUMBER(AQ400),AQ400&gt;0),(AH400-T400)/AQ400,"")</f>
        <v/>
      </c>
      <c r="AS400" s="20">
        <f>IF(AND(ISNUMBER(AE400),ISNUMBER(I400),I400&lt;&gt;0,AE400&gt;0),AE400/I400,"")</f>
        <v/>
      </c>
      <c r="AT400" s="17">
        <f>IF(AND(ISNUMBER(Y400),ISNUMBER(AA400)),Y400-IF(ISNUMBER(T400),T400,0)-(AA400-IF(ISNUMBER(V400),V400,0)),"")</f>
        <v/>
      </c>
      <c r="AU400" s="17">
        <f>IF(AND(ISNUMBER(Z400),ISNUMBER(AB400)),Z400-IF(ISNUMBER(U400),U400,0)-(AB400-IF(ISNUMBER(W400),W400,0)),"")</f>
        <v/>
      </c>
      <c r="AV400" s="17">
        <f>IF(AND(ISNUMBER(AT400),ISNUMBER(AU400)),AT400-AU400,"")</f>
        <v/>
      </c>
      <c r="AW400" s="17">
        <f>IF(AND(ISNUMBER(L400),ISNUMBER(M400),ISNUMBER(AF400)),L400-M400*(1-AF400),IF(ISNUMBER(L400),L400,""))</f>
        <v/>
      </c>
      <c r="AX400" s="17">
        <f>IF(E400="금융","",IF(AND(ISNUMBER(AW400),ISNUMBER(N400),ISNUMBER(O400),ISNUMBER(AV400)),AW400+N400-O400-AV400,IF(AND(ISNUMBER(P400),ISNUMBER(O400)),P400-O400-IF(ISNUMBER(Q400),Q400,0),"")))</f>
        <v/>
      </c>
      <c r="AY400" s="8">
        <f>IF(E400="금융","금융업 - 정의되지 않음",IF(AND(ISNUMBER(AW400),ISNUMBER(N400),ISNUMBER(O400),ISNUMBER(AV400)),"영업순이익+감가상각-설비투자-운전자본증감",IF(AND(ISNUMBER(P400),ISNUMBER(O400)),IF(ISNUMBER(Q400),"영업현금흐름-설비투자-주식보상비용","영업현금흐름-설비투자(주식보상비용 미태깅)"),"산출불가")))</f>
        <v/>
      </c>
      <c r="AZ400" s="19">
        <f>IF(AND(ISNUMBER(AX400),ISNUMBER(G400),G400&lt;&gt;0),AX400/G400,"")</f>
        <v/>
      </c>
      <c r="BA400" s="19">
        <f>IF(AND(ISNUMBER(AE400),ISNUMBER(G400),G400&lt;&gt;0),AE400/G400,"")</f>
        <v/>
      </c>
    </row>
    <row r="401">
      <c r="A401" s="8" t="inlineStr">
        <is>
          <t>MS</t>
        </is>
      </c>
      <c r="B401" s="8" t="inlineStr">
        <is>
          <t>MORGAN STANLEY</t>
        </is>
      </c>
      <c r="C401" s="8" t="n">
        <v>2020</v>
      </c>
      <c r="D401" s="8" t="inlineStr">
        <is>
          <t>2020-12-31</t>
        </is>
      </c>
      <c r="E401" s="8" t="inlineStr">
        <is>
          <t>금융</t>
        </is>
      </c>
      <c r="F401" s="8" t="inlineStr">
        <is>
          <t>0000895421-23-000284</t>
        </is>
      </c>
      <c r="G401" s="15" t="n">
        <v>48.757</v>
      </c>
      <c r="H401" s="15" t="n">
        <v>14.418</v>
      </c>
      <c r="I401" s="15" t="n">
        <v>6.313</v>
      </c>
      <c r="J401" s="15" t="n">
        <v>3.239</v>
      </c>
      <c r="K401" s="15" t="n"/>
      <c r="L401" s="15" t="n">
        <v>10.996</v>
      </c>
      <c r="M401" s="15" t="n"/>
      <c r="N401" s="15" t="n">
        <v>3.769</v>
      </c>
      <c r="O401" s="15" t="n"/>
      <c r="P401" s="15" t="n">
        <v>-25.231</v>
      </c>
      <c r="Q401" s="15" t="n">
        <v>1.312</v>
      </c>
      <c r="R401" s="15" t="n">
        <v>101.781</v>
      </c>
      <c r="S401" s="15" t="n">
        <v>81.54900000000001</v>
      </c>
      <c r="T401" s="15" t="n">
        <v>105.654</v>
      </c>
      <c r="U401" s="15" t="n">
        <v>82.17100000000001</v>
      </c>
      <c r="V401" s="15" t="n">
        <v>24.241</v>
      </c>
      <c r="W401" s="15" t="n">
        <v>20.402</v>
      </c>
      <c r="X401" s="15" t="n">
        <v>213.388</v>
      </c>
      <c r="Y401" s="15" t="n"/>
      <c r="Z401" s="15" t="n"/>
      <c r="AA401" s="15" t="n"/>
      <c r="AB401" s="15" t="n"/>
      <c r="AC401" s="15" t="n"/>
      <c r="AD401" s="16" t="n">
        <v>1810</v>
      </c>
      <c r="AE401" s="17">
        <f>IF(ISNUMBER(K401),K401,IF(AND(ISNUMBER(H401),ISNUMBER(I401)),H401+I401,IF(ISNUMBER(H401),H401,"")))</f>
        <v/>
      </c>
      <c r="AF401" s="18">
        <f>IF(OR(NOT(ISNUMBER(J401)),NOT(ISNUMBER(H401)),H401&lt;=0),기준표!$B$8,MIN(MAX(J401/H401,기준표!$B$6),기준표!$B$7))</f>
        <v/>
      </c>
      <c r="AG401" s="17">
        <f>IF(ISNUMBER(AE401),AE401*(1-AF401),"")</f>
        <v/>
      </c>
      <c r="AH401" s="17">
        <f>IF(AND(NOT(ISNUMBER(V401)),NOT(ISNUMBER(X401))),"",IF(ISNUMBER(V401),V401,0)+IF(ISNUMBER(X401),X401,0))</f>
        <v/>
      </c>
      <c r="AI401" s="17">
        <f>IF(E401="금융","",IF(AND(ISNUMBER(R401),ISNUMBER(AH401),ISNUMBER(T401)),R401+AH401-T401,""))</f>
        <v/>
      </c>
      <c r="AJ401" s="17">
        <f>IF(E401="금융","",IF(NOT(ISNUMBER(AI401)),"",IF(ISNUMBER(AC401),(AI401+AC401)/2,AI401)))</f>
        <v/>
      </c>
      <c r="AK401" s="19">
        <f>IF(AND(ISNUMBER(AG401),ISNUMBER(AJ401),AJ401&gt;0),AG401/AJ401,"")</f>
        <v/>
      </c>
      <c r="AL401" s="17">
        <f>IF(E401="금융","",IF(AND(ISNUMBER(R401),ISNUMBER(AH401)),R401+AH401,""))</f>
        <v/>
      </c>
      <c r="AM401" s="19">
        <f>IF(OR(NOT(ISNUMBER(AG401)),NOT(ISNUMBER(AL401)),AL401&lt;=0),"",IF(AND(ISNUMBER(G401),AL401&lt;0.1*G401),"",AG401/AL401))</f>
        <v/>
      </c>
      <c r="AN401" s="17">
        <f>IF(NOT(ISNUMBER(R401)),"",IF(ISNUMBER(S401),(R401+S401)/2,R401))</f>
        <v/>
      </c>
      <c r="AO401" s="19">
        <f>IF(AND(ISNUMBER(L401),ISNUMBER(AN401),AN401&gt;0),L401/AN401,"")</f>
        <v/>
      </c>
      <c r="AP401" s="19">
        <f>IF(AND(ISNUMBER(AO401),ISNUMBER({ROIC})),AO401-{ROIC},"")</f>
        <v/>
      </c>
      <c r="AQ401" s="17">
        <f>IF(AND(ISNUMBER(AE401),ISNUMBER(N401)),AE401+N401,"")</f>
        <v/>
      </c>
      <c r="AR401" s="20">
        <f>IF(AND(ISNUMBER(AH401),ISNUMBER(T401),ISNUMBER(AQ401),AQ401&gt;0),(AH401-T401)/AQ401,"")</f>
        <v/>
      </c>
      <c r="AS401" s="20">
        <f>IF(AND(ISNUMBER(AE401),ISNUMBER(I401),I401&lt;&gt;0,AE401&gt;0),AE401/I401,"")</f>
        <v/>
      </c>
      <c r="AT401" s="17">
        <f>IF(AND(ISNUMBER(Y401),ISNUMBER(AA401)),Y401-IF(ISNUMBER(T401),T401,0)-(AA401-IF(ISNUMBER(V401),V401,0)),"")</f>
        <v/>
      </c>
      <c r="AU401" s="17">
        <f>IF(AND(ISNUMBER(Z401),ISNUMBER(AB401)),Z401-IF(ISNUMBER(U401),U401,0)-(AB401-IF(ISNUMBER(W401),W401,0)),"")</f>
        <v/>
      </c>
      <c r="AV401" s="17">
        <f>IF(AND(ISNUMBER(AT401),ISNUMBER(AU401)),AT401-AU401,"")</f>
        <v/>
      </c>
      <c r="AW401" s="17">
        <f>IF(AND(ISNUMBER(L401),ISNUMBER(M401),ISNUMBER(AF401)),L401-M401*(1-AF401),IF(ISNUMBER(L401),L401,""))</f>
        <v/>
      </c>
      <c r="AX401" s="17">
        <f>IF(E401="금융","",IF(AND(ISNUMBER(AW401),ISNUMBER(N401),ISNUMBER(O401),ISNUMBER(AV401)),AW401+N401-O401-AV401,IF(AND(ISNUMBER(P401),ISNUMBER(O401)),P401-O401-IF(ISNUMBER(Q401),Q401,0),"")))</f>
        <v/>
      </c>
      <c r="AY401" s="8">
        <f>IF(E401="금융","금융업 - 정의되지 않음",IF(AND(ISNUMBER(AW401),ISNUMBER(N401),ISNUMBER(O401),ISNUMBER(AV401)),"영업순이익+감가상각-설비투자-운전자본증감",IF(AND(ISNUMBER(P401),ISNUMBER(O401)),IF(ISNUMBER(Q401),"영업현금흐름-설비투자-주식보상비용","영업현금흐름-설비투자(주식보상비용 미태깅)"),"산출불가")))</f>
        <v/>
      </c>
      <c r="AZ401" s="19">
        <f>IF(AND(ISNUMBER(AX401),ISNUMBER(G401),G401&lt;&gt;0),AX401/G401,"")</f>
        <v/>
      </c>
      <c r="BA401" s="19">
        <f>IF(AND(ISNUMBER(AE401),ISNUMBER(G401),G401&lt;&gt;0),AE401/G401,"")</f>
        <v/>
      </c>
    </row>
    <row r="402">
      <c r="A402" s="8" t="inlineStr">
        <is>
          <t>MS</t>
        </is>
      </c>
      <c r="B402" s="8" t="inlineStr">
        <is>
          <t>MORGAN STANLEY</t>
        </is>
      </c>
      <c r="C402" s="8" t="n">
        <v>2021</v>
      </c>
      <c r="D402" s="8" t="inlineStr">
        <is>
          <t>2021-12-31</t>
        </is>
      </c>
      <c r="E402" s="8" t="inlineStr">
        <is>
          <t>금융</t>
        </is>
      </c>
      <c r="F402" s="8" t="inlineStr">
        <is>
          <t>0000895421-24-000300</t>
        </is>
      </c>
      <c r="G402" s="15" t="n">
        <v>59.755</v>
      </c>
      <c r="H402" s="15" t="n">
        <v>19.668</v>
      </c>
      <c r="I402" s="15" t="n">
        <v>8.045</v>
      </c>
      <c r="J402" s="15" t="n">
        <v>4.548</v>
      </c>
      <c r="K402" s="15" t="n"/>
      <c r="L402" s="15" t="n">
        <v>15.034</v>
      </c>
      <c r="M402" s="15" t="n"/>
      <c r="N402" s="15" t="n">
        <v>4.216</v>
      </c>
      <c r="O402" s="15" t="n"/>
      <c r="P402" s="15" t="n">
        <v>33.971</v>
      </c>
      <c r="Q402" s="15" t="n">
        <v>2.085</v>
      </c>
      <c r="R402" s="15" t="n">
        <v>105.441</v>
      </c>
      <c r="S402" s="15" t="n">
        <v>101.781</v>
      </c>
      <c r="T402" s="15" t="n">
        <v>127.725</v>
      </c>
      <c r="U402" s="15" t="n">
        <v>105.654</v>
      </c>
      <c r="V402" s="15" t="n"/>
      <c r="W402" s="15" t="n">
        <v>24.241</v>
      </c>
      <c r="X402" s="15" t="n">
        <v>227.363</v>
      </c>
      <c r="Y402" s="15" t="n"/>
      <c r="Z402" s="15" t="n"/>
      <c r="AA402" s="15" t="n"/>
      <c r="AB402" s="15" t="n"/>
      <c r="AC402" s="15" t="n"/>
      <c r="AD402" s="16" t="n">
        <v>1772</v>
      </c>
      <c r="AE402" s="17">
        <f>IF(ISNUMBER(K402),K402,IF(AND(ISNUMBER(H402),ISNUMBER(I402)),H402+I402,IF(ISNUMBER(H402),H402,"")))</f>
        <v/>
      </c>
      <c r="AF402" s="18">
        <f>IF(OR(NOT(ISNUMBER(J402)),NOT(ISNUMBER(H402)),H402&lt;=0),기준표!$B$8,MIN(MAX(J402/H402,기준표!$B$6),기준표!$B$7))</f>
        <v/>
      </c>
      <c r="AG402" s="17">
        <f>IF(ISNUMBER(AE402),AE402*(1-AF402),"")</f>
        <v/>
      </c>
      <c r="AH402" s="17">
        <f>IF(AND(NOT(ISNUMBER(V402)),NOT(ISNUMBER(X402))),"",IF(ISNUMBER(V402),V402,0)+IF(ISNUMBER(X402),X402,0))</f>
        <v/>
      </c>
      <c r="AI402" s="17">
        <f>IF(E402="금융","",IF(AND(ISNUMBER(R402),ISNUMBER(AH402),ISNUMBER(T402)),R402+AH402-T402,""))</f>
        <v/>
      </c>
      <c r="AJ402" s="17">
        <f>IF(E402="금융","",IF(NOT(ISNUMBER(AI402)),"",IF(ISNUMBER(AC402),(AI402+AC402)/2,AI402)))</f>
        <v/>
      </c>
      <c r="AK402" s="19">
        <f>IF(AND(ISNUMBER(AG402),ISNUMBER(AJ402),AJ402&gt;0),AG402/AJ402,"")</f>
        <v/>
      </c>
      <c r="AL402" s="17">
        <f>IF(E402="금융","",IF(AND(ISNUMBER(R402),ISNUMBER(AH402)),R402+AH402,""))</f>
        <v/>
      </c>
      <c r="AM402" s="19">
        <f>IF(OR(NOT(ISNUMBER(AG402)),NOT(ISNUMBER(AL402)),AL402&lt;=0),"",IF(AND(ISNUMBER(G402),AL402&lt;0.1*G402),"",AG402/AL402))</f>
        <v/>
      </c>
      <c r="AN402" s="17">
        <f>IF(NOT(ISNUMBER(R402)),"",IF(ISNUMBER(S402),(R402+S402)/2,R402))</f>
        <v/>
      </c>
      <c r="AO402" s="19">
        <f>IF(AND(ISNUMBER(L402),ISNUMBER(AN402),AN402&gt;0),L402/AN402,"")</f>
        <v/>
      </c>
      <c r="AP402" s="19">
        <f>IF(AND(ISNUMBER(AO402),ISNUMBER({ROIC})),AO402-{ROIC},"")</f>
        <v/>
      </c>
      <c r="AQ402" s="17">
        <f>IF(AND(ISNUMBER(AE402),ISNUMBER(N402)),AE402+N402,"")</f>
        <v/>
      </c>
      <c r="AR402" s="20">
        <f>IF(AND(ISNUMBER(AH402),ISNUMBER(T402),ISNUMBER(AQ402),AQ402&gt;0),(AH402-T402)/AQ402,"")</f>
        <v/>
      </c>
      <c r="AS402" s="20">
        <f>IF(AND(ISNUMBER(AE402),ISNUMBER(I402),I402&lt;&gt;0,AE402&gt;0),AE402/I402,"")</f>
        <v/>
      </c>
      <c r="AT402" s="17">
        <f>IF(AND(ISNUMBER(Y402),ISNUMBER(AA402)),Y402-IF(ISNUMBER(T402),T402,0)-(AA402-IF(ISNUMBER(V402),V402,0)),"")</f>
        <v/>
      </c>
      <c r="AU402" s="17">
        <f>IF(AND(ISNUMBER(Z402),ISNUMBER(AB402)),Z402-IF(ISNUMBER(U402),U402,0)-(AB402-IF(ISNUMBER(W402),W402,0)),"")</f>
        <v/>
      </c>
      <c r="AV402" s="17">
        <f>IF(AND(ISNUMBER(AT402),ISNUMBER(AU402)),AT402-AU402,"")</f>
        <v/>
      </c>
      <c r="AW402" s="17">
        <f>IF(AND(ISNUMBER(L402),ISNUMBER(M402),ISNUMBER(AF402)),L402-M402*(1-AF402),IF(ISNUMBER(L402),L402,""))</f>
        <v/>
      </c>
      <c r="AX402" s="17">
        <f>IF(E402="금융","",IF(AND(ISNUMBER(AW402),ISNUMBER(N402),ISNUMBER(O402),ISNUMBER(AV402)),AW402+N402-O402-AV402,IF(AND(ISNUMBER(P402),ISNUMBER(O402)),P402-O402-IF(ISNUMBER(Q402),Q402,0),"")))</f>
        <v/>
      </c>
      <c r="AY402" s="8">
        <f>IF(E402="금융","금융업 - 정의되지 않음",IF(AND(ISNUMBER(AW402),ISNUMBER(N402),ISNUMBER(O402),ISNUMBER(AV402)),"영업순이익+감가상각-설비투자-운전자본증감",IF(AND(ISNUMBER(P402),ISNUMBER(O402)),IF(ISNUMBER(Q402),"영업현금흐름-설비투자-주식보상비용","영업현금흐름-설비투자(주식보상비용 미태깅)"),"산출불가")))</f>
        <v/>
      </c>
      <c r="AZ402" s="19">
        <f>IF(AND(ISNUMBER(AX402),ISNUMBER(G402),G402&lt;&gt;0),AX402/G402,"")</f>
        <v/>
      </c>
      <c r="BA402" s="19">
        <f>IF(AND(ISNUMBER(AE402),ISNUMBER(G402),G402&lt;&gt;0),AE402/G402,"")</f>
        <v/>
      </c>
    </row>
    <row r="403">
      <c r="A403" s="8" t="inlineStr">
        <is>
          <t>MS</t>
        </is>
      </c>
      <c r="B403" s="8" t="inlineStr">
        <is>
          <t>MORGAN STANLEY</t>
        </is>
      </c>
      <c r="C403" s="8" t="n">
        <v>2022</v>
      </c>
      <c r="D403" s="8" t="inlineStr">
        <is>
          <t>2022-12-31</t>
        </is>
      </c>
      <c r="E403" s="8" t="inlineStr">
        <is>
          <t>금융</t>
        </is>
      </c>
      <c r="F403" s="8" t="inlineStr">
        <is>
          <t>0000895421-25-000304</t>
        </is>
      </c>
      <c r="G403" s="15" t="n">
        <v>53.668</v>
      </c>
      <c r="H403" s="15" t="n">
        <v>14.089</v>
      </c>
      <c r="I403" s="15" t="n">
        <v>9.327</v>
      </c>
      <c r="J403" s="15" t="n">
        <v>2.91</v>
      </c>
      <c r="K403" s="15" t="n"/>
      <c r="L403" s="15" t="n">
        <v>11.029</v>
      </c>
      <c r="M403" s="15" t="n"/>
      <c r="N403" s="15" t="n">
        <v>3.998</v>
      </c>
      <c r="O403" s="15" t="n"/>
      <c r="P403" s="15" t="n">
        <v>-6.397</v>
      </c>
      <c r="Q403" s="15" t="n">
        <v>1.875</v>
      </c>
      <c r="R403" s="15" t="n">
        <v>100.141</v>
      </c>
      <c r="S403" s="15" t="n">
        <v>105.441</v>
      </c>
      <c r="T403" s="15" t="n">
        <v>128.127</v>
      </c>
      <c r="U403" s="15" t="n">
        <v>127.725</v>
      </c>
      <c r="V403" s="15" t="n"/>
      <c r="W403" s="15" t="n"/>
      <c r="X403" s="15" t="n">
        <v>233.867</v>
      </c>
      <c r="Y403" s="15" t="n"/>
      <c r="Z403" s="15" t="n"/>
      <c r="AA403" s="15" t="n"/>
      <c r="AB403" s="15" t="n"/>
      <c r="AC403" s="15" t="n"/>
      <c r="AD403" s="16" t="n">
        <v>1675</v>
      </c>
      <c r="AE403" s="17">
        <f>IF(ISNUMBER(K403),K403,IF(AND(ISNUMBER(H403),ISNUMBER(I403)),H403+I403,IF(ISNUMBER(H403),H403,"")))</f>
        <v/>
      </c>
      <c r="AF403" s="18">
        <f>IF(OR(NOT(ISNUMBER(J403)),NOT(ISNUMBER(H403)),H403&lt;=0),기준표!$B$8,MIN(MAX(J403/H403,기준표!$B$6),기준표!$B$7))</f>
        <v/>
      </c>
      <c r="AG403" s="17">
        <f>IF(ISNUMBER(AE403),AE403*(1-AF403),"")</f>
        <v/>
      </c>
      <c r="AH403" s="17">
        <f>IF(AND(NOT(ISNUMBER(V403)),NOT(ISNUMBER(X403))),"",IF(ISNUMBER(V403),V403,0)+IF(ISNUMBER(X403),X403,0))</f>
        <v/>
      </c>
      <c r="AI403" s="17">
        <f>IF(E403="금융","",IF(AND(ISNUMBER(R403),ISNUMBER(AH403),ISNUMBER(T403)),R403+AH403-T403,""))</f>
        <v/>
      </c>
      <c r="AJ403" s="17">
        <f>IF(E403="금융","",IF(NOT(ISNUMBER(AI403)),"",IF(ISNUMBER(AC403),(AI403+AC403)/2,AI403)))</f>
        <v/>
      </c>
      <c r="AK403" s="19">
        <f>IF(AND(ISNUMBER(AG403),ISNUMBER(AJ403),AJ403&gt;0),AG403/AJ403,"")</f>
        <v/>
      </c>
      <c r="AL403" s="17">
        <f>IF(E403="금융","",IF(AND(ISNUMBER(R403),ISNUMBER(AH403)),R403+AH403,""))</f>
        <v/>
      </c>
      <c r="AM403" s="19">
        <f>IF(OR(NOT(ISNUMBER(AG403)),NOT(ISNUMBER(AL403)),AL403&lt;=0),"",IF(AND(ISNUMBER(G403),AL403&lt;0.1*G403),"",AG403/AL403))</f>
        <v/>
      </c>
      <c r="AN403" s="17">
        <f>IF(NOT(ISNUMBER(R403)),"",IF(ISNUMBER(S403),(R403+S403)/2,R403))</f>
        <v/>
      </c>
      <c r="AO403" s="19">
        <f>IF(AND(ISNUMBER(L403),ISNUMBER(AN403),AN403&gt;0),L403/AN403,"")</f>
        <v/>
      </c>
      <c r="AP403" s="19">
        <f>IF(AND(ISNUMBER(AO403),ISNUMBER({ROIC})),AO403-{ROIC},"")</f>
        <v/>
      </c>
      <c r="AQ403" s="17">
        <f>IF(AND(ISNUMBER(AE403),ISNUMBER(N403)),AE403+N403,"")</f>
        <v/>
      </c>
      <c r="AR403" s="20">
        <f>IF(AND(ISNUMBER(AH403),ISNUMBER(T403),ISNUMBER(AQ403),AQ403&gt;0),(AH403-T403)/AQ403,"")</f>
        <v/>
      </c>
      <c r="AS403" s="20">
        <f>IF(AND(ISNUMBER(AE403),ISNUMBER(I403),I403&lt;&gt;0,AE403&gt;0),AE403/I403,"")</f>
        <v/>
      </c>
      <c r="AT403" s="17">
        <f>IF(AND(ISNUMBER(Y403),ISNUMBER(AA403)),Y403-IF(ISNUMBER(T403),T403,0)-(AA403-IF(ISNUMBER(V403),V403,0)),"")</f>
        <v/>
      </c>
      <c r="AU403" s="17">
        <f>IF(AND(ISNUMBER(Z403),ISNUMBER(AB403)),Z403-IF(ISNUMBER(U403),U403,0)-(AB403-IF(ISNUMBER(W403),W403,0)),"")</f>
        <v/>
      </c>
      <c r="AV403" s="17">
        <f>IF(AND(ISNUMBER(AT403),ISNUMBER(AU403)),AT403-AU403,"")</f>
        <v/>
      </c>
      <c r="AW403" s="17">
        <f>IF(AND(ISNUMBER(L403),ISNUMBER(M403),ISNUMBER(AF403)),L403-M403*(1-AF403),IF(ISNUMBER(L403),L403,""))</f>
        <v/>
      </c>
      <c r="AX403" s="17">
        <f>IF(E403="금융","",IF(AND(ISNUMBER(AW403),ISNUMBER(N403),ISNUMBER(O403),ISNUMBER(AV403)),AW403+N403-O403-AV403,IF(AND(ISNUMBER(P403),ISNUMBER(O403)),P403-O403-IF(ISNUMBER(Q403),Q403,0),"")))</f>
        <v/>
      </c>
      <c r="AY403" s="8">
        <f>IF(E403="금융","금융업 - 정의되지 않음",IF(AND(ISNUMBER(AW403),ISNUMBER(N403),ISNUMBER(O403),ISNUMBER(AV403)),"영업순이익+감가상각-설비투자-운전자본증감",IF(AND(ISNUMBER(P403),ISNUMBER(O403)),IF(ISNUMBER(Q403),"영업현금흐름-설비투자-주식보상비용","영업현금흐름-설비투자(주식보상비용 미태깅)"),"산출불가")))</f>
        <v/>
      </c>
      <c r="AZ403" s="19">
        <f>IF(AND(ISNUMBER(AX403),ISNUMBER(G403),G403&lt;&gt;0),AX403/G403,"")</f>
        <v/>
      </c>
      <c r="BA403" s="19">
        <f>IF(AND(ISNUMBER(AE403),ISNUMBER(G403),G403&lt;&gt;0),AE403/G403,"")</f>
        <v/>
      </c>
    </row>
    <row r="404">
      <c r="A404" s="8" t="inlineStr">
        <is>
          <t>MS</t>
        </is>
      </c>
      <c r="B404" s="8" t="inlineStr">
        <is>
          <t>MORGAN STANLEY</t>
        </is>
      </c>
      <c r="C404" s="8" t="n">
        <v>2023</v>
      </c>
      <c r="D404" s="8" t="inlineStr">
        <is>
          <t>2023-12-31</t>
        </is>
      </c>
      <c r="E404" s="8" t="inlineStr">
        <is>
          <t>금융</t>
        </is>
      </c>
      <c r="F404" s="8" t="inlineStr">
        <is>
          <t>0000895421-26-000086</t>
        </is>
      </c>
      <c r="G404" s="15" t="n">
        <v>54.143</v>
      </c>
      <c r="H404" s="15" t="n">
        <v>11.813</v>
      </c>
      <c r="I404" s="15" t="n">
        <v>8.23</v>
      </c>
      <c r="J404" s="15" t="n">
        <v>2.583</v>
      </c>
      <c r="K404" s="15" t="n"/>
      <c r="L404" s="15" t="n">
        <v>9.087</v>
      </c>
      <c r="M404" s="15" t="n"/>
      <c r="N404" s="15" t="n">
        <v>4.256</v>
      </c>
      <c r="O404" s="15" t="n"/>
      <c r="P404" s="15" t="n">
        <v>-33.536</v>
      </c>
      <c r="Q404" s="15" t="n">
        <v>1.709</v>
      </c>
      <c r="R404" s="15" t="n">
        <v>99.038</v>
      </c>
      <c r="S404" s="15" t="n">
        <v>100.141</v>
      </c>
      <c r="T404" s="15" t="n">
        <v>89.232</v>
      </c>
      <c r="U404" s="15" t="n">
        <v>128.127</v>
      </c>
      <c r="V404" s="15" t="n"/>
      <c r="W404" s="15" t="n"/>
      <c r="X404" s="15" t="n">
        <v>260.544</v>
      </c>
      <c r="Y404" s="15" t="n"/>
      <c r="Z404" s="15" t="n"/>
      <c r="AA404" s="15" t="n"/>
      <c r="AB404" s="15" t="n"/>
      <c r="AC404" s="15" t="n"/>
      <c r="AD404" s="16" t="n">
        <v>1627</v>
      </c>
      <c r="AE404" s="17">
        <f>IF(ISNUMBER(K404),K404,IF(AND(ISNUMBER(H404),ISNUMBER(I404)),H404+I404,IF(ISNUMBER(H404),H404,"")))</f>
        <v/>
      </c>
      <c r="AF404" s="18">
        <f>IF(OR(NOT(ISNUMBER(J404)),NOT(ISNUMBER(H404)),H404&lt;=0),기준표!$B$8,MIN(MAX(J404/H404,기준표!$B$6),기준표!$B$7))</f>
        <v/>
      </c>
      <c r="AG404" s="17">
        <f>IF(ISNUMBER(AE404),AE404*(1-AF404),"")</f>
        <v/>
      </c>
      <c r="AH404" s="17">
        <f>IF(AND(NOT(ISNUMBER(V404)),NOT(ISNUMBER(X404))),"",IF(ISNUMBER(V404),V404,0)+IF(ISNUMBER(X404),X404,0))</f>
        <v/>
      </c>
      <c r="AI404" s="17">
        <f>IF(E404="금융","",IF(AND(ISNUMBER(R404),ISNUMBER(AH404),ISNUMBER(T404)),R404+AH404-T404,""))</f>
        <v/>
      </c>
      <c r="AJ404" s="17">
        <f>IF(E404="금융","",IF(NOT(ISNUMBER(AI404)),"",IF(ISNUMBER(AC404),(AI404+AC404)/2,AI404)))</f>
        <v/>
      </c>
      <c r="AK404" s="19">
        <f>IF(AND(ISNUMBER(AG404),ISNUMBER(AJ404),AJ404&gt;0),AG404/AJ404,"")</f>
        <v/>
      </c>
      <c r="AL404" s="17">
        <f>IF(E404="금융","",IF(AND(ISNUMBER(R404),ISNUMBER(AH404)),R404+AH404,""))</f>
        <v/>
      </c>
      <c r="AM404" s="19">
        <f>IF(OR(NOT(ISNUMBER(AG404)),NOT(ISNUMBER(AL404)),AL404&lt;=0),"",IF(AND(ISNUMBER(G404),AL404&lt;0.1*G404),"",AG404/AL404))</f>
        <v/>
      </c>
      <c r="AN404" s="17">
        <f>IF(NOT(ISNUMBER(R404)),"",IF(ISNUMBER(S404),(R404+S404)/2,R404))</f>
        <v/>
      </c>
      <c r="AO404" s="19">
        <f>IF(AND(ISNUMBER(L404),ISNUMBER(AN404),AN404&gt;0),L404/AN404,"")</f>
        <v/>
      </c>
      <c r="AP404" s="19">
        <f>IF(AND(ISNUMBER(AO404),ISNUMBER({ROIC})),AO404-{ROIC},"")</f>
        <v/>
      </c>
      <c r="AQ404" s="17">
        <f>IF(AND(ISNUMBER(AE404),ISNUMBER(N404)),AE404+N404,"")</f>
        <v/>
      </c>
      <c r="AR404" s="20">
        <f>IF(AND(ISNUMBER(AH404),ISNUMBER(T404),ISNUMBER(AQ404),AQ404&gt;0),(AH404-T404)/AQ404,"")</f>
        <v/>
      </c>
      <c r="AS404" s="20">
        <f>IF(AND(ISNUMBER(AE404),ISNUMBER(I404),I404&lt;&gt;0,AE404&gt;0),AE404/I404,"")</f>
        <v/>
      </c>
      <c r="AT404" s="17">
        <f>IF(AND(ISNUMBER(Y404),ISNUMBER(AA404)),Y404-IF(ISNUMBER(T404),T404,0)-(AA404-IF(ISNUMBER(V404),V404,0)),"")</f>
        <v/>
      </c>
      <c r="AU404" s="17">
        <f>IF(AND(ISNUMBER(Z404),ISNUMBER(AB404)),Z404-IF(ISNUMBER(U404),U404,0)-(AB404-IF(ISNUMBER(W404),W404,0)),"")</f>
        <v/>
      </c>
      <c r="AV404" s="17">
        <f>IF(AND(ISNUMBER(AT404),ISNUMBER(AU404)),AT404-AU404,"")</f>
        <v/>
      </c>
      <c r="AW404" s="17">
        <f>IF(AND(ISNUMBER(L404),ISNUMBER(M404),ISNUMBER(AF404)),L404-M404*(1-AF404),IF(ISNUMBER(L404),L404,""))</f>
        <v/>
      </c>
      <c r="AX404" s="17">
        <f>IF(E404="금융","",IF(AND(ISNUMBER(AW404),ISNUMBER(N404),ISNUMBER(O404),ISNUMBER(AV404)),AW404+N404-O404-AV404,IF(AND(ISNUMBER(P404),ISNUMBER(O404)),P404-O404-IF(ISNUMBER(Q404),Q404,0),"")))</f>
        <v/>
      </c>
      <c r="AY404" s="8">
        <f>IF(E404="금융","금융업 - 정의되지 않음",IF(AND(ISNUMBER(AW404),ISNUMBER(N404),ISNUMBER(O404),ISNUMBER(AV404)),"영업순이익+감가상각-설비투자-운전자본증감",IF(AND(ISNUMBER(P404),ISNUMBER(O404)),IF(ISNUMBER(Q404),"영업현금흐름-설비투자-주식보상비용","영업현금흐름-설비투자(주식보상비용 미태깅)"),"산출불가")))</f>
        <v/>
      </c>
      <c r="AZ404" s="19">
        <f>IF(AND(ISNUMBER(AX404),ISNUMBER(G404),G404&lt;&gt;0),AX404/G404,"")</f>
        <v/>
      </c>
      <c r="BA404" s="19">
        <f>IF(AND(ISNUMBER(AE404),ISNUMBER(G404),G404&lt;&gt;0),AE404/G404,"")</f>
        <v/>
      </c>
    </row>
    <row r="405">
      <c r="A405" s="8" t="inlineStr">
        <is>
          <t>MS</t>
        </is>
      </c>
      <c r="B405" s="8" t="inlineStr">
        <is>
          <t>MORGAN STANLEY</t>
        </is>
      </c>
      <c r="C405" s="8" t="n">
        <v>2024</v>
      </c>
      <c r="D405" s="8" t="inlineStr">
        <is>
          <t>2024-12-31</t>
        </is>
      </c>
      <c r="E405" s="8" t="inlineStr">
        <is>
          <t>금융</t>
        </is>
      </c>
      <c r="F405" s="8" t="inlineStr">
        <is>
          <t>0000895421-26-000086</t>
        </is>
      </c>
      <c r="G405" s="15" t="n">
        <v>61.761</v>
      </c>
      <c r="H405" s="15" t="n">
        <v>17.596</v>
      </c>
      <c r="I405" s="15" t="n">
        <v>8.611000000000001</v>
      </c>
      <c r="J405" s="15" t="n">
        <v>4.067</v>
      </c>
      <c r="K405" s="15" t="n"/>
      <c r="L405" s="15" t="n">
        <v>13.39</v>
      </c>
      <c r="M405" s="15" t="n"/>
      <c r="N405" s="15" t="n">
        <v>5.161</v>
      </c>
      <c r="O405" s="15" t="n"/>
      <c r="P405" s="15" t="n">
        <v>1.362</v>
      </c>
      <c r="Q405" s="15" t="n">
        <v>1.622</v>
      </c>
      <c r="R405" s="15" t="n">
        <v>104.511</v>
      </c>
      <c r="S405" s="15" t="n">
        <v>99.038</v>
      </c>
      <c r="T405" s="15" t="n">
        <v>105.386</v>
      </c>
      <c r="U405" s="15" t="n">
        <v>89.232</v>
      </c>
      <c r="V405" s="15" t="n"/>
      <c r="W405" s="15" t="n"/>
      <c r="X405" s="15" t="n">
        <v>284.307</v>
      </c>
      <c r="Y405" s="15" t="n"/>
      <c r="Z405" s="15" t="n"/>
      <c r="AA405" s="15" t="n"/>
      <c r="AB405" s="15" t="n"/>
      <c r="AC405" s="15" t="n"/>
      <c r="AD405" s="16" t="n">
        <v>1606.653706</v>
      </c>
      <c r="AE405" s="17">
        <f>IF(ISNUMBER(K405),K405,IF(AND(ISNUMBER(H405),ISNUMBER(I405)),H405+I405,IF(ISNUMBER(H405),H405,"")))</f>
        <v/>
      </c>
      <c r="AF405" s="18">
        <f>IF(OR(NOT(ISNUMBER(J405)),NOT(ISNUMBER(H405)),H405&lt;=0),기준표!$B$8,MIN(MAX(J405/H405,기준표!$B$6),기준표!$B$7))</f>
        <v/>
      </c>
      <c r="AG405" s="17">
        <f>IF(ISNUMBER(AE405),AE405*(1-AF405),"")</f>
        <v/>
      </c>
      <c r="AH405" s="17">
        <f>IF(AND(NOT(ISNUMBER(V405)),NOT(ISNUMBER(X405))),"",IF(ISNUMBER(V405),V405,0)+IF(ISNUMBER(X405),X405,0))</f>
        <v/>
      </c>
      <c r="AI405" s="17">
        <f>IF(E405="금융","",IF(AND(ISNUMBER(R405),ISNUMBER(AH405),ISNUMBER(T405)),R405+AH405-T405,""))</f>
        <v/>
      </c>
      <c r="AJ405" s="17">
        <f>IF(E405="금융","",IF(NOT(ISNUMBER(AI405)),"",IF(ISNUMBER(AC405),(AI405+AC405)/2,AI405)))</f>
        <v/>
      </c>
      <c r="AK405" s="19">
        <f>IF(AND(ISNUMBER(AG405),ISNUMBER(AJ405),AJ405&gt;0),AG405/AJ405,"")</f>
        <v/>
      </c>
      <c r="AL405" s="17">
        <f>IF(E405="금융","",IF(AND(ISNUMBER(R405),ISNUMBER(AH405)),R405+AH405,""))</f>
        <v/>
      </c>
      <c r="AM405" s="19">
        <f>IF(OR(NOT(ISNUMBER(AG405)),NOT(ISNUMBER(AL405)),AL405&lt;=0),"",IF(AND(ISNUMBER(G405),AL405&lt;0.1*G405),"",AG405/AL405))</f>
        <v/>
      </c>
      <c r="AN405" s="17">
        <f>IF(NOT(ISNUMBER(R405)),"",IF(ISNUMBER(S405),(R405+S405)/2,R405))</f>
        <v/>
      </c>
      <c r="AO405" s="19">
        <f>IF(AND(ISNUMBER(L405),ISNUMBER(AN405),AN405&gt;0),L405/AN405,"")</f>
        <v/>
      </c>
      <c r="AP405" s="19">
        <f>IF(AND(ISNUMBER(AO405),ISNUMBER({ROIC})),AO405-{ROIC},"")</f>
        <v/>
      </c>
      <c r="AQ405" s="17">
        <f>IF(AND(ISNUMBER(AE405),ISNUMBER(N405)),AE405+N405,"")</f>
        <v/>
      </c>
      <c r="AR405" s="20">
        <f>IF(AND(ISNUMBER(AH405),ISNUMBER(T405),ISNUMBER(AQ405),AQ405&gt;0),(AH405-T405)/AQ405,"")</f>
        <v/>
      </c>
      <c r="AS405" s="20">
        <f>IF(AND(ISNUMBER(AE405),ISNUMBER(I405),I405&lt;&gt;0,AE405&gt;0),AE405/I405,"")</f>
        <v/>
      </c>
      <c r="AT405" s="17">
        <f>IF(AND(ISNUMBER(Y405),ISNUMBER(AA405)),Y405-IF(ISNUMBER(T405),T405,0)-(AA405-IF(ISNUMBER(V405),V405,0)),"")</f>
        <v/>
      </c>
      <c r="AU405" s="17">
        <f>IF(AND(ISNUMBER(Z405),ISNUMBER(AB405)),Z405-IF(ISNUMBER(U405),U405,0)-(AB405-IF(ISNUMBER(W405),W405,0)),"")</f>
        <v/>
      </c>
      <c r="AV405" s="17">
        <f>IF(AND(ISNUMBER(AT405),ISNUMBER(AU405)),AT405-AU405,"")</f>
        <v/>
      </c>
      <c r="AW405" s="17">
        <f>IF(AND(ISNUMBER(L405),ISNUMBER(M405),ISNUMBER(AF405)),L405-M405*(1-AF405),IF(ISNUMBER(L405),L405,""))</f>
        <v/>
      </c>
      <c r="AX405" s="17">
        <f>IF(E405="금융","",IF(AND(ISNUMBER(AW405),ISNUMBER(N405),ISNUMBER(O405),ISNUMBER(AV405)),AW405+N405-O405-AV405,IF(AND(ISNUMBER(P405),ISNUMBER(O405)),P405-O405-IF(ISNUMBER(Q405),Q405,0),"")))</f>
        <v/>
      </c>
      <c r="AY405" s="8">
        <f>IF(E405="금융","금융업 - 정의되지 않음",IF(AND(ISNUMBER(AW405),ISNUMBER(N405),ISNUMBER(O405),ISNUMBER(AV405)),"영업순이익+감가상각-설비투자-운전자본증감",IF(AND(ISNUMBER(P405),ISNUMBER(O405)),IF(ISNUMBER(Q405),"영업현금흐름-설비투자-주식보상비용","영업현금흐름-설비투자(주식보상비용 미태깅)"),"산출불가")))</f>
        <v/>
      </c>
      <c r="AZ405" s="19">
        <f>IF(AND(ISNUMBER(AX405),ISNUMBER(G405),G405&lt;&gt;0),AX405/G405,"")</f>
        <v/>
      </c>
      <c r="BA405" s="19">
        <f>IF(AND(ISNUMBER(AE405),ISNUMBER(G405),G405&lt;&gt;0),AE405/G405,"")</f>
        <v/>
      </c>
    </row>
    <row r="406">
      <c r="A406" s="8" t="inlineStr">
        <is>
          <t>MS</t>
        </is>
      </c>
      <c r="B406" s="8" t="inlineStr">
        <is>
          <t>MORGAN STANLEY</t>
        </is>
      </c>
      <c r="C406" s="8" t="n">
        <v>2025</v>
      </c>
      <c r="D406" s="8" t="inlineStr">
        <is>
          <t>2025-12-31</t>
        </is>
      </c>
      <c r="E406" s="8" t="inlineStr">
        <is>
          <t>금융</t>
        </is>
      </c>
      <c r="F406" s="8" t="inlineStr">
        <is>
          <t>0000895421-26-000086</t>
        </is>
      </c>
      <c r="G406" s="15" t="n">
        <v>70.645</v>
      </c>
      <c r="H406" s="15" t="n">
        <v>21.954</v>
      </c>
      <c r="I406" s="15" t="n">
        <v>10.046</v>
      </c>
      <c r="J406" s="15" t="n">
        <v>4.929</v>
      </c>
      <c r="K406" s="15" t="n"/>
      <c r="L406" s="15" t="n">
        <v>16.861</v>
      </c>
      <c r="M406" s="15" t="n"/>
      <c r="N406" s="15" t="n">
        <v>4.658</v>
      </c>
      <c r="O406" s="15" t="n"/>
      <c r="P406" s="15" t="n">
        <v>-17.889</v>
      </c>
      <c r="Q406" s="15" t="n">
        <v>1.926</v>
      </c>
      <c r="R406" s="15" t="n">
        <v>111.632</v>
      </c>
      <c r="S406" s="15" t="n">
        <v>104.511</v>
      </c>
      <c r="T406" s="15" t="n">
        <v>111.695</v>
      </c>
      <c r="U406" s="15" t="n">
        <v>105.386</v>
      </c>
      <c r="V406" s="15" t="n"/>
      <c r="W406" s="15" t="n"/>
      <c r="X406" s="15" t="n">
        <v>341.681</v>
      </c>
      <c r="Y406" s="15" t="n"/>
      <c r="Z406" s="15" t="n"/>
      <c r="AA406" s="15" t="n"/>
      <c r="AB406" s="15" t="n"/>
      <c r="AC406" s="15" t="n"/>
      <c r="AD406" s="16" t="n">
        <v>1582.834137</v>
      </c>
      <c r="AE406" s="17">
        <f>IF(ISNUMBER(K406),K406,IF(AND(ISNUMBER(H406),ISNUMBER(I406)),H406+I406,IF(ISNUMBER(H406),H406,"")))</f>
        <v/>
      </c>
      <c r="AF406" s="18">
        <f>IF(OR(NOT(ISNUMBER(J406)),NOT(ISNUMBER(H406)),H406&lt;=0),기준표!$B$8,MIN(MAX(J406/H406,기준표!$B$6),기준표!$B$7))</f>
        <v/>
      </c>
      <c r="AG406" s="17">
        <f>IF(ISNUMBER(AE406),AE406*(1-AF406),"")</f>
        <v/>
      </c>
      <c r="AH406" s="17">
        <f>IF(AND(NOT(ISNUMBER(V406)),NOT(ISNUMBER(X406))),"",IF(ISNUMBER(V406),V406,0)+IF(ISNUMBER(X406),X406,0))</f>
        <v/>
      </c>
      <c r="AI406" s="17">
        <f>IF(E406="금융","",IF(AND(ISNUMBER(R406),ISNUMBER(AH406),ISNUMBER(T406)),R406+AH406-T406,""))</f>
        <v/>
      </c>
      <c r="AJ406" s="17">
        <f>IF(E406="금융","",IF(NOT(ISNUMBER(AI406)),"",IF(ISNUMBER(AC406),(AI406+AC406)/2,AI406)))</f>
        <v/>
      </c>
      <c r="AK406" s="19">
        <f>IF(AND(ISNUMBER(AG406),ISNUMBER(AJ406),AJ406&gt;0),AG406/AJ406,"")</f>
        <v/>
      </c>
      <c r="AL406" s="17">
        <f>IF(E406="금융","",IF(AND(ISNUMBER(R406),ISNUMBER(AH406)),R406+AH406,""))</f>
        <v/>
      </c>
      <c r="AM406" s="19">
        <f>IF(OR(NOT(ISNUMBER(AG406)),NOT(ISNUMBER(AL406)),AL406&lt;=0),"",IF(AND(ISNUMBER(G406),AL406&lt;0.1*G406),"",AG406/AL406))</f>
        <v/>
      </c>
      <c r="AN406" s="17">
        <f>IF(NOT(ISNUMBER(R406)),"",IF(ISNUMBER(S406),(R406+S406)/2,R406))</f>
        <v/>
      </c>
      <c r="AO406" s="19">
        <f>IF(AND(ISNUMBER(L406),ISNUMBER(AN406),AN406&gt;0),L406/AN406,"")</f>
        <v/>
      </c>
      <c r="AP406" s="19">
        <f>IF(AND(ISNUMBER(AO406),ISNUMBER({ROIC})),AO406-{ROIC},"")</f>
        <v/>
      </c>
      <c r="AQ406" s="17">
        <f>IF(AND(ISNUMBER(AE406),ISNUMBER(N406)),AE406+N406,"")</f>
        <v/>
      </c>
      <c r="AR406" s="20">
        <f>IF(AND(ISNUMBER(AH406),ISNUMBER(T406),ISNUMBER(AQ406),AQ406&gt;0),(AH406-T406)/AQ406,"")</f>
        <v/>
      </c>
      <c r="AS406" s="20">
        <f>IF(AND(ISNUMBER(AE406),ISNUMBER(I406),I406&lt;&gt;0,AE406&gt;0),AE406/I406,"")</f>
        <v/>
      </c>
      <c r="AT406" s="17">
        <f>IF(AND(ISNUMBER(Y406),ISNUMBER(AA406)),Y406-IF(ISNUMBER(T406),T406,0)-(AA406-IF(ISNUMBER(V406),V406,0)),"")</f>
        <v/>
      </c>
      <c r="AU406" s="17">
        <f>IF(AND(ISNUMBER(Z406),ISNUMBER(AB406)),Z406-IF(ISNUMBER(U406),U406,0)-(AB406-IF(ISNUMBER(W406),W406,0)),"")</f>
        <v/>
      </c>
      <c r="AV406" s="17">
        <f>IF(AND(ISNUMBER(AT406),ISNUMBER(AU406)),AT406-AU406,"")</f>
        <v/>
      </c>
      <c r="AW406" s="17">
        <f>IF(AND(ISNUMBER(L406),ISNUMBER(M406),ISNUMBER(AF406)),L406-M406*(1-AF406),IF(ISNUMBER(L406),L406,""))</f>
        <v/>
      </c>
      <c r="AX406" s="17">
        <f>IF(E406="금융","",IF(AND(ISNUMBER(AW406),ISNUMBER(N406),ISNUMBER(O406),ISNUMBER(AV406)),AW406+N406-O406-AV406,IF(AND(ISNUMBER(P406),ISNUMBER(O406)),P406-O406-IF(ISNUMBER(Q406),Q406,0),"")))</f>
        <v/>
      </c>
      <c r="AY406" s="8">
        <f>IF(E406="금융","금융업 - 정의되지 않음",IF(AND(ISNUMBER(AW406),ISNUMBER(N406),ISNUMBER(O406),ISNUMBER(AV406)),"영업순이익+감가상각-설비투자-운전자본증감",IF(AND(ISNUMBER(P406),ISNUMBER(O406)),IF(ISNUMBER(Q406),"영업현금흐름-설비투자-주식보상비용","영업현금흐름-설비투자(주식보상비용 미태깅)"),"산출불가")))</f>
        <v/>
      </c>
      <c r="AZ406" s="19">
        <f>IF(AND(ISNUMBER(AX406),ISNUMBER(G406),G406&lt;&gt;0),AX406/G406,"")</f>
        <v/>
      </c>
      <c r="BA406" s="19">
        <f>IF(AND(ISNUMBER(AE406),ISNUMBER(G406),G406&lt;&gt;0),AE406/G406,"")</f>
        <v/>
      </c>
    </row>
    <row r="407">
      <c r="A407" s="8" t="inlineStr">
        <is>
          <t>PG</t>
        </is>
      </c>
      <c r="B407" s="8" t="inlineStr">
        <is>
          <t>PROCTER &amp; GAMBLE Co</t>
        </is>
      </c>
      <c r="C407" s="8" t="n">
        <v>2015</v>
      </c>
      <c r="D407" s="8" t="inlineStr">
        <is>
          <t>2015-06-30</t>
        </is>
      </c>
      <c r="E407" s="8" t="inlineStr">
        <is>
          <t>일반</t>
        </is>
      </c>
      <c r="F407" s="8" t="inlineStr">
        <is>
          <t>0000080424-17-000047</t>
        </is>
      </c>
      <c r="G407" s="15" t="n"/>
      <c r="H407" s="15" t="n">
        <v>11.012</v>
      </c>
      <c r="I407" s="15" t="n"/>
      <c r="J407" s="15" t="n">
        <v>2.725</v>
      </c>
      <c r="K407" s="15" t="n">
        <v>11.049</v>
      </c>
      <c r="L407" s="15" t="n">
        <v>7.036</v>
      </c>
      <c r="M407" s="15" t="n"/>
      <c r="N407" s="15" t="n">
        <v>3.134</v>
      </c>
      <c r="O407" s="15" t="n">
        <v>3.736</v>
      </c>
      <c r="P407" s="15" t="n">
        <v>14.608</v>
      </c>
      <c r="Q407" s="15" t="n">
        <v>0.337</v>
      </c>
      <c r="R407" s="15" t="n">
        <v>63.05</v>
      </c>
      <c r="S407" s="15" t="n"/>
      <c r="T407" s="15" t="n"/>
      <c r="U407" s="15" t="n"/>
      <c r="V407" s="15" t="n">
        <v>12.018</v>
      </c>
      <c r="W407" s="15" t="n"/>
      <c r="X407" s="15" t="n">
        <v>18.327</v>
      </c>
      <c r="Y407" s="15" t="n">
        <v>29.646</v>
      </c>
      <c r="Z407" s="15" t="n"/>
      <c r="AA407" s="15" t="n">
        <v>29.79</v>
      </c>
      <c r="AB407" s="15" t="n"/>
      <c r="AC407" s="15" t="n"/>
      <c r="AD407" s="16" t="n">
        <v>2883.6</v>
      </c>
      <c r="AE407" s="17">
        <f>IF(ISNUMBER(K407),K407,IF(AND(ISNUMBER(H407),ISNUMBER(I407)),H407+I407,IF(ISNUMBER(H407),H407,"")))</f>
        <v/>
      </c>
      <c r="AF407" s="18">
        <f>IF(OR(NOT(ISNUMBER(J407)),NOT(ISNUMBER(H407)),H407&lt;=0),기준표!$B$8,MIN(MAX(J407/H407,기준표!$B$6),기준표!$B$7))</f>
        <v/>
      </c>
      <c r="AG407" s="17">
        <f>IF(ISNUMBER(AE407),AE407*(1-AF407),"")</f>
        <v/>
      </c>
      <c r="AH407" s="17">
        <f>IF(AND(NOT(ISNUMBER(V407)),NOT(ISNUMBER(X407))),"",IF(ISNUMBER(V407),V407,0)+IF(ISNUMBER(X407),X407,0))</f>
        <v/>
      </c>
      <c r="AI407" s="17">
        <f>IF(E407="금융","",IF(AND(ISNUMBER(R407),ISNUMBER(AH407),ISNUMBER(T407)),R407+AH407-T407,""))</f>
        <v/>
      </c>
      <c r="AJ407" s="17">
        <f>IF(E407="금융","",IF(NOT(ISNUMBER(AI407)),"",IF(ISNUMBER(AC407),(AI407+AC407)/2,AI407)))</f>
        <v/>
      </c>
      <c r="AK407" s="19">
        <f>IF(AND(ISNUMBER(AG407),ISNUMBER(AJ407),AJ407&gt;0),AG407/AJ407,"")</f>
        <v/>
      </c>
      <c r="AL407" s="17">
        <f>IF(E407="금융","",IF(AND(ISNUMBER(R407),ISNUMBER(AH407)),R407+AH407,""))</f>
        <v/>
      </c>
      <c r="AM407" s="19">
        <f>IF(OR(NOT(ISNUMBER(AG407)),NOT(ISNUMBER(AL407)),AL407&lt;=0),"",IF(AND(ISNUMBER(G407),AL407&lt;0.1*G407),"",AG407/AL407))</f>
        <v/>
      </c>
      <c r="AN407" s="17">
        <f>IF(NOT(ISNUMBER(R407)),"",IF(ISNUMBER(S407),(R407+S407)/2,R407))</f>
        <v/>
      </c>
      <c r="AO407" s="19">
        <f>IF(AND(ISNUMBER(L407),ISNUMBER(AN407),AN407&gt;0),L407/AN407,"")</f>
        <v/>
      </c>
      <c r="AP407" s="19">
        <f>IF(AND(ISNUMBER(AO407),ISNUMBER({ROIC})),AO407-{ROIC},"")</f>
        <v/>
      </c>
      <c r="AQ407" s="17">
        <f>IF(AND(ISNUMBER(AE407),ISNUMBER(N407)),AE407+N407,"")</f>
        <v/>
      </c>
      <c r="AR407" s="20">
        <f>IF(AND(ISNUMBER(AH407),ISNUMBER(T407),ISNUMBER(AQ407),AQ407&gt;0),(AH407-T407)/AQ407,"")</f>
        <v/>
      </c>
      <c r="AS407" s="20">
        <f>IF(AND(ISNUMBER(AE407),ISNUMBER(I407),I407&lt;&gt;0,AE407&gt;0),AE407/I407,"")</f>
        <v/>
      </c>
      <c r="AT407" s="17">
        <f>IF(AND(ISNUMBER(Y407),ISNUMBER(AA407)),Y407-IF(ISNUMBER(T407),T407,0)-(AA407-IF(ISNUMBER(V407),V407,0)),"")</f>
        <v/>
      </c>
      <c r="AU407" s="17">
        <f>IF(AND(ISNUMBER(Z407),ISNUMBER(AB407)),Z407-IF(ISNUMBER(U407),U407,0)-(AB407-IF(ISNUMBER(W407),W407,0)),"")</f>
        <v/>
      </c>
      <c r="AV407" s="17">
        <f>IF(AND(ISNUMBER(AT407),ISNUMBER(AU407)),AT407-AU407,"")</f>
        <v/>
      </c>
      <c r="AW407" s="17">
        <f>IF(AND(ISNUMBER(L407),ISNUMBER(M407),ISNUMBER(AF407)),L407-M407*(1-AF407),IF(ISNUMBER(L407),L407,""))</f>
        <v/>
      </c>
      <c r="AX407" s="17">
        <f>IF(E407="금융","",IF(AND(ISNUMBER(AW407),ISNUMBER(N407),ISNUMBER(O407),ISNUMBER(AV407)),AW407+N407-O407-AV407,IF(AND(ISNUMBER(P407),ISNUMBER(O407)),P407-O407-IF(ISNUMBER(Q407),Q407,0),"")))</f>
        <v/>
      </c>
      <c r="AY407" s="8">
        <f>IF(E407="금융","금융업 - 정의되지 않음",IF(AND(ISNUMBER(AW407),ISNUMBER(N407),ISNUMBER(O407),ISNUMBER(AV407)),"영업순이익+감가상각-설비투자-운전자본증감",IF(AND(ISNUMBER(P407),ISNUMBER(O407)),IF(ISNUMBER(Q407),"영업현금흐름-설비투자-주식보상비용","영업현금흐름-설비투자(주식보상비용 미태깅)"),"산출불가")))</f>
        <v/>
      </c>
      <c r="AZ407" s="19">
        <f>IF(AND(ISNUMBER(AX407),ISNUMBER(G407),G407&lt;&gt;0),AX407/G407,"")</f>
        <v/>
      </c>
      <c r="BA407" s="19">
        <f>IF(AND(ISNUMBER(AE407),ISNUMBER(G407),G407&lt;&gt;0),AE407/G407,"")</f>
        <v/>
      </c>
    </row>
    <row r="408">
      <c r="A408" s="8" t="inlineStr">
        <is>
          <t>PG</t>
        </is>
      </c>
      <c r="B408" s="8" t="inlineStr">
        <is>
          <t>PROCTER &amp; GAMBLE Co</t>
        </is>
      </c>
      <c r="C408" s="8" t="n">
        <v>2016</v>
      </c>
      <c r="D408" s="8" t="inlineStr">
        <is>
          <t>2016-06-30</t>
        </is>
      </c>
      <c r="E408" s="8" t="inlineStr">
        <is>
          <t>일반</t>
        </is>
      </c>
      <c r="F408" s="8" t="inlineStr">
        <is>
          <t>0000080424-18-000055</t>
        </is>
      </c>
      <c r="G408" s="15" t="n"/>
      <c r="H408" s="15" t="n">
        <v>13.369</v>
      </c>
      <c r="I408" s="15" t="n"/>
      <c r="J408" s="15" t="n">
        <v>3.342</v>
      </c>
      <c r="K408" s="15" t="n">
        <v>13.441</v>
      </c>
      <c r="L408" s="15" t="n">
        <v>10.508</v>
      </c>
      <c r="M408" s="15" t="n"/>
      <c r="N408" s="15" t="n">
        <v>3.078</v>
      </c>
      <c r="O408" s="15" t="n">
        <v>3.314</v>
      </c>
      <c r="P408" s="15" t="n">
        <v>15.435</v>
      </c>
      <c r="Q408" s="15" t="n">
        <v>0.335</v>
      </c>
      <c r="R408" s="15" t="n">
        <v>57.983</v>
      </c>
      <c r="S408" s="15" t="n">
        <v>63.05</v>
      </c>
      <c r="T408" s="15" t="n"/>
      <c r="U408" s="15" t="n"/>
      <c r="V408" s="15" t="n">
        <v>11.653</v>
      </c>
      <c r="W408" s="15" t="n">
        <v>12.018</v>
      </c>
      <c r="X408" s="15" t="n">
        <v>18.945</v>
      </c>
      <c r="Y408" s="15" t="n">
        <v>33.782</v>
      </c>
      <c r="Z408" s="15" t="n">
        <v>29.646</v>
      </c>
      <c r="AA408" s="15" t="n">
        <v>30.77</v>
      </c>
      <c r="AB408" s="15" t="n">
        <v>29.79</v>
      </c>
      <c r="AC408" s="15" t="n"/>
      <c r="AD408" s="16" t="n">
        <v>2844.4</v>
      </c>
      <c r="AE408" s="17">
        <f>IF(ISNUMBER(K408),K408,IF(AND(ISNUMBER(H408),ISNUMBER(I408)),H408+I408,IF(ISNUMBER(H408),H408,"")))</f>
        <v/>
      </c>
      <c r="AF408" s="18">
        <f>IF(OR(NOT(ISNUMBER(J408)),NOT(ISNUMBER(H408)),H408&lt;=0),기준표!$B$8,MIN(MAX(J408/H408,기준표!$B$6),기준표!$B$7))</f>
        <v/>
      </c>
      <c r="AG408" s="17">
        <f>IF(ISNUMBER(AE408),AE408*(1-AF408),"")</f>
        <v/>
      </c>
      <c r="AH408" s="17">
        <f>IF(AND(NOT(ISNUMBER(V408)),NOT(ISNUMBER(X408))),"",IF(ISNUMBER(V408),V408,0)+IF(ISNUMBER(X408),X408,0))</f>
        <v/>
      </c>
      <c r="AI408" s="17">
        <f>IF(E408="금융","",IF(AND(ISNUMBER(R408),ISNUMBER(AH408),ISNUMBER(T408)),R408+AH408-T408,""))</f>
        <v/>
      </c>
      <c r="AJ408" s="17">
        <f>IF(E408="금융","",IF(NOT(ISNUMBER(AI408)),"",IF(ISNUMBER(AC408),(AI408+AC408)/2,AI408)))</f>
        <v/>
      </c>
      <c r="AK408" s="19">
        <f>IF(AND(ISNUMBER(AG408),ISNUMBER(AJ408),AJ408&gt;0),AG408/AJ408,"")</f>
        <v/>
      </c>
      <c r="AL408" s="17">
        <f>IF(E408="금융","",IF(AND(ISNUMBER(R408),ISNUMBER(AH408)),R408+AH408,""))</f>
        <v/>
      </c>
      <c r="AM408" s="19">
        <f>IF(OR(NOT(ISNUMBER(AG408)),NOT(ISNUMBER(AL408)),AL408&lt;=0),"",IF(AND(ISNUMBER(G408),AL408&lt;0.1*G408),"",AG408/AL408))</f>
        <v/>
      </c>
      <c r="AN408" s="17">
        <f>IF(NOT(ISNUMBER(R408)),"",IF(ISNUMBER(S408),(R408+S408)/2,R408))</f>
        <v/>
      </c>
      <c r="AO408" s="19">
        <f>IF(AND(ISNUMBER(L408),ISNUMBER(AN408),AN408&gt;0),L408/AN408,"")</f>
        <v/>
      </c>
      <c r="AP408" s="19">
        <f>IF(AND(ISNUMBER(AO408),ISNUMBER({ROIC})),AO408-{ROIC},"")</f>
        <v/>
      </c>
      <c r="AQ408" s="17">
        <f>IF(AND(ISNUMBER(AE408),ISNUMBER(N408)),AE408+N408,"")</f>
        <v/>
      </c>
      <c r="AR408" s="20">
        <f>IF(AND(ISNUMBER(AH408),ISNUMBER(T408),ISNUMBER(AQ408),AQ408&gt;0),(AH408-T408)/AQ408,"")</f>
        <v/>
      </c>
      <c r="AS408" s="20">
        <f>IF(AND(ISNUMBER(AE408),ISNUMBER(I408),I408&lt;&gt;0,AE408&gt;0),AE408/I408,"")</f>
        <v/>
      </c>
      <c r="AT408" s="17">
        <f>IF(AND(ISNUMBER(Y408),ISNUMBER(AA408)),Y408-IF(ISNUMBER(T408),T408,0)-(AA408-IF(ISNUMBER(V408),V408,0)),"")</f>
        <v/>
      </c>
      <c r="AU408" s="17">
        <f>IF(AND(ISNUMBER(Z408),ISNUMBER(AB408)),Z408-IF(ISNUMBER(U408),U408,0)-(AB408-IF(ISNUMBER(W408),W408,0)),"")</f>
        <v/>
      </c>
      <c r="AV408" s="17">
        <f>IF(AND(ISNUMBER(AT408),ISNUMBER(AU408)),AT408-AU408,"")</f>
        <v/>
      </c>
      <c r="AW408" s="17">
        <f>IF(AND(ISNUMBER(L408),ISNUMBER(M408),ISNUMBER(AF408)),L408-M408*(1-AF408),IF(ISNUMBER(L408),L408,""))</f>
        <v/>
      </c>
      <c r="AX408" s="17">
        <f>IF(E408="금융","",IF(AND(ISNUMBER(AW408),ISNUMBER(N408),ISNUMBER(O408),ISNUMBER(AV408)),AW408+N408-O408-AV408,IF(AND(ISNUMBER(P408),ISNUMBER(O408)),P408-O408-IF(ISNUMBER(Q408),Q408,0),"")))</f>
        <v/>
      </c>
      <c r="AY408" s="8">
        <f>IF(E408="금융","금융업 - 정의되지 않음",IF(AND(ISNUMBER(AW408),ISNUMBER(N408),ISNUMBER(O408),ISNUMBER(AV408)),"영업순이익+감가상각-설비투자-운전자본증감",IF(AND(ISNUMBER(P408),ISNUMBER(O408)),IF(ISNUMBER(Q408),"영업현금흐름-설비투자-주식보상비용","영업현금흐름-설비투자(주식보상비용 미태깅)"),"산출불가")))</f>
        <v/>
      </c>
      <c r="AZ408" s="19">
        <f>IF(AND(ISNUMBER(AX408),ISNUMBER(G408),G408&lt;&gt;0),AX408/G408,"")</f>
        <v/>
      </c>
      <c r="BA408" s="19">
        <f>IF(AND(ISNUMBER(AE408),ISNUMBER(G408),G408&lt;&gt;0),AE408/G408,"")</f>
        <v/>
      </c>
    </row>
    <row r="409">
      <c r="A409" s="8" t="inlineStr">
        <is>
          <t>PG</t>
        </is>
      </c>
      <c r="B409" s="8" t="inlineStr">
        <is>
          <t>PROCTER &amp; GAMBLE Co</t>
        </is>
      </c>
      <c r="C409" s="8" t="n">
        <v>2017</v>
      </c>
      <c r="D409" s="8" t="inlineStr">
        <is>
          <t>2017-06-30</t>
        </is>
      </c>
      <c r="E409" s="8" t="inlineStr">
        <is>
          <t>일반</t>
        </is>
      </c>
      <c r="F409" s="8" t="inlineStr">
        <is>
          <t>0000080424-19-000050</t>
        </is>
      </c>
      <c r="G409" s="15" t="n">
        <v>65.05800000000001</v>
      </c>
      <c r="H409" s="15" t="n">
        <v>13.257</v>
      </c>
      <c r="I409" s="15" t="n"/>
      <c r="J409" s="15" t="n">
        <v>3.063</v>
      </c>
      <c r="K409" s="15" t="n">
        <v>13.766</v>
      </c>
      <c r="L409" s="15" t="n">
        <v>15.326</v>
      </c>
      <c r="M409" s="15" t="n"/>
      <c r="N409" s="15" t="n">
        <v>2.82</v>
      </c>
      <c r="O409" s="15" t="n">
        <v>3.384</v>
      </c>
      <c r="P409" s="15" t="n">
        <v>12.753</v>
      </c>
      <c r="Q409" s="15" t="n">
        <v>0.351</v>
      </c>
      <c r="R409" s="15" t="n">
        <v>55.778</v>
      </c>
      <c r="S409" s="15" t="n">
        <v>57.983</v>
      </c>
      <c r="T409" s="15" t="n">
        <v>5.569</v>
      </c>
      <c r="U409" s="15" t="n"/>
      <c r="V409" s="15" t="n">
        <v>13.554</v>
      </c>
      <c r="W409" s="15" t="n">
        <v>11.653</v>
      </c>
      <c r="X409" s="15" t="n">
        <v>18.038</v>
      </c>
      <c r="Y409" s="15" t="n">
        <v>26.494</v>
      </c>
      <c r="Z409" s="15" t="n">
        <v>33.782</v>
      </c>
      <c r="AA409" s="15" t="n">
        <v>30.21</v>
      </c>
      <c r="AB409" s="15" t="n">
        <v>30.77</v>
      </c>
      <c r="AC409" s="15" t="n"/>
      <c r="AD409" s="16" t="n">
        <v>2740.4</v>
      </c>
      <c r="AE409" s="17">
        <f>IF(ISNUMBER(K409),K409,IF(AND(ISNUMBER(H409),ISNUMBER(I409)),H409+I409,IF(ISNUMBER(H409),H409,"")))</f>
        <v/>
      </c>
      <c r="AF409" s="18">
        <f>IF(OR(NOT(ISNUMBER(J409)),NOT(ISNUMBER(H409)),H409&lt;=0),기준표!$B$8,MIN(MAX(J409/H409,기준표!$B$6),기준표!$B$7))</f>
        <v/>
      </c>
      <c r="AG409" s="17">
        <f>IF(ISNUMBER(AE409),AE409*(1-AF409),"")</f>
        <v/>
      </c>
      <c r="AH409" s="17">
        <f>IF(AND(NOT(ISNUMBER(V409)),NOT(ISNUMBER(X409))),"",IF(ISNUMBER(V409),V409,0)+IF(ISNUMBER(X409),X409,0))</f>
        <v/>
      </c>
      <c r="AI409" s="17">
        <f>IF(E409="금융","",IF(AND(ISNUMBER(R409),ISNUMBER(AH409),ISNUMBER(T409)),R409+AH409-T409,""))</f>
        <v/>
      </c>
      <c r="AJ409" s="17">
        <f>IF(E409="금융","",IF(NOT(ISNUMBER(AI409)),"",IF(ISNUMBER(AC409),(AI409+AC409)/2,AI409)))</f>
        <v/>
      </c>
      <c r="AK409" s="19">
        <f>IF(AND(ISNUMBER(AG409),ISNUMBER(AJ409),AJ409&gt;0),AG409/AJ409,"")</f>
        <v/>
      </c>
      <c r="AL409" s="17">
        <f>IF(E409="금융","",IF(AND(ISNUMBER(R409),ISNUMBER(AH409)),R409+AH409,""))</f>
        <v/>
      </c>
      <c r="AM409" s="19">
        <f>IF(OR(NOT(ISNUMBER(AG409)),NOT(ISNUMBER(AL409)),AL409&lt;=0),"",IF(AND(ISNUMBER(G409),AL409&lt;0.1*G409),"",AG409/AL409))</f>
        <v/>
      </c>
      <c r="AN409" s="17">
        <f>IF(NOT(ISNUMBER(R409)),"",IF(ISNUMBER(S409),(R409+S409)/2,R409))</f>
        <v/>
      </c>
      <c r="AO409" s="19">
        <f>IF(AND(ISNUMBER(L409),ISNUMBER(AN409),AN409&gt;0),L409/AN409,"")</f>
        <v/>
      </c>
      <c r="AP409" s="19">
        <f>IF(AND(ISNUMBER(AO409),ISNUMBER({ROIC})),AO409-{ROIC},"")</f>
        <v/>
      </c>
      <c r="AQ409" s="17">
        <f>IF(AND(ISNUMBER(AE409),ISNUMBER(N409)),AE409+N409,"")</f>
        <v/>
      </c>
      <c r="AR409" s="20">
        <f>IF(AND(ISNUMBER(AH409),ISNUMBER(T409),ISNUMBER(AQ409),AQ409&gt;0),(AH409-T409)/AQ409,"")</f>
        <v/>
      </c>
      <c r="AS409" s="20">
        <f>IF(AND(ISNUMBER(AE409),ISNUMBER(I409),I409&lt;&gt;0,AE409&gt;0),AE409/I409,"")</f>
        <v/>
      </c>
      <c r="AT409" s="17">
        <f>IF(AND(ISNUMBER(Y409),ISNUMBER(AA409)),Y409-IF(ISNUMBER(T409),T409,0)-(AA409-IF(ISNUMBER(V409),V409,0)),"")</f>
        <v/>
      </c>
      <c r="AU409" s="17">
        <f>IF(AND(ISNUMBER(Z409),ISNUMBER(AB409)),Z409-IF(ISNUMBER(U409),U409,0)-(AB409-IF(ISNUMBER(W409),W409,0)),"")</f>
        <v/>
      </c>
      <c r="AV409" s="17">
        <f>IF(AND(ISNUMBER(AT409),ISNUMBER(AU409)),AT409-AU409,"")</f>
        <v/>
      </c>
      <c r="AW409" s="17">
        <f>IF(AND(ISNUMBER(L409),ISNUMBER(M409),ISNUMBER(AF409)),L409-M409*(1-AF409),IF(ISNUMBER(L409),L409,""))</f>
        <v/>
      </c>
      <c r="AX409" s="17">
        <f>IF(E409="금융","",IF(AND(ISNUMBER(AW409),ISNUMBER(N409),ISNUMBER(O409),ISNUMBER(AV409)),AW409+N409-O409-AV409,IF(AND(ISNUMBER(P409),ISNUMBER(O409)),P409-O409-IF(ISNUMBER(Q409),Q409,0),"")))</f>
        <v/>
      </c>
      <c r="AY409" s="8">
        <f>IF(E409="금융","금융업 - 정의되지 않음",IF(AND(ISNUMBER(AW409),ISNUMBER(N409),ISNUMBER(O409),ISNUMBER(AV409)),"영업순이익+감가상각-설비투자-운전자본증감",IF(AND(ISNUMBER(P409),ISNUMBER(O409)),IF(ISNUMBER(Q409),"영업현금흐름-설비투자-주식보상비용","영업현금흐름-설비투자(주식보상비용 미태깅)"),"산출불가")))</f>
        <v/>
      </c>
      <c r="AZ409" s="19">
        <f>IF(AND(ISNUMBER(AX409),ISNUMBER(G409),G409&lt;&gt;0),AX409/G409,"")</f>
        <v/>
      </c>
      <c r="BA409" s="19">
        <f>IF(AND(ISNUMBER(AE409),ISNUMBER(G409),G409&lt;&gt;0),AE409/G409,"")</f>
        <v/>
      </c>
    </row>
    <row r="410">
      <c r="A410" s="8" t="inlineStr">
        <is>
          <t>PG</t>
        </is>
      </c>
      <c r="B410" s="8" t="inlineStr">
        <is>
          <t>PROCTER &amp; GAMBLE Co</t>
        </is>
      </c>
      <c r="C410" s="8" t="n">
        <v>2018</v>
      </c>
      <c r="D410" s="8" t="inlineStr">
        <is>
          <t>2018-06-30</t>
        </is>
      </c>
      <c r="E410" s="8" t="inlineStr">
        <is>
          <t>일반</t>
        </is>
      </c>
      <c r="F410" s="8" t="inlineStr">
        <is>
          <t>0000080424-20-000053</t>
        </is>
      </c>
      <c r="G410" s="15" t="n">
        <v>66.83199999999999</v>
      </c>
      <c r="H410" s="15" t="n">
        <v>13.326</v>
      </c>
      <c r="I410" s="15" t="n"/>
      <c r="J410" s="15" t="n">
        <v>3.465</v>
      </c>
      <c r="K410" s="15" t="n">
        <v>13.363</v>
      </c>
      <c r="L410" s="15" t="n">
        <v>9.75</v>
      </c>
      <c r="M410" s="15" t="n"/>
      <c r="N410" s="15" t="n">
        <v>2.834</v>
      </c>
      <c r="O410" s="15" t="n">
        <v>3.717</v>
      </c>
      <c r="P410" s="15" t="n">
        <v>14.867</v>
      </c>
      <c r="Q410" s="15" t="n">
        <v>0.395</v>
      </c>
      <c r="R410" s="15" t="n">
        <v>52.883</v>
      </c>
      <c r="S410" s="15" t="n">
        <v>55.778</v>
      </c>
      <c r="T410" s="15" t="n">
        <v>2.569</v>
      </c>
      <c r="U410" s="15" t="n">
        <v>5.569</v>
      </c>
      <c r="V410" s="15" t="n">
        <v>10.423</v>
      </c>
      <c r="W410" s="15" t="n">
        <v>13.554</v>
      </c>
      <c r="X410" s="15" t="n">
        <v>20.863</v>
      </c>
      <c r="Y410" s="15" t="n">
        <v>23.32</v>
      </c>
      <c r="Z410" s="15" t="n">
        <v>26.494</v>
      </c>
      <c r="AA410" s="15" t="n">
        <v>28.237</v>
      </c>
      <c r="AB410" s="15" t="n">
        <v>30.21</v>
      </c>
      <c r="AC410" s="15" t="n">
        <v>81.801</v>
      </c>
      <c r="AD410" s="16" t="n">
        <v>2656.7</v>
      </c>
      <c r="AE410" s="17">
        <f>IF(ISNUMBER(K410),K410,IF(AND(ISNUMBER(H410),ISNUMBER(I410)),H410+I410,IF(ISNUMBER(H410),H410,"")))</f>
        <v/>
      </c>
      <c r="AF410" s="18">
        <f>IF(OR(NOT(ISNUMBER(J410)),NOT(ISNUMBER(H410)),H410&lt;=0),기준표!$B$8,MIN(MAX(J410/H410,기준표!$B$6),기준표!$B$7))</f>
        <v/>
      </c>
      <c r="AG410" s="17">
        <f>IF(ISNUMBER(AE410),AE410*(1-AF410),"")</f>
        <v/>
      </c>
      <c r="AH410" s="17">
        <f>IF(AND(NOT(ISNUMBER(V410)),NOT(ISNUMBER(X410))),"",IF(ISNUMBER(V410),V410,0)+IF(ISNUMBER(X410),X410,0))</f>
        <v/>
      </c>
      <c r="AI410" s="17">
        <f>IF(E410="금융","",IF(AND(ISNUMBER(R410),ISNUMBER(AH410),ISNUMBER(T410)),R410+AH410-T410,""))</f>
        <v/>
      </c>
      <c r="AJ410" s="17">
        <f>IF(E410="금융","",IF(NOT(ISNUMBER(AI410)),"",IF(ISNUMBER(AC410),(AI410+AC410)/2,AI410)))</f>
        <v/>
      </c>
      <c r="AK410" s="19">
        <f>IF(AND(ISNUMBER(AG410),ISNUMBER(AJ410),AJ410&gt;0),AG410/AJ410,"")</f>
        <v/>
      </c>
      <c r="AL410" s="17">
        <f>IF(E410="금융","",IF(AND(ISNUMBER(R410),ISNUMBER(AH410)),R410+AH410,""))</f>
        <v/>
      </c>
      <c r="AM410" s="19">
        <f>IF(OR(NOT(ISNUMBER(AG410)),NOT(ISNUMBER(AL410)),AL410&lt;=0),"",IF(AND(ISNUMBER(G410),AL410&lt;0.1*G410),"",AG410/AL410))</f>
        <v/>
      </c>
      <c r="AN410" s="17">
        <f>IF(NOT(ISNUMBER(R410)),"",IF(ISNUMBER(S410),(R410+S410)/2,R410))</f>
        <v/>
      </c>
      <c r="AO410" s="19">
        <f>IF(AND(ISNUMBER(L410),ISNUMBER(AN410),AN410&gt;0),L410/AN410,"")</f>
        <v/>
      </c>
      <c r="AP410" s="19">
        <f>IF(AND(ISNUMBER(AO410),ISNUMBER({ROIC})),AO410-{ROIC},"")</f>
        <v/>
      </c>
      <c r="AQ410" s="17">
        <f>IF(AND(ISNUMBER(AE410),ISNUMBER(N410)),AE410+N410,"")</f>
        <v/>
      </c>
      <c r="AR410" s="20">
        <f>IF(AND(ISNUMBER(AH410),ISNUMBER(T410),ISNUMBER(AQ410),AQ410&gt;0),(AH410-T410)/AQ410,"")</f>
        <v/>
      </c>
      <c r="AS410" s="20">
        <f>IF(AND(ISNUMBER(AE410),ISNUMBER(I410),I410&lt;&gt;0,AE410&gt;0),AE410/I410,"")</f>
        <v/>
      </c>
      <c r="AT410" s="17">
        <f>IF(AND(ISNUMBER(Y410),ISNUMBER(AA410)),Y410-IF(ISNUMBER(T410),T410,0)-(AA410-IF(ISNUMBER(V410),V410,0)),"")</f>
        <v/>
      </c>
      <c r="AU410" s="17">
        <f>IF(AND(ISNUMBER(Z410),ISNUMBER(AB410)),Z410-IF(ISNUMBER(U410),U410,0)-(AB410-IF(ISNUMBER(W410),W410,0)),"")</f>
        <v/>
      </c>
      <c r="AV410" s="17">
        <f>IF(AND(ISNUMBER(AT410),ISNUMBER(AU410)),AT410-AU410,"")</f>
        <v/>
      </c>
      <c r="AW410" s="17">
        <f>IF(AND(ISNUMBER(L410),ISNUMBER(M410),ISNUMBER(AF410)),L410-M410*(1-AF410),IF(ISNUMBER(L410),L410,""))</f>
        <v/>
      </c>
      <c r="AX410" s="17">
        <f>IF(E410="금융","",IF(AND(ISNUMBER(AW410),ISNUMBER(N410),ISNUMBER(O410),ISNUMBER(AV410)),AW410+N410-O410-AV410,IF(AND(ISNUMBER(P410),ISNUMBER(O410)),P410-O410-IF(ISNUMBER(Q410),Q410,0),"")))</f>
        <v/>
      </c>
      <c r="AY410" s="8">
        <f>IF(E410="금융","금융업 - 정의되지 않음",IF(AND(ISNUMBER(AW410),ISNUMBER(N410),ISNUMBER(O410),ISNUMBER(AV410)),"영업순이익+감가상각-설비투자-운전자본증감",IF(AND(ISNUMBER(P410),ISNUMBER(O410)),IF(ISNUMBER(Q410),"영업현금흐름-설비투자-주식보상비용","영업현금흐름-설비투자(주식보상비용 미태깅)"),"산출불가")))</f>
        <v/>
      </c>
      <c r="AZ410" s="19">
        <f>IF(AND(ISNUMBER(AX410),ISNUMBER(G410),G410&lt;&gt;0),AX410/G410,"")</f>
        <v/>
      </c>
      <c r="BA410" s="19">
        <f>IF(AND(ISNUMBER(AE410),ISNUMBER(G410),G410&lt;&gt;0),AE410/G410,"")</f>
        <v/>
      </c>
    </row>
    <row r="411">
      <c r="A411" s="8" t="inlineStr">
        <is>
          <t>PG</t>
        </is>
      </c>
      <c r="B411" s="8" t="inlineStr">
        <is>
          <t>PROCTER &amp; GAMBLE Co</t>
        </is>
      </c>
      <c r="C411" s="8" t="n">
        <v>2019</v>
      </c>
      <c r="D411" s="8" t="inlineStr">
        <is>
          <t>2019-06-30</t>
        </is>
      </c>
      <c r="E411" s="8" t="inlineStr">
        <is>
          <t>일반</t>
        </is>
      </c>
      <c r="F411" s="8" t="inlineStr">
        <is>
          <t>0000080424-21-000100</t>
        </is>
      </c>
      <c r="G411" s="15" t="n">
        <v>67.684</v>
      </c>
      <c r="H411" s="15" t="n">
        <v>6.069</v>
      </c>
      <c r="I411" s="15" t="n"/>
      <c r="J411" s="15" t="n">
        <v>2.103</v>
      </c>
      <c r="K411" s="15" t="n">
        <v>5.487</v>
      </c>
      <c r="L411" s="15" t="n">
        <v>3.897</v>
      </c>
      <c r="M411" s="15" t="n"/>
      <c r="N411" s="15" t="n">
        <v>2.824</v>
      </c>
      <c r="O411" s="15" t="n">
        <v>3.347</v>
      </c>
      <c r="P411" s="15" t="n">
        <v>15.242</v>
      </c>
      <c r="Q411" s="15" t="n">
        <v>0.515</v>
      </c>
      <c r="R411" s="15" t="n">
        <v>47.579</v>
      </c>
      <c r="S411" s="15" t="n">
        <v>52.883</v>
      </c>
      <c r="T411" s="15" t="n">
        <v>4.239</v>
      </c>
      <c r="U411" s="15" t="n">
        <v>2.569</v>
      </c>
      <c r="V411" s="15" t="n">
        <v>9.696999999999999</v>
      </c>
      <c r="W411" s="15" t="n">
        <v>10.423</v>
      </c>
      <c r="X411" s="15" t="n">
        <v>20.395</v>
      </c>
      <c r="Y411" s="15" t="n">
        <v>22.473</v>
      </c>
      <c r="Z411" s="15" t="n">
        <v>23.32</v>
      </c>
      <c r="AA411" s="15" t="n">
        <v>30.011</v>
      </c>
      <c r="AB411" s="15" t="n">
        <v>28.237</v>
      </c>
      <c r="AC411" s="15" t="n">
        <v>81.59999999999999</v>
      </c>
      <c r="AD411" s="16" t="n">
        <v>2539.5</v>
      </c>
      <c r="AE411" s="17">
        <f>IF(ISNUMBER(K411),K411,IF(AND(ISNUMBER(H411),ISNUMBER(I411)),H411+I411,IF(ISNUMBER(H411),H411,"")))</f>
        <v/>
      </c>
      <c r="AF411" s="18">
        <f>IF(OR(NOT(ISNUMBER(J411)),NOT(ISNUMBER(H411)),H411&lt;=0),기준표!$B$8,MIN(MAX(J411/H411,기준표!$B$6),기준표!$B$7))</f>
        <v/>
      </c>
      <c r="AG411" s="17">
        <f>IF(ISNUMBER(AE411),AE411*(1-AF411),"")</f>
        <v/>
      </c>
      <c r="AH411" s="17">
        <f>IF(AND(NOT(ISNUMBER(V411)),NOT(ISNUMBER(X411))),"",IF(ISNUMBER(V411),V411,0)+IF(ISNUMBER(X411),X411,0))</f>
        <v/>
      </c>
      <c r="AI411" s="17">
        <f>IF(E411="금융","",IF(AND(ISNUMBER(R411),ISNUMBER(AH411),ISNUMBER(T411)),R411+AH411-T411,""))</f>
        <v/>
      </c>
      <c r="AJ411" s="17">
        <f>IF(E411="금융","",IF(NOT(ISNUMBER(AI411)),"",IF(ISNUMBER(AC411),(AI411+AC411)/2,AI411)))</f>
        <v/>
      </c>
      <c r="AK411" s="19">
        <f>IF(AND(ISNUMBER(AG411),ISNUMBER(AJ411),AJ411&gt;0),AG411/AJ411,"")</f>
        <v/>
      </c>
      <c r="AL411" s="17">
        <f>IF(E411="금융","",IF(AND(ISNUMBER(R411),ISNUMBER(AH411)),R411+AH411,""))</f>
        <v/>
      </c>
      <c r="AM411" s="19">
        <f>IF(OR(NOT(ISNUMBER(AG411)),NOT(ISNUMBER(AL411)),AL411&lt;=0),"",IF(AND(ISNUMBER(G411),AL411&lt;0.1*G411),"",AG411/AL411))</f>
        <v/>
      </c>
      <c r="AN411" s="17">
        <f>IF(NOT(ISNUMBER(R411)),"",IF(ISNUMBER(S411),(R411+S411)/2,R411))</f>
        <v/>
      </c>
      <c r="AO411" s="19">
        <f>IF(AND(ISNUMBER(L411),ISNUMBER(AN411),AN411&gt;0),L411/AN411,"")</f>
        <v/>
      </c>
      <c r="AP411" s="19">
        <f>IF(AND(ISNUMBER(AO411),ISNUMBER({ROIC})),AO411-{ROIC},"")</f>
        <v/>
      </c>
      <c r="AQ411" s="17">
        <f>IF(AND(ISNUMBER(AE411),ISNUMBER(N411)),AE411+N411,"")</f>
        <v/>
      </c>
      <c r="AR411" s="20">
        <f>IF(AND(ISNUMBER(AH411),ISNUMBER(T411),ISNUMBER(AQ411),AQ411&gt;0),(AH411-T411)/AQ411,"")</f>
        <v/>
      </c>
      <c r="AS411" s="20">
        <f>IF(AND(ISNUMBER(AE411),ISNUMBER(I411),I411&lt;&gt;0,AE411&gt;0),AE411/I411,"")</f>
        <v/>
      </c>
      <c r="AT411" s="17">
        <f>IF(AND(ISNUMBER(Y411),ISNUMBER(AA411)),Y411-IF(ISNUMBER(T411),T411,0)-(AA411-IF(ISNUMBER(V411),V411,0)),"")</f>
        <v/>
      </c>
      <c r="AU411" s="17">
        <f>IF(AND(ISNUMBER(Z411),ISNUMBER(AB411)),Z411-IF(ISNUMBER(U411),U411,0)-(AB411-IF(ISNUMBER(W411),W411,0)),"")</f>
        <v/>
      </c>
      <c r="AV411" s="17">
        <f>IF(AND(ISNUMBER(AT411),ISNUMBER(AU411)),AT411-AU411,"")</f>
        <v/>
      </c>
      <c r="AW411" s="17">
        <f>IF(AND(ISNUMBER(L411),ISNUMBER(M411),ISNUMBER(AF411)),L411-M411*(1-AF411),IF(ISNUMBER(L411),L411,""))</f>
        <v/>
      </c>
      <c r="AX411" s="17">
        <f>IF(E411="금융","",IF(AND(ISNUMBER(AW411),ISNUMBER(N411),ISNUMBER(O411),ISNUMBER(AV411)),AW411+N411-O411-AV411,IF(AND(ISNUMBER(P411),ISNUMBER(O411)),P411-O411-IF(ISNUMBER(Q411),Q411,0),"")))</f>
        <v/>
      </c>
      <c r="AY411" s="8">
        <f>IF(E411="금융","금융업 - 정의되지 않음",IF(AND(ISNUMBER(AW411),ISNUMBER(N411),ISNUMBER(O411),ISNUMBER(AV411)),"영업순이익+감가상각-설비투자-운전자본증감",IF(AND(ISNUMBER(P411),ISNUMBER(O411)),IF(ISNUMBER(Q411),"영업현금흐름-설비투자-주식보상비용","영업현금흐름-설비투자(주식보상비용 미태깅)"),"산출불가")))</f>
        <v/>
      </c>
      <c r="AZ411" s="19">
        <f>IF(AND(ISNUMBER(AX411),ISNUMBER(G411),G411&lt;&gt;0),AX411/G411,"")</f>
        <v/>
      </c>
      <c r="BA411" s="19">
        <f>IF(AND(ISNUMBER(AE411),ISNUMBER(G411),G411&lt;&gt;0),AE411/G411,"")</f>
        <v/>
      </c>
    </row>
    <row r="412">
      <c r="A412" s="8" t="inlineStr">
        <is>
          <t>PG</t>
        </is>
      </c>
      <c r="B412" s="8" t="inlineStr">
        <is>
          <t>PROCTER &amp; GAMBLE Co</t>
        </is>
      </c>
      <c r="C412" s="8" t="n">
        <v>2020</v>
      </c>
      <c r="D412" s="8" t="inlineStr">
        <is>
          <t>2020-06-30</t>
        </is>
      </c>
      <c r="E412" s="8" t="inlineStr">
        <is>
          <t>일반</t>
        </is>
      </c>
      <c r="F412" s="8" t="inlineStr">
        <is>
          <t>0000080424-22-000064</t>
        </is>
      </c>
      <c r="G412" s="15" t="n">
        <v>70.95</v>
      </c>
      <c r="H412" s="15" t="n"/>
      <c r="I412" s="15" t="n"/>
      <c r="J412" s="15" t="n">
        <v>2.731</v>
      </c>
      <c r="K412" s="15" t="n">
        <v>15.706</v>
      </c>
      <c r="L412" s="15" t="n">
        <v>13.027</v>
      </c>
      <c r="M412" s="15" t="n"/>
      <c r="N412" s="15" t="n">
        <v>3.013</v>
      </c>
      <c r="O412" s="15" t="n">
        <v>3.073</v>
      </c>
      <c r="P412" s="15" t="n">
        <v>17.403</v>
      </c>
      <c r="Q412" s="15" t="n">
        <v>0.5580000000000001</v>
      </c>
      <c r="R412" s="15" t="n">
        <v>46.878</v>
      </c>
      <c r="S412" s="15" t="n">
        <v>47.579</v>
      </c>
      <c r="T412" s="15" t="n">
        <v>16.181</v>
      </c>
      <c r="U412" s="15" t="n">
        <v>4.239</v>
      </c>
      <c r="V412" s="15" t="n">
        <v>11.183</v>
      </c>
      <c r="W412" s="15" t="n">
        <v>9.696999999999999</v>
      </c>
      <c r="X412" s="15" t="n">
        <v>23.537</v>
      </c>
      <c r="Y412" s="15" t="n">
        <v>27.987</v>
      </c>
      <c r="Z412" s="15" t="n">
        <v>22.473</v>
      </c>
      <c r="AA412" s="15" t="n">
        <v>32.976</v>
      </c>
      <c r="AB412" s="15" t="n">
        <v>30.011</v>
      </c>
      <c r="AC412" s="15" t="n">
        <v>73.432</v>
      </c>
      <c r="AD412" s="16" t="n">
        <v>2625.8</v>
      </c>
      <c r="AE412" s="17">
        <f>IF(ISNUMBER(K412),K412,IF(AND(ISNUMBER(H412),ISNUMBER(I412)),H412+I412,IF(ISNUMBER(H412),H412,"")))</f>
        <v/>
      </c>
      <c r="AF412" s="18">
        <f>IF(OR(NOT(ISNUMBER(J412)),NOT(ISNUMBER(H412)),H412&lt;=0),기준표!$B$8,MIN(MAX(J412/H412,기준표!$B$6),기준표!$B$7))</f>
        <v/>
      </c>
      <c r="AG412" s="17">
        <f>IF(ISNUMBER(AE412),AE412*(1-AF412),"")</f>
        <v/>
      </c>
      <c r="AH412" s="17">
        <f>IF(AND(NOT(ISNUMBER(V412)),NOT(ISNUMBER(X412))),"",IF(ISNUMBER(V412),V412,0)+IF(ISNUMBER(X412),X412,0))</f>
        <v/>
      </c>
      <c r="AI412" s="17">
        <f>IF(E412="금융","",IF(AND(ISNUMBER(R412),ISNUMBER(AH412),ISNUMBER(T412)),R412+AH412-T412,""))</f>
        <v/>
      </c>
      <c r="AJ412" s="17">
        <f>IF(E412="금융","",IF(NOT(ISNUMBER(AI412)),"",IF(ISNUMBER(AC412),(AI412+AC412)/2,AI412)))</f>
        <v/>
      </c>
      <c r="AK412" s="19">
        <f>IF(AND(ISNUMBER(AG412),ISNUMBER(AJ412),AJ412&gt;0),AG412/AJ412,"")</f>
        <v/>
      </c>
      <c r="AL412" s="17">
        <f>IF(E412="금융","",IF(AND(ISNUMBER(R412),ISNUMBER(AH412)),R412+AH412,""))</f>
        <v/>
      </c>
      <c r="AM412" s="19">
        <f>IF(OR(NOT(ISNUMBER(AG412)),NOT(ISNUMBER(AL412)),AL412&lt;=0),"",IF(AND(ISNUMBER(G412),AL412&lt;0.1*G412),"",AG412/AL412))</f>
        <v/>
      </c>
      <c r="AN412" s="17">
        <f>IF(NOT(ISNUMBER(R412)),"",IF(ISNUMBER(S412),(R412+S412)/2,R412))</f>
        <v/>
      </c>
      <c r="AO412" s="19">
        <f>IF(AND(ISNUMBER(L412),ISNUMBER(AN412),AN412&gt;0),L412/AN412,"")</f>
        <v/>
      </c>
      <c r="AP412" s="19">
        <f>IF(AND(ISNUMBER(AO412),ISNUMBER({ROIC})),AO412-{ROIC},"")</f>
        <v/>
      </c>
      <c r="AQ412" s="17">
        <f>IF(AND(ISNUMBER(AE412),ISNUMBER(N412)),AE412+N412,"")</f>
        <v/>
      </c>
      <c r="AR412" s="20">
        <f>IF(AND(ISNUMBER(AH412),ISNUMBER(T412),ISNUMBER(AQ412),AQ412&gt;0),(AH412-T412)/AQ412,"")</f>
        <v/>
      </c>
      <c r="AS412" s="20">
        <f>IF(AND(ISNUMBER(AE412),ISNUMBER(I412),I412&lt;&gt;0,AE412&gt;0),AE412/I412,"")</f>
        <v/>
      </c>
      <c r="AT412" s="17">
        <f>IF(AND(ISNUMBER(Y412),ISNUMBER(AA412)),Y412-IF(ISNUMBER(T412),T412,0)-(AA412-IF(ISNUMBER(V412),V412,0)),"")</f>
        <v/>
      </c>
      <c r="AU412" s="17">
        <f>IF(AND(ISNUMBER(Z412),ISNUMBER(AB412)),Z412-IF(ISNUMBER(U412),U412,0)-(AB412-IF(ISNUMBER(W412),W412,0)),"")</f>
        <v/>
      </c>
      <c r="AV412" s="17">
        <f>IF(AND(ISNUMBER(AT412),ISNUMBER(AU412)),AT412-AU412,"")</f>
        <v/>
      </c>
      <c r="AW412" s="17">
        <f>IF(AND(ISNUMBER(L412),ISNUMBER(M412),ISNUMBER(AF412)),L412-M412*(1-AF412),IF(ISNUMBER(L412),L412,""))</f>
        <v/>
      </c>
      <c r="AX412" s="17">
        <f>IF(E412="금융","",IF(AND(ISNUMBER(AW412),ISNUMBER(N412),ISNUMBER(O412),ISNUMBER(AV412)),AW412+N412-O412-AV412,IF(AND(ISNUMBER(P412),ISNUMBER(O412)),P412-O412-IF(ISNUMBER(Q412),Q412,0),"")))</f>
        <v/>
      </c>
      <c r="AY412" s="8">
        <f>IF(E412="금융","금융업 - 정의되지 않음",IF(AND(ISNUMBER(AW412),ISNUMBER(N412),ISNUMBER(O412),ISNUMBER(AV412)),"영업순이익+감가상각-설비투자-운전자본증감",IF(AND(ISNUMBER(P412),ISNUMBER(O412)),IF(ISNUMBER(Q412),"영업현금흐름-설비투자-주식보상비용","영업현금흐름-설비투자(주식보상비용 미태깅)"),"산출불가")))</f>
        <v/>
      </c>
      <c r="AZ412" s="19">
        <f>IF(AND(ISNUMBER(AX412),ISNUMBER(G412),G412&lt;&gt;0),AX412/G412,"")</f>
        <v/>
      </c>
      <c r="BA412" s="19">
        <f>IF(AND(ISNUMBER(AE412),ISNUMBER(G412),G412&lt;&gt;0),AE412/G412,"")</f>
        <v/>
      </c>
    </row>
    <row r="413">
      <c r="A413" s="8" t="inlineStr">
        <is>
          <t>PG</t>
        </is>
      </c>
      <c r="B413" s="8" t="inlineStr">
        <is>
          <t>PROCTER &amp; GAMBLE Co</t>
        </is>
      </c>
      <c r="C413" s="8" t="n">
        <v>2021</v>
      </c>
      <c r="D413" s="8" t="inlineStr">
        <is>
          <t>2021-06-30</t>
        </is>
      </c>
      <c r="E413" s="8" t="inlineStr">
        <is>
          <t>일반</t>
        </is>
      </c>
      <c r="F413" s="8" t="inlineStr">
        <is>
          <t>0000080424-23-000073</t>
        </is>
      </c>
      <c r="G413" s="15" t="n">
        <v>76.11799999999999</v>
      </c>
      <c r="H413" s="15" t="n"/>
      <c r="I413" s="15" t="n"/>
      <c r="J413" s="15" t="n">
        <v>3.263</v>
      </c>
      <c r="K413" s="15" t="n">
        <v>17.986</v>
      </c>
      <c r="L413" s="15" t="n">
        <v>14.306</v>
      </c>
      <c r="M413" s="15" t="n"/>
      <c r="N413" s="15" t="n">
        <v>2.735</v>
      </c>
      <c r="O413" s="15" t="n">
        <v>2.787</v>
      </c>
      <c r="P413" s="15" t="n">
        <v>18.371</v>
      </c>
      <c r="Q413" s="15" t="n">
        <v>0.54</v>
      </c>
      <c r="R413" s="15" t="n">
        <v>46.654</v>
      </c>
      <c r="S413" s="15" t="n">
        <v>46.878</v>
      </c>
      <c r="T413" s="15" t="n">
        <v>10.288</v>
      </c>
      <c r="U413" s="15" t="n">
        <v>16.181</v>
      </c>
      <c r="V413" s="15" t="n">
        <v>8.888999999999999</v>
      </c>
      <c r="W413" s="15" t="n">
        <v>11.183</v>
      </c>
      <c r="X413" s="15" t="n">
        <v>23.099</v>
      </c>
      <c r="Y413" s="15" t="n">
        <v>23.091</v>
      </c>
      <c r="Z413" s="15" t="n">
        <v>27.987</v>
      </c>
      <c r="AA413" s="15" t="n">
        <v>33.132</v>
      </c>
      <c r="AB413" s="15" t="n">
        <v>32.976</v>
      </c>
      <c r="AC413" s="15" t="n">
        <v>65.417</v>
      </c>
      <c r="AD413" s="16" t="n">
        <v>2601</v>
      </c>
      <c r="AE413" s="17">
        <f>IF(ISNUMBER(K413),K413,IF(AND(ISNUMBER(H413),ISNUMBER(I413)),H413+I413,IF(ISNUMBER(H413),H413,"")))</f>
        <v/>
      </c>
      <c r="AF413" s="18">
        <f>IF(OR(NOT(ISNUMBER(J413)),NOT(ISNUMBER(H413)),H413&lt;=0),기준표!$B$8,MIN(MAX(J413/H413,기준표!$B$6),기준표!$B$7))</f>
        <v/>
      </c>
      <c r="AG413" s="17">
        <f>IF(ISNUMBER(AE413),AE413*(1-AF413),"")</f>
        <v/>
      </c>
      <c r="AH413" s="17">
        <f>IF(AND(NOT(ISNUMBER(V413)),NOT(ISNUMBER(X413))),"",IF(ISNUMBER(V413),V413,0)+IF(ISNUMBER(X413),X413,0))</f>
        <v/>
      </c>
      <c r="AI413" s="17">
        <f>IF(E413="금융","",IF(AND(ISNUMBER(R413),ISNUMBER(AH413),ISNUMBER(T413)),R413+AH413-T413,""))</f>
        <v/>
      </c>
      <c r="AJ413" s="17">
        <f>IF(E413="금융","",IF(NOT(ISNUMBER(AI413)),"",IF(ISNUMBER(AC413),(AI413+AC413)/2,AI413)))</f>
        <v/>
      </c>
      <c r="AK413" s="19">
        <f>IF(AND(ISNUMBER(AG413),ISNUMBER(AJ413),AJ413&gt;0),AG413/AJ413,"")</f>
        <v/>
      </c>
      <c r="AL413" s="17">
        <f>IF(E413="금융","",IF(AND(ISNUMBER(R413),ISNUMBER(AH413)),R413+AH413,""))</f>
        <v/>
      </c>
      <c r="AM413" s="19">
        <f>IF(OR(NOT(ISNUMBER(AG413)),NOT(ISNUMBER(AL413)),AL413&lt;=0),"",IF(AND(ISNUMBER(G413),AL413&lt;0.1*G413),"",AG413/AL413))</f>
        <v/>
      </c>
      <c r="AN413" s="17">
        <f>IF(NOT(ISNUMBER(R413)),"",IF(ISNUMBER(S413),(R413+S413)/2,R413))</f>
        <v/>
      </c>
      <c r="AO413" s="19">
        <f>IF(AND(ISNUMBER(L413),ISNUMBER(AN413),AN413&gt;0),L413/AN413,"")</f>
        <v/>
      </c>
      <c r="AP413" s="19">
        <f>IF(AND(ISNUMBER(AO413),ISNUMBER({ROIC})),AO413-{ROIC},"")</f>
        <v/>
      </c>
      <c r="AQ413" s="17">
        <f>IF(AND(ISNUMBER(AE413),ISNUMBER(N413)),AE413+N413,"")</f>
        <v/>
      </c>
      <c r="AR413" s="20">
        <f>IF(AND(ISNUMBER(AH413),ISNUMBER(T413),ISNUMBER(AQ413),AQ413&gt;0),(AH413-T413)/AQ413,"")</f>
        <v/>
      </c>
      <c r="AS413" s="20">
        <f>IF(AND(ISNUMBER(AE413),ISNUMBER(I413),I413&lt;&gt;0,AE413&gt;0),AE413/I413,"")</f>
        <v/>
      </c>
      <c r="AT413" s="17">
        <f>IF(AND(ISNUMBER(Y413),ISNUMBER(AA413)),Y413-IF(ISNUMBER(T413),T413,0)-(AA413-IF(ISNUMBER(V413),V413,0)),"")</f>
        <v/>
      </c>
      <c r="AU413" s="17">
        <f>IF(AND(ISNUMBER(Z413),ISNUMBER(AB413)),Z413-IF(ISNUMBER(U413),U413,0)-(AB413-IF(ISNUMBER(W413),W413,0)),"")</f>
        <v/>
      </c>
      <c r="AV413" s="17">
        <f>IF(AND(ISNUMBER(AT413),ISNUMBER(AU413)),AT413-AU413,"")</f>
        <v/>
      </c>
      <c r="AW413" s="17">
        <f>IF(AND(ISNUMBER(L413),ISNUMBER(M413),ISNUMBER(AF413)),L413-M413*(1-AF413),IF(ISNUMBER(L413),L413,""))</f>
        <v/>
      </c>
      <c r="AX413" s="17">
        <f>IF(E413="금융","",IF(AND(ISNUMBER(AW413),ISNUMBER(N413),ISNUMBER(O413),ISNUMBER(AV413)),AW413+N413-O413-AV413,IF(AND(ISNUMBER(P413),ISNUMBER(O413)),P413-O413-IF(ISNUMBER(Q413),Q413,0),"")))</f>
        <v/>
      </c>
      <c r="AY413" s="8">
        <f>IF(E413="금융","금융업 - 정의되지 않음",IF(AND(ISNUMBER(AW413),ISNUMBER(N413),ISNUMBER(O413),ISNUMBER(AV413)),"영업순이익+감가상각-설비투자-운전자본증감",IF(AND(ISNUMBER(P413),ISNUMBER(O413)),IF(ISNUMBER(Q413),"영업현금흐름-설비투자-주식보상비용","영업현금흐름-설비투자(주식보상비용 미태깅)"),"산출불가")))</f>
        <v/>
      </c>
      <c r="AZ413" s="19">
        <f>IF(AND(ISNUMBER(AX413),ISNUMBER(G413),G413&lt;&gt;0),AX413/G413,"")</f>
        <v/>
      </c>
      <c r="BA413" s="19">
        <f>IF(AND(ISNUMBER(AE413),ISNUMBER(G413),G413&lt;&gt;0),AE413/G413,"")</f>
        <v/>
      </c>
    </row>
    <row r="414">
      <c r="A414" s="8" t="inlineStr">
        <is>
          <t>PG</t>
        </is>
      </c>
      <c r="B414" s="8" t="inlineStr">
        <is>
          <t>PROCTER &amp; GAMBLE Co</t>
        </is>
      </c>
      <c r="C414" s="8" t="n">
        <v>2022</v>
      </c>
      <c r="D414" s="8" t="inlineStr">
        <is>
          <t>2022-06-30</t>
        </is>
      </c>
      <c r="E414" s="8" t="inlineStr">
        <is>
          <t>일반</t>
        </is>
      </c>
      <c r="F414" s="8" t="inlineStr">
        <is>
          <t>0000080424-24-000083</t>
        </is>
      </c>
      <c r="G414" s="15" t="n">
        <v>80.187</v>
      </c>
      <c r="H414" s="15" t="n">
        <v>17.995</v>
      </c>
      <c r="I414" s="15" t="n">
        <v>0.439</v>
      </c>
      <c r="J414" s="15" t="n">
        <v>3.202</v>
      </c>
      <c r="K414" s="15" t="n">
        <v>17.813</v>
      </c>
      <c r="L414" s="15" t="n">
        <v>14.742</v>
      </c>
      <c r="M414" s="15" t="n"/>
      <c r="N414" s="15" t="n">
        <v>2.807</v>
      </c>
      <c r="O414" s="15" t="n">
        <v>3.156</v>
      </c>
      <c r="P414" s="15" t="n">
        <v>16.723</v>
      </c>
      <c r="Q414" s="15" t="n">
        <v>0.528</v>
      </c>
      <c r="R414" s="15" t="n">
        <v>46.854</v>
      </c>
      <c r="S414" s="15" t="n">
        <v>46.654</v>
      </c>
      <c r="T414" s="15" t="n">
        <v>7.214</v>
      </c>
      <c r="U414" s="15" t="n">
        <v>10.288</v>
      </c>
      <c r="V414" s="15" t="n">
        <v>8.645</v>
      </c>
      <c r="W414" s="15" t="n">
        <v>8.888999999999999</v>
      </c>
      <c r="X414" s="15" t="n">
        <v>22.848</v>
      </c>
      <c r="Y414" s="15" t="n">
        <v>21.653</v>
      </c>
      <c r="Z414" s="15" t="n">
        <v>23.091</v>
      </c>
      <c r="AA414" s="15" t="n">
        <v>33.081</v>
      </c>
      <c r="AB414" s="15" t="n">
        <v>33.132</v>
      </c>
      <c r="AC414" s="15" t="n">
        <v>68.354</v>
      </c>
      <c r="AD414" s="16" t="n">
        <v>2539.1</v>
      </c>
      <c r="AE414" s="17">
        <f>IF(ISNUMBER(K414),K414,IF(AND(ISNUMBER(H414),ISNUMBER(I414)),H414+I414,IF(ISNUMBER(H414),H414,"")))</f>
        <v/>
      </c>
      <c r="AF414" s="18">
        <f>IF(OR(NOT(ISNUMBER(J414)),NOT(ISNUMBER(H414)),H414&lt;=0),기준표!$B$8,MIN(MAX(J414/H414,기준표!$B$6),기준표!$B$7))</f>
        <v/>
      </c>
      <c r="AG414" s="17">
        <f>IF(ISNUMBER(AE414),AE414*(1-AF414),"")</f>
        <v/>
      </c>
      <c r="AH414" s="17">
        <f>IF(AND(NOT(ISNUMBER(V414)),NOT(ISNUMBER(X414))),"",IF(ISNUMBER(V414),V414,0)+IF(ISNUMBER(X414),X414,0))</f>
        <v/>
      </c>
      <c r="AI414" s="17">
        <f>IF(E414="금융","",IF(AND(ISNUMBER(R414),ISNUMBER(AH414),ISNUMBER(T414)),R414+AH414-T414,""))</f>
        <v/>
      </c>
      <c r="AJ414" s="17">
        <f>IF(E414="금융","",IF(NOT(ISNUMBER(AI414)),"",IF(ISNUMBER(AC414),(AI414+AC414)/2,AI414)))</f>
        <v/>
      </c>
      <c r="AK414" s="19">
        <f>IF(AND(ISNUMBER(AG414),ISNUMBER(AJ414),AJ414&gt;0),AG414/AJ414,"")</f>
        <v/>
      </c>
      <c r="AL414" s="17">
        <f>IF(E414="금융","",IF(AND(ISNUMBER(R414),ISNUMBER(AH414)),R414+AH414,""))</f>
        <v/>
      </c>
      <c r="AM414" s="19">
        <f>IF(OR(NOT(ISNUMBER(AG414)),NOT(ISNUMBER(AL414)),AL414&lt;=0),"",IF(AND(ISNUMBER(G414),AL414&lt;0.1*G414),"",AG414/AL414))</f>
        <v/>
      </c>
      <c r="AN414" s="17">
        <f>IF(NOT(ISNUMBER(R414)),"",IF(ISNUMBER(S414),(R414+S414)/2,R414))</f>
        <v/>
      </c>
      <c r="AO414" s="19">
        <f>IF(AND(ISNUMBER(L414),ISNUMBER(AN414),AN414&gt;0),L414/AN414,"")</f>
        <v/>
      </c>
      <c r="AP414" s="19">
        <f>IF(AND(ISNUMBER(AO414),ISNUMBER({ROIC})),AO414-{ROIC},"")</f>
        <v/>
      </c>
      <c r="AQ414" s="17">
        <f>IF(AND(ISNUMBER(AE414),ISNUMBER(N414)),AE414+N414,"")</f>
        <v/>
      </c>
      <c r="AR414" s="20">
        <f>IF(AND(ISNUMBER(AH414),ISNUMBER(T414),ISNUMBER(AQ414),AQ414&gt;0),(AH414-T414)/AQ414,"")</f>
        <v/>
      </c>
      <c r="AS414" s="20">
        <f>IF(AND(ISNUMBER(AE414),ISNUMBER(I414),I414&lt;&gt;0,AE414&gt;0),AE414/I414,"")</f>
        <v/>
      </c>
      <c r="AT414" s="17">
        <f>IF(AND(ISNUMBER(Y414),ISNUMBER(AA414)),Y414-IF(ISNUMBER(T414),T414,0)-(AA414-IF(ISNUMBER(V414),V414,0)),"")</f>
        <v/>
      </c>
      <c r="AU414" s="17">
        <f>IF(AND(ISNUMBER(Z414),ISNUMBER(AB414)),Z414-IF(ISNUMBER(U414),U414,0)-(AB414-IF(ISNUMBER(W414),W414,0)),"")</f>
        <v/>
      </c>
      <c r="AV414" s="17">
        <f>IF(AND(ISNUMBER(AT414),ISNUMBER(AU414)),AT414-AU414,"")</f>
        <v/>
      </c>
      <c r="AW414" s="17">
        <f>IF(AND(ISNUMBER(L414),ISNUMBER(M414),ISNUMBER(AF414)),L414-M414*(1-AF414),IF(ISNUMBER(L414),L414,""))</f>
        <v/>
      </c>
      <c r="AX414" s="17">
        <f>IF(E414="금융","",IF(AND(ISNUMBER(AW414),ISNUMBER(N414),ISNUMBER(O414),ISNUMBER(AV414)),AW414+N414-O414-AV414,IF(AND(ISNUMBER(P414),ISNUMBER(O414)),P414-O414-IF(ISNUMBER(Q414),Q414,0),"")))</f>
        <v/>
      </c>
      <c r="AY414" s="8">
        <f>IF(E414="금융","금융업 - 정의되지 않음",IF(AND(ISNUMBER(AW414),ISNUMBER(N414),ISNUMBER(O414),ISNUMBER(AV414)),"영업순이익+감가상각-설비투자-운전자본증감",IF(AND(ISNUMBER(P414),ISNUMBER(O414)),IF(ISNUMBER(Q414),"영업현금흐름-설비투자-주식보상비용","영업현금흐름-설비투자(주식보상비용 미태깅)"),"산출불가")))</f>
        <v/>
      </c>
      <c r="AZ414" s="19">
        <f>IF(AND(ISNUMBER(AX414),ISNUMBER(G414),G414&lt;&gt;0),AX414/G414,"")</f>
        <v/>
      </c>
      <c r="BA414" s="19">
        <f>IF(AND(ISNUMBER(AE414),ISNUMBER(G414),G414&lt;&gt;0),AE414/G414,"")</f>
        <v/>
      </c>
    </row>
    <row r="415">
      <c r="A415" s="8" t="inlineStr">
        <is>
          <t>PG</t>
        </is>
      </c>
      <c r="B415" s="8" t="inlineStr">
        <is>
          <t>PROCTER &amp; GAMBLE Co</t>
        </is>
      </c>
      <c r="C415" s="8" t="n">
        <v>2023</v>
      </c>
      <c r="D415" s="8" t="inlineStr">
        <is>
          <t>2023-06-30</t>
        </is>
      </c>
      <c r="E415" s="8" t="inlineStr">
        <is>
          <t>일반</t>
        </is>
      </c>
      <c r="F415" s="8" t="inlineStr">
        <is>
          <t>0000080424-25-000076</t>
        </is>
      </c>
      <c r="G415" s="15" t="n">
        <v>82.006</v>
      </c>
      <c r="H415" s="15" t="n">
        <v>18.353</v>
      </c>
      <c r="I415" s="15" t="n">
        <v>0.756</v>
      </c>
      <c r="J415" s="15" t="n">
        <v>3.615</v>
      </c>
      <c r="K415" s="15" t="n">
        <v>18.134</v>
      </c>
      <c r="L415" s="15" t="n">
        <v>14.653</v>
      </c>
      <c r="M415" s="15" t="n"/>
      <c r="N415" s="15" t="n">
        <v>2.714</v>
      </c>
      <c r="O415" s="15" t="n">
        <v>3.062</v>
      </c>
      <c r="P415" s="15" t="n">
        <v>16.848</v>
      </c>
      <c r="Q415" s="15" t="n">
        <v>0.545</v>
      </c>
      <c r="R415" s="15" t="n">
        <v>47.065</v>
      </c>
      <c r="S415" s="15" t="n">
        <v>46.854</v>
      </c>
      <c r="T415" s="15" t="n">
        <v>8.246</v>
      </c>
      <c r="U415" s="15" t="n">
        <v>7.214</v>
      </c>
      <c r="V415" s="15" t="n">
        <v>10.229</v>
      </c>
      <c r="W415" s="15" t="n">
        <v>8.645</v>
      </c>
      <c r="X415" s="15" t="n">
        <v>24.378</v>
      </c>
      <c r="Y415" s="15" t="n">
        <v>22.648</v>
      </c>
      <c r="Z415" s="15" t="n">
        <v>21.653</v>
      </c>
      <c r="AA415" s="15" t="n">
        <v>35.756</v>
      </c>
      <c r="AB415" s="15" t="n">
        <v>33.081</v>
      </c>
      <c r="AC415" s="15" t="n">
        <v>71.133</v>
      </c>
      <c r="AD415" s="16" t="n">
        <v>2483.9</v>
      </c>
      <c r="AE415" s="17">
        <f>IF(ISNUMBER(K415),K415,IF(AND(ISNUMBER(H415),ISNUMBER(I415)),H415+I415,IF(ISNUMBER(H415),H415,"")))</f>
        <v/>
      </c>
      <c r="AF415" s="18">
        <f>IF(OR(NOT(ISNUMBER(J415)),NOT(ISNUMBER(H415)),H415&lt;=0),기준표!$B$8,MIN(MAX(J415/H415,기준표!$B$6),기준표!$B$7))</f>
        <v/>
      </c>
      <c r="AG415" s="17">
        <f>IF(ISNUMBER(AE415),AE415*(1-AF415),"")</f>
        <v/>
      </c>
      <c r="AH415" s="17">
        <f>IF(AND(NOT(ISNUMBER(V415)),NOT(ISNUMBER(X415))),"",IF(ISNUMBER(V415),V415,0)+IF(ISNUMBER(X415),X415,0))</f>
        <v/>
      </c>
      <c r="AI415" s="17">
        <f>IF(E415="금융","",IF(AND(ISNUMBER(R415),ISNUMBER(AH415),ISNUMBER(T415)),R415+AH415-T415,""))</f>
        <v/>
      </c>
      <c r="AJ415" s="17">
        <f>IF(E415="금융","",IF(NOT(ISNUMBER(AI415)),"",IF(ISNUMBER(AC415),(AI415+AC415)/2,AI415)))</f>
        <v/>
      </c>
      <c r="AK415" s="19">
        <f>IF(AND(ISNUMBER(AG415),ISNUMBER(AJ415),AJ415&gt;0),AG415/AJ415,"")</f>
        <v/>
      </c>
      <c r="AL415" s="17">
        <f>IF(E415="금융","",IF(AND(ISNUMBER(R415),ISNUMBER(AH415)),R415+AH415,""))</f>
        <v/>
      </c>
      <c r="AM415" s="19">
        <f>IF(OR(NOT(ISNUMBER(AG415)),NOT(ISNUMBER(AL415)),AL415&lt;=0),"",IF(AND(ISNUMBER(G415),AL415&lt;0.1*G415),"",AG415/AL415))</f>
        <v/>
      </c>
      <c r="AN415" s="17">
        <f>IF(NOT(ISNUMBER(R415)),"",IF(ISNUMBER(S415),(R415+S415)/2,R415))</f>
        <v/>
      </c>
      <c r="AO415" s="19">
        <f>IF(AND(ISNUMBER(L415),ISNUMBER(AN415),AN415&gt;0),L415/AN415,"")</f>
        <v/>
      </c>
      <c r="AP415" s="19">
        <f>IF(AND(ISNUMBER(AO415),ISNUMBER({ROIC})),AO415-{ROIC},"")</f>
        <v/>
      </c>
      <c r="AQ415" s="17">
        <f>IF(AND(ISNUMBER(AE415),ISNUMBER(N415)),AE415+N415,"")</f>
        <v/>
      </c>
      <c r="AR415" s="20">
        <f>IF(AND(ISNUMBER(AH415),ISNUMBER(T415),ISNUMBER(AQ415),AQ415&gt;0),(AH415-T415)/AQ415,"")</f>
        <v/>
      </c>
      <c r="AS415" s="20">
        <f>IF(AND(ISNUMBER(AE415),ISNUMBER(I415),I415&lt;&gt;0,AE415&gt;0),AE415/I415,"")</f>
        <v/>
      </c>
      <c r="AT415" s="17">
        <f>IF(AND(ISNUMBER(Y415),ISNUMBER(AA415)),Y415-IF(ISNUMBER(T415),T415,0)-(AA415-IF(ISNUMBER(V415),V415,0)),"")</f>
        <v/>
      </c>
      <c r="AU415" s="17">
        <f>IF(AND(ISNUMBER(Z415),ISNUMBER(AB415)),Z415-IF(ISNUMBER(U415),U415,0)-(AB415-IF(ISNUMBER(W415),W415,0)),"")</f>
        <v/>
      </c>
      <c r="AV415" s="17">
        <f>IF(AND(ISNUMBER(AT415),ISNUMBER(AU415)),AT415-AU415,"")</f>
        <v/>
      </c>
      <c r="AW415" s="17">
        <f>IF(AND(ISNUMBER(L415),ISNUMBER(M415),ISNUMBER(AF415)),L415-M415*(1-AF415),IF(ISNUMBER(L415),L415,""))</f>
        <v/>
      </c>
      <c r="AX415" s="17">
        <f>IF(E415="금융","",IF(AND(ISNUMBER(AW415),ISNUMBER(N415),ISNUMBER(O415),ISNUMBER(AV415)),AW415+N415-O415-AV415,IF(AND(ISNUMBER(P415),ISNUMBER(O415)),P415-O415-IF(ISNUMBER(Q415),Q415,0),"")))</f>
        <v/>
      </c>
      <c r="AY415" s="8">
        <f>IF(E415="금융","금융업 - 정의되지 않음",IF(AND(ISNUMBER(AW415),ISNUMBER(N415),ISNUMBER(O415),ISNUMBER(AV415)),"영업순이익+감가상각-설비투자-운전자본증감",IF(AND(ISNUMBER(P415),ISNUMBER(O415)),IF(ISNUMBER(Q415),"영업현금흐름-설비투자-주식보상비용","영업현금흐름-설비투자(주식보상비용 미태깅)"),"산출불가")))</f>
        <v/>
      </c>
      <c r="AZ415" s="19">
        <f>IF(AND(ISNUMBER(AX415),ISNUMBER(G415),G415&lt;&gt;0),AX415/G415,"")</f>
        <v/>
      </c>
      <c r="BA415" s="19">
        <f>IF(AND(ISNUMBER(AE415),ISNUMBER(G415),G415&lt;&gt;0),AE415/G415,"")</f>
        <v/>
      </c>
    </row>
    <row r="416">
      <c r="A416" s="8" t="inlineStr">
        <is>
          <t>PG</t>
        </is>
      </c>
      <c r="B416" s="8" t="inlineStr">
        <is>
          <t>PROCTER &amp; GAMBLE Co</t>
        </is>
      </c>
      <c r="C416" s="8" t="n">
        <v>2024</v>
      </c>
      <c r="D416" s="8" t="inlineStr">
        <is>
          <t>2024-06-30</t>
        </is>
      </c>
      <c r="E416" s="8" t="inlineStr">
        <is>
          <t>일반</t>
        </is>
      </c>
      <c r="F416" s="8" t="inlineStr">
        <is>
          <t>0000080424-26-000103</t>
        </is>
      </c>
      <c r="G416" s="15" t="n">
        <v>84.039</v>
      </c>
      <c r="H416" s="15" t="n">
        <v>18.761</v>
      </c>
      <c r="I416" s="15" t="n">
        <v>0.925</v>
      </c>
      <c r="J416" s="15" t="n">
        <v>3.787</v>
      </c>
      <c r="K416" s="15" t="n">
        <v>18.545</v>
      </c>
      <c r="L416" s="15" t="n">
        <v>14.879</v>
      </c>
      <c r="M416" s="15" t="n"/>
      <c r="N416" s="15" t="n">
        <v>2.896</v>
      </c>
      <c r="O416" s="15" t="n">
        <v>3.322</v>
      </c>
      <c r="P416" s="15" t="n">
        <v>19.846</v>
      </c>
      <c r="Q416" s="15" t="n">
        <v>0.5620000000000001</v>
      </c>
      <c r="R416" s="15" t="n">
        <v>50.559</v>
      </c>
      <c r="S416" s="15" t="n">
        <v>47.065</v>
      </c>
      <c r="T416" s="15" t="n">
        <v>9.481999999999999</v>
      </c>
      <c r="U416" s="15" t="n">
        <v>8.246</v>
      </c>
      <c r="V416" s="15" t="n">
        <v>7.191</v>
      </c>
      <c r="W416" s="15" t="n">
        <v>10.229</v>
      </c>
      <c r="X416" s="15" t="n">
        <v>25.269</v>
      </c>
      <c r="Y416" s="15" t="n">
        <v>24.709</v>
      </c>
      <c r="Z416" s="15" t="n">
        <v>22.648</v>
      </c>
      <c r="AA416" s="15" t="n">
        <v>33.627</v>
      </c>
      <c r="AB416" s="15" t="n">
        <v>35.756</v>
      </c>
      <c r="AC416" s="15" t="n">
        <v>73.426</v>
      </c>
      <c r="AD416" s="16" t="n">
        <v>2471.9</v>
      </c>
      <c r="AE416" s="17">
        <f>IF(ISNUMBER(K416),K416,IF(AND(ISNUMBER(H416),ISNUMBER(I416)),H416+I416,IF(ISNUMBER(H416),H416,"")))</f>
        <v/>
      </c>
      <c r="AF416" s="18">
        <f>IF(OR(NOT(ISNUMBER(J416)),NOT(ISNUMBER(H416)),H416&lt;=0),기준표!$B$8,MIN(MAX(J416/H416,기준표!$B$6),기준표!$B$7))</f>
        <v/>
      </c>
      <c r="AG416" s="17">
        <f>IF(ISNUMBER(AE416),AE416*(1-AF416),"")</f>
        <v/>
      </c>
      <c r="AH416" s="17">
        <f>IF(AND(NOT(ISNUMBER(V416)),NOT(ISNUMBER(X416))),"",IF(ISNUMBER(V416),V416,0)+IF(ISNUMBER(X416),X416,0))</f>
        <v/>
      </c>
      <c r="AI416" s="17">
        <f>IF(E416="금융","",IF(AND(ISNUMBER(R416),ISNUMBER(AH416),ISNUMBER(T416)),R416+AH416-T416,""))</f>
        <v/>
      </c>
      <c r="AJ416" s="17">
        <f>IF(E416="금융","",IF(NOT(ISNUMBER(AI416)),"",IF(ISNUMBER(AC416),(AI416+AC416)/2,AI416)))</f>
        <v/>
      </c>
      <c r="AK416" s="19">
        <f>IF(AND(ISNUMBER(AG416),ISNUMBER(AJ416),AJ416&gt;0),AG416/AJ416,"")</f>
        <v/>
      </c>
      <c r="AL416" s="17">
        <f>IF(E416="금융","",IF(AND(ISNUMBER(R416),ISNUMBER(AH416)),R416+AH416,""))</f>
        <v/>
      </c>
      <c r="AM416" s="19">
        <f>IF(OR(NOT(ISNUMBER(AG416)),NOT(ISNUMBER(AL416)),AL416&lt;=0),"",IF(AND(ISNUMBER(G416),AL416&lt;0.1*G416),"",AG416/AL416))</f>
        <v/>
      </c>
      <c r="AN416" s="17">
        <f>IF(NOT(ISNUMBER(R416)),"",IF(ISNUMBER(S416),(R416+S416)/2,R416))</f>
        <v/>
      </c>
      <c r="AO416" s="19">
        <f>IF(AND(ISNUMBER(L416),ISNUMBER(AN416),AN416&gt;0),L416/AN416,"")</f>
        <v/>
      </c>
      <c r="AP416" s="19">
        <f>IF(AND(ISNUMBER(AO416),ISNUMBER({ROIC})),AO416-{ROIC},"")</f>
        <v/>
      </c>
      <c r="AQ416" s="17">
        <f>IF(AND(ISNUMBER(AE416),ISNUMBER(N416)),AE416+N416,"")</f>
        <v/>
      </c>
      <c r="AR416" s="20">
        <f>IF(AND(ISNUMBER(AH416),ISNUMBER(T416),ISNUMBER(AQ416),AQ416&gt;0),(AH416-T416)/AQ416,"")</f>
        <v/>
      </c>
      <c r="AS416" s="20">
        <f>IF(AND(ISNUMBER(AE416),ISNUMBER(I416),I416&lt;&gt;0,AE416&gt;0),AE416/I416,"")</f>
        <v/>
      </c>
      <c r="AT416" s="17">
        <f>IF(AND(ISNUMBER(Y416),ISNUMBER(AA416)),Y416-IF(ISNUMBER(T416),T416,0)-(AA416-IF(ISNUMBER(V416),V416,0)),"")</f>
        <v/>
      </c>
      <c r="AU416" s="17">
        <f>IF(AND(ISNUMBER(Z416),ISNUMBER(AB416)),Z416-IF(ISNUMBER(U416),U416,0)-(AB416-IF(ISNUMBER(W416),W416,0)),"")</f>
        <v/>
      </c>
      <c r="AV416" s="17">
        <f>IF(AND(ISNUMBER(AT416),ISNUMBER(AU416)),AT416-AU416,"")</f>
        <v/>
      </c>
      <c r="AW416" s="17">
        <f>IF(AND(ISNUMBER(L416),ISNUMBER(M416),ISNUMBER(AF416)),L416-M416*(1-AF416),IF(ISNUMBER(L416),L416,""))</f>
        <v/>
      </c>
      <c r="AX416" s="17">
        <f>IF(E416="금융","",IF(AND(ISNUMBER(AW416),ISNUMBER(N416),ISNUMBER(O416),ISNUMBER(AV416)),AW416+N416-O416-AV416,IF(AND(ISNUMBER(P416),ISNUMBER(O416)),P416-O416-IF(ISNUMBER(Q416),Q416,0),"")))</f>
        <v/>
      </c>
      <c r="AY416" s="8">
        <f>IF(E416="금융","금융업 - 정의되지 않음",IF(AND(ISNUMBER(AW416),ISNUMBER(N416),ISNUMBER(O416),ISNUMBER(AV416)),"영업순이익+감가상각-설비투자-운전자본증감",IF(AND(ISNUMBER(P416),ISNUMBER(O416)),IF(ISNUMBER(Q416),"영업현금흐름-설비투자-주식보상비용","영업현금흐름-설비투자(주식보상비용 미태깅)"),"산출불가")))</f>
        <v/>
      </c>
      <c r="AZ416" s="19">
        <f>IF(AND(ISNUMBER(AX416),ISNUMBER(G416),G416&lt;&gt;0),AX416/G416,"")</f>
        <v/>
      </c>
      <c r="BA416" s="19">
        <f>IF(AND(ISNUMBER(AE416),ISNUMBER(G416),G416&lt;&gt;0),AE416/G416,"")</f>
        <v/>
      </c>
    </row>
    <row r="417">
      <c r="A417" s="8" t="inlineStr">
        <is>
          <t>PG</t>
        </is>
      </c>
      <c r="B417" s="8" t="inlineStr">
        <is>
          <t>PROCTER &amp; GAMBLE Co</t>
        </is>
      </c>
      <c r="C417" s="8" t="n">
        <v>2025</v>
      </c>
      <c r="D417" s="8" t="inlineStr">
        <is>
          <t>2025-06-30</t>
        </is>
      </c>
      <c r="E417" s="8" t="inlineStr">
        <is>
          <t>일반</t>
        </is>
      </c>
      <c r="F417" s="8" t="inlineStr">
        <is>
          <t>0000080424-26-000103</t>
        </is>
      </c>
      <c r="G417" s="15" t="n">
        <v>84.28400000000001</v>
      </c>
      <c r="H417" s="15" t="n">
        <v>20.167</v>
      </c>
      <c r="I417" s="15" t="n">
        <v>0.907</v>
      </c>
      <c r="J417" s="15" t="n">
        <v>4.102</v>
      </c>
      <c r="K417" s="15" t="n">
        <v>20.451</v>
      </c>
      <c r="L417" s="15" t="n">
        <v>15.974</v>
      </c>
      <c r="M417" s="15" t="n"/>
      <c r="N417" s="15" t="n">
        <v>2.847</v>
      </c>
      <c r="O417" s="15" t="n">
        <v>3.773</v>
      </c>
      <c r="P417" s="15" t="n">
        <v>17.817</v>
      </c>
      <c r="Q417" s="15" t="n">
        <v>0.476</v>
      </c>
      <c r="R417" s="15" t="n">
        <v>52.284</v>
      </c>
      <c r="S417" s="15" t="n">
        <v>50.559</v>
      </c>
      <c r="T417" s="15" t="n">
        <v>9.555999999999999</v>
      </c>
      <c r="U417" s="15" t="n">
        <v>9.481999999999999</v>
      </c>
      <c r="V417" s="15" t="n">
        <v>9.513</v>
      </c>
      <c r="W417" s="15" t="n">
        <v>7.191</v>
      </c>
      <c r="X417" s="15" t="n">
        <v>24.995</v>
      </c>
      <c r="Y417" s="15" t="n">
        <v>25.392</v>
      </c>
      <c r="Z417" s="15" t="n">
        <v>24.709</v>
      </c>
      <c r="AA417" s="15" t="n">
        <v>36.058</v>
      </c>
      <c r="AB417" s="15" t="n">
        <v>33.627</v>
      </c>
      <c r="AC417" s="15" t="n">
        <v>73.53700000000001</v>
      </c>
      <c r="AD417" s="16" t="n">
        <v>2454.4</v>
      </c>
      <c r="AE417" s="17">
        <f>IF(ISNUMBER(K417),K417,IF(AND(ISNUMBER(H417),ISNUMBER(I417)),H417+I417,IF(ISNUMBER(H417),H417,"")))</f>
        <v/>
      </c>
      <c r="AF417" s="18">
        <f>IF(OR(NOT(ISNUMBER(J417)),NOT(ISNUMBER(H417)),H417&lt;=0),기준표!$B$8,MIN(MAX(J417/H417,기준표!$B$6),기준표!$B$7))</f>
        <v/>
      </c>
      <c r="AG417" s="17">
        <f>IF(ISNUMBER(AE417),AE417*(1-AF417),"")</f>
        <v/>
      </c>
      <c r="AH417" s="17">
        <f>IF(AND(NOT(ISNUMBER(V417)),NOT(ISNUMBER(X417))),"",IF(ISNUMBER(V417),V417,0)+IF(ISNUMBER(X417),X417,0))</f>
        <v/>
      </c>
      <c r="AI417" s="17">
        <f>IF(E417="금융","",IF(AND(ISNUMBER(R417),ISNUMBER(AH417),ISNUMBER(T417)),R417+AH417-T417,""))</f>
        <v/>
      </c>
      <c r="AJ417" s="17">
        <f>IF(E417="금융","",IF(NOT(ISNUMBER(AI417)),"",IF(ISNUMBER(AC417),(AI417+AC417)/2,AI417)))</f>
        <v/>
      </c>
      <c r="AK417" s="19">
        <f>IF(AND(ISNUMBER(AG417),ISNUMBER(AJ417),AJ417&gt;0),AG417/AJ417,"")</f>
        <v/>
      </c>
      <c r="AL417" s="17">
        <f>IF(E417="금융","",IF(AND(ISNUMBER(R417),ISNUMBER(AH417)),R417+AH417,""))</f>
        <v/>
      </c>
      <c r="AM417" s="19">
        <f>IF(OR(NOT(ISNUMBER(AG417)),NOT(ISNUMBER(AL417)),AL417&lt;=0),"",IF(AND(ISNUMBER(G417),AL417&lt;0.1*G417),"",AG417/AL417))</f>
        <v/>
      </c>
      <c r="AN417" s="17">
        <f>IF(NOT(ISNUMBER(R417)),"",IF(ISNUMBER(S417),(R417+S417)/2,R417))</f>
        <v/>
      </c>
      <c r="AO417" s="19">
        <f>IF(AND(ISNUMBER(L417),ISNUMBER(AN417),AN417&gt;0),L417/AN417,"")</f>
        <v/>
      </c>
      <c r="AP417" s="19">
        <f>IF(AND(ISNUMBER(AO417),ISNUMBER({ROIC})),AO417-{ROIC},"")</f>
        <v/>
      </c>
      <c r="AQ417" s="17">
        <f>IF(AND(ISNUMBER(AE417),ISNUMBER(N417)),AE417+N417,"")</f>
        <v/>
      </c>
      <c r="AR417" s="20">
        <f>IF(AND(ISNUMBER(AH417),ISNUMBER(T417),ISNUMBER(AQ417),AQ417&gt;0),(AH417-T417)/AQ417,"")</f>
        <v/>
      </c>
      <c r="AS417" s="20">
        <f>IF(AND(ISNUMBER(AE417),ISNUMBER(I417),I417&lt;&gt;0,AE417&gt;0),AE417/I417,"")</f>
        <v/>
      </c>
      <c r="AT417" s="17">
        <f>IF(AND(ISNUMBER(Y417),ISNUMBER(AA417)),Y417-IF(ISNUMBER(T417),T417,0)-(AA417-IF(ISNUMBER(V417),V417,0)),"")</f>
        <v/>
      </c>
      <c r="AU417" s="17">
        <f>IF(AND(ISNUMBER(Z417),ISNUMBER(AB417)),Z417-IF(ISNUMBER(U417),U417,0)-(AB417-IF(ISNUMBER(W417),W417,0)),"")</f>
        <v/>
      </c>
      <c r="AV417" s="17">
        <f>IF(AND(ISNUMBER(AT417),ISNUMBER(AU417)),AT417-AU417,"")</f>
        <v/>
      </c>
      <c r="AW417" s="17">
        <f>IF(AND(ISNUMBER(L417),ISNUMBER(M417),ISNUMBER(AF417)),L417-M417*(1-AF417),IF(ISNUMBER(L417),L417,""))</f>
        <v/>
      </c>
      <c r="AX417" s="17">
        <f>IF(E417="금융","",IF(AND(ISNUMBER(AW417),ISNUMBER(N417),ISNUMBER(O417),ISNUMBER(AV417)),AW417+N417-O417-AV417,IF(AND(ISNUMBER(P417),ISNUMBER(O417)),P417-O417-IF(ISNUMBER(Q417),Q417,0),"")))</f>
        <v/>
      </c>
      <c r="AY417" s="8">
        <f>IF(E417="금융","금융업 - 정의되지 않음",IF(AND(ISNUMBER(AW417),ISNUMBER(N417),ISNUMBER(O417),ISNUMBER(AV417)),"영업순이익+감가상각-설비투자-운전자본증감",IF(AND(ISNUMBER(P417),ISNUMBER(O417)),IF(ISNUMBER(Q417),"영업현금흐름-설비투자-주식보상비용","영업현금흐름-설비투자(주식보상비용 미태깅)"),"산출불가")))</f>
        <v/>
      </c>
      <c r="AZ417" s="19">
        <f>IF(AND(ISNUMBER(AX417),ISNUMBER(G417),G417&lt;&gt;0),AX417/G417,"")</f>
        <v/>
      </c>
      <c r="BA417" s="19">
        <f>IF(AND(ISNUMBER(AE417),ISNUMBER(G417),G417&lt;&gt;0),AE417/G417,"")</f>
        <v/>
      </c>
    </row>
    <row r="418">
      <c r="A418" s="8" t="inlineStr">
        <is>
          <t>PG</t>
        </is>
      </c>
      <c r="B418" s="8" t="inlineStr">
        <is>
          <t>PROCTER &amp; GAMBLE Co</t>
        </is>
      </c>
      <c r="C418" s="8" t="n">
        <v>2026</v>
      </c>
      <c r="D418" s="8" t="inlineStr">
        <is>
          <t>2026-06-30</t>
        </is>
      </c>
      <c r="E418" s="8" t="inlineStr">
        <is>
          <t>일반</t>
        </is>
      </c>
      <c r="F418" s="8" t="inlineStr">
        <is>
          <t>0000080424-26-000103</t>
        </is>
      </c>
      <c r="G418" s="15" t="n">
        <v>87.032</v>
      </c>
      <c r="H418" s="15" t="n">
        <v>20.377</v>
      </c>
      <c r="I418" s="15" t="n">
        <v>0.877</v>
      </c>
      <c r="J418" s="15" t="n">
        <v>4.233</v>
      </c>
      <c r="K418" s="15" t="n">
        <v>19.748</v>
      </c>
      <c r="L418" s="15" t="n">
        <v>16.046</v>
      </c>
      <c r="M418" s="15" t="n"/>
      <c r="N418" s="15" t="n">
        <v>3.16</v>
      </c>
      <c r="O418" s="15" t="n">
        <v>4.409</v>
      </c>
      <c r="P418" s="15" t="n">
        <v>19.556</v>
      </c>
      <c r="Q418" s="15" t="n">
        <v>0.524</v>
      </c>
      <c r="R418" s="15" t="n">
        <v>54.311</v>
      </c>
      <c r="S418" s="15" t="n">
        <v>52.284</v>
      </c>
      <c r="T418" s="15" t="n">
        <v>9.942</v>
      </c>
      <c r="U418" s="15" t="n">
        <v>9.555999999999999</v>
      </c>
      <c r="V418" s="15" t="n">
        <v>11.296</v>
      </c>
      <c r="W418" s="15" t="n">
        <v>9.513</v>
      </c>
      <c r="X418" s="15" t="n">
        <v>22.842</v>
      </c>
      <c r="Y418" s="15" t="n">
        <v>26.208</v>
      </c>
      <c r="Z418" s="15" t="n">
        <v>25.392</v>
      </c>
      <c r="AA418" s="15" t="n">
        <v>38.694</v>
      </c>
      <c r="AB418" s="15" t="n">
        <v>36.058</v>
      </c>
      <c r="AC418" s="15" t="n">
        <v>77.236</v>
      </c>
      <c r="AD418" s="16" t="n">
        <v>2422.5</v>
      </c>
      <c r="AE418" s="17">
        <f>IF(ISNUMBER(K418),K418,IF(AND(ISNUMBER(H418),ISNUMBER(I418)),H418+I418,IF(ISNUMBER(H418),H418,"")))</f>
        <v/>
      </c>
      <c r="AF418" s="18">
        <f>IF(OR(NOT(ISNUMBER(J418)),NOT(ISNUMBER(H418)),H418&lt;=0),기준표!$B$8,MIN(MAX(J418/H418,기준표!$B$6),기준표!$B$7))</f>
        <v/>
      </c>
      <c r="AG418" s="17">
        <f>IF(ISNUMBER(AE418),AE418*(1-AF418),"")</f>
        <v/>
      </c>
      <c r="AH418" s="17">
        <f>IF(AND(NOT(ISNUMBER(V418)),NOT(ISNUMBER(X418))),"",IF(ISNUMBER(V418),V418,0)+IF(ISNUMBER(X418),X418,0))</f>
        <v/>
      </c>
      <c r="AI418" s="17">
        <f>IF(E418="금융","",IF(AND(ISNUMBER(R418),ISNUMBER(AH418),ISNUMBER(T418)),R418+AH418-T418,""))</f>
        <v/>
      </c>
      <c r="AJ418" s="17">
        <f>IF(E418="금융","",IF(NOT(ISNUMBER(AI418)),"",IF(ISNUMBER(AC418),(AI418+AC418)/2,AI418)))</f>
        <v/>
      </c>
      <c r="AK418" s="19">
        <f>IF(AND(ISNUMBER(AG418),ISNUMBER(AJ418),AJ418&gt;0),AG418/AJ418,"")</f>
        <v/>
      </c>
      <c r="AL418" s="17">
        <f>IF(E418="금융","",IF(AND(ISNUMBER(R418),ISNUMBER(AH418)),R418+AH418,""))</f>
        <v/>
      </c>
      <c r="AM418" s="19">
        <f>IF(OR(NOT(ISNUMBER(AG418)),NOT(ISNUMBER(AL418)),AL418&lt;=0),"",IF(AND(ISNUMBER(G418),AL418&lt;0.1*G418),"",AG418/AL418))</f>
        <v/>
      </c>
      <c r="AN418" s="17">
        <f>IF(NOT(ISNUMBER(R418)),"",IF(ISNUMBER(S418),(R418+S418)/2,R418))</f>
        <v/>
      </c>
      <c r="AO418" s="19">
        <f>IF(AND(ISNUMBER(L418),ISNUMBER(AN418),AN418&gt;0),L418/AN418,"")</f>
        <v/>
      </c>
      <c r="AP418" s="19">
        <f>IF(AND(ISNUMBER(AO418),ISNUMBER({ROIC})),AO418-{ROIC},"")</f>
        <v/>
      </c>
      <c r="AQ418" s="17">
        <f>IF(AND(ISNUMBER(AE418),ISNUMBER(N418)),AE418+N418,"")</f>
        <v/>
      </c>
      <c r="AR418" s="20">
        <f>IF(AND(ISNUMBER(AH418),ISNUMBER(T418),ISNUMBER(AQ418),AQ418&gt;0),(AH418-T418)/AQ418,"")</f>
        <v/>
      </c>
      <c r="AS418" s="20">
        <f>IF(AND(ISNUMBER(AE418),ISNUMBER(I418),I418&lt;&gt;0,AE418&gt;0),AE418/I418,"")</f>
        <v/>
      </c>
      <c r="AT418" s="17">
        <f>IF(AND(ISNUMBER(Y418),ISNUMBER(AA418)),Y418-IF(ISNUMBER(T418),T418,0)-(AA418-IF(ISNUMBER(V418),V418,0)),"")</f>
        <v/>
      </c>
      <c r="AU418" s="17">
        <f>IF(AND(ISNUMBER(Z418),ISNUMBER(AB418)),Z418-IF(ISNUMBER(U418),U418,0)-(AB418-IF(ISNUMBER(W418),W418,0)),"")</f>
        <v/>
      </c>
      <c r="AV418" s="17">
        <f>IF(AND(ISNUMBER(AT418),ISNUMBER(AU418)),AT418-AU418,"")</f>
        <v/>
      </c>
      <c r="AW418" s="17">
        <f>IF(AND(ISNUMBER(L418),ISNUMBER(M418),ISNUMBER(AF418)),L418-M418*(1-AF418),IF(ISNUMBER(L418),L418,""))</f>
        <v/>
      </c>
      <c r="AX418" s="17">
        <f>IF(E418="금융","",IF(AND(ISNUMBER(AW418),ISNUMBER(N418),ISNUMBER(O418),ISNUMBER(AV418)),AW418+N418-O418-AV418,IF(AND(ISNUMBER(P418),ISNUMBER(O418)),P418-O418-IF(ISNUMBER(Q418),Q418,0),"")))</f>
        <v/>
      </c>
      <c r="AY418" s="8">
        <f>IF(E418="금융","금융업 - 정의되지 않음",IF(AND(ISNUMBER(AW418),ISNUMBER(N418),ISNUMBER(O418),ISNUMBER(AV418)),"영업순이익+감가상각-설비투자-운전자본증감",IF(AND(ISNUMBER(P418),ISNUMBER(O418)),IF(ISNUMBER(Q418),"영업현금흐름-설비투자-주식보상비용","영업현금흐름-설비투자(주식보상비용 미태깅)"),"산출불가")))</f>
        <v/>
      </c>
      <c r="AZ418" s="19">
        <f>IF(AND(ISNUMBER(AX418),ISNUMBER(G418),G418&lt;&gt;0),AX418/G418,"")</f>
        <v/>
      </c>
      <c r="BA418" s="19">
        <f>IF(AND(ISNUMBER(AE418),ISNUMBER(G418),G418&lt;&gt;0),AE418/G418,"")</f>
        <v/>
      </c>
    </row>
    <row r="419">
      <c r="A419" s="8" t="inlineStr">
        <is>
          <t>MRK</t>
        </is>
      </c>
      <c r="B419" s="8" t="inlineStr">
        <is>
          <t>Merck &amp; Co., Inc.</t>
        </is>
      </c>
      <c r="C419" s="8" t="n">
        <v>2014</v>
      </c>
      <c r="D419" s="8" t="inlineStr">
        <is>
          <t>2014-12-31</t>
        </is>
      </c>
      <c r="E419" s="8" t="inlineStr">
        <is>
          <t>일반</t>
        </is>
      </c>
      <c r="F419" s="8" t="inlineStr">
        <is>
          <t>0000310158-17-000010</t>
        </is>
      </c>
      <c r="G419" s="15" t="n"/>
      <c r="H419" s="15" t="n">
        <v>17.283</v>
      </c>
      <c r="I419" s="15" t="n"/>
      <c r="J419" s="15" t="n">
        <v>5.349</v>
      </c>
      <c r="K419" s="15" t="n"/>
      <c r="L419" s="15" t="n">
        <v>11.92</v>
      </c>
      <c r="M419" s="15" t="n"/>
      <c r="N419" s="15" t="n">
        <v>2.5</v>
      </c>
      <c r="O419" s="15" t="n"/>
      <c r="P419" s="15" t="n">
        <v>7.989</v>
      </c>
      <c r="Q419" s="15" t="n">
        <v>0.278</v>
      </c>
      <c r="R419" s="15" t="n">
        <v>48.647</v>
      </c>
      <c r="S419" s="15" t="n"/>
      <c r="T419" s="15" t="n">
        <v>15.719</v>
      </c>
      <c r="U419" s="15" t="n"/>
      <c r="V419" s="15" t="n">
        <v>2.704</v>
      </c>
      <c r="W419" s="15" t="n"/>
      <c r="X419" s="15" t="n">
        <v>18.699</v>
      </c>
      <c r="Y419" s="15" t="n">
        <v>32.605</v>
      </c>
      <c r="Z419" s="15" t="n"/>
      <c r="AA419" s="15" t="n">
        <v>18.397</v>
      </c>
      <c r="AB419" s="15" t="n"/>
      <c r="AC419" s="15" t="n"/>
      <c r="AD419" s="16" t="n">
        <v>2928</v>
      </c>
      <c r="AE419" s="17">
        <f>IF(ISNUMBER(K419),K419,IF(AND(ISNUMBER(H419),ISNUMBER(I419)),H419+I419,IF(ISNUMBER(H419),H419,"")))</f>
        <v/>
      </c>
      <c r="AF419" s="18">
        <f>IF(OR(NOT(ISNUMBER(J419)),NOT(ISNUMBER(H419)),H419&lt;=0),기준표!$B$8,MIN(MAX(J419/H419,기준표!$B$6),기준표!$B$7))</f>
        <v/>
      </c>
      <c r="AG419" s="17">
        <f>IF(ISNUMBER(AE419),AE419*(1-AF419),"")</f>
        <v/>
      </c>
      <c r="AH419" s="17">
        <f>IF(AND(NOT(ISNUMBER(V419)),NOT(ISNUMBER(X419))),"",IF(ISNUMBER(V419),V419,0)+IF(ISNUMBER(X419),X419,0))</f>
        <v/>
      </c>
      <c r="AI419" s="17">
        <f>IF(E419="금융","",IF(AND(ISNUMBER(R419),ISNUMBER(AH419),ISNUMBER(T419)),R419+AH419-T419,""))</f>
        <v/>
      </c>
      <c r="AJ419" s="17">
        <f>IF(E419="금융","",IF(NOT(ISNUMBER(AI419)),"",IF(ISNUMBER(AC419),(AI419+AC419)/2,AI419)))</f>
        <v/>
      </c>
      <c r="AK419" s="19">
        <f>IF(AND(ISNUMBER(AG419),ISNUMBER(AJ419),AJ419&gt;0),AG419/AJ419,"")</f>
        <v/>
      </c>
      <c r="AL419" s="17">
        <f>IF(E419="금융","",IF(AND(ISNUMBER(R419),ISNUMBER(AH419)),R419+AH419,""))</f>
        <v/>
      </c>
      <c r="AM419" s="19">
        <f>IF(OR(NOT(ISNUMBER(AG419)),NOT(ISNUMBER(AL419)),AL419&lt;=0),"",IF(AND(ISNUMBER(G419),AL419&lt;0.1*G419),"",AG419/AL419))</f>
        <v/>
      </c>
      <c r="AN419" s="17">
        <f>IF(NOT(ISNUMBER(R419)),"",IF(ISNUMBER(S419),(R419+S419)/2,R419))</f>
        <v/>
      </c>
      <c r="AO419" s="19">
        <f>IF(AND(ISNUMBER(L419),ISNUMBER(AN419),AN419&gt;0),L419/AN419,"")</f>
        <v/>
      </c>
      <c r="AP419" s="19">
        <f>IF(AND(ISNUMBER(AO419),ISNUMBER({ROIC})),AO419-{ROIC},"")</f>
        <v/>
      </c>
      <c r="AQ419" s="17">
        <f>IF(AND(ISNUMBER(AE419),ISNUMBER(N419)),AE419+N419,"")</f>
        <v/>
      </c>
      <c r="AR419" s="20">
        <f>IF(AND(ISNUMBER(AH419),ISNUMBER(T419),ISNUMBER(AQ419),AQ419&gt;0),(AH419-T419)/AQ419,"")</f>
        <v/>
      </c>
      <c r="AS419" s="20">
        <f>IF(AND(ISNUMBER(AE419),ISNUMBER(I419),I419&lt;&gt;0,AE419&gt;0),AE419/I419,"")</f>
        <v/>
      </c>
      <c r="AT419" s="17">
        <f>IF(AND(ISNUMBER(Y419),ISNUMBER(AA419)),Y419-IF(ISNUMBER(T419),T419,0)-(AA419-IF(ISNUMBER(V419),V419,0)),"")</f>
        <v/>
      </c>
      <c r="AU419" s="17">
        <f>IF(AND(ISNUMBER(Z419),ISNUMBER(AB419)),Z419-IF(ISNUMBER(U419),U419,0)-(AB419-IF(ISNUMBER(W419),W419,0)),"")</f>
        <v/>
      </c>
      <c r="AV419" s="17">
        <f>IF(AND(ISNUMBER(AT419),ISNUMBER(AU419)),AT419-AU419,"")</f>
        <v/>
      </c>
      <c r="AW419" s="17">
        <f>IF(AND(ISNUMBER(L419),ISNUMBER(M419),ISNUMBER(AF419)),L419-M419*(1-AF419),IF(ISNUMBER(L419),L419,""))</f>
        <v/>
      </c>
      <c r="AX419" s="17">
        <f>IF(E419="금융","",IF(AND(ISNUMBER(AW419),ISNUMBER(N419),ISNUMBER(O419),ISNUMBER(AV419)),AW419+N419-O419-AV419,IF(AND(ISNUMBER(P419),ISNUMBER(O419)),P419-O419-IF(ISNUMBER(Q419),Q419,0),"")))</f>
        <v/>
      </c>
      <c r="AY419" s="8">
        <f>IF(E419="금융","금융업 - 정의되지 않음",IF(AND(ISNUMBER(AW419),ISNUMBER(N419),ISNUMBER(O419),ISNUMBER(AV419)),"영업순이익+감가상각-설비투자-운전자본증감",IF(AND(ISNUMBER(P419),ISNUMBER(O419)),IF(ISNUMBER(Q419),"영업현금흐름-설비투자-주식보상비용","영업현금흐름-설비투자(주식보상비용 미태깅)"),"산출불가")))</f>
        <v/>
      </c>
      <c r="AZ419" s="19">
        <f>IF(AND(ISNUMBER(AX419),ISNUMBER(G419),G419&lt;&gt;0),AX419/G419,"")</f>
        <v/>
      </c>
      <c r="BA419" s="19">
        <f>IF(AND(ISNUMBER(AE419),ISNUMBER(G419),G419&lt;&gt;0),AE419/G419,"")</f>
        <v/>
      </c>
    </row>
    <row r="420">
      <c r="A420" s="8" t="inlineStr">
        <is>
          <t>MRK</t>
        </is>
      </c>
      <c r="B420" s="8" t="inlineStr">
        <is>
          <t>Merck &amp; Co., Inc.</t>
        </is>
      </c>
      <c r="C420" s="8" t="n">
        <v>2015</v>
      </c>
      <c r="D420" s="8" t="inlineStr">
        <is>
          <t>2015-12-31</t>
        </is>
      </c>
      <c r="E420" s="8" t="inlineStr">
        <is>
          <t>일반</t>
        </is>
      </c>
      <c r="F420" s="8" t="inlineStr">
        <is>
          <t>0000310158-18-000005</t>
        </is>
      </c>
      <c r="G420" s="15" t="n"/>
      <c r="H420" s="15" t="n">
        <v>5.401</v>
      </c>
      <c r="I420" s="15" t="n"/>
      <c r="J420" s="15" t="n">
        <v>0.9419999999999999</v>
      </c>
      <c r="K420" s="15" t="n"/>
      <c r="L420" s="15" t="n">
        <v>4.442</v>
      </c>
      <c r="M420" s="15" t="n"/>
      <c r="N420" s="15" t="n">
        <v>1.6</v>
      </c>
      <c r="O420" s="15" t="n"/>
      <c r="P420" s="15" t="n">
        <v>12.538</v>
      </c>
      <c r="Q420" s="15" t="n">
        <v>0.299</v>
      </c>
      <c r="R420" s="15" t="n">
        <v>44.676</v>
      </c>
      <c r="S420" s="15" t="n">
        <v>48.647</v>
      </c>
      <c r="T420" s="15" t="n">
        <v>13.427</v>
      </c>
      <c r="U420" s="15" t="n">
        <v>15.719</v>
      </c>
      <c r="V420" s="15" t="n">
        <v>2.583</v>
      </c>
      <c r="W420" s="15" t="n">
        <v>2.704</v>
      </c>
      <c r="X420" s="15" t="n">
        <v>23.829</v>
      </c>
      <c r="Y420" s="15" t="n">
        <v>29.751</v>
      </c>
      <c r="Z420" s="15" t="n">
        <v>32.605</v>
      </c>
      <c r="AA420" s="15" t="n">
        <v>19.201</v>
      </c>
      <c r="AB420" s="15" t="n">
        <v>18.397</v>
      </c>
      <c r="AC420" s="15" t="n">
        <v>54.331</v>
      </c>
      <c r="AD420" s="16" t="n">
        <v>2841</v>
      </c>
      <c r="AE420" s="17">
        <f>IF(ISNUMBER(K420),K420,IF(AND(ISNUMBER(H420),ISNUMBER(I420)),H420+I420,IF(ISNUMBER(H420),H420,"")))</f>
        <v/>
      </c>
      <c r="AF420" s="18">
        <f>IF(OR(NOT(ISNUMBER(J420)),NOT(ISNUMBER(H420)),H420&lt;=0),기준표!$B$8,MIN(MAX(J420/H420,기준표!$B$6),기준표!$B$7))</f>
        <v/>
      </c>
      <c r="AG420" s="17">
        <f>IF(ISNUMBER(AE420),AE420*(1-AF420),"")</f>
        <v/>
      </c>
      <c r="AH420" s="17">
        <f>IF(AND(NOT(ISNUMBER(V420)),NOT(ISNUMBER(X420))),"",IF(ISNUMBER(V420),V420,0)+IF(ISNUMBER(X420),X420,0))</f>
        <v/>
      </c>
      <c r="AI420" s="17">
        <f>IF(E420="금융","",IF(AND(ISNUMBER(R420),ISNUMBER(AH420),ISNUMBER(T420)),R420+AH420-T420,""))</f>
        <v/>
      </c>
      <c r="AJ420" s="17">
        <f>IF(E420="금융","",IF(NOT(ISNUMBER(AI420)),"",IF(ISNUMBER(AC420),(AI420+AC420)/2,AI420)))</f>
        <v/>
      </c>
      <c r="AK420" s="19">
        <f>IF(AND(ISNUMBER(AG420),ISNUMBER(AJ420),AJ420&gt;0),AG420/AJ420,"")</f>
        <v/>
      </c>
      <c r="AL420" s="17">
        <f>IF(E420="금융","",IF(AND(ISNUMBER(R420),ISNUMBER(AH420)),R420+AH420,""))</f>
        <v/>
      </c>
      <c r="AM420" s="19">
        <f>IF(OR(NOT(ISNUMBER(AG420)),NOT(ISNUMBER(AL420)),AL420&lt;=0),"",IF(AND(ISNUMBER(G420),AL420&lt;0.1*G420),"",AG420/AL420))</f>
        <v/>
      </c>
      <c r="AN420" s="17">
        <f>IF(NOT(ISNUMBER(R420)),"",IF(ISNUMBER(S420),(R420+S420)/2,R420))</f>
        <v/>
      </c>
      <c r="AO420" s="19">
        <f>IF(AND(ISNUMBER(L420),ISNUMBER(AN420),AN420&gt;0),L420/AN420,"")</f>
        <v/>
      </c>
      <c r="AP420" s="19">
        <f>IF(AND(ISNUMBER(AO420),ISNUMBER({ROIC})),AO420-{ROIC},"")</f>
        <v/>
      </c>
      <c r="AQ420" s="17">
        <f>IF(AND(ISNUMBER(AE420),ISNUMBER(N420)),AE420+N420,"")</f>
        <v/>
      </c>
      <c r="AR420" s="20">
        <f>IF(AND(ISNUMBER(AH420),ISNUMBER(T420),ISNUMBER(AQ420),AQ420&gt;0),(AH420-T420)/AQ420,"")</f>
        <v/>
      </c>
      <c r="AS420" s="20">
        <f>IF(AND(ISNUMBER(AE420),ISNUMBER(I420),I420&lt;&gt;0,AE420&gt;0),AE420/I420,"")</f>
        <v/>
      </c>
      <c r="AT420" s="17">
        <f>IF(AND(ISNUMBER(Y420),ISNUMBER(AA420)),Y420-IF(ISNUMBER(T420),T420,0)-(AA420-IF(ISNUMBER(V420),V420,0)),"")</f>
        <v/>
      </c>
      <c r="AU420" s="17">
        <f>IF(AND(ISNUMBER(Z420),ISNUMBER(AB420)),Z420-IF(ISNUMBER(U420),U420,0)-(AB420-IF(ISNUMBER(W420),W420,0)),"")</f>
        <v/>
      </c>
      <c r="AV420" s="17">
        <f>IF(AND(ISNUMBER(AT420),ISNUMBER(AU420)),AT420-AU420,"")</f>
        <v/>
      </c>
      <c r="AW420" s="17">
        <f>IF(AND(ISNUMBER(L420),ISNUMBER(M420),ISNUMBER(AF420)),L420-M420*(1-AF420),IF(ISNUMBER(L420),L420,""))</f>
        <v/>
      </c>
      <c r="AX420" s="17">
        <f>IF(E420="금융","",IF(AND(ISNUMBER(AW420),ISNUMBER(N420),ISNUMBER(O420),ISNUMBER(AV420)),AW420+N420-O420-AV420,IF(AND(ISNUMBER(P420),ISNUMBER(O420)),P420-O420-IF(ISNUMBER(Q420),Q420,0),"")))</f>
        <v/>
      </c>
      <c r="AY420" s="8">
        <f>IF(E420="금융","금융업 - 정의되지 않음",IF(AND(ISNUMBER(AW420),ISNUMBER(N420),ISNUMBER(O420),ISNUMBER(AV420)),"영업순이익+감가상각-설비투자-운전자본증감",IF(AND(ISNUMBER(P420),ISNUMBER(O420)),IF(ISNUMBER(Q420),"영업현금흐름-설비투자-주식보상비용","영업현금흐름-설비투자(주식보상비용 미태깅)"),"산출불가")))</f>
        <v/>
      </c>
      <c r="AZ420" s="19">
        <f>IF(AND(ISNUMBER(AX420),ISNUMBER(G420),G420&lt;&gt;0),AX420/G420,"")</f>
        <v/>
      </c>
      <c r="BA420" s="19">
        <f>IF(AND(ISNUMBER(AE420),ISNUMBER(G420),G420&lt;&gt;0),AE420/G420,"")</f>
        <v/>
      </c>
    </row>
    <row r="421">
      <c r="A421" s="8" t="inlineStr">
        <is>
          <t>MRK</t>
        </is>
      </c>
      <c r="B421" s="8" t="inlineStr">
        <is>
          <t>Merck &amp; Co., Inc.</t>
        </is>
      </c>
      <c r="C421" s="8" t="n">
        <v>2016</v>
      </c>
      <c r="D421" s="8" t="inlineStr">
        <is>
          <t>2016-12-31</t>
        </is>
      </c>
      <c r="E421" s="8" t="inlineStr">
        <is>
          <t>일반</t>
        </is>
      </c>
      <c r="F421" s="8" t="inlineStr">
        <is>
          <t>0000310158-19-000014</t>
        </is>
      </c>
      <c r="G421" s="15" t="n">
        <v>39.807</v>
      </c>
      <c r="H421" s="15" t="n">
        <v>4.659</v>
      </c>
      <c r="I421" s="15" t="n"/>
      <c r="J421" s="15" t="n">
        <v>0.718</v>
      </c>
      <c r="K421" s="15" t="n"/>
      <c r="L421" s="15" t="n">
        <v>3.92</v>
      </c>
      <c r="M421" s="15" t="n">
        <v>0.043</v>
      </c>
      <c r="N421" s="15" t="n">
        <v>1.6</v>
      </c>
      <c r="O421" s="15" t="n"/>
      <c r="P421" s="15" t="n">
        <v>10.376</v>
      </c>
      <c r="Q421" s="15" t="n">
        <v>0.3</v>
      </c>
      <c r="R421" s="15" t="n">
        <v>40.088</v>
      </c>
      <c r="S421" s="15" t="n">
        <v>44.676</v>
      </c>
      <c r="T421" s="15" t="n">
        <v>14.341</v>
      </c>
      <c r="U421" s="15" t="n">
        <v>13.427</v>
      </c>
      <c r="V421" s="15" t="n">
        <v>0.5679999999999999</v>
      </c>
      <c r="W421" s="15" t="n">
        <v>2.583</v>
      </c>
      <c r="X421" s="15" t="n">
        <v>24.274</v>
      </c>
      <c r="Y421" s="15" t="n">
        <v>30.614</v>
      </c>
      <c r="Z421" s="15" t="n">
        <v>29.751</v>
      </c>
      <c r="AA421" s="15" t="n">
        <v>17.204</v>
      </c>
      <c r="AB421" s="15" t="n">
        <v>19.201</v>
      </c>
      <c r="AC421" s="15" t="n">
        <v>57.661</v>
      </c>
      <c r="AD421" s="16" t="n">
        <v>2787</v>
      </c>
      <c r="AE421" s="17">
        <f>IF(ISNUMBER(K421),K421,IF(AND(ISNUMBER(H421),ISNUMBER(I421)),H421+I421,IF(ISNUMBER(H421),H421,"")))</f>
        <v/>
      </c>
      <c r="AF421" s="18">
        <f>IF(OR(NOT(ISNUMBER(J421)),NOT(ISNUMBER(H421)),H421&lt;=0),기준표!$B$8,MIN(MAX(J421/H421,기준표!$B$6),기준표!$B$7))</f>
        <v/>
      </c>
      <c r="AG421" s="17">
        <f>IF(ISNUMBER(AE421),AE421*(1-AF421),"")</f>
        <v/>
      </c>
      <c r="AH421" s="17">
        <f>IF(AND(NOT(ISNUMBER(V421)),NOT(ISNUMBER(X421))),"",IF(ISNUMBER(V421),V421,0)+IF(ISNUMBER(X421),X421,0))</f>
        <v/>
      </c>
      <c r="AI421" s="17">
        <f>IF(E421="금융","",IF(AND(ISNUMBER(R421),ISNUMBER(AH421),ISNUMBER(T421)),R421+AH421-T421,""))</f>
        <v/>
      </c>
      <c r="AJ421" s="17">
        <f>IF(E421="금융","",IF(NOT(ISNUMBER(AI421)),"",IF(ISNUMBER(AC421),(AI421+AC421)/2,AI421)))</f>
        <v/>
      </c>
      <c r="AK421" s="19">
        <f>IF(AND(ISNUMBER(AG421),ISNUMBER(AJ421),AJ421&gt;0),AG421/AJ421,"")</f>
        <v/>
      </c>
      <c r="AL421" s="17">
        <f>IF(E421="금융","",IF(AND(ISNUMBER(R421),ISNUMBER(AH421)),R421+AH421,""))</f>
        <v/>
      </c>
      <c r="AM421" s="19">
        <f>IF(OR(NOT(ISNUMBER(AG421)),NOT(ISNUMBER(AL421)),AL421&lt;=0),"",IF(AND(ISNUMBER(G421),AL421&lt;0.1*G421),"",AG421/AL421))</f>
        <v/>
      </c>
      <c r="AN421" s="17">
        <f>IF(NOT(ISNUMBER(R421)),"",IF(ISNUMBER(S421),(R421+S421)/2,R421))</f>
        <v/>
      </c>
      <c r="AO421" s="19">
        <f>IF(AND(ISNUMBER(L421),ISNUMBER(AN421),AN421&gt;0),L421/AN421,"")</f>
        <v/>
      </c>
      <c r="AP421" s="19">
        <f>IF(AND(ISNUMBER(AO421),ISNUMBER({ROIC})),AO421-{ROIC},"")</f>
        <v/>
      </c>
      <c r="AQ421" s="17">
        <f>IF(AND(ISNUMBER(AE421),ISNUMBER(N421)),AE421+N421,"")</f>
        <v/>
      </c>
      <c r="AR421" s="20">
        <f>IF(AND(ISNUMBER(AH421),ISNUMBER(T421),ISNUMBER(AQ421),AQ421&gt;0),(AH421-T421)/AQ421,"")</f>
        <v/>
      </c>
      <c r="AS421" s="20">
        <f>IF(AND(ISNUMBER(AE421),ISNUMBER(I421),I421&lt;&gt;0,AE421&gt;0),AE421/I421,"")</f>
        <v/>
      </c>
      <c r="AT421" s="17">
        <f>IF(AND(ISNUMBER(Y421),ISNUMBER(AA421)),Y421-IF(ISNUMBER(T421),T421,0)-(AA421-IF(ISNUMBER(V421),V421,0)),"")</f>
        <v/>
      </c>
      <c r="AU421" s="17">
        <f>IF(AND(ISNUMBER(Z421),ISNUMBER(AB421)),Z421-IF(ISNUMBER(U421),U421,0)-(AB421-IF(ISNUMBER(W421),W421,0)),"")</f>
        <v/>
      </c>
      <c r="AV421" s="17">
        <f>IF(AND(ISNUMBER(AT421),ISNUMBER(AU421)),AT421-AU421,"")</f>
        <v/>
      </c>
      <c r="AW421" s="17">
        <f>IF(AND(ISNUMBER(L421),ISNUMBER(M421),ISNUMBER(AF421)),L421-M421*(1-AF421),IF(ISNUMBER(L421),L421,""))</f>
        <v/>
      </c>
      <c r="AX421" s="17">
        <f>IF(E421="금융","",IF(AND(ISNUMBER(AW421),ISNUMBER(N421),ISNUMBER(O421),ISNUMBER(AV421)),AW421+N421-O421-AV421,IF(AND(ISNUMBER(P421),ISNUMBER(O421)),P421-O421-IF(ISNUMBER(Q421),Q421,0),"")))</f>
        <v/>
      </c>
      <c r="AY421" s="8">
        <f>IF(E421="금융","금융업 - 정의되지 않음",IF(AND(ISNUMBER(AW421),ISNUMBER(N421),ISNUMBER(O421),ISNUMBER(AV421)),"영업순이익+감가상각-설비투자-운전자본증감",IF(AND(ISNUMBER(P421),ISNUMBER(O421)),IF(ISNUMBER(Q421),"영업현금흐름-설비투자-주식보상비용","영업현금흐름-설비투자(주식보상비용 미태깅)"),"산출불가")))</f>
        <v/>
      </c>
      <c r="AZ421" s="19">
        <f>IF(AND(ISNUMBER(AX421),ISNUMBER(G421),G421&lt;&gt;0),AX421/G421,"")</f>
        <v/>
      </c>
      <c r="BA421" s="19">
        <f>IF(AND(ISNUMBER(AE421),ISNUMBER(G421),G421&lt;&gt;0),AE421/G421,"")</f>
        <v/>
      </c>
    </row>
    <row r="422">
      <c r="A422" s="8" t="inlineStr">
        <is>
          <t>MRK</t>
        </is>
      </c>
      <c r="B422" s="8" t="inlineStr">
        <is>
          <t>Merck &amp; Co., Inc.</t>
        </is>
      </c>
      <c r="C422" s="8" t="n">
        <v>2017</v>
      </c>
      <c r="D422" s="8" t="inlineStr">
        <is>
          <t>2017-12-31</t>
        </is>
      </c>
      <c r="E422" s="8" t="inlineStr">
        <is>
          <t>일반</t>
        </is>
      </c>
      <c r="F422" s="8" t="inlineStr">
        <is>
          <t>0000310158-20-000005</t>
        </is>
      </c>
      <c r="G422" s="15" t="n">
        <v>40.122</v>
      </c>
      <c r="H422" s="15" t="n">
        <v>6.521</v>
      </c>
      <c r="I422" s="15" t="n"/>
      <c r="J422" s="15" t="n">
        <v>4.103</v>
      </c>
      <c r="K422" s="15" t="n"/>
      <c r="L422" s="15" t="n">
        <v>2.394</v>
      </c>
      <c r="M422" s="15" t="n">
        <v>0.352</v>
      </c>
      <c r="N422" s="15" t="n">
        <v>1.5</v>
      </c>
      <c r="O422" s="15" t="n"/>
      <c r="P422" s="15" t="n">
        <v>6.451</v>
      </c>
      <c r="Q422" s="15" t="n">
        <v>0.312</v>
      </c>
      <c r="R422" s="15" t="n">
        <v>34.336</v>
      </c>
      <c r="S422" s="15" t="n">
        <v>40.088</v>
      </c>
      <c r="T422" s="15" t="n">
        <v>8.497999999999999</v>
      </c>
      <c r="U422" s="15" t="n">
        <v>14.341</v>
      </c>
      <c r="V422" s="15" t="n">
        <v>3.057</v>
      </c>
      <c r="W422" s="15" t="n">
        <v>0.5679999999999999</v>
      </c>
      <c r="X422" s="15" t="n">
        <v>21.353</v>
      </c>
      <c r="Y422" s="15" t="n">
        <v>24.766</v>
      </c>
      <c r="Z422" s="15" t="n">
        <v>30.614</v>
      </c>
      <c r="AA422" s="15" t="n">
        <v>18.614</v>
      </c>
      <c r="AB422" s="15" t="n">
        <v>17.204</v>
      </c>
      <c r="AC422" s="15" t="n">
        <v>50.589</v>
      </c>
      <c r="AD422" s="16" t="n">
        <v>2748</v>
      </c>
      <c r="AE422" s="17">
        <f>IF(ISNUMBER(K422),K422,IF(AND(ISNUMBER(H422),ISNUMBER(I422)),H422+I422,IF(ISNUMBER(H422),H422,"")))</f>
        <v/>
      </c>
      <c r="AF422" s="18">
        <f>IF(OR(NOT(ISNUMBER(J422)),NOT(ISNUMBER(H422)),H422&lt;=0),기준표!$B$8,MIN(MAX(J422/H422,기준표!$B$6),기준표!$B$7))</f>
        <v/>
      </c>
      <c r="AG422" s="17">
        <f>IF(ISNUMBER(AE422),AE422*(1-AF422),"")</f>
        <v/>
      </c>
      <c r="AH422" s="17">
        <f>IF(AND(NOT(ISNUMBER(V422)),NOT(ISNUMBER(X422))),"",IF(ISNUMBER(V422),V422,0)+IF(ISNUMBER(X422),X422,0))</f>
        <v/>
      </c>
      <c r="AI422" s="17">
        <f>IF(E422="금융","",IF(AND(ISNUMBER(R422),ISNUMBER(AH422),ISNUMBER(T422)),R422+AH422-T422,""))</f>
        <v/>
      </c>
      <c r="AJ422" s="17">
        <f>IF(E422="금융","",IF(NOT(ISNUMBER(AI422)),"",IF(ISNUMBER(AC422),(AI422+AC422)/2,AI422)))</f>
        <v/>
      </c>
      <c r="AK422" s="19">
        <f>IF(AND(ISNUMBER(AG422),ISNUMBER(AJ422),AJ422&gt;0),AG422/AJ422,"")</f>
        <v/>
      </c>
      <c r="AL422" s="17">
        <f>IF(E422="금융","",IF(AND(ISNUMBER(R422),ISNUMBER(AH422)),R422+AH422,""))</f>
        <v/>
      </c>
      <c r="AM422" s="19">
        <f>IF(OR(NOT(ISNUMBER(AG422)),NOT(ISNUMBER(AL422)),AL422&lt;=0),"",IF(AND(ISNUMBER(G422),AL422&lt;0.1*G422),"",AG422/AL422))</f>
        <v/>
      </c>
      <c r="AN422" s="17">
        <f>IF(NOT(ISNUMBER(R422)),"",IF(ISNUMBER(S422),(R422+S422)/2,R422))</f>
        <v/>
      </c>
      <c r="AO422" s="19">
        <f>IF(AND(ISNUMBER(L422),ISNUMBER(AN422),AN422&gt;0),L422/AN422,"")</f>
        <v/>
      </c>
      <c r="AP422" s="19">
        <f>IF(AND(ISNUMBER(AO422),ISNUMBER({ROIC})),AO422-{ROIC},"")</f>
        <v/>
      </c>
      <c r="AQ422" s="17">
        <f>IF(AND(ISNUMBER(AE422),ISNUMBER(N422)),AE422+N422,"")</f>
        <v/>
      </c>
      <c r="AR422" s="20">
        <f>IF(AND(ISNUMBER(AH422),ISNUMBER(T422),ISNUMBER(AQ422),AQ422&gt;0),(AH422-T422)/AQ422,"")</f>
        <v/>
      </c>
      <c r="AS422" s="20">
        <f>IF(AND(ISNUMBER(AE422),ISNUMBER(I422),I422&lt;&gt;0,AE422&gt;0),AE422/I422,"")</f>
        <v/>
      </c>
      <c r="AT422" s="17">
        <f>IF(AND(ISNUMBER(Y422),ISNUMBER(AA422)),Y422-IF(ISNUMBER(T422),T422,0)-(AA422-IF(ISNUMBER(V422),V422,0)),"")</f>
        <v/>
      </c>
      <c r="AU422" s="17">
        <f>IF(AND(ISNUMBER(Z422),ISNUMBER(AB422)),Z422-IF(ISNUMBER(U422),U422,0)-(AB422-IF(ISNUMBER(W422),W422,0)),"")</f>
        <v/>
      </c>
      <c r="AV422" s="17">
        <f>IF(AND(ISNUMBER(AT422),ISNUMBER(AU422)),AT422-AU422,"")</f>
        <v/>
      </c>
      <c r="AW422" s="17">
        <f>IF(AND(ISNUMBER(L422),ISNUMBER(M422),ISNUMBER(AF422)),L422-M422*(1-AF422),IF(ISNUMBER(L422),L422,""))</f>
        <v/>
      </c>
      <c r="AX422" s="17">
        <f>IF(E422="금융","",IF(AND(ISNUMBER(AW422),ISNUMBER(N422),ISNUMBER(O422),ISNUMBER(AV422)),AW422+N422-O422-AV422,IF(AND(ISNUMBER(P422),ISNUMBER(O422)),P422-O422-IF(ISNUMBER(Q422),Q422,0),"")))</f>
        <v/>
      </c>
      <c r="AY422" s="8">
        <f>IF(E422="금융","금융업 - 정의되지 않음",IF(AND(ISNUMBER(AW422),ISNUMBER(N422),ISNUMBER(O422),ISNUMBER(AV422)),"영업순이익+감가상각-설비투자-운전자본증감",IF(AND(ISNUMBER(P422),ISNUMBER(O422)),IF(ISNUMBER(Q422),"영업현금흐름-설비투자-주식보상비용","영업현금흐름-설비투자(주식보상비용 미태깅)"),"산출불가")))</f>
        <v/>
      </c>
      <c r="AZ422" s="19">
        <f>IF(AND(ISNUMBER(AX422),ISNUMBER(G422),G422&lt;&gt;0),AX422/G422,"")</f>
        <v/>
      </c>
      <c r="BA422" s="19">
        <f>IF(AND(ISNUMBER(AE422),ISNUMBER(G422),G422&lt;&gt;0),AE422/G422,"")</f>
        <v/>
      </c>
    </row>
    <row r="423">
      <c r="A423" s="8" t="inlineStr">
        <is>
          <t>MRK</t>
        </is>
      </c>
      <c r="B423" s="8" t="inlineStr">
        <is>
          <t>Merck &amp; Co., Inc.</t>
        </is>
      </c>
      <c r="C423" s="8" t="n">
        <v>2018</v>
      </c>
      <c r="D423" s="8" t="inlineStr">
        <is>
          <t>2018-12-31</t>
        </is>
      </c>
      <c r="E423" s="8" t="inlineStr">
        <is>
          <t>일반</t>
        </is>
      </c>
      <c r="F423" s="8" t="inlineStr">
        <is>
          <t>0000310158-21-000004</t>
        </is>
      </c>
      <c r="G423" s="15" t="n">
        <v>42.294</v>
      </c>
      <c r="H423" s="15" t="n">
        <v>8.701000000000001</v>
      </c>
      <c r="I423" s="15" t="n"/>
      <c r="J423" s="15" t="n">
        <v>2.508</v>
      </c>
      <c r="K423" s="15" t="n"/>
      <c r="L423" s="15" t="n">
        <v>6.22</v>
      </c>
      <c r="M423" s="15" t="n">
        <v>0.324</v>
      </c>
      <c r="N423" s="15" t="n">
        <v>1.416</v>
      </c>
      <c r="O423" s="15" t="n"/>
      <c r="P423" s="15" t="n">
        <v>10.922</v>
      </c>
      <c r="Q423" s="15" t="n">
        <v>0.348</v>
      </c>
      <c r="R423" s="15" t="n">
        <v>26.701</v>
      </c>
      <c r="S423" s="15" t="n">
        <v>34.336</v>
      </c>
      <c r="T423" s="15" t="n">
        <v>8.864000000000001</v>
      </c>
      <c r="U423" s="15" t="n">
        <v>8.497999999999999</v>
      </c>
      <c r="V423" s="15" t="n">
        <v>5.308</v>
      </c>
      <c r="W423" s="15" t="n">
        <v>3.057</v>
      </c>
      <c r="X423" s="15" t="n">
        <v>19.806</v>
      </c>
      <c r="Y423" s="15" t="n">
        <v>25.875</v>
      </c>
      <c r="Z423" s="15" t="n">
        <v>24.766</v>
      </c>
      <c r="AA423" s="15" t="n">
        <v>22.206</v>
      </c>
      <c r="AB423" s="15" t="n">
        <v>18.614</v>
      </c>
      <c r="AC423" s="15" t="n">
        <v>50.248</v>
      </c>
      <c r="AD423" s="16" t="n">
        <v>2679</v>
      </c>
      <c r="AE423" s="17">
        <f>IF(ISNUMBER(K423),K423,IF(AND(ISNUMBER(H423),ISNUMBER(I423)),H423+I423,IF(ISNUMBER(H423),H423,"")))</f>
        <v/>
      </c>
      <c r="AF423" s="18">
        <f>IF(OR(NOT(ISNUMBER(J423)),NOT(ISNUMBER(H423)),H423&lt;=0),기준표!$B$8,MIN(MAX(J423/H423,기준표!$B$6),기준표!$B$7))</f>
        <v/>
      </c>
      <c r="AG423" s="17">
        <f>IF(ISNUMBER(AE423),AE423*(1-AF423),"")</f>
        <v/>
      </c>
      <c r="AH423" s="17">
        <f>IF(AND(NOT(ISNUMBER(V423)),NOT(ISNUMBER(X423))),"",IF(ISNUMBER(V423),V423,0)+IF(ISNUMBER(X423),X423,0))</f>
        <v/>
      </c>
      <c r="AI423" s="17">
        <f>IF(E423="금융","",IF(AND(ISNUMBER(R423),ISNUMBER(AH423),ISNUMBER(T423)),R423+AH423-T423,""))</f>
        <v/>
      </c>
      <c r="AJ423" s="17">
        <f>IF(E423="금융","",IF(NOT(ISNUMBER(AI423)),"",IF(ISNUMBER(AC423),(AI423+AC423)/2,AI423)))</f>
        <v/>
      </c>
      <c r="AK423" s="19">
        <f>IF(AND(ISNUMBER(AG423),ISNUMBER(AJ423),AJ423&gt;0),AG423/AJ423,"")</f>
        <v/>
      </c>
      <c r="AL423" s="17">
        <f>IF(E423="금융","",IF(AND(ISNUMBER(R423),ISNUMBER(AH423)),R423+AH423,""))</f>
        <v/>
      </c>
      <c r="AM423" s="19">
        <f>IF(OR(NOT(ISNUMBER(AG423)),NOT(ISNUMBER(AL423)),AL423&lt;=0),"",IF(AND(ISNUMBER(G423),AL423&lt;0.1*G423),"",AG423/AL423))</f>
        <v/>
      </c>
      <c r="AN423" s="17">
        <f>IF(NOT(ISNUMBER(R423)),"",IF(ISNUMBER(S423),(R423+S423)/2,R423))</f>
        <v/>
      </c>
      <c r="AO423" s="19">
        <f>IF(AND(ISNUMBER(L423),ISNUMBER(AN423),AN423&gt;0),L423/AN423,"")</f>
        <v/>
      </c>
      <c r="AP423" s="19">
        <f>IF(AND(ISNUMBER(AO423),ISNUMBER({ROIC})),AO423-{ROIC},"")</f>
        <v/>
      </c>
      <c r="AQ423" s="17">
        <f>IF(AND(ISNUMBER(AE423),ISNUMBER(N423)),AE423+N423,"")</f>
        <v/>
      </c>
      <c r="AR423" s="20">
        <f>IF(AND(ISNUMBER(AH423),ISNUMBER(T423),ISNUMBER(AQ423),AQ423&gt;0),(AH423-T423)/AQ423,"")</f>
        <v/>
      </c>
      <c r="AS423" s="20">
        <f>IF(AND(ISNUMBER(AE423),ISNUMBER(I423),I423&lt;&gt;0,AE423&gt;0),AE423/I423,"")</f>
        <v/>
      </c>
      <c r="AT423" s="17">
        <f>IF(AND(ISNUMBER(Y423),ISNUMBER(AA423)),Y423-IF(ISNUMBER(T423),T423,0)-(AA423-IF(ISNUMBER(V423),V423,0)),"")</f>
        <v/>
      </c>
      <c r="AU423" s="17">
        <f>IF(AND(ISNUMBER(Z423),ISNUMBER(AB423)),Z423-IF(ISNUMBER(U423),U423,0)-(AB423-IF(ISNUMBER(W423),W423,0)),"")</f>
        <v/>
      </c>
      <c r="AV423" s="17">
        <f>IF(AND(ISNUMBER(AT423),ISNUMBER(AU423)),AT423-AU423,"")</f>
        <v/>
      </c>
      <c r="AW423" s="17">
        <f>IF(AND(ISNUMBER(L423),ISNUMBER(M423),ISNUMBER(AF423)),L423-M423*(1-AF423),IF(ISNUMBER(L423),L423,""))</f>
        <v/>
      </c>
      <c r="AX423" s="17">
        <f>IF(E423="금융","",IF(AND(ISNUMBER(AW423),ISNUMBER(N423),ISNUMBER(O423),ISNUMBER(AV423)),AW423+N423-O423-AV423,IF(AND(ISNUMBER(P423),ISNUMBER(O423)),P423-O423-IF(ISNUMBER(Q423),Q423,0),"")))</f>
        <v/>
      </c>
      <c r="AY423" s="8">
        <f>IF(E423="금융","금융업 - 정의되지 않음",IF(AND(ISNUMBER(AW423),ISNUMBER(N423),ISNUMBER(O423),ISNUMBER(AV423)),"영업순이익+감가상각-설비투자-운전자본증감",IF(AND(ISNUMBER(P423),ISNUMBER(O423)),IF(ISNUMBER(Q423),"영업현금흐름-설비투자-주식보상비용","영업현금흐름-설비투자(주식보상비용 미태깅)"),"산출불가")))</f>
        <v/>
      </c>
      <c r="AZ423" s="19">
        <f>IF(AND(ISNUMBER(AX423),ISNUMBER(G423),G423&lt;&gt;0),AX423/G423,"")</f>
        <v/>
      </c>
      <c r="BA423" s="19">
        <f>IF(AND(ISNUMBER(AE423),ISNUMBER(G423),G423&lt;&gt;0),AE423/G423,"")</f>
        <v/>
      </c>
    </row>
    <row r="424">
      <c r="A424" s="8" t="inlineStr">
        <is>
          <t>MRK</t>
        </is>
      </c>
      <c r="B424" s="8" t="inlineStr">
        <is>
          <t>Merck &amp; Co., Inc.</t>
        </is>
      </c>
      <c r="C424" s="8" t="n">
        <v>2019</v>
      </c>
      <c r="D424" s="8" t="inlineStr">
        <is>
          <t>2019-12-31</t>
        </is>
      </c>
      <c r="E424" s="8" t="inlineStr">
        <is>
          <t>일반</t>
        </is>
      </c>
      <c r="F424" s="8" t="inlineStr">
        <is>
          <t>0000310158-22-000003</t>
        </is>
      </c>
      <c r="G424" s="15" t="n">
        <v>39.121</v>
      </c>
      <c r="H424" s="15" t="n">
        <v>7.171</v>
      </c>
      <c r="I424" s="15" t="n"/>
      <c r="J424" s="15" t="n">
        <v>1.565</v>
      </c>
      <c r="K424" s="15" t="n"/>
      <c r="L424" s="15" t="n">
        <v>9.843</v>
      </c>
      <c r="M424" s="15" t="n">
        <v>0.17</v>
      </c>
      <c r="N424" s="15" t="n">
        <v>1.615</v>
      </c>
      <c r="O424" s="15" t="n"/>
      <c r="P424" s="15" t="n">
        <v>13.44</v>
      </c>
      <c r="Q424" s="15" t="n">
        <v>0.388</v>
      </c>
      <c r="R424" s="15" t="n">
        <v>25.907</v>
      </c>
      <c r="S424" s="15" t="n">
        <v>26.701</v>
      </c>
      <c r="T424" s="15" t="n">
        <v>10.45</v>
      </c>
      <c r="U424" s="15" t="n">
        <v>8.864000000000001</v>
      </c>
      <c r="V424" s="15" t="n">
        <v>3.61</v>
      </c>
      <c r="W424" s="15" t="n">
        <v>5.308</v>
      </c>
      <c r="X424" s="15" t="n">
        <v>22.736</v>
      </c>
      <c r="Y424" s="15" t="n">
        <v>27.483</v>
      </c>
      <c r="Z424" s="15" t="n">
        <v>25.875</v>
      </c>
      <c r="AA424" s="15" t="n">
        <v>22.22</v>
      </c>
      <c r="AB424" s="15" t="n">
        <v>22.206</v>
      </c>
      <c r="AC424" s="15" t="n">
        <v>42.951</v>
      </c>
      <c r="AD424" s="16" t="n">
        <v>2580</v>
      </c>
      <c r="AE424" s="17">
        <f>IF(ISNUMBER(K424),K424,IF(AND(ISNUMBER(H424),ISNUMBER(I424)),H424+I424,IF(ISNUMBER(H424),H424,"")))</f>
        <v/>
      </c>
      <c r="AF424" s="18">
        <f>IF(OR(NOT(ISNUMBER(J424)),NOT(ISNUMBER(H424)),H424&lt;=0),기준표!$B$8,MIN(MAX(J424/H424,기준표!$B$6),기준표!$B$7))</f>
        <v/>
      </c>
      <c r="AG424" s="17">
        <f>IF(ISNUMBER(AE424),AE424*(1-AF424),"")</f>
        <v/>
      </c>
      <c r="AH424" s="17">
        <f>IF(AND(NOT(ISNUMBER(V424)),NOT(ISNUMBER(X424))),"",IF(ISNUMBER(V424),V424,0)+IF(ISNUMBER(X424),X424,0))</f>
        <v/>
      </c>
      <c r="AI424" s="17">
        <f>IF(E424="금융","",IF(AND(ISNUMBER(R424),ISNUMBER(AH424),ISNUMBER(T424)),R424+AH424-T424,""))</f>
        <v/>
      </c>
      <c r="AJ424" s="17">
        <f>IF(E424="금융","",IF(NOT(ISNUMBER(AI424)),"",IF(ISNUMBER(AC424),(AI424+AC424)/2,AI424)))</f>
        <v/>
      </c>
      <c r="AK424" s="19">
        <f>IF(AND(ISNUMBER(AG424),ISNUMBER(AJ424),AJ424&gt;0),AG424/AJ424,"")</f>
        <v/>
      </c>
      <c r="AL424" s="17">
        <f>IF(E424="금융","",IF(AND(ISNUMBER(R424),ISNUMBER(AH424)),R424+AH424,""))</f>
        <v/>
      </c>
      <c r="AM424" s="19">
        <f>IF(OR(NOT(ISNUMBER(AG424)),NOT(ISNUMBER(AL424)),AL424&lt;=0),"",IF(AND(ISNUMBER(G424),AL424&lt;0.1*G424),"",AG424/AL424))</f>
        <v/>
      </c>
      <c r="AN424" s="17">
        <f>IF(NOT(ISNUMBER(R424)),"",IF(ISNUMBER(S424),(R424+S424)/2,R424))</f>
        <v/>
      </c>
      <c r="AO424" s="19">
        <f>IF(AND(ISNUMBER(L424),ISNUMBER(AN424),AN424&gt;0),L424/AN424,"")</f>
        <v/>
      </c>
      <c r="AP424" s="19">
        <f>IF(AND(ISNUMBER(AO424),ISNUMBER({ROIC})),AO424-{ROIC},"")</f>
        <v/>
      </c>
      <c r="AQ424" s="17">
        <f>IF(AND(ISNUMBER(AE424),ISNUMBER(N424)),AE424+N424,"")</f>
        <v/>
      </c>
      <c r="AR424" s="20">
        <f>IF(AND(ISNUMBER(AH424),ISNUMBER(T424),ISNUMBER(AQ424),AQ424&gt;0),(AH424-T424)/AQ424,"")</f>
        <v/>
      </c>
      <c r="AS424" s="20">
        <f>IF(AND(ISNUMBER(AE424),ISNUMBER(I424),I424&lt;&gt;0,AE424&gt;0),AE424/I424,"")</f>
        <v/>
      </c>
      <c r="AT424" s="17">
        <f>IF(AND(ISNUMBER(Y424),ISNUMBER(AA424)),Y424-IF(ISNUMBER(T424),T424,0)-(AA424-IF(ISNUMBER(V424),V424,0)),"")</f>
        <v/>
      </c>
      <c r="AU424" s="17">
        <f>IF(AND(ISNUMBER(Z424),ISNUMBER(AB424)),Z424-IF(ISNUMBER(U424),U424,0)-(AB424-IF(ISNUMBER(W424),W424,0)),"")</f>
        <v/>
      </c>
      <c r="AV424" s="17">
        <f>IF(AND(ISNUMBER(AT424),ISNUMBER(AU424)),AT424-AU424,"")</f>
        <v/>
      </c>
      <c r="AW424" s="17">
        <f>IF(AND(ISNUMBER(L424),ISNUMBER(M424),ISNUMBER(AF424)),L424-M424*(1-AF424),IF(ISNUMBER(L424),L424,""))</f>
        <v/>
      </c>
      <c r="AX424" s="17">
        <f>IF(E424="금융","",IF(AND(ISNUMBER(AW424),ISNUMBER(N424),ISNUMBER(O424),ISNUMBER(AV424)),AW424+N424-O424-AV424,IF(AND(ISNUMBER(P424),ISNUMBER(O424)),P424-O424-IF(ISNUMBER(Q424),Q424,0),"")))</f>
        <v/>
      </c>
      <c r="AY424" s="8">
        <f>IF(E424="금융","금융업 - 정의되지 않음",IF(AND(ISNUMBER(AW424),ISNUMBER(N424),ISNUMBER(O424),ISNUMBER(AV424)),"영업순이익+감가상각-설비투자-운전자본증감",IF(AND(ISNUMBER(P424),ISNUMBER(O424)),IF(ISNUMBER(Q424),"영업현금흐름-설비투자-주식보상비용","영업현금흐름-설비투자(주식보상비용 미태깅)"),"산출불가")))</f>
        <v/>
      </c>
      <c r="AZ424" s="19">
        <f>IF(AND(ISNUMBER(AX424),ISNUMBER(G424),G424&lt;&gt;0),AX424/G424,"")</f>
        <v/>
      </c>
      <c r="BA424" s="19">
        <f>IF(AND(ISNUMBER(AE424),ISNUMBER(G424),G424&lt;&gt;0),AE424/G424,"")</f>
        <v/>
      </c>
    </row>
    <row r="425">
      <c r="A425" s="8" t="inlineStr">
        <is>
          <t>MRK</t>
        </is>
      </c>
      <c r="B425" s="8" t="inlineStr">
        <is>
          <t>Merck &amp; Co., Inc.</t>
        </is>
      </c>
      <c r="C425" s="8" t="n">
        <v>2020</v>
      </c>
      <c r="D425" s="8" t="inlineStr">
        <is>
          <t>2020-12-31</t>
        </is>
      </c>
      <c r="E425" s="8" t="inlineStr">
        <is>
          <t>일반</t>
        </is>
      </c>
      <c r="F425" s="8" t="inlineStr">
        <is>
          <t>0001628280-23-005061</t>
        </is>
      </c>
      <c r="G425" s="15" t="n">
        <v>41.518</v>
      </c>
      <c r="H425" s="15" t="n">
        <v>5.863</v>
      </c>
      <c r="I425" s="15" t="n"/>
      <c r="J425" s="15" t="n">
        <v>1.34</v>
      </c>
      <c r="K425" s="15" t="n"/>
      <c r="L425" s="15" t="n">
        <v>7.067</v>
      </c>
      <c r="M425" s="15" t="n">
        <v>1.338</v>
      </c>
      <c r="N425" s="15" t="n">
        <v>1.669</v>
      </c>
      <c r="O425" s="15" t="n"/>
      <c r="P425" s="15" t="n">
        <v>10.253</v>
      </c>
      <c r="Q425" s="15" t="n">
        <v>0.441</v>
      </c>
      <c r="R425" s="15" t="n">
        <v>25.317</v>
      </c>
      <c r="S425" s="15" t="n">
        <v>25.907</v>
      </c>
      <c r="T425" s="15" t="n">
        <v>8.050000000000001</v>
      </c>
      <c r="U425" s="15" t="n">
        <v>10.45</v>
      </c>
      <c r="V425" s="15" t="n">
        <v>6.431</v>
      </c>
      <c r="W425" s="15" t="n">
        <v>3.61</v>
      </c>
      <c r="X425" s="15" t="n">
        <v>25.36</v>
      </c>
      <c r="Y425" s="15" t="n">
        <v>27.764</v>
      </c>
      <c r="Z425" s="15" t="n">
        <v>27.483</v>
      </c>
      <c r="AA425" s="15" t="n">
        <v>27.327</v>
      </c>
      <c r="AB425" s="15" t="n">
        <v>22.22</v>
      </c>
      <c r="AC425" s="15" t="n">
        <v>41.803</v>
      </c>
      <c r="AD425" s="16" t="n">
        <v>2541</v>
      </c>
      <c r="AE425" s="17">
        <f>IF(ISNUMBER(K425),K425,IF(AND(ISNUMBER(H425),ISNUMBER(I425)),H425+I425,IF(ISNUMBER(H425),H425,"")))</f>
        <v/>
      </c>
      <c r="AF425" s="18">
        <f>IF(OR(NOT(ISNUMBER(J425)),NOT(ISNUMBER(H425)),H425&lt;=0),기준표!$B$8,MIN(MAX(J425/H425,기준표!$B$6),기준표!$B$7))</f>
        <v/>
      </c>
      <c r="AG425" s="17">
        <f>IF(ISNUMBER(AE425),AE425*(1-AF425),"")</f>
        <v/>
      </c>
      <c r="AH425" s="17">
        <f>IF(AND(NOT(ISNUMBER(V425)),NOT(ISNUMBER(X425))),"",IF(ISNUMBER(V425),V425,0)+IF(ISNUMBER(X425),X425,0))</f>
        <v/>
      </c>
      <c r="AI425" s="17">
        <f>IF(E425="금융","",IF(AND(ISNUMBER(R425),ISNUMBER(AH425),ISNUMBER(T425)),R425+AH425-T425,""))</f>
        <v/>
      </c>
      <c r="AJ425" s="17">
        <f>IF(E425="금융","",IF(NOT(ISNUMBER(AI425)),"",IF(ISNUMBER(AC425),(AI425+AC425)/2,AI425)))</f>
        <v/>
      </c>
      <c r="AK425" s="19">
        <f>IF(AND(ISNUMBER(AG425),ISNUMBER(AJ425),AJ425&gt;0),AG425/AJ425,"")</f>
        <v/>
      </c>
      <c r="AL425" s="17">
        <f>IF(E425="금융","",IF(AND(ISNUMBER(R425),ISNUMBER(AH425)),R425+AH425,""))</f>
        <v/>
      </c>
      <c r="AM425" s="19">
        <f>IF(OR(NOT(ISNUMBER(AG425)),NOT(ISNUMBER(AL425)),AL425&lt;=0),"",IF(AND(ISNUMBER(G425),AL425&lt;0.1*G425),"",AG425/AL425))</f>
        <v/>
      </c>
      <c r="AN425" s="17">
        <f>IF(NOT(ISNUMBER(R425)),"",IF(ISNUMBER(S425),(R425+S425)/2,R425))</f>
        <v/>
      </c>
      <c r="AO425" s="19">
        <f>IF(AND(ISNUMBER(L425),ISNUMBER(AN425),AN425&gt;0),L425/AN425,"")</f>
        <v/>
      </c>
      <c r="AP425" s="19">
        <f>IF(AND(ISNUMBER(AO425),ISNUMBER({ROIC})),AO425-{ROIC},"")</f>
        <v/>
      </c>
      <c r="AQ425" s="17">
        <f>IF(AND(ISNUMBER(AE425),ISNUMBER(N425)),AE425+N425,"")</f>
        <v/>
      </c>
      <c r="AR425" s="20">
        <f>IF(AND(ISNUMBER(AH425),ISNUMBER(T425),ISNUMBER(AQ425),AQ425&gt;0),(AH425-T425)/AQ425,"")</f>
        <v/>
      </c>
      <c r="AS425" s="20">
        <f>IF(AND(ISNUMBER(AE425),ISNUMBER(I425),I425&lt;&gt;0,AE425&gt;0),AE425/I425,"")</f>
        <v/>
      </c>
      <c r="AT425" s="17">
        <f>IF(AND(ISNUMBER(Y425),ISNUMBER(AA425)),Y425-IF(ISNUMBER(T425),T425,0)-(AA425-IF(ISNUMBER(V425),V425,0)),"")</f>
        <v/>
      </c>
      <c r="AU425" s="17">
        <f>IF(AND(ISNUMBER(Z425),ISNUMBER(AB425)),Z425-IF(ISNUMBER(U425),U425,0)-(AB425-IF(ISNUMBER(W425),W425,0)),"")</f>
        <v/>
      </c>
      <c r="AV425" s="17">
        <f>IF(AND(ISNUMBER(AT425),ISNUMBER(AU425)),AT425-AU425,"")</f>
        <v/>
      </c>
      <c r="AW425" s="17">
        <f>IF(AND(ISNUMBER(L425),ISNUMBER(M425),ISNUMBER(AF425)),L425-M425*(1-AF425),IF(ISNUMBER(L425),L425,""))</f>
        <v/>
      </c>
      <c r="AX425" s="17">
        <f>IF(E425="금융","",IF(AND(ISNUMBER(AW425),ISNUMBER(N425),ISNUMBER(O425),ISNUMBER(AV425)),AW425+N425-O425-AV425,IF(AND(ISNUMBER(P425),ISNUMBER(O425)),P425-O425-IF(ISNUMBER(Q425),Q425,0),"")))</f>
        <v/>
      </c>
      <c r="AY425" s="8">
        <f>IF(E425="금융","금융업 - 정의되지 않음",IF(AND(ISNUMBER(AW425),ISNUMBER(N425),ISNUMBER(O425),ISNUMBER(AV425)),"영업순이익+감가상각-설비투자-운전자본증감",IF(AND(ISNUMBER(P425),ISNUMBER(O425)),IF(ISNUMBER(Q425),"영업현금흐름-설비투자-주식보상비용","영업현금흐름-설비투자(주식보상비용 미태깅)"),"산출불가")))</f>
        <v/>
      </c>
      <c r="AZ425" s="19">
        <f>IF(AND(ISNUMBER(AX425),ISNUMBER(G425),G425&lt;&gt;0),AX425/G425,"")</f>
        <v/>
      </c>
      <c r="BA425" s="19">
        <f>IF(AND(ISNUMBER(AE425),ISNUMBER(G425),G425&lt;&gt;0),AE425/G425,"")</f>
        <v/>
      </c>
    </row>
    <row r="426">
      <c r="A426" s="8" t="inlineStr">
        <is>
          <t>MRK</t>
        </is>
      </c>
      <c r="B426" s="8" t="inlineStr">
        <is>
          <t>Merck &amp; Co., Inc.</t>
        </is>
      </c>
      <c r="C426" s="8" t="n">
        <v>2021</v>
      </c>
      <c r="D426" s="8" t="inlineStr">
        <is>
          <t>2021-12-31</t>
        </is>
      </c>
      <c r="E426" s="8" t="inlineStr">
        <is>
          <t>일반</t>
        </is>
      </c>
      <c r="F426" s="8" t="inlineStr">
        <is>
          <t>0001628280-24-006850</t>
        </is>
      </c>
      <c r="G426" s="15" t="n">
        <v>48.704</v>
      </c>
      <c r="H426" s="15" t="n">
        <v>13.879</v>
      </c>
      <c r="I426" s="15" t="n"/>
      <c r="J426" s="15" t="n">
        <v>1.521</v>
      </c>
      <c r="K426" s="15" t="n"/>
      <c r="L426" s="15" t="n">
        <v>13.049</v>
      </c>
      <c r="M426" s="15" t="n">
        <v>1.94</v>
      </c>
      <c r="N426" s="15" t="n">
        <v>1.578</v>
      </c>
      <c r="O426" s="15" t="n">
        <v>4.448</v>
      </c>
      <c r="P426" s="15" t="n"/>
      <c r="Q426" s="15" t="n">
        <v>0.479</v>
      </c>
      <c r="R426" s="15" t="n">
        <v>38.184</v>
      </c>
      <c r="S426" s="15" t="n">
        <v>25.317</v>
      </c>
      <c r="T426" s="15" t="n">
        <v>8.096</v>
      </c>
      <c r="U426" s="15" t="n">
        <v>8.050000000000001</v>
      </c>
      <c r="V426" s="15" t="n">
        <v>2.412</v>
      </c>
      <c r="W426" s="15" t="n">
        <v>6.431</v>
      </c>
      <c r="X426" s="15" t="n">
        <v>30.69</v>
      </c>
      <c r="Y426" s="15" t="n">
        <v>30.266</v>
      </c>
      <c r="Z426" s="15" t="n">
        <v>27.764</v>
      </c>
      <c r="AA426" s="15" t="n">
        <v>23.872</v>
      </c>
      <c r="AB426" s="15" t="n">
        <v>27.327</v>
      </c>
      <c r="AC426" s="15" t="n">
        <v>49.058</v>
      </c>
      <c r="AD426" s="16" t="n">
        <v>2538</v>
      </c>
      <c r="AE426" s="17">
        <f>IF(ISNUMBER(K426),K426,IF(AND(ISNUMBER(H426),ISNUMBER(I426)),H426+I426,IF(ISNUMBER(H426),H426,"")))</f>
        <v/>
      </c>
      <c r="AF426" s="18">
        <f>IF(OR(NOT(ISNUMBER(J426)),NOT(ISNUMBER(H426)),H426&lt;=0),기준표!$B$8,MIN(MAX(J426/H426,기준표!$B$6),기준표!$B$7))</f>
        <v/>
      </c>
      <c r="AG426" s="17">
        <f>IF(ISNUMBER(AE426),AE426*(1-AF426),"")</f>
        <v/>
      </c>
      <c r="AH426" s="17">
        <f>IF(AND(NOT(ISNUMBER(V426)),NOT(ISNUMBER(X426))),"",IF(ISNUMBER(V426),V426,0)+IF(ISNUMBER(X426),X426,0))</f>
        <v/>
      </c>
      <c r="AI426" s="17">
        <f>IF(E426="금융","",IF(AND(ISNUMBER(R426),ISNUMBER(AH426),ISNUMBER(T426)),R426+AH426-T426,""))</f>
        <v/>
      </c>
      <c r="AJ426" s="17">
        <f>IF(E426="금융","",IF(NOT(ISNUMBER(AI426)),"",IF(ISNUMBER(AC426),(AI426+AC426)/2,AI426)))</f>
        <v/>
      </c>
      <c r="AK426" s="19">
        <f>IF(AND(ISNUMBER(AG426),ISNUMBER(AJ426),AJ426&gt;0),AG426/AJ426,"")</f>
        <v/>
      </c>
      <c r="AL426" s="17">
        <f>IF(E426="금융","",IF(AND(ISNUMBER(R426),ISNUMBER(AH426)),R426+AH426,""))</f>
        <v/>
      </c>
      <c r="AM426" s="19">
        <f>IF(OR(NOT(ISNUMBER(AG426)),NOT(ISNUMBER(AL426)),AL426&lt;=0),"",IF(AND(ISNUMBER(G426),AL426&lt;0.1*G426),"",AG426/AL426))</f>
        <v/>
      </c>
      <c r="AN426" s="17">
        <f>IF(NOT(ISNUMBER(R426)),"",IF(ISNUMBER(S426),(R426+S426)/2,R426))</f>
        <v/>
      </c>
      <c r="AO426" s="19">
        <f>IF(AND(ISNUMBER(L426),ISNUMBER(AN426),AN426&gt;0),L426/AN426,"")</f>
        <v/>
      </c>
      <c r="AP426" s="19">
        <f>IF(AND(ISNUMBER(AO426),ISNUMBER({ROIC})),AO426-{ROIC},"")</f>
        <v/>
      </c>
      <c r="AQ426" s="17">
        <f>IF(AND(ISNUMBER(AE426),ISNUMBER(N426)),AE426+N426,"")</f>
        <v/>
      </c>
      <c r="AR426" s="20">
        <f>IF(AND(ISNUMBER(AH426),ISNUMBER(T426),ISNUMBER(AQ426),AQ426&gt;0),(AH426-T426)/AQ426,"")</f>
        <v/>
      </c>
      <c r="AS426" s="20">
        <f>IF(AND(ISNUMBER(AE426),ISNUMBER(I426),I426&lt;&gt;0,AE426&gt;0),AE426/I426,"")</f>
        <v/>
      </c>
      <c r="AT426" s="17">
        <f>IF(AND(ISNUMBER(Y426),ISNUMBER(AA426)),Y426-IF(ISNUMBER(T426),T426,0)-(AA426-IF(ISNUMBER(V426),V426,0)),"")</f>
        <v/>
      </c>
      <c r="AU426" s="17">
        <f>IF(AND(ISNUMBER(Z426),ISNUMBER(AB426)),Z426-IF(ISNUMBER(U426),U426,0)-(AB426-IF(ISNUMBER(W426),W426,0)),"")</f>
        <v/>
      </c>
      <c r="AV426" s="17">
        <f>IF(AND(ISNUMBER(AT426),ISNUMBER(AU426)),AT426-AU426,"")</f>
        <v/>
      </c>
      <c r="AW426" s="17">
        <f>IF(AND(ISNUMBER(L426),ISNUMBER(M426),ISNUMBER(AF426)),L426-M426*(1-AF426),IF(ISNUMBER(L426),L426,""))</f>
        <v/>
      </c>
      <c r="AX426" s="17">
        <f>IF(E426="금융","",IF(AND(ISNUMBER(AW426),ISNUMBER(N426),ISNUMBER(O426),ISNUMBER(AV426)),AW426+N426-O426-AV426,IF(AND(ISNUMBER(P426),ISNUMBER(O426)),P426-O426-IF(ISNUMBER(Q426),Q426,0),"")))</f>
        <v/>
      </c>
      <c r="AY426" s="8">
        <f>IF(E426="금융","금융업 - 정의되지 않음",IF(AND(ISNUMBER(AW426),ISNUMBER(N426),ISNUMBER(O426),ISNUMBER(AV426)),"영업순이익+감가상각-설비투자-운전자본증감",IF(AND(ISNUMBER(P426),ISNUMBER(O426)),IF(ISNUMBER(Q426),"영업현금흐름-설비투자-주식보상비용","영업현금흐름-설비투자(주식보상비용 미태깅)"),"산출불가")))</f>
        <v/>
      </c>
      <c r="AZ426" s="19">
        <f>IF(AND(ISNUMBER(AX426),ISNUMBER(G426),G426&lt;&gt;0),AX426/G426,"")</f>
        <v/>
      </c>
      <c r="BA426" s="19">
        <f>IF(AND(ISNUMBER(AE426),ISNUMBER(G426),G426&lt;&gt;0),AE426/G426,"")</f>
        <v/>
      </c>
    </row>
    <row r="427">
      <c r="A427" s="8" t="inlineStr">
        <is>
          <t>MRK</t>
        </is>
      </c>
      <c r="B427" s="8" t="inlineStr">
        <is>
          <t>Merck &amp; Co., Inc.</t>
        </is>
      </c>
      <c r="C427" s="8" t="n">
        <v>2022</v>
      </c>
      <c r="D427" s="8" t="inlineStr">
        <is>
          <t>2022-12-31</t>
        </is>
      </c>
      <c r="E427" s="8" t="inlineStr">
        <is>
          <t>일반</t>
        </is>
      </c>
      <c r="F427" s="8" t="inlineStr">
        <is>
          <t>0001628280-25-007732</t>
        </is>
      </c>
      <c r="G427" s="15" t="n">
        <v>59.283</v>
      </c>
      <c r="H427" s="15" t="n">
        <v>16.444</v>
      </c>
      <c r="I427" s="15" t="n">
        <v>0.962</v>
      </c>
      <c r="J427" s="15" t="n">
        <v>1.918</v>
      </c>
      <c r="K427" s="15" t="n"/>
      <c r="L427" s="15" t="n">
        <v>14.519</v>
      </c>
      <c r="M427" s="15" t="n">
        <v>-1.419</v>
      </c>
      <c r="N427" s="15" t="n">
        <v>1.824</v>
      </c>
      <c r="O427" s="15" t="n">
        <v>4.388</v>
      </c>
      <c r="P427" s="15" t="n">
        <v>19.095</v>
      </c>
      <c r="Q427" s="15" t="n">
        <v>0.541</v>
      </c>
      <c r="R427" s="15" t="n">
        <v>45.991</v>
      </c>
      <c r="S427" s="15" t="n">
        <v>38.184</v>
      </c>
      <c r="T427" s="15" t="n">
        <v>13.192</v>
      </c>
      <c r="U427" s="15" t="n">
        <v>8.096</v>
      </c>
      <c r="V427" s="15" t="n">
        <v>1.946</v>
      </c>
      <c r="W427" s="15" t="n">
        <v>2.412</v>
      </c>
      <c r="X427" s="15" t="n">
        <v>28.745</v>
      </c>
      <c r="Y427" s="15" t="n">
        <v>35.722</v>
      </c>
      <c r="Z427" s="15" t="n">
        <v>30.266</v>
      </c>
      <c r="AA427" s="15" t="n">
        <v>24.239</v>
      </c>
      <c r="AB427" s="15" t="n">
        <v>23.872</v>
      </c>
      <c r="AC427" s="15" t="n">
        <v>63.19</v>
      </c>
      <c r="AD427" s="16" t="n">
        <v>2542</v>
      </c>
      <c r="AE427" s="17">
        <f>IF(ISNUMBER(K427),K427,IF(AND(ISNUMBER(H427),ISNUMBER(I427)),H427+I427,IF(ISNUMBER(H427),H427,"")))</f>
        <v/>
      </c>
      <c r="AF427" s="18">
        <f>IF(OR(NOT(ISNUMBER(J427)),NOT(ISNUMBER(H427)),H427&lt;=0),기준표!$B$8,MIN(MAX(J427/H427,기준표!$B$6),기준표!$B$7))</f>
        <v/>
      </c>
      <c r="AG427" s="17">
        <f>IF(ISNUMBER(AE427),AE427*(1-AF427),"")</f>
        <v/>
      </c>
      <c r="AH427" s="17">
        <f>IF(AND(NOT(ISNUMBER(V427)),NOT(ISNUMBER(X427))),"",IF(ISNUMBER(V427),V427,0)+IF(ISNUMBER(X427),X427,0))</f>
        <v/>
      </c>
      <c r="AI427" s="17">
        <f>IF(E427="금융","",IF(AND(ISNUMBER(R427),ISNUMBER(AH427),ISNUMBER(T427)),R427+AH427-T427,""))</f>
        <v/>
      </c>
      <c r="AJ427" s="17">
        <f>IF(E427="금융","",IF(NOT(ISNUMBER(AI427)),"",IF(ISNUMBER(AC427),(AI427+AC427)/2,AI427)))</f>
        <v/>
      </c>
      <c r="AK427" s="19">
        <f>IF(AND(ISNUMBER(AG427),ISNUMBER(AJ427),AJ427&gt;0),AG427/AJ427,"")</f>
        <v/>
      </c>
      <c r="AL427" s="17">
        <f>IF(E427="금융","",IF(AND(ISNUMBER(R427),ISNUMBER(AH427)),R427+AH427,""))</f>
        <v/>
      </c>
      <c r="AM427" s="19">
        <f>IF(OR(NOT(ISNUMBER(AG427)),NOT(ISNUMBER(AL427)),AL427&lt;=0),"",IF(AND(ISNUMBER(G427),AL427&lt;0.1*G427),"",AG427/AL427))</f>
        <v/>
      </c>
      <c r="AN427" s="17">
        <f>IF(NOT(ISNUMBER(R427)),"",IF(ISNUMBER(S427),(R427+S427)/2,R427))</f>
        <v/>
      </c>
      <c r="AO427" s="19">
        <f>IF(AND(ISNUMBER(L427),ISNUMBER(AN427),AN427&gt;0),L427/AN427,"")</f>
        <v/>
      </c>
      <c r="AP427" s="19">
        <f>IF(AND(ISNUMBER(AO427),ISNUMBER({ROIC})),AO427-{ROIC},"")</f>
        <v/>
      </c>
      <c r="AQ427" s="17">
        <f>IF(AND(ISNUMBER(AE427),ISNUMBER(N427)),AE427+N427,"")</f>
        <v/>
      </c>
      <c r="AR427" s="20">
        <f>IF(AND(ISNUMBER(AH427),ISNUMBER(T427),ISNUMBER(AQ427),AQ427&gt;0),(AH427-T427)/AQ427,"")</f>
        <v/>
      </c>
      <c r="AS427" s="20">
        <f>IF(AND(ISNUMBER(AE427),ISNUMBER(I427),I427&lt;&gt;0,AE427&gt;0),AE427/I427,"")</f>
        <v/>
      </c>
      <c r="AT427" s="17">
        <f>IF(AND(ISNUMBER(Y427),ISNUMBER(AA427)),Y427-IF(ISNUMBER(T427),T427,0)-(AA427-IF(ISNUMBER(V427),V427,0)),"")</f>
        <v/>
      </c>
      <c r="AU427" s="17">
        <f>IF(AND(ISNUMBER(Z427),ISNUMBER(AB427)),Z427-IF(ISNUMBER(U427),U427,0)-(AB427-IF(ISNUMBER(W427),W427,0)),"")</f>
        <v/>
      </c>
      <c r="AV427" s="17">
        <f>IF(AND(ISNUMBER(AT427),ISNUMBER(AU427)),AT427-AU427,"")</f>
        <v/>
      </c>
      <c r="AW427" s="17">
        <f>IF(AND(ISNUMBER(L427),ISNUMBER(M427),ISNUMBER(AF427)),L427-M427*(1-AF427),IF(ISNUMBER(L427),L427,""))</f>
        <v/>
      </c>
      <c r="AX427" s="17">
        <f>IF(E427="금융","",IF(AND(ISNUMBER(AW427),ISNUMBER(N427),ISNUMBER(O427),ISNUMBER(AV427)),AW427+N427-O427-AV427,IF(AND(ISNUMBER(P427),ISNUMBER(O427)),P427-O427-IF(ISNUMBER(Q427),Q427,0),"")))</f>
        <v/>
      </c>
      <c r="AY427" s="8">
        <f>IF(E427="금융","금융업 - 정의되지 않음",IF(AND(ISNUMBER(AW427),ISNUMBER(N427),ISNUMBER(O427),ISNUMBER(AV427)),"영업순이익+감가상각-설비투자-운전자본증감",IF(AND(ISNUMBER(P427),ISNUMBER(O427)),IF(ISNUMBER(Q427),"영업현금흐름-설비투자-주식보상비용","영업현금흐름-설비투자(주식보상비용 미태깅)"),"산출불가")))</f>
        <v/>
      </c>
      <c r="AZ427" s="19">
        <f>IF(AND(ISNUMBER(AX427),ISNUMBER(G427),G427&lt;&gt;0),AX427/G427,"")</f>
        <v/>
      </c>
      <c r="BA427" s="19">
        <f>IF(AND(ISNUMBER(AE427),ISNUMBER(G427),G427&lt;&gt;0),AE427/G427,"")</f>
        <v/>
      </c>
    </row>
    <row r="428">
      <c r="A428" s="8" t="inlineStr">
        <is>
          <t>MRK</t>
        </is>
      </c>
      <c r="B428" s="8" t="inlineStr">
        <is>
          <t>Merck &amp; Co., Inc.</t>
        </is>
      </c>
      <c r="C428" s="8" t="n">
        <v>2023</v>
      </c>
      <c r="D428" s="8" t="inlineStr">
        <is>
          <t>2023-12-31</t>
        </is>
      </c>
      <c r="E428" s="8" t="inlineStr">
        <is>
          <t>일반</t>
        </is>
      </c>
      <c r="F428" s="8" t="inlineStr">
        <is>
          <t>0000310158-26-000063</t>
        </is>
      </c>
      <c r="G428" s="15" t="n">
        <v>60.115</v>
      </c>
      <c r="H428" s="15" t="n">
        <v>1.889</v>
      </c>
      <c r="I428" s="15" t="n">
        <v>1.146</v>
      </c>
      <c r="J428" s="15" t="n">
        <v>1.512</v>
      </c>
      <c r="K428" s="15" t="n"/>
      <c r="L428" s="15" t="n">
        <v>0.365</v>
      </c>
      <c r="M428" s="15" t="n">
        <v>0.34</v>
      </c>
      <c r="N428" s="15" t="n">
        <v>1.828</v>
      </c>
      <c r="O428" s="15" t="n">
        <v>3.863</v>
      </c>
      <c r="P428" s="15" t="n">
        <v>13.006</v>
      </c>
      <c r="Q428" s="15" t="n">
        <v>0.645</v>
      </c>
      <c r="R428" s="15" t="n">
        <v>37.581</v>
      </c>
      <c r="S428" s="15" t="n">
        <v>45.991</v>
      </c>
      <c r="T428" s="15" t="n">
        <v>7.093</v>
      </c>
      <c r="U428" s="15" t="n">
        <v>13.192</v>
      </c>
      <c r="V428" s="15" t="n">
        <v>1.372</v>
      </c>
      <c r="W428" s="15" t="n">
        <v>1.946</v>
      </c>
      <c r="X428" s="15" t="n">
        <v>33.683</v>
      </c>
      <c r="Y428" s="15" t="n">
        <v>32.168</v>
      </c>
      <c r="Z428" s="15" t="n">
        <v>35.722</v>
      </c>
      <c r="AA428" s="15" t="n">
        <v>25.694</v>
      </c>
      <c r="AB428" s="15" t="n">
        <v>24.239</v>
      </c>
      <c r="AC428" s="15" t="n">
        <v>63.49</v>
      </c>
      <c r="AD428" s="16" t="n">
        <v>2547</v>
      </c>
      <c r="AE428" s="17">
        <f>IF(ISNUMBER(K428),K428,IF(AND(ISNUMBER(H428),ISNUMBER(I428)),H428+I428,IF(ISNUMBER(H428),H428,"")))</f>
        <v/>
      </c>
      <c r="AF428" s="18">
        <f>IF(OR(NOT(ISNUMBER(J428)),NOT(ISNUMBER(H428)),H428&lt;=0),기준표!$B$8,MIN(MAX(J428/H428,기준표!$B$6),기준표!$B$7))</f>
        <v/>
      </c>
      <c r="AG428" s="17">
        <f>IF(ISNUMBER(AE428),AE428*(1-AF428),"")</f>
        <v/>
      </c>
      <c r="AH428" s="17">
        <f>IF(AND(NOT(ISNUMBER(V428)),NOT(ISNUMBER(X428))),"",IF(ISNUMBER(V428),V428,0)+IF(ISNUMBER(X428),X428,0))</f>
        <v/>
      </c>
      <c r="AI428" s="17">
        <f>IF(E428="금융","",IF(AND(ISNUMBER(R428),ISNUMBER(AH428),ISNUMBER(T428)),R428+AH428-T428,""))</f>
        <v/>
      </c>
      <c r="AJ428" s="17">
        <f>IF(E428="금융","",IF(NOT(ISNUMBER(AI428)),"",IF(ISNUMBER(AC428),(AI428+AC428)/2,AI428)))</f>
        <v/>
      </c>
      <c r="AK428" s="19">
        <f>IF(AND(ISNUMBER(AG428),ISNUMBER(AJ428),AJ428&gt;0),AG428/AJ428,"")</f>
        <v/>
      </c>
      <c r="AL428" s="17">
        <f>IF(E428="금융","",IF(AND(ISNUMBER(R428),ISNUMBER(AH428)),R428+AH428,""))</f>
        <v/>
      </c>
      <c r="AM428" s="19">
        <f>IF(OR(NOT(ISNUMBER(AG428)),NOT(ISNUMBER(AL428)),AL428&lt;=0),"",IF(AND(ISNUMBER(G428),AL428&lt;0.1*G428),"",AG428/AL428))</f>
        <v/>
      </c>
      <c r="AN428" s="17">
        <f>IF(NOT(ISNUMBER(R428)),"",IF(ISNUMBER(S428),(R428+S428)/2,R428))</f>
        <v/>
      </c>
      <c r="AO428" s="19">
        <f>IF(AND(ISNUMBER(L428),ISNUMBER(AN428),AN428&gt;0),L428/AN428,"")</f>
        <v/>
      </c>
      <c r="AP428" s="19">
        <f>IF(AND(ISNUMBER(AO428),ISNUMBER({ROIC})),AO428-{ROIC},"")</f>
        <v/>
      </c>
      <c r="AQ428" s="17">
        <f>IF(AND(ISNUMBER(AE428),ISNUMBER(N428)),AE428+N428,"")</f>
        <v/>
      </c>
      <c r="AR428" s="20">
        <f>IF(AND(ISNUMBER(AH428),ISNUMBER(T428),ISNUMBER(AQ428),AQ428&gt;0),(AH428-T428)/AQ428,"")</f>
        <v/>
      </c>
      <c r="AS428" s="20">
        <f>IF(AND(ISNUMBER(AE428),ISNUMBER(I428),I428&lt;&gt;0,AE428&gt;0),AE428/I428,"")</f>
        <v/>
      </c>
      <c r="AT428" s="17">
        <f>IF(AND(ISNUMBER(Y428),ISNUMBER(AA428)),Y428-IF(ISNUMBER(T428),T428,0)-(AA428-IF(ISNUMBER(V428),V428,0)),"")</f>
        <v/>
      </c>
      <c r="AU428" s="17">
        <f>IF(AND(ISNUMBER(Z428),ISNUMBER(AB428)),Z428-IF(ISNUMBER(U428),U428,0)-(AB428-IF(ISNUMBER(W428),W428,0)),"")</f>
        <v/>
      </c>
      <c r="AV428" s="17">
        <f>IF(AND(ISNUMBER(AT428),ISNUMBER(AU428)),AT428-AU428,"")</f>
        <v/>
      </c>
      <c r="AW428" s="17">
        <f>IF(AND(ISNUMBER(L428),ISNUMBER(M428),ISNUMBER(AF428)),L428-M428*(1-AF428),IF(ISNUMBER(L428),L428,""))</f>
        <v/>
      </c>
      <c r="AX428" s="17">
        <f>IF(E428="금융","",IF(AND(ISNUMBER(AW428),ISNUMBER(N428),ISNUMBER(O428),ISNUMBER(AV428)),AW428+N428-O428-AV428,IF(AND(ISNUMBER(P428),ISNUMBER(O428)),P428-O428-IF(ISNUMBER(Q428),Q428,0),"")))</f>
        <v/>
      </c>
      <c r="AY428" s="8">
        <f>IF(E428="금융","금융업 - 정의되지 않음",IF(AND(ISNUMBER(AW428),ISNUMBER(N428),ISNUMBER(O428),ISNUMBER(AV428)),"영업순이익+감가상각-설비투자-운전자본증감",IF(AND(ISNUMBER(P428),ISNUMBER(O428)),IF(ISNUMBER(Q428),"영업현금흐름-설비투자-주식보상비용","영업현금흐름-설비투자(주식보상비용 미태깅)"),"산출불가")))</f>
        <v/>
      </c>
      <c r="AZ428" s="19">
        <f>IF(AND(ISNUMBER(AX428),ISNUMBER(G428),G428&lt;&gt;0),AX428/G428,"")</f>
        <v/>
      </c>
      <c r="BA428" s="19">
        <f>IF(AND(ISNUMBER(AE428),ISNUMBER(G428),G428&lt;&gt;0),AE428/G428,"")</f>
        <v/>
      </c>
    </row>
    <row r="429">
      <c r="A429" s="8" t="inlineStr">
        <is>
          <t>MRK</t>
        </is>
      </c>
      <c r="B429" s="8" t="inlineStr">
        <is>
          <t>Merck &amp; Co., Inc.</t>
        </is>
      </c>
      <c r="C429" s="8" t="n">
        <v>2024</v>
      </c>
      <c r="D429" s="8" t="inlineStr">
        <is>
          <t>2024-12-31</t>
        </is>
      </c>
      <c r="E429" s="8" t="inlineStr">
        <is>
          <t>일반</t>
        </is>
      </c>
      <c r="F429" s="8" t="inlineStr">
        <is>
          <t>0000310158-26-000063</t>
        </is>
      </c>
      <c r="G429" s="15" t="n">
        <v>64.16800000000001</v>
      </c>
      <c r="H429" s="15" t="n">
        <v>19.936</v>
      </c>
      <c r="I429" s="15" t="n">
        <v>1.271</v>
      </c>
      <c r="J429" s="15" t="n">
        <v>2.803</v>
      </c>
      <c r="K429" s="15" t="n"/>
      <c r="L429" s="15" t="n">
        <v>17.117</v>
      </c>
      <c r="M429" s="15" t="n">
        <v>0.014</v>
      </c>
      <c r="N429" s="15" t="n">
        <v>2.104</v>
      </c>
      <c r="O429" s="15" t="n">
        <v>3.372</v>
      </c>
      <c r="P429" s="15" t="n">
        <v>21.468</v>
      </c>
      <c r="Q429" s="15" t="n">
        <v>0.761</v>
      </c>
      <c r="R429" s="15" t="n">
        <v>46.313</v>
      </c>
      <c r="S429" s="15" t="n">
        <v>37.581</v>
      </c>
      <c r="T429" s="15" t="n">
        <v>13.689</v>
      </c>
      <c r="U429" s="15" t="n">
        <v>7.093</v>
      </c>
      <c r="V429" s="15" t="n">
        <v>2.649</v>
      </c>
      <c r="W429" s="15" t="n">
        <v>1.372</v>
      </c>
      <c r="X429" s="15" t="n">
        <v>34.462</v>
      </c>
      <c r="Y429" s="15" t="n">
        <v>38.782</v>
      </c>
      <c r="Z429" s="15" t="n">
        <v>32.168</v>
      </c>
      <c r="AA429" s="15" t="n">
        <v>28.42</v>
      </c>
      <c r="AB429" s="15" t="n">
        <v>25.694</v>
      </c>
      <c r="AC429" s="15" t="n">
        <v>65.54300000000001</v>
      </c>
      <c r="AD429" s="16" t="n">
        <v>2541</v>
      </c>
      <c r="AE429" s="17">
        <f>IF(ISNUMBER(K429),K429,IF(AND(ISNUMBER(H429),ISNUMBER(I429)),H429+I429,IF(ISNUMBER(H429),H429,"")))</f>
        <v/>
      </c>
      <c r="AF429" s="18">
        <f>IF(OR(NOT(ISNUMBER(J429)),NOT(ISNUMBER(H429)),H429&lt;=0),기준표!$B$8,MIN(MAX(J429/H429,기준표!$B$6),기준표!$B$7))</f>
        <v/>
      </c>
      <c r="AG429" s="17">
        <f>IF(ISNUMBER(AE429),AE429*(1-AF429),"")</f>
        <v/>
      </c>
      <c r="AH429" s="17">
        <f>IF(AND(NOT(ISNUMBER(V429)),NOT(ISNUMBER(X429))),"",IF(ISNUMBER(V429),V429,0)+IF(ISNUMBER(X429),X429,0))</f>
        <v/>
      </c>
      <c r="AI429" s="17">
        <f>IF(E429="금융","",IF(AND(ISNUMBER(R429),ISNUMBER(AH429),ISNUMBER(T429)),R429+AH429-T429,""))</f>
        <v/>
      </c>
      <c r="AJ429" s="17">
        <f>IF(E429="금융","",IF(NOT(ISNUMBER(AI429)),"",IF(ISNUMBER(AC429),(AI429+AC429)/2,AI429)))</f>
        <v/>
      </c>
      <c r="AK429" s="19">
        <f>IF(AND(ISNUMBER(AG429),ISNUMBER(AJ429),AJ429&gt;0),AG429/AJ429,"")</f>
        <v/>
      </c>
      <c r="AL429" s="17">
        <f>IF(E429="금융","",IF(AND(ISNUMBER(R429),ISNUMBER(AH429)),R429+AH429,""))</f>
        <v/>
      </c>
      <c r="AM429" s="19">
        <f>IF(OR(NOT(ISNUMBER(AG429)),NOT(ISNUMBER(AL429)),AL429&lt;=0),"",IF(AND(ISNUMBER(G429),AL429&lt;0.1*G429),"",AG429/AL429))</f>
        <v/>
      </c>
      <c r="AN429" s="17">
        <f>IF(NOT(ISNUMBER(R429)),"",IF(ISNUMBER(S429),(R429+S429)/2,R429))</f>
        <v/>
      </c>
      <c r="AO429" s="19">
        <f>IF(AND(ISNUMBER(L429),ISNUMBER(AN429),AN429&gt;0),L429/AN429,"")</f>
        <v/>
      </c>
      <c r="AP429" s="19">
        <f>IF(AND(ISNUMBER(AO429),ISNUMBER({ROIC})),AO429-{ROIC},"")</f>
        <v/>
      </c>
      <c r="AQ429" s="17">
        <f>IF(AND(ISNUMBER(AE429),ISNUMBER(N429)),AE429+N429,"")</f>
        <v/>
      </c>
      <c r="AR429" s="20">
        <f>IF(AND(ISNUMBER(AH429),ISNUMBER(T429),ISNUMBER(AQ429),AQ429&gt;0),(AH429-T429)/AQ429,"")</f>
        <v/>
      </c>
      <c r="AS429" s="20">
        <f>IF(AND(ISNUMBER(AE429),ISNUMBER(I429),I429&lt;&gt;0,AE429&gt;0),AE429/I429,"")</f>
        <v/>
      </c>
      <c r="AT429" s="17">
        <f>IF(AND(ISNUMBER(Y429),ISNUMBER(AA429)),Y429-IF(ISNUMBER(T429),T429,0)-(AA429-IF(ISNUMBER(V429),V429,0)),"")</f>
        <v/>
      </c>
      <c r="AU429" s="17">
        <f>IF(AND(ISNUMBER(Z429),ISNUMBER(AB429)),Z429-IF(ISNUMBER(U429),U429,0)-(AB429-IF(ISNUMBER(W429),W429,0)),"")</f>
        <v/>
      </c>
      <c r="AV429" s="17">
        <f>IF(AND(ISNUMBER(AT429),ISNUMBER(AU429)),AT429-AU429,"")</f>
        <v/>
      </c>
      <c r="AW429" s="17">
        <f>IF(AND(ISNUMBER(L429),ISNUMBER(M429),ISNUMBER(AF429)),L429-M429*(1-AF429),IF(ISNUMBER(L429),L429,""))</f>
        <v/>
      </c>
      <c r="AX429" s="17">
        <f>IF(E429="금융","",IF(AND(ISNUMBER(AW429),ISNUMBER(N429),ISNUMBER(O429),ISNUMBER(AV429)),AW429+N429-O429-AV429,IF(AND(ISNUMBER(P429),ISNUMBER(O429)),P429-O429-IF(ISNUMBER(Q429),Q429,0),"")))</f>
        <v/>
      </c>
      <c r="AY429" s="8">
        <f>IF(E429="금융","금융업 - 정의되지 않음",IF(AND(ISNUMBER(AW429),ISNUMBER(N429),ISNUMBER(O429),ISNUMBER(AV429)),"영업순이익+감가상각-설비투자-운전자본증감",IF(AND(ISNUMBER(P429),ISNUMBER(O429)),IF(ISNUMBER(Q429),"영업현금흐름-설비투자-주식보상비용","영업현금흐름-설비투자(주식보상비용 미태깅)"),"산출불가")))</f>
        <v/>
      </c>
      <c r="AZ429" s="19">
        <f>IF(AND(ISNUMBER(AX429),ISNUMBER(G429),G429&lt;&gt;0),AX429/G429,"")</f>
        <v/>
      </c>
      <c r="BA429" s="19">
        <f>IF(AND(ISNUMBER(AE429),ISNUMBER(G429),G429&lt;&gt;0),AE429/G429,"")</f>
        <v/>
      </c>
    </row>
    <row r="430">
      <c r="A430" s="8" t="inlineStr">
        <is>
          <t>MRK</t>
        </is>
      </c>
      <c r="B430" s="8" t="inlineStr">
        <is>
          <t>Merck &amp; Co., Inc.</t>
        </is>
      </c>
      <c r="C430" s="8" t="n">
        <v>2025</v>
      </c>
      <c r="D430" s="8" t="inlineStr">
        <is>
          <t>2025-12-31</t>
        </is>
      </c>
      <c r="E430" s="8" t="inlineStr">
        <is>
          <t>일반</t>
        </is>
      </c>
      <c r="F430" s="8" t="inlineStr">
        <is>
          <t>0000310158-26-000063</t>
        </is>
      </c>
      <c r="G430" s="15" t="n">
        <v>65.011</v>
      </c>
      <c r="H430" s="15" t="n">
        <v>21.067</v>
      </c>
      <c r="I430" s="15" t="n">
        <v>1.357</v>
      </c>
      <c r="J430" s="15" t="n">
        <v>2.804</v>
      </c>
      <c r="K430" s="15" t="n"/>
      <c r="L430" s="15" t="n">
        <v>18.254</v>
      </c>
      <c r="M430" s="15" t="n">
        <v>0.368</v>
      </c>
      <c r="N430" s="15" t="n">
        <v>3.045</v>
      </c>
      <c r="O430" s="15" t="n">
        <v>4.112</v>
      </c>
      <c r="P430" s="15" t="n">
        <v>16.472</v>
      </c>
      <c r="Q430" s="15" t="n">
        <v>0.82</v>
      </c>
      <c r="R430" s="15" t="n">
        <v>52.606</v>
      </c>
      <c r="S430" s="15" t="n">
        <v>46.313</v>
      </c>
      <c r="T430" s="15" t="n">
        <v>14.565</v>
      </c>
      <c r="U430" s="15" t="n">
        <v>13.689</v>
      </c>
      <c r="V430" s="15" t="n">
        <v>2.589</v>
      </c>
      <c r="W430" s="15" t="n">
        <v>2.649</v>
      </c>
      <c r="X430" s="15" t="n">
        <v>46.75</v>
      </c>
      <c r="Y430" s="15" t="n">
        <v>43.516</v>
      </c>
      <c r="Z430" s="15" t="n">
        <v>38.782</v>
      </c>
      <c r="AA430" s="15" t="n">
        <v>28.327</v>
      </c>
      <c r="AB430" s="15" t="n">
        <v>28.42</v>
      </c>
      <c r="AC430" s="15" t="n">
        <v>69.735</v>
      </c>
      <c r="AD430" s="16" t="n">
        <v>2507</v>
      </c>
      <c r="AE430" s="17">
        <f>IF(ISNUMBER(K430),K430,IF(AND(ISNUMBER(H430),ISNUMBER(I430)),H430+I430,IF(ISNUMBER(H430),H430,"")))</f>
        <v/>
      </c>
      <c r="AF430" s="18">
        <f>IF(OR(NOT(ISNUMBER(J430)),NOT(ISNUMBER(H430)),H430&lt;=0),기준표!$B$8,MIN(MAX(J430/H430,기준표!$B$6),기준표!$B$7))</f>
        <v/>
      </c>
      <c r="AG430" s="17">
        <f>IF(ISNUMBER(AE430),AE430*(1-AF430),"")</f>
        <v/>
      </c>
      <c r="AH430" s="17">
        <f>IF(AND(NOT(ISNUMBER(V430)),NOT(ISNUMBER(X430))),"",IF(ISNUMBER(V430),V430,0)+IF(ISNUMBER(X430),X430,0))</f>
        <v/>
      </c>
      <c r="AI430" s="17">
        <f>IF(E430="금융","",IF(AND(ISNUMBER(R430),ISNUMBER(AH430),ISNUMBER(T430)),R430+AH430-T430,""))</f>
        <v/>
      </c>
      <c r="AJ430" s="17">
        <f>IF(E430="금융","",IF(NOT(ISNUMBER(AI430)),"",IF(ISNUMBER(AC430),(AI430+AC430)/2,AI430)))</f>
        <v/>
      </c>
      <c r="AK430" s="19">
        <f>IF(AND(ISNUMBER(AG430),ISNUMBER(AJ430),AJ430&gt;0),AG430/AJ430,"")</f>
        <v/>
      </c>
      <c r="AL430" s="17">
        <f>IF(E430="금융","",IF(AND(ISNUMBER(R430),ISNUMBER(AH430)),R430+AH430,""))</f>
        <v/>
      </c>
      <c r="AM430" s="19">
        <f>IF(OR(NOT(ISNUMBER(AG430)),NOT(ISNUMBER(AL430)),AL430&lt;=0),"",IF(AND(ISNUMBER(G430),AL430&lt;0.1*G430),"",AG430/AL430))</f>
        <v/>
      </c>
      <c r="AN430" s="17">
        <f>IF(NOT(ISNUMBER(R430)),"",IF(ISNUMBER(S430),(R430+S430)/2,R430))</f>
        <v/>
      </c>
      <c r="AO430" s="19">
        <f>IF(AND(ISNUMBER(L430),ISNUMBER(AN430),AN430&gt;0),L430/AN430,"")</f>
        <v/>
      </c>
      <c r="AP430" s="19">
        <f>IF(AND(ISNUMBER(AO430),ISNUMBER({ROIC})),AO430-{ROIC},"")</f>
        <v/>
      </c>
      <c r="AQ430" s="17">
        <f>IF(AND(ISNUMBER(AE430),ISNUMBER(N430)),AE430+N430,"")</f>
        <v/>
      </c>
      <c r="AR430" s="20">
        <f>IF(AND(ISNUMBER(AH430),ISNUMBER(T430),ISNUMBER(AQ430),AQ430&gt;0),(AH430-T430)/AQ430,"")</f>
        <v/>
      </c>
      <c r="AS430" s="20">
        <f>IF(AND(ISNUMBER(AE430),ISNUMBER(I430),I430&lt;&gt;0,AE430&gt;0),AE430/I430,"")</f>
        <v/>
      </c>
      <c r="AT430" s="17">
        <f>IF(AND(ISNUMBER(Y430),ISNUMBER(AA430)),Y430-IF(ISNUMBER(T430),T430,0)-(AA430-IF(ISNUMBER(V430),V430,0)),"")</f>
        <v/>
      </c>
      <c r="AU430" s="17">
        <f>IF(AND(ISNUMBER(Z430),ISNUMBER(AB430)),Z430-IF(ISNUMBER(U430),U430,0)-(AB430-IF(ISNUMBER(W430),W430,0)),"")</f>
        <v/>
      </c>
      <c r="AV430" s="17">
        <f>IF(AND(ISNUMBER(AT430),ISNUMBER(AU430)),AT430-AU430,"")</f>
        <v/>
      </c>
      <c r="AW430" s="17">
        <f>IF(AND(ISNUMBER(L430),ISNUMBER(M430),ISNUMBER(AF430)),L430-M430*(1-AF430),IF(ISNUMBER(L430),L430,""))</f>
        <v/>
      </c>
      <c r="AX430" s="17">
        <f>IF(E430="금융","",IF(AND(ISNUMBER(AW430),ISNUMBER(N430),ISNUMBER(O430),ISNUMBER(AV430)),AW430+N430-O430-AV430,IF(AND(ISNUMBER(P430),ISNUMBER(O430)),P430-O430-IF(ISNUMBER(Q430),Q430,0),"")))</f>
        <v/>
      </c>
      <c r="AY430" s="8">
        <f>IF(E430="금융","금융업 - 정의되지 않음",IF(AND(ISNUMBER(AW430),ISNUMBER(N430),ISNUMBER(O430),ISNUMBER(AV430)),"영업순이익+감가상각-설비투자-운전자본증감",IF(AND(ISNUMBER(P430),ISNUMBER(O430)),IF(ISNUMBER(Q430),"영업현금흐름-설비투자-주식보상비용","영업현금흐름-설비투자(주식보상비용 미태깅)"),"산출불가")))</f>
        <v/>
      </c>
      <c r="AZ430" s="19">
        <f>IF(AND(ISNUMBER(AX430),ISNUMBER(G430),G430&lt;&gt;0),AX430/G430,"")</f>
        <v/>
      </c>
      <c r="BA430" s="19">
        <f>IF(AND(ISNUMBER(AE430),ISNUMBER(G430),G430&lt;&gt;0),AE430/G430,"")</f>
        <v/>
      </c>
    </row>
    <row r="431">
      <c r="A431" s="8" t="inlineStr">
        <is>
          <t>NFLX</t>
        </is>
      </c>
      <c r="B431" s="8" t="inlineStr">
        <is>
          <t>NETFLIX INC</t>
        </is>
      </c>
      <c r="C431" s="8" t="n">
        <v>2014</v>
      </c>
      <c r="D431" s="8" t="inlineStr">
        <is>
          <t>2014-12-31</t>
        </is>
      </c>
      <c r="E431" s="8" t="inlineStr">
        <is>
          <t>일반</t>
        </is>
      </c>
      <c r="F431" s="8" t="inlineStr">
        <is>
          <t>0001628280-17-000496</t>
        </is>
      </c>
      <c r="G431" s="15" t="n">
        <v>5.504656</v>
      </c>
      <c r="H431" s="15" t="n">
        <v>0.349369</v>
      </c>
      <c r="I431" s="15" t="n"/>
      <c r="J431" s="15" t="n">
        <v>0.08257</v>
      </c>
      <c r="K431" s="15" t="n">
        <v>0.402648</v>
      </c>
      <c r="L431" s="15" t="n">
        <v>0.266799</v>
      </c>
      <c r="M431" s="15" t="n"/>
      <c r="N431" s="15" t="n">
        <v>0.054028</v>
      </c>
      <c r="O431" s="15" t="n">
        <v>0.069726</v>
      </c>
      <c r="P431" s="15" t="n">
        <v>0.016483</v>
      </c>
      <c r="Q431" s="15" t="n">
        <v>0.115239</v>
      </c>
      <c r="R431" s="15" t="n">
        <v>1.857708</v>
      </c>
      <c r="S431" s="15" t="n"/>
      <c r="T431" s="15" t="n">
        <v>1.113608</v>
      </c>
      <c r="U431" s="15" t="n"/>
      <c r="V431" s="15" t="n"/>
      <c r="W431" s="15" t="n"/>
      <c r="X431" s="15" t="n">
        <v>0.885849</v>
      </c>
      <c r="Y431" s="15" t="n">
        <v>3.927053</v>
      </c>
      <c r="Z431" s="15" t="n"/>
      <c r="AA431" s="15" t="n">
        <v>2.663154</v>
      </c>
      <c r="AB431" s="15" t="n"/>
      <c r="AC431" s="15" t="n"/>
      <c r="AD431" s="16" t="n">
        <v>4229.10887</v>
      </c>
      <c r="AE431" s="17">
        <f>IF(ISNUMBER(K431),K431,IF(AND(ISNUMBER(H431),ISNUMBER(I431)),H431+I431,IF(ISNUMBER(H431),H431,"")))</f>
        <v/>
      </c>
      <c r="AF431" s="18">
        <f>IF(OR(NOT(ISNUMBER(J431)),NOT(ISNUMBER(H431)),H431&lt;=0),기준표!$B$8,MIN(MAX(J431/H431,기준표!$B$6),기준표!$B$7))</f>
        <v/>
      </c>
      <c r="AG431" s="17">
        <f>IF(ISNUMBER(AE431),AE431*(1-AF431),"")</f>
        <v/>
      </c>
      <c r="AH431" s="17">
        <f>IF(AND(NOT(ISNUMBER(V431)),NOT(ISNUMBER(X431))),"",IF(ISNUMBER(V431),V431,0)+IF(ISNUMBER(X431),X431,0))</f>
        <v/>
      </c>
      <c r="AI431" s="17">
        <f>IF(E431="금융","",IF(AND(ISNUMBER(R431),ISNUMBER(AH431),ISNUMBER(T431)),R431+AH431-T431,""))</f>
        <v/>
      </c>
      <c r="AJ431" s="17">
        <f>IF(E431="금융","",IF(NOT(ISNUMBER(AI431)),"",IF(ISNUMBER(AC431),(AI431+AC431)/2,AI431)))</f>
        <v/>
      </c>
      <c r="AK431" s="19">
        <f>IF(AND(ISNUMBER(AG431),ISNUMBER(AJ431),AJ431&gt;0),AG431/AJ431,"")</f>
        <v/>
      </c>
      <c r="AL431" s="17">
        <f>IF(E431="금융","",IF(AND(ISNUMBER(R431),ISNUMBER(AH431)),R431+AH431,""))</f>
        <v/>
      </c>
      <c r="AM431" s="19">
        <f>IF(OR(NOT(ISNUMBER(AG431)),NOT(ISNUMBER(AL431)),AL431&lt;=0),"",IF(AND(ISNUMBER(G431),AL431&lt;0.1*G431),"",AG431/AL431))</f>
        <v/>
      </c>
      <c r="AN431" s="17">
        <f>IF(NOT(ISNUMBER(R431)),"",IF(ISNUMBER(S431),(R431+S431)/2,R431))</f>
        <v/>
      </c>
      <c r="AO431" s="19">
        <f>IF(AND(ISNUMBER(L431),ISNUMBER(AN431),AN431&gt;0),L431/AN431,"")</f>
        <v/>
      </c>
      <c r="AP431" s="19">
        <f>IF(AND(ISNUMBER(AO431),ISNUMBER({ROIC})),AO431-{ROIC},"")</f>
        <v/>
      </c>
      <c r="AQ431" s="17">
        <f>IF(AND(ISNUMBER(AE431),ISNUMBER(N431)),AE431+N431,"")</f>
        <v/>
      </c>
      <c r="AR431" s="20">
        <f>IF(AND(ISNUMBER(AH431),ISNUMBER(T431),ISNUMBER(AQ431),AQ431&gt;0),(AH431-T431)/AQ431,"")</f>
        <v/>
      </c>
      <c r="AS431" s="20">
        <f>IF(AND(ISNUMBER(AE431),ISNUMBER(I431),I431&lt;&gt;0,AE431&gt;0),AE431/I431,"")</f>
        <v/>
      </c>
      <c r="AT431" s="17">
        <f>IF(AND(ISNUMBER(Y431),ISNUMBER(AA431)),Y431-IF(ISNUMBER(T431),T431,0)-(AA431-IF(ISNUMBER(V431),V431,0)),"")</f>
        <v/>
      </c>
      <c r="AU431" s="17">
        <f>IF(AND(ISNUMBER(Z431),ISNUMBER(AB431)),Z431-IF(ISNUMBER(U431),U431,0)-(AB431-IF(ISNUMBER(W431),W431,0)),"")</f>
        <v/>
      </c>
      <c r="AV431" s="17">
        <f>IF(AND(ISNUMBER(AT431),ISNUMBER(AU431)),AT431-AU431,"")</f>
        <v/>
      </c>
      <c r="AW431" s="17">
        <f>IF(AND(ISNUMBER(L431),ISNUMBER(M431),ISNUMBER(AF431)),L431-M431*(1-AF431),IF(ISNUMBER(L431),L431,""))</f>
        <v/>
      </c>
      <c r="AX431" s="17">
        <f>IF(E431="금융","",IF(AND(ISNUMBER(AW431),ISNUMBER(N431),ISNUMBER(O431),ISNUMBER(AV431)),AW431+N431-O431-AV431,IF(AND(ISNUMBER(P431),ISNUMBER(O431)),P431-O431-IF(ISNUMBER(Q431),Q431,0),"")))</f>
        <v/>
      </c>
      <c r="AY431" s="8">
        <f>IF(E431="금융","금융업 - 정의되지 않음",IF(AND(ISNUMBER(AW431),ISNUMBER(N431),ISNUMBER(O431),ISNUMBER(AV431)),"영업순이익+감가상각-설비투자-운전자본증감",IF(AND(ISNUMBER(P431),ISNUMBER(O431)),IF(ISNUMBER(Q431),"영업현금흐름-설비투자-주식보상비용","영업현금흐름-설비투자(주식보상비용 미태깅)"),"산출불가")))</f>
        <v/>
      </c>
      <c r="AZ431" s="19">
        <f>IF(AND(ISNUMBER(AX431),ISNUMBER(G431),G431&lt;&gt;0),AX431/G431,"")</f>
        <v/>
      </c>
      <c r="BA431" s="19">
        <f>IF(AND(ISNUMBER(AE431),ISNUMBER(G431),G431&lt;&gt;0),AE431/G431,"")</f>
        <v/>
      </c>
    </row>
    <row r="432">
      <c r="A432" s="8" t="inlineStr">
        <is>
          <t>NFLX</t>
        </is>
      </c>
      <c r="B432" s="8" t="inlineStr">
        <is>
          <t>NETFLIX INC</t>
        </is>
      </c>
      <c r="C432" s="8" t="n">
        <v>2015</v>
      </c>
      <c r="D432" s="8" t="inlineStr">
        <is>
          <t>2015-12-31</t>
        </is>
      </c>
      <c r="E432" s="8" t="inlineStr">
        <is>
          <t>일반</t>
        </is>
      </c>
      <c r="F432" s="8" t="inlineStr">
        <is>
          <t>0001065280-18-000069</t>
        </is>
      </c>
      <c r="G432" s="15" t="n">
        <v>6.779511</v>
      </c>
      <c r="H432" s="15" t="n">
        <v>0.141885</v>
      </c>
      <c r="I432" s="15" t="n"/>
      <c r="J432" s="15" t="n">
        <v>0.019244</v>
      </c>
      <c r="K432" s="15" t="n">
        <v>0.305826</v>
      </c>
      <c r="L432" s="15" t="n">
        <v>0.122641</v>
      </c>
      <c r="M432" s="15" t="n"/>
      <c r="N432" s="15" t="n">
        <v>0.062283</v>
      </c>
      <c r="O432" s="15" t="n">
        <v>0.091248</v>
      </c>
      <c r="P432" s="15" t="n">
        <v>-0.749439</v>
      </c>
      <c r="Q432" s="15" t="n">
        <v>0.124725</v>
      </c>
      <c r="R432" s="15" t="n">
        <v>2.223426</v>
      </c>
      <c r="S432" s="15" t="n">
        <v>1.857708</v>
      </c>
      <c r="T432" s="15" t="n">
        <v>1.80933</v>
      </c>
      <c r="U432" s="15" t="n">
        <v>1.113608</v>
      </c>
      <c r="V432" s="15" t="n"/>
      <c r="W432" s="15" t="n"/>
      <c r="X432" s="15" t="n">
        <v>2.371362</v>
      </c>
      <c r="Y432" s="15" t="n">
        <v>5.43184</v>
      </c>
      <c r="Z432" s="15" t="n">
        <v>3.927053</v>
      </c>
      <c r="AA432" s="15" t="n">
        <v>3.529624</v>
      </c>
      <c r="AB432" s="15" t="n">
        <v>2.663154</v>
      </c>
      <c r="AC432" s="15" t="n">
        <v>1.629949</v>
      </c>
      <c r="AD432" s="16" t="n">
        <v>4279.4044</v>
      </c>
      <c r="AE432" s="17">
        <f>IF(ISNUMBER(K432),K432,IF(AND(ISNUMBER(H432),ISNUMBER(I432)),H432+I432,IF(ISNUMBER(H432),H432,"")))</f>
        <v/>
      </c>
      <c r="AF432" s="18">
        <f>IF(OR(NOT(ISNUMBER(J432)),NOT(ISNUMBER(H432)),H432&lt;=0),기준표!$B$8,MIN(MAX(J432/H432,기준표!$B$6),기준표!$B$7))</f>
        <v/>
      </c>
      <c r="AG432" s="17">
        <f>IF(ISNUMBER(AE432),AE432*(1-AF432),"")</f>
        <v/>
      </c>
      <c r="AH432" s="17">
        <f>IF(AND(NOT(ISNUMBER(V432)),NOT(ISNUMBER(X432))),"",IF(ISNUMBER(V432),V432,0)+IF(ISNUMBER(X432),X432,0))</f>
        <v/>
      </c>
      <c r="AI432" s="17">
        <f>IF(E432="금융","",IF(AND(ISNUMBER(R432),ISNUMBER(AH432),ISNUMBER(T432)),R432+AH432-T432,""))</f>
        <v/>
      </c>
      <c r="AJ432" s="17">
        <f>IF(E432="금융","",IF(NOT(ISNUMBER(AI432)),"",IF(ISNUMBER(AC432),(AI432+AC432)/2,AI432)))</f>
        <v/>
      </c>
      <c r="AK432" s="19">
        <f>IF(AND(ISNUMBER(AG432),ISNUMBER(AJ432),AJ432&gt;0),AG432/AJ432,"")</f>
        <v/>
      </c>
      <c r="AL432" s="17">
        <f>IF(E432="금융","",IF(AND(ISNUMBER(R432),ISNUMBER(AH432)),R432+AH432,""))</f>
        <v/>
      </c>
      <c r="AM432" s="19">
        <f>IF(OR(NOT(ISNUMBER(AG432)),NOT(ISNUMBER(AL432)),AL432&lt;=0),"",IF(AND(ISNUMBER(G432),AL432&lt;0.1*G432),"",AG432/AL432))</f>
        <v/>
      </c>
      <c r="AN432" s="17">
        <f>IF(NOT(ISNUMBER(R432)),"",IF(ISNUMBER(S432),(R432+S432)/2,R432))</f>
        <v/>
      </c>
      <c r="AO432" s="19">
        <f>IF(AND(ISNUMBER(L432),ISNUMBER(AN432),AN432&gt;0),L432/AN432,"")</f>
        <v/>
      </c>
      <c r="AP432" s="19">
        <f>IF(AND(ISNUMBER(AO432),ISNUMBER({ROIC})),AO432-{ROIC},"")</f>
        <v/>
      </c>
      <c r="AQ432" s="17">
        <f>IF(AND(ISNUMBER(AE432),ISNUMBER(N432)),AE432+N432,"")</f>
        <v/>
      </c>
      <c r="AR432" s="20">
        <f>IF(AND(ISNUMBER(AH432),ISNUMBER(T432),ISNUMBER(AQ432),AQ432&gt;0),(AH432-T432)/AQ432,"")</f>
        <v/>
      </c>
      <c r="AS432" s="20">
        <f>IF(AND(ISNUMBER(AE432),ISNUMBER(I432),I432&lt;&gt;0,AE432&gt;0),AE432/I432,"")</f>
        <v/>
      </c>
      <c r="AT432" s="17">
        <f>IF(AND(ISNUMBER(Y432),ISNUMBER(AA432)),Y432-IF(ISNUMBER(T432),T432,0)-(AA432-IF(ISNUMBER(V432),V432,0)),"")</f>
        <v/>
      </c>
      <c r="AU432" s="17">
        <f>IF(AND(ISNUMBER(Z432),ISNUMBER(AB432)),Z432-IF(ISNUMBER(U432),U432,0)-(AB432-IF(ISNUMBER(W432),W432,0)),"")</f>
        <v/>
      </c>
      <c r="AV432" s="17">
        <f>IF(AND(ISNUMBER(AT432),ISNUMBER(AU432)),AT432-AU432,"")</f>
        <v/>
      </c>
      <c r="AW432" s="17">
        <f>IF(AND(ISNUMBER(L432),ISNUMBER(M432),ISNUMBER(AF432)),L432-M432*(1-AF432),IF(ISNUMBER(L432),L432,""))</f>
        <v/>
      </c>
      <c r="AX432" s="17">
        <f>IF(E432="금융","",IF(AND(ISNUMBER(AW432),ISNUMBER(N432),ISNUMBER(O432),ISNUMBER(AV432)),AW432+N432-O432-AV432,IF(AND(ISNUMBER(P432),ISNUMBER(O432)),P432-O432-IF(ISNUMBER(Q432),Q432,0),"")))</f>
        <v/>
      </c>
      <c r="AY432" s="8">
        <f>IF(E432="금융","금융업 - 정의되지 않음",IF(AND(ISNUMBER(AW432),ISNUMBER(N432),ISNUMBER(O432),ISNUMBER(AV432)),"영업순이익+감가상각-설비투자-운전자본증감",IF(AND(ISNUMBER(P432),ISNUMBER(O432)),IF(ISNUMBER(Q432),"영업현금흐름-설비투자-주식보상비용","영업현금흐름-설비투자(주식보상비용 미태깅)"),"산출불가")))</f>
        <v/>
      </c>
      <c r="AZ432" s="19">
        <f>IF(AND(ISNUMBER(AX432),ISNUMBER(G432),G432&lt;&gt;0),AX432/G432,"")</f>
        <v/>
      </c>
      <c r="BA432" s="19">
        <f>IF(AND(ISNUMBER(AE432),ISNUMBER(G432),G432&lt;&gt;0),AE432/G432,"")</f>
        <v/>
      </c>
    </row>
    <row r="433">
      <c r="A433" s="8" t="inlineStr">
        <is>
          <t>NFLX</t>
        </is>
      </c>
      <c r="B433" s="8" t="inlineStr">
        <is>
          <t>NETFLIX INC</t>
        </is>
      </c>
      <c r="C433" s="8" t="n">
        <v>2016</v>
      </c>
      <c r="D433" s="8" t="inlineStr">
        <is>
          <t>2016-12-31</t>
        </is>
      </c>
      <c r="E433" s="8" t="inlineStr">
        <is>
          <t>일반</t>
        </is>
      </c>
      <c r="F433" s="8" t="inlineStr">
        <is>
          <t>0001065280-19-000043</t>
        </is>
      </c>
      <c r="G433" s="15" t="n">
        <v>8.830669</v>
      </c>
      <c r="H433" s="15" t="n">
        <v>0.260507</v>
      </c>
      <c r="I433" s="15" t="n"/>
      <c r="J433" s="15" t="n">
        <v>0.07382900000000001</v>
      </c>
      <c r="K433" s="15" t="n">
        <v>0.379793</v>
      </c>
      <c r="L433" s="15" t="n">
        <v>0.186678</v>
      </c>
      <c r="M433" s="15" t="n"/>
      <c r="N433" s="15" t="n">
        <v>0.057528</v>
      </c>
      <c r="O433" s="15" t="n">
        <v>0.107653</v>
      </c>
      <c r="P433" s="15" t="n">
        <v>-1.473984</v>
      </c>
      <c r="Q433" s="15" t="n">
        <v>0.173675</v>
      </c>
      <c r="R433" s="15" t="n">
        <v>2.6798</v>
      </c>
      <c r="S433" s="15" t="n">
        <v>2.223426</v>
      </c>
      <c r="T433" s="15" t="n">
        <v>1.467576</v>
      </c>
      <c r="U433" s="15" t="n">
        <v>1.80933</v>
      </c>
      <c r="V433" s="15" t="n"/>
      <c r="W433" s="15" t="n"/>
      <c r="X433" s="15" t="n">
        <v>3.364311</v>
      </c>
      <c r="Y433" s="15" t="n">
        <v>5.720291</v>
      </c>
      <c r="Z433" s="15" t="n">
        <v>5.43184</v>
      </c>
      <c r="AA433" s="15" t="n">
        <v>4.586657</v>
      </c>
      <c r="AB433" s="15" t="n">
        <v>3.529624</v>
      </c>
      <c r="AC433" s="15" t="n">
        <v>2.785458</v>
      </c>
      <c r="AD433" s="16" t="n">
        <v>4300.54212</v>
      </c>
      <c r="AE433" s="17">
        <f>IF(ISNUMBER(K433),K433,IF(AND(ISNUMBER(H433),ISNUMBER(I433)),H433+I433,IF(ISNUMBER(H433),H433,"")))</f>
        <v/>
      </c>
      <c r="AF433" s="18">
        <f>IF(OR(NOT(ISNUMBER(J433)),NOT(ISNUMBER(H433)),H433&lt;=0),기준표!$B$8,MIN(MAX(J433/H433,기준표!$B$6),기준표!$B$7))</f>
        <v/>
      </c>
      <c r="AG433" s="17">
        <f>IF(ISNUMBER(AE433),AE433*(1-AF433),"")</f>
        <v/>
      </c>
      <c r="AH433" s="17">
        <f>IF(AND(NOT(ISNUMBER(V433)),NOT(ISNUMBER(X433))),"",IF(ISNUMBER(V433),V433,0)+IF(ISNUMBER(X433),X433,0))</f>
        <v/>
      </c>
      <c r="AI433" s="17">
        <f>IF(E433="금융","",IF(AND(ISNUMBER(R433),ISNUMBER(AH433),ISNUMBER(T433)),R433+AH433-T433,""))</f>
        <v/>
      </c>
      <c r="AJ433" s="17">
        <f>IF(E433="금융","",IF(NOT(ISNUMBER(AI433)),"",IF(ISNUMBER(AC433),(AI433+AC433)/2,AI433)))</f>
        <v/>
      </c>
      <c r="AK433" s="19">
        <f>IF(AND(ISNUMBER(AG433),ISNUMBER(AJ433),AJ433&gt;0),AG433/AJ433,"")</f>
        <v/>
      </c>
      <c r="AL433" s="17">
        <f>IF(E433="금융","",IF(AND(ISNUMBER(R433),ISNUMBER(AH433)),R433+AH433,""))</f>
        <v/>
      </c>
      <c r="AM433" s="19">
        <f>IF(OR(NOT(ISNUMBER(AG433)),NOT(ISNUMBER(AL433)),AL433&lt;=0),"",IF(AND(ISNUMBER(G433),AL433&lt;0.1*G433),"",AG433/AL433))</f>
        <v/>
      </c>
      <c r="AN433" s="17">
        <f>IF(NOT(ISNUMBER(R433)),"",IF(ISNUMBER(S433),(R433+S433)/2,R433))</f>
        <v/>
      </c>
      <c r="AO433" s="19">
        <f>IF(AND(ISNUMBER(L433),ISNUMBER(AN433),AN433&gt;0),L433/AN433,"")</f>
        <v/>
      </c>
      <c r="AP433" s="19">
        <f>IF(AND(ISNUMBER(AO433),ISNUMBER({ROIC})),AO433-{ROIC},"")</f>
        <v/>
      </c>
      <c r="AQ433" s="17">
        <f>IF(AND(ISNUMBER(AE433),ISNUMBER(N433)),AE433+N433,"")</f>
        <v/>
      </c>
      <c r="AR433" s="20">
        <f>IF(AND(ISNUMBER(AH433),ISNUMBER(T433),ISNUMBER(AQ433),AQ433&gt;0),(AH433-T433)/AQ433,"")</f>
        <v/>
      </c>
      <c r="AS433" s="20">
        <f>IF(AND(ISNUMBER(AE433),ISNUMBER(I433),I433&lt;&gt;0,AE433&gt;0),AE433/I433,"")</f>
        <v/>
      </c>
      <c r="AT433" s="17">
        <f>IF(AND(ISNUMBER(Y433),ISNUMBER(AA433)),Y433-IF(ISNUMBER(T433),T433,0)-(AA433-IF(ISNUMBER(V433),V433,0)),"")</f>
        <v/>
      </c>
      <c r="AU433" s="17">
        <f>IF(AND(ISNUMBER(Z433),ISNUMBER(AB433)),Z433-IF(ISNUMBER(U433),U433,0)-(AB433-IF(ISNUMBER(W433),W433,0)),"")</f>
        <v/>
      </c>
      <c r="AV433" s="17">
        <f>IF(AND(ISNUMBER(AT433),ISNUMBER(AU433)),AT433-AU433,"")</f>
        <v/>
      </c>
      <c r="AW433" s="17">
        <f>IF(AND(ISNUMBER(L433),ISNUMBER(M433),ISNUMBER(AF433)),L433-M433*(1-AF433),IF(ISNUMBER(L433),L433,""))</f>
        <v/>
      </c>
      <c r="AX433" s="17">
        <f>IF(E433="금융","",IF(AND(ISNUMBER(AW433),ISNUMBER(N433),ISNUMBER(O433),ISNUMBER(AV433)),AW433+N433-O433-AV433,IF(AND(ISNUMBER(P433),ISNUMBER(O433)),P433-O433-IF(ISNUMBER(Q433),Q433,0),"")))</f>
        <v/>
      </c>
      <c r="AY433" s="8">
        <f>IF(E433="금융","금융업 - 정의되지 않음",IF(AND(ISNUMBER(AW433),ISNUMBER(N433),ISNUMBER(O433),ISNUMBER(AV433)),"영업순이익+감가상각-설비투자-운전자본증감",IF(AND(ISNUMBER(P433),ISNUMBER(O433)),IF(ISNUMBER(Q433),"영업현금흐름-설비투자-주식보상비용","영업현금흐름-설비투자(주식보상비용 미태깅)"),"산출불가")))</f>
        <v/>
      </c>
      <c r="AZ433" s="19">
        <f>IF(AND(ISNUMBER(AX433),ISNUMBER(G433),G433&lt;&gt;0),AX433/G433,"")</f>
        <v/>
      </c>
      <c r="BA433" s="19">
        <f>IF(AND(ISNUMBER(AE433),ISNUMBER(G433),G433&lt;&gt;0),AE433/G433,"")</f>
        <v/>
      </c>
    </row>
    <row r="434">
      <c r="A434" s="8" t="inlineStr">
        <is>
          <t>NFLX</t>
        </is>
      </c>
      <c r="B434" s="8" t="inlineStr">
        <is>
          <t>NETFLIX INC</t>
        </is>
      </c>
      <c r="C434" s="8" t="n">
        <v>2017</v>
      </c>
      <c r="D434" s="8" t="inlineStr">
        <is>
          <t>2017-12-31</t>
        </is>
      </c>
      <c r="E434" s="8" t="inlineStr">
        <is>
          <t>일반</t>
        </is>
      </c>
      <c r="F434" s="8" t="inlineStr">
        <is>
          <t>0001065280-20-000040</t>
        </is>
      </c>
      <c r="G434" s="15" t="n">
        <v>11.692713</v>
      </c>
      <c r="H434" s="15" t="n">
        <v>0.485321</v>
      </c>
      <c r="I434" s="15" t="n"/>
      <c r="J434" s="15" t="n">
        <v>-0.07360800000000001</v>
      </c>
      <c r="K434" s="15" t="n">
        <v>0.838679</v>
      </c>
      <c r="L434" s="15" t="n">
        <v>0.558929</v>
      </c>
      <c r="M434" s="15" t="n"/>
      <c r="N434" s="15" t="n">
        <v>0.071911</v>
      </c>
      <c r="O434" s="15" t="n">
        <v>0.173302</v>
      </c>
      <c r="P434" s="15" t="n">
        <v>-1.785948</v>
      </c>
      <c r="Q434" s="15" t="n">
        <v>0.182209</v>
      </c>
      <c r="R434" s="15" t="n">
        <v>3.581956</v>
      </c>
      <c r="S434" s="15" t="n">
        <v>2.6798</v>
      </c>
      <c r="T434" s="15" t="n">
        <v>2.822795</v>
      </c>
      <c r="U434" s="15" t="n">
        <v>1.467576</v>
      </c>
      <c r="V434" s="15" t="n"/>
      <c r="W434" s="15" t="n"/>
      <c r="X434" s="15" t="n">
        <v>6.499432</v>
      </c>
      <c r="Y434" s="15" t="n">
        <v>7.669974</v>
      </c>
      <c r="Z434" s="15" t="n">
        <v>5.720291</v>
      </c>
      <c r="AA434" s="15" t="n">
        <v>5.466312</v>
      </c>
      <c r="AB434" s="15" t="n">
        <v>4.586657</v>
      </c>
      <c r="AC434" s="15" t="n">
        <v>4.576535</v>
      </c>
      <c r="AD434" s="16" t="n">
        <v>4333.92686</v>
      </c>
      <c r="AE434" s="17">
        <f>IF(ISNUMBER(K434),K434,IF(AND(ISNUMBER(H434),ISNUMBER(I434)),H434+I434,IF(ISNUMBER(H434),H434,"")))</f>
        <v/>
      </c>
      <c r="AF434" s="18">
        <f>IF(OR(NOT(ISNUMBER(J434)),NOT(ISNUMBER(H434)),H434&lt;=0),기준표!$B$8,MIN(MAX(J434/H434,기준표!$B$6),기준표!$B$7))</f>
        <v/>
      </c>
      <c r="AG434" s="17">
        <f>IF(ISNUMBER(AE434),AE434*(1-AF434),"")</f>
        <v/>
      </c>
      <c r="AH434" s="17">
        <f>IF(AND(NOT(ISNUMBER(V434)),NOT(ISNUMBER(X434))),"",IF(ISNUMBER(V434),V434,0)+IF(ISNUMBER(X434),X434,0))</f>
        <v/>
      </c>
      <c r="AI434" s="17">
        <f>IF(E434="금융","",IF(AND(ISNUMBER(R434),ISNUMBER(AH434),ISNUMBER(T434)),R434+AH434-T434,""))</f>
        <v/>
      </c>
      <c r="AJ434" s="17">
        <f>IF(E434="금융","",IF(NOT(ISNUMBER(AI434)),"",IF(ISNUMBER(AC434),(AI434+AC434)/2,AI434)))</f>
        <v/>
      </c>
      <c r="AK434" s="19">
        <f>IF(AND(ISNUMBER(AG434),ISNUMBER(AJ434),AJ434&gt;0),AG434/AJ434,"")</f>
        <v/>
      </c>
      <c r="AL434" s="17">
        <f>IF(E434="금융","",IF(AND(ISNUMBER(R434),ISNUMBER(AH434)),R434+AH434,""))</f>
        <v/>
      </c>
      <c r="AM434" s="19">
        <f>IF(OR(NOT(ISNUMBER(AG434)),NOT(ISNUMBER(AL434)),AL434&lt;=0),"",IF(AND(ISNUMBER(G434),AL434&lt;0.1*G434),"",AG434/AL434))</f>
        <v/>
      </c>
      <c r="AN434" s="17">
        <f>IF(NOT(ISNUMBER(R434)),"",IF(ISNUMBER(S434),(R434+S434)/2,R434))</f>
        <v/>
      </c>
      <c r="AO434" s="19">
        <f>IF(AND(ISNUMBER(L434),ISNUMBER(AN434),AN434&gt;0),L434/AN434,"")</f>
        <v/>
      </c>
      <c r="AP434" s="19">
        <f>IF(AND(ISNUMBER(AO434),ISNUMBER({ROIC})),AO434-{ROIC},"")</f>
        <v/>
      </c>
      <c r="AQ434" s="17">
        <f>IF(AND(ISNUMBER(AE434),ISNUMBER(N434)),AE434+N434,"")</f>
        <v/>
      </c>
      <c r="AR434" s="20">
        <f>IF(AND(ISNUMBER(AH434),ISNUMBER(T434),ISNUMBER(AQ434),AQ434&gt;0),(AH434-T434)/AQ434,"")</f>
        <v/>
      </c>
      <c r="AS434" s="20">
        <f>IF(AND(ISNUMBER(AE434),ISNUMBER(I434),I434&lt;&gt;0,AE434&gt;0),AE434/I434,"")</f>
        <v/>
      </c>
      <c r="AT434" s="17">
        <f>IF(AND(ISNUMBER(Y434),ISNUMBER(AA434)),Y434-IF(ISNUMBER(T434),T434,0)-(AA434-IF(ISNUMBER(V434),V434,0)),"")</f>
        <v/>
      </c>
      <c r="AU434" s="17">
        <f>IF(AND(ISNUMBER(Z434),ISNUMBER(AB434)),Z434-IF(ISNUMBER(U434),U434,0)-(AB434-IF(ISNUMBER(W434),W434,0)),"")</f>
        <v/>
      </c>
      <c r="AV434" s="17">
        <f>IF(AND(ISNUMBER(AT434),ISNUMBER(AU434)),AT434-AU434,"")</f>
        <v/>
      </c>
      <c r="AW434" s="17">
        <f>IF(AND(ISNUMBER(L434),ISNUMBER(M434),ISNUMBER(AF434)),L434-M434*(1-AF434),IF(ISNUMBER(L434),L434,""))</f>
        <v/>
      </c>
      <c r="AX434" s="17">
        <f>IF(E434="금융","",IF(AND(ISNUMBER(AW434),ISNUMBER(N434),ISNUMBER(O434),ISNUMBER(AV434)),AW434+N434-O434-AV434,IF(AND(ISNUMBER(P434),ISNUMBER(O434)),P434-O434-IF(ISNUMBER(Q434),Q434,0),"")))</f>
        <v/>
      </c>
      <c r="AY434" s="8">
        <f>IF(E434="금융","금융업 - 정의되지 않음",IF(AND(ISNUMBER(AW434),ISNUMBER(N434),ISNUMBER(O434),ISNUMBER(AV434)),"영업순이익+감가상각-설비투자-운전자본증감",IF(AND(ISNUMBER(P434),ISNUMBER(O434)),IF(ISNUMBER(Q434),"영업현금흐름-설비투자-주식보상비용","영업현금흐름-설비투자(주식보상비용 미태깅)"),"산출불가")))</f>
        <v/>
      </c>
      <c r="AZ434" s="19">
        <f>IF(AND(ISNUMBER(AX434),ISNUMBER(G434),G434&lt;&gt;0),AX434/G434,"")</f>
        <v/>
      </c>
      <c r="BA434" s="19">
        <f>IF(AND(ISNUMBER(AE434),ISNUMBER(G434),G434&lt;&gt;0),AE434/G434,"")</f>
        <v/>
      </c>
    </row>
    <row r="435">
      <c r="A435" s="8" t="inlineStr">
        <is>
          <t>NFLX</t>
        </is>
      </c>
      <c r="B435" s="8" t="inlineStr">
        <is>
          <t>NETFLIX INC</t>
        </is>
      </c>
      <c r="C435" s="8" t="n">
        <v>2018</v>
      </c>
      <c r="D435" s="8" t="inlineStr">
        <is>
          <t>2018-12-31</t>
        </is>
      </c>
      <c r="E435" s="8" t="inlineStr">
        <is>
          <t>일반</t>
        </is>
      </c>
      <c r="F435" s="8" t="inlineStr">
        <is>
          <t>0001065280-21-000040</t>
        </is>
      </c>
      <c r="G435" s="15" t="n">
        <v>15.794341</v>
      </c>
      <c r="H435" s="15" t="n">
        <v>1.226458</v>
      </c>
      <c r="I435" s="15" t="n"/>
      <c r="J435" s="15" t="n">
        <v>0.015216</v>
      </c>
      <c r="K435" s="15" t="n">
        <v>1.605226</v>
      </c>
      <c r="L435" s="15" t="n">
        <v>1.211242</v>
      </c>
      <c r="M435" s="15" t="n"/>
      <c r="N435" s="15" t="n">
        <v>0.08315699999999999</v>
      </c>
      <c r="O435" s="15" t="n">
        <v>0.173946</v>
      </c>
      <c r="P435" s="15" t="n">
        <v>-2.680479</v>
      </c>
      <c r="Q435" s="15" t="n">
        <v>0.320657</v>
      </c>
      <c r="R435" s="15" t="n">
        <v>5.238765</v>
      </c>
      <c r="S435" s="15" t="n">
        <v>3.581956</v>
      </c>
      <c r="T435" s="15" t="n">
        <v>3.794483</v>
      </c>
      <c r="U435" s="15" t="n">
        <v>2.822795</v>
      </c>
      <c r="V435" s="15" t="n"/>
      <c r="W435" s="15" t="n"/>
      <c r="X435" s="15" t="n">
        <v>10.360058</v>
      </c>
      <c r="Y435" s="15" t="n">
        <v>9.694134999999999</v>
      </c>
      <c r="Z435" s="15" t="n">
        <v>7.669974</v>
      </c>
      <c r="AA435" s="15" t="n">
        <v>6.48732</v>
      </c>
      <c r="AB435" s="15" t="n">
        <v>5.466312</v>
      </c>
      <c r="AC435" s="15" t="n">
        <v>7.258593</v>
      </c>
      <c r="AD435" s="16" t="n">
        <v>4365.98597</v>
      </c>
      <c r="AE435" s="17">
        <f>IF(ISNUMBER(K435),K435,IF(AND(ISNUMBER(H435),ISNUMBER(I435)),H435+I435,IF(ISNUMBER(H435),H435,"")))</f>
        <v/>
      </c>
      <c r="AF435" s="18">
        <f>IF(OR(NOT(ISNUMBER(J435)),NOT(ISNUMBER(H435)),H435&lt;=0),기준표!$B$8,MIN(MAX(J435/H435,기준표!$B$6),기준표!$B$7))</f>
        <v/>
      </c>
      <c r="AG435" s="17">
        <f>IF(ISNUMBER(AE435),AE435*(1-AF435),"")</f>
        <v/>
      </c>
      <c r="AH435" s="17">
        <f>IF(AND(NOT(ISNUMBER(V435)),NOT(ISNUMBER(X435))),"",IF(ISNUMBER(V435),V435,0)+IF(ISNUMBER(X435),X435,0))</f>
        <v/>
      </c>
      <c r="AI435" s="17">
        <f>IF(E435="금융","",IF(AND(ISNUMBER(R435),ISNUMBER(AH435),ISNUMBER(T435)),R435+AH435-T435,""))</f>
        <v/>
      </c>
      <c r="AJ435" s="17">
        <f>IF(E435="금융","",IF(NOT(ISNUMBER(AI435)),"",IF(ISNUMBER(AC435),(AI435+AC435)/2,AI435)))</f>
        <v/>
      </c>
      <c r="AK435" s="19">
        <f>IF(AND(ISNUMBER(AG435),ISNUMBER(AJ435),AJ435&gt;0),AG435/AJ435,"")</f>
        <v/>
      </c>
      <c r="AL435" s="17">
        <f>IF(E435="금융","",IF(AND(ISNUMBER(R435),ISNUMBER(AH435)),R435+AH435,""))</f>
        <v/>
      </c>
      <c r="AM435" s="19">
        <f>IF(OR(NOT(ISNUMBER(AG435)),NOT(ISNUMBER(AL435)),AL435&lt;=0),"",IF(AND(ISNUMBER(G435),AL435&lt;0.1*G435),"",AG435/AL435))</f>
        <v/>
      </c>
      <c r="AN435" s="17">
        <f>IF(NOT(ISNUMBER(R435)),"",IF(ISNUMBER(S435),(R435+S435)/2,R435))</f>
        <v/>
      </c>
      <c r="AO435" s="19">
        <f>IF(AND(ISNUMBER(L435),ISNUMBER(AN435),AN435&gt;0),L435/AN435,"")</f>
        <v/>
      </c>
      <c r="AP435" s="19">
        <f>IF(AND(ISNUMBER(AO435),ISNUMBER({ROIC})),AO435-{ROIC},"")</f>
        <v/>
      </c>
      <c r="AQ435" s="17">
        <f>IF(AND(ISNUMBER(AE435),ISNUMBER(N435)),AE435+N435,"")</f>
        <v/>
      </c>
      <c r="AR435" s="20">
        <f>IF(AND(ISNUMBER(AH435),ISNUMBER(T435),ISNUMBER(AQ435),AQ435&gt;0),(AH435-T435)/AQ435,"")</f>
        <v/>
      </c>
      <c r="AS435" s="20">
        <f>IF(AND(ISNUMBER(AE435),ISNUMBER(I435),I435&lt;&gt;0,AE435&gt;0),AE435/I435,"")</f>
        <v/>
      </c>
      <c r="AT435" s="17">
        <f>IF(AND(ISNUMBER(Y435),ISNUMBER(AA435)),Y435-IF(ISNUMBER(T435),T435,0)-(AA435-IF(ISNUMBER(V435),V435,0)),"")</f>
        <v/>
      </c>
      <c r="AU435" s="17">
        <f>IF(AND(ISNUMBER(Z435),ISNUMBER(AB435)),Z435-IF(ISNUMBER(U435),U435,0)-(AB435-IF(ISNUMBER(W435),W435,0)),"")</f>
        <v/>
      </c>
      <c r="AV435" s="17">
        <f>IF(AND(ISNUMBER(AT435),ISNUMBER(AU435)),AT435-AU435,"")</f>
        <v/>
      </c>
      <c r="AW435" s="17">
        <f>IF(AND(ISNUMBER(L435),ISNUMBER(M435),ISNUMBER(AF435)),L435-M435*(1-AF435),IF(ISNUMBER(L435),L435,""))</f>
        <v/>
      </c>
      <c r="AX435" s="17">
        <f>IF(E435="금융","",IF(AND(ISNUMBER(AW435),ISNUMBER(N435),ISNUMBER(O435),ISNUMBER(AV435)),AW435+N435-O435-AV435,IF(AND(ISNUMBER(P435),ISNUMBER(O435)),P435-O435-IF(ISNUMBER(Q435),Q435,0),"")))</f>
        <v/>
      </c>
      <c r="AY435" s="8">
        <f>IF(E435="금융","금융업 - 정의되지 않음",IF(AND(ISNUMBER(AW435),ISNUMBER(N435),ISNUMBER(O435),ISNUMBER(AV435)),"영업순이익+감가상각-설비투자-운전자본증감",IF(AND(ISNUMBER(P435),ISNUMBER(O435)),IF(ISNUMBER(Q435),"영업현금흐름-설비투자-주식보상비용","영업현금흐름-설비투자(주식보상비용 미태깅)"),"산출불가")))</f>
        <v/>
      </c>
      <c r="AZ435" s="19">
        <f>IF(AND(ISNUMBER(AX435),ISNUMBER(G435),G435&lt;&gt;0),AX435/G435,"")</f>
        <v/>
      </c>
      <c r="BA435" s="19">
        <f>IF(AND(ISNUMBER(AE435),ISNUMBER(G435),G435&lt;&gt;0),AE435/G435,"")</f>
        <v/>
      </c>
    </row>
    <row r="436">
      <c r="A436" s="8" t="inlineStr">
        <is>
          <t>NFLX</t>
        </is>
      </c>
      <c r="B436" s="8" t="inlineStr">
        <is>
          <t>NETFLIX INC</t>
        </is>
      </c>
      <c r="C436" s="8" t="n">
        <v>2019</v>
      </c>
      <c r="D436" s="8" t="inlineStr">
        <is>
          <t>2019-12-31</t>
        </is>
      </c>
      <c r="E436" s="8" t="inlineStr">
        <is>
          <t>일반</t>
        </is>
      </c>
      <c r="F436" s="8" t="inlineStr">
        <is>
          <t>0001065280-22-000036</t>
        </is>
      </c>
      <c r="G436" s="15" t="n">
        <v>20.156447</v>
      </c>
      <c r="H436" s="15" t="n">
        <v>2.062231</v>
      </c>
      <c r="I436" s="15" t="n"/>
      <c r="J436" s="15" t="n">
        <v>0.195315</v>
      </c>
      <c r="K436" s="15" t="n">
        <v>2.604254</v>
      </c>
      <c r="L436" s="15" t="n">
        <v>1.866916</v>
      </c>
      <c r="M436" s="15" t="n"/>
      <c r="N436" s="15" t="n">
        <v>0.103579</v>
      </c>
      <c r="O436" s="15" t="n">
        <v>0.253035</v>
      </c>
      <c r="P436" s="15" t="n">
        <v>-2.887322</v>
      </c>
      <c r="Q436" s="15" t="n">
        <v>0.405376</v>
      </c>
      <c r="R436" s="15" t="n">
        <v>7.582157</v>
      </c>
      <c r="S436" s="15" t="n">
        <v>5.238765</v>
      </c>
      <c r="T436" s="15" t="n">
        <v>5.018437</v>
      </c>
      <c r="U436" s="15" t="n">
        <v>3.794483</v>
      </c>
      <c r="V436" s="15" t="n">
        <v>0</v>
      </c>
      <c r="W436" s="15" t="n"/>
      <c r="X436" s="15" t="n">
        <v>14.75926</v>
      </c>
      <c r="Y436" s="15" t="n">
        <v>6.178504</v>
      </c>
      <c r="Z436" s="15" t="n">
        <v>9.694134999999999</v>
      </c>
      <c r="AA436" s="15" t="n">
        <v>6.855696</v>
      </c>
      <c r="AB436" s="15" t="n">
        <v>6.48732</v>
      </c>
      <c r="AC436" s="15" t="n">
        <v>11.80434</v>
      </c>
      <c r="AD436" s="16" t="n">
        <v>4388.06649</v>
      </c>
      <c r="AE436" s="17">
        <f>IF(ISNUMBER(K436),K436,IF(AND(ISNUMBER(H436),ISNUMBER(I436)),H436+I436,IF(ISNUMBER(H436),H436,"")))</f>
        <v/>
      </c>
      <c r="AF436" s="18">
        <f>IF(OR(NOT(ISNUMBER(J436)),NOT(ISNUMBER(H436)),H436&lt;=0),기준표!$B$8,MIN(MAX(J436/H436,기준표!$B$6),기준표!$B$7))</f>
        <v/>
      </c>
      <c r="AG436" s="17">
        <f>IF(ISNUMBER(AE436),AE436*(1-AF436),"")</f>
        <v/>
      </c>
      <c r="AH436" s="17">
        <f>IF(AND(NOT(ISNUMBER(V436)),NOT(ISNUMBER(X436))),"",IF(ISNUMBER(V436),V436,0)+IF(ISNUMBER(X436),X436,0))</f>
        <v/>
      </c>
      <c r="AI436" s="17">
        <f>IF(E436="금융","",IF(AND(ISNUMBER(R436),ISNUMBER(AH436),ISNUMBER(T436)),R436+AH436-T436,""))</f>
        <v/>
      </c>
      <c r="AJ436" s="17">
        <f>IF(E436="금융","",IF(NOT(ISNUMBER(AI436)),"",IF(ISNUMBER(AC436),(AI436+AC436)/2,AI436)))</f>
        <v/>
      </c>
      <c r="AK436" s="19">
        <f>IF(AND(ISNUMBER(AG436),ISNUMBER(AJ436),AJ436&gt;0),AG436/AJ436,"")</f>
        <v/>
      </c>
      <c r="AL436" s="17">
        <f>IF(E436="금융","",IF(AND(ISNUMBER(R436),ISNUMBER(AH436)),R436+AH436,""))</f>
        <v/>
      </c>
      <c r="AM436" s="19">
        <f>IF(OR(NOT(ISNUMBER(AG436)),NOT(ISNUMBER(AL436)),AL436&lt;=0),"",IF(AND(ISNUMBER(G436),AL436&lt;0.1*G436),"",AG436/AL436))</f>
        <v/>
      </c>
      <c r="AN436" s="17">
        <f>IF(NOT(ISNUMBER(R436)),"",IF(ISNUMBER(S436),(R436+S436)/2,R436))</f>
        <v/>
      </c>
      <c r="AO436" s="19">
        <f>IF(AND(ISNUMBER(L436),ISNUMBER(AN436),AN436&gt;0),L436/AN436,"")</f>
        <v/>
      </c>
      <c r="AP436" s="19">
        <f>IF(AND(ISNUMBER(AO436),ISNUMBER({ROIC})),AO436-{ROIC},"")</f>
        <v/>
      </c>
      <c r="AQ436" s="17">
        <f>IF(AND(ISNUMBER(AE436),ISNUMBER(N436)),AE436+N436,"")</f>
        <v/>
      </c>
      <c r="AR436" s="20">
        <f>IF(AND(ISNUMBER(AH436),ISNUMBER(T436),ISNUMBER(AQ436),AQ436&gt;0),(AH436-T436)/AQ436,"")</f>
        <v/>
      </c>
      <c r="AS436" s="20">
        <f>IF(AND(ISNUMBER(AE436),ISNUMBER(I436),I436&lt;&gt;0,AE436&gt;0),AE436/I436,"")</f>
        <v/>
      </c>
      <c r="AT436" s="17">
        <f>IF(AND(ISNUMBER(Y436),ISNUMBER(AA436)),Y436-IF(ISNUMBER(T436),T436,0)-(AA436-IF(ISNUMBER(V436),V436,0)),"")</f>
        <v/>
      </c>
      <c r="AU436" s="17">
        <f>IF(AND(ISNUMBER(Z436),ISNUMBER(AB436)),Z436-IF(ISNUMBER(U436),U436,0)-(AB436-IF(ISNUMBER(W436),W436,0)),"")</f>
        <v/>
      </c>
      <c r="AV436" s="17">
        <f>IF(AND(ISNUMBER(AT436),ISNUMBER(AU436)),AT436-AU436,"")</f>
        <v/>
      </c>
      <c r="AW436" s="17">
        <f>IF(AND(ISNUMBER(L436),ISNUMBER(M436),ISNUMBER(AF436)),L436-M436*(1-AF436),IF(ISNUMBER(L436),L436,""))</f>
        <v/>
      </c>
      <c r="AX436" s="17">
        <f>IF(E436="금융","",IF(AND(ISNUMBER(AW436),ISNUMBER(N436),ISNUMBER(O436),ISNUMBER(AV436)),AW436+N436-O436-AV436,IF(AND(ISNUMBER(P436),ISNUMBER(O436)),P436-O436-IF(ISNUMBER(Q436),Q436,0),"")))</f>
        <v/>
      </c>
      <c r="AY436" s="8">
        <f>IF(E436="금융","금융업 - 정의되지 않음",IF(AND(ISNUMBER(AW436),ISNUMBER(N436),ISNUMBER(O436),ISNUMBER(AV436)),"영업순이익+감가상각-설비투자-운전자본증감",IF(AND(ISNUMBER(P436),ISNUMBER(O436)),IF(ISNUMBER(Q436),"영업현금흐름-설비투자-주식보상비용","영업현금흐름-설비투자(주식보상비용 미태깅)"),"산출불가")))</f>
        <v/>
      </c>
      <c r="AZ436" s="19">
        <f>IF(AND(ISNUMBER(AX436),ISNUMBER(G436),G436&lt;&gt;0),AX436/G436,"")</f>
        <v/>
      </c>
      <c r="BA436" s="19">
        <f>IF(AND(ISNUMBER(AE436),ISNUMBER(G436),G436&lt;&gt;0),AE436/G436,"")</f>
        <v/>
      </c>
    </row>
    <row r="437">
      <c r="A437" s="8" t="inlineStr">
        <is>
          <t>NFLX</t>
        </is>
      </c>
      <c r="B437" s="8" t="inlineStr">
        <is>
          <t>NETFLIX INC</t>
        </is>
      </c>
      <c r="C437" s="8" t="n">
        <v>2020</v>
      </c>
      <c r="D437" s="8" t="inlineStr">
        <is>
          <t>2020-12-31</t>
        </is>
      </c>
      <c r="E437" s="8" t="inlineStr">
        <is>
          <t>일반</t>
        </is>
      </c>
      <c r="F437" s="8" t="inlineStr">
        <is>
          <t>0001065280-23-000035</t>
        </is>
      </c>
      <c r="G437" s="15" t="n">
        <v>24.996056</v>
      </c>
      <c r="H437" s="15" t="n">
        <v>3.199349</v>
      </c>
      <c r="I437" s="15" t="n"/>
      <c r="J437" s="15" t="n">
        <v>0.437954</v>
      </c>
      <c r="K437" s="15" t="n">
        <v>4.585289</v>
      </c>
      <c r="L437" s="15" t="n">
        <v>2.761395</v>
      </c>
      <c r="M437" s="15" t="n"/>
      <c r="N437" s="15" t="n">
        <v>0.11571</v>
      </c>
      <c r="O437" s="15" t="n">
        <v>0.497923</v>
      </c>
      <c r="P437" s="15" t="n">
        <v>2.427077</v>
      </c>
      <c r="Q437" s="15" t="n">
        <v>0.41518</v>
      </c>
      <c r="R437" s="15" t="n">
        <v>11.06524</v>
      </c>
      <c r="S437" s="15" t="n">
        <v>7.582157</v>
      </c>
      <c r="T437" s="15" t="n">
        <v>8.205550000000001</v>
      </c>
      <c r="U437" s="15" t="n">
        <v>5.018437</v>
      </c>
      <c r="V437" s="15" t="n">
        <v>0.499878</v>
      </c>
      <c r="W437" s="15" t="n">
        <v>0</v>
      </c>
      <c r="X437" s="15" t="n">
        <v>15.809095</v>
      </c>
      <c r="Y437" s="15" t="n">
        <v>9.76158</v>
      </c>
      <c r="Z437" s="15" t="n">
        <v>6.178504</v>
      </c>
      <c r="AA437" s="15" t="n">
        <v>7.805785</v>
      </c>
      <c r="AB437" s="15" t="n">
        <v>6.855696</v>
      </c>
      <c r="AC437" s="15" t="n">
        <v>17.32298</v>
      </c>
      <c r="AD437" s="16" t="n">
        <v>4428.95261</v>
      </c>
      <c r="AE437" s="17">
        <f>IF(ISNUMBER(K437),K437,IF(AND(ISNUMBER(H437),ISNUMBER(I437)),H437+I437,IF(ISNUMBER(H437),H437,"")))</f>
        <v/>
      </c>
      <c r="AF437" s="18">
        <f>IF(OR(NOT(ISNUMBER(J437)),NOT(ISNUMBER(H437)),H437&lt;=0),기준표!$B$8,MIN(MAX(J437/H437,기준표!$B$6),기준표!$B$7))</f>
        <v/>
      </c>
      <c r="AG437" s="17">
        <f>IF(ISNUMBER(AE437),AE437*(1-AF437),"")</f>
        <v/>
      </c>
      <c r="AH437" s="17">
        <f>IF(AND(NOT(ISNUMBER(V437)),NOT(ISNUMBER(X437))),"",IF(ISNUMBER(V437),V437,0)+IF(ISNUMBER(X437),X437,0))</f>
        <v/>
      </c>
      <c r="AI437" s="17">
        <f>IF(E437="금융","",IF(AND(ISNUMBER(R437),ISNUMBER(AH437),ISNUMBER(T437)),R437+AH437-T437,""))</f>
        <v/>
      </c>
      <c r="AJ437" s="17">
        <f>IF(E437="금융","",IF(NOT(ISNUMBER(AI437)),"",IF(ISNUMBER(AC437),(AI437+AC437)/2,AI437)))</f>
        <v/>
      </c>
      <c r="AK437" s="19">
        <f>IF(AND(ISNUMBER(AG437),ISNUMBER(AJ437),AJ437&gt;0),AG437/AJ437,"")</f>
        <v/>
      </c>
      <c r="AL437" s="17">
        <f>IF(E437="금융","",IF(AND(ISNUMBER(R437),ISNUMBER(AH437)),R437+AH437,""))</f>
        <v/>
      </c>
      <c r="AM437" s="19">
        <f>IF(OR(NOT(ISNUMBER(AG437)),NOT(ISNUMBER(AL437)),AL437&lt;=0),"",IF(AND(ISNUMBER(G437),AL437&lt;0.1*G437),"",AG437/AL437))</f>
        <v/>
      </c>
      <c r="AN437" s="17">
        <f>IF(NOT(ISNUMBER(R437)),"",IF(ISNUMBER(S437),(R437+S437)/2,R437))</f>
        <v/>
      </c>
      <c r="AO437" s="19">
        <f>IF(AND(ISNUMBER(L437),ISNUMBER(AN437),AN437&gt;0),L437/AN437,"")</f>
        <v/>
      </c>
      <c r="AP437" s="19">
        <f>IF(AND(ISNUMBER(AO437),ISNUMBER({ROIC})),AO437-{ROIC},"")</f>
        <v/>
      </c>
      <c r="AQ437" s="17">
        <f>IF(AND(ISNUMBER(AE437),ISNUMBER(N437)),AE437+N437,"")</f>
        <v/>
      </c>
      <c r="AR437" s="20">
        <f>IF(AND(ISNUMBER(AH437),ISNUMBER(T437),ISNUMBER(AQ437),AQ437&gt;0),(AH437-T437)/AQ437,"")</f>
        <v/>
      </c>
      <c r="AS437" s="20">
        <f>IF(AND(ISNUMBER(AE437),ISNUMBER(I437),I437&lt;&gt;0,AE437&gt;0),AE437/I437,"")</f>
        <v/>
      </c>
      <c r="AT437" s="17">
        <f>IF(AND(ISNUMBER(Y437),ISNUMBER(AA437)),Y437-IF(ISNUMBER(T437),T437,0)-(AA437-IF(ISNUMBER(V437),V437,0)),"")</f>
        <v/>
      </c>
      <c r="AU437" s="17">
        <f>IF(AND(ISNUMBER(Z437),ISNUMBER(AB437)),Z437-IF(ISNUMBER(U437),U437,0)-(AB437-IF(ISNUMBER(W437),W437,0)),"")</f>
        <v/>
      </c>
      <c r="AV437" s="17">
        <f>IF(AND(ISNUMBER(AT437),ISNUMBER(AU437)),AT437-AU437,"")</f>
        <v/>
      </c>
      <c r="AW437" s="17">
        <f>IF(AND(ISNUMBER(L437),ISNUMBER(M437),ISNUMBER(AF437)),L437-M437*(1-AF437),IF(ISNUMBER(L437),L437,""))</f>
        <v/>
      </c>
      <c r="AX437" s="17">
        <f>IF(E437="금융","",IF(AND(ISNUMBER(AW437),ISNUMBER(N437),ISNUMBER(O437),ISNUMBER(AV437)),AW437+N437-O437-AV437,IF(AND(ISNUMBER(P437),ISNUMBER(O437)),P437-O437-IF(ISNUMBER(Q437),Q437,0),"")))</f>
        <v/>
      </c>
      <c r="AY437" s="8">
        <f>IF(E437="금융","금융업 - 정의되지 않음",IF(AND(ISNUMBER(AW437),ISNUMBER(N437),ISNUMBER(O437),ISNUMBER(AV437)),"영업순이익+감가상각-설비투자-운전자본증감",IF(AND(ISNUMBER(P437),ISNUMBER(O437)),IF(ISNUMBER(Q437),"영업현금흐름-설비투자-주식보상비용","영업현금흐름-설비투자(주식보상비용 미태깅)"),"산출불가")))</f>
        <v/>
      </c>
      <c r="AZ437" s="19">
        <f>IF(AND(ISNUMBER(AX437),ISNUMBER(G437),G437&lt;&gt;0),AX437/G437,"")</f>
        <v/>
      </c>
      <c r="BA437" s="19">
        <f>IF(AND(ISNUMBER(AE437),ISNUMBER(G437),G437&lt;&gt;0),AE437/G437,"")</f>
        <v/>
      </c>
    </row>
    <row r="438">
      <c r="A438" s="8" t="inlineStr">
        <is>
          <t>NFLX</t>
        </is>
      </c>
      <c r="B438" s="8" t="inlineStr">
        <is>
          <t>NETFLIX INC</t>
        </is>
      </c>
      <c r="C438" s="8" t="n">
        <v>2021</v>
      </c>
      <c r="D438" s="8" t="inlineStr">
        <is>
          <t>2021-12-31</t>
        </is>
      </c>
      <c r="E438" s="8" t="inlineStr">
        <is>
          <t>일반</t>
        </is>
      </c>
      <c r="F438" s="8" t="inlineStr">
        <is>
          <t>0001065280-24-000030</t>
        </is>
      </c>
      <c r="G438" s="15" t="n">
        <v>29.697844</v>
      </c>
      <c r="H438" s="15" t="n">
        <v>5.840103</v>
      </c>
      <c r="I438" s="15" t="n"/>
      <c r="J438" s="15" t="n">
        <v>0.723875</v>
      </c>
      <c r="K438" s="15" t="n">
        <v>6.194509</v>
      </c>
      <c r="L438" s="15" t="n">
        <v>5.116228</v>
      </c>
      <c r="M438" s="15" t="n"/>
      <c r="N438" s="15" t="n">
        <v>0.208412</v>
      </c>
      <c r="O438" s="15" t="n">
        <v>0.524585</v>
      </c>
      <c r="P438" s="15" t="n">
        <v>0.39261</v>
      </c>
      <c r="Q438" s="15" t="n">
        <v>0.40322</v>
      </c>
      <c r="R438" s="15" t="n">
        <v>15.849248</v>
      </c>
      <c r="S438" s="15" t="n">
        <v>11.06524</v>
      </c>
      <c r="T438" s="15" t="n">
        <v>6.027804</v>
      </c>
      <c r="U438" s="15" t="n">
        <v>8.205550000000001</v>
      </c>
      <c r="V438" s="15" t="n">
        <v>0.699823</v>
      </c>
      <c r="W438" s="15" t="n">
        <v>0.499878</v>
      </c>
      <c r="X438" s="15" t="n">
        <v>14.693072</v>
      </c>
      <c r="Y438" s="15" t="n">
        <v>8.069825</v>
      </c>
      <c r="Z438" s="15" t="n">
        <v>9.76158</v>
      </c>
      <c r="AA438" s="15" t="n">
        <v>8.488966</v>
      </c>
      <c r="AB438" s="15" t="n">
        <v>7.805785</v>
      </c>
      <c r="AC438" s="15" t="n">
        <v>19.168663</v>
      </c>
      <c r="AD438" s="16" t="n">
        <v>4439.63107</v>
      </c>
      <c r="AE438" s="17">
        <f>IF(ISNUMBER(K438),K438,IF(AND(ISNUMBER(H438),ISNUMBER(I438)),H438+I438,IF(ISNUMBER(H438),H438,"")))</f>
        <v/>
      </c>
      <c r="AF438" s="18">
        <f>IF(OR(NOT(ISNUMBER(J438)),NOT(ISNUMBER(H438)),H438&lt;=0),기준표!$B$8,MIN(MAX(J438/H438,기준표!$B$6),기준표!$B$7))</f>
        <v/>
      </c>
      <c r="AG438" s="17">
        <f>IF(ISNUMBER(AE438),AE438*(1-AF438),"")</f>
        <v/>
      </c>
      <c r="AH438" s="17">
        <f>IF(AND(NOT(ISNUMBER(V438)),NOT(ISNUMBER(X438))),"",IF(ISNUMBER(V438),V438,0)+IF(ISNUMBER(X438),X438,0))</f>
        <v/>
      </c>
      <c r="AI438" s="17">
        <f>IF(E438="금융","",IF(AND(ISNUMBER(R438),ISNUMBER(AH438),ISNUMBER(T438)),R438+AH438-T438,""))</f>
        <v/>
      </c>
      <c r="AJ438" s="17">
        <f>IF(E438="금융","",IF(NOT(ISNUMBER(AI438)),"",IF(ISNUMBER(AC438),(AI438+AC438)/2,AI438)))</f>
        <v/>
      </c>
      <c r="AK438" s="19">
        <f>IF(AND(ISNUMBER(AG438),ISNUMBER(AJ438),AJ438&gt;0),AG438/AJ438,"")</f>
        <v/>
      </c>
      <c r="AL438" s="17">
        <f>IF(E438="금융","",IF(AND(ISNUMBER(R438),ISNUMBER(AH438)),R438+AH438,""))</f>
        <v/>
      </c>
      <c r="AM438" s="19">
        <f>IF(OR(NOT(ISNUMBER(AG438)),NOT(ISNUMBER(AL438)),AL438&lt;=0),"",IF(AND(ISNUMBER(G438),AL438&lt;0.1*G438),"",AG438/AL438))</f>
        <v/>
      </c>
      <c r="AN438" s="17">
        <f>IF(NOT(ISNUMBER(R438)),"",IF(ISNUMBER(S438),(R438+S438)/2,R438))</f>
        <v/>
      </c>
      <c r="AO438" s="19">
        <f>IF(AND(ISNUMBER(L438),ISNUMBER(AN438),AN438&gt;0),L438/AN438,"")</f>
        <v/>
      </c>
      <c r="AP438" s="19">
        <f>IF(AND(ISNUMBER(AO438),ISNUMBER({ROIC})),AO438-{ROIC},"")</f>
        <v/>
      </c>
      <c r="AQ438" s="17">
        <f>IF(AND(ISNUMBER(AE438),ISNUMBER(N438)),AE438+N438,"")</f>
        <v/>
      </c>
      <c r="AR438" s="20">
        <f>IF(AND(ISNUMBER(AH438),ISNUMBER(T438),ISNUMBER(AQ438),AQ438&gt;0),(AH438-T438)/AQ438,"")</f>
        <v/>
      </c>
      <c r="AS438" s="20">
        <f>IF(AND(ISNUMBER(AE438),ISNUMBER(I438),I438&lt;&gt;0,AE438&gt;0),AE438/I438,"")</f>
        <v/>
      </c>
      <c r="AT438" s="17">
        <f>IF(AND(ISNUMBER(Y438),ISNUMBER(AA438)),Y438-IF(ISNUMBER(T438),T438,0)-(AA438-IF(ISNUMBER(V438),V438,0)),"")</f>
        <v/>
      </c>
      <c r="AU438" s="17">
        <f>IF(AND(ISNUMBER(Z438),ISNUMBER(AB438)),Z438-IF(ISNUMBER(U438),U438,0)-(AB438-IF(ISNUMBER(W438),W438,0)),"")</f>
        <v/>
      </c>
      <c r="AV438" s="17">
        <f>IF(AND(ISNUMBER(AT438),ISNUMBER(AU438)),AT438-AU438,"")</f>
        <v/>
      </c>
      <c r="AW438" s="17">
        <f>IF(AND(ISNUMBER(L438),ISNUMBER(M438),ISNUMBER(AF438)),L438-M438*(1-AF438),IF(ISNUMBER(L438),L438,""))</f>
        <v/>
      </c>
      <c r="AX438" s="17">
        <f>IF(E438="금융","",IF(AND(ISNUMBER(AW438),ISNUMBER(N438),ISNUMBER(O438),ISNUMBER(AV438)),AW438+N438-O438-AV438,IF(AND(ISNUMBER(P438),ISNUMBER(O438)),P438-O438-IF(ISNUMBER(Q438),Q438,0),"")))</f>
        <v/>
      </c>
      <c r="AY438" s="8">
        <f>IF(E438="금융","금융업 - 정의되지 않음",IF(AND(ISNUMBER(AW438),ISNUMBER(N438),ISNUMBER(O438),ISNUMBER(AV438)),"영업순이익+감가상각-설비투자-운전자본증감",IF(AND(ISNUMBER(P438),ISNUMBER(O438)),IF(ISNUMBER(Q438),"영업현금흐름-설비투자-주식보상비용","영업현금흐름-설비투자(주식보상비용 미태깅)"),"산출불가")))</f>
        <v/>
      </c>
      <c r="AZ438" s="19">
        <f>IF(AND(ISNUMBER(AX438),ISNUMBER(G438),G438&lt;&gt;0),AX438/G438,"")</f>
        <v/>
      </c>
      <c r="BA438" s="19">
        <f>IF(AND(ISNUMBER(AE438),ISNUMBER(G438),G438&lt;&gt;0),AE438/G438,"")</f>
        <v/>
      </c>
    </row>
    <row r="439">
      <c r="A439" s="8" t="inlineStr">
        <is>
          <t>NFLX</t>
        </is>
      </c>
      <c r="B439" s="8" t="inlineStr">
        <is>
          <t>NETFLIX INC</t>
        </is>
      </c>
      <c r="C439" s="8" t="n">
        <v>2022</v>
      </c>
      <c r="D439" s="8" t="inlineStr">
        <is>
          <t>2022-12-31</t>
        </is>
      </c>
      <c r="E439" s="8" t="inlineStr">
        <is>
          <t>일반</t>
        </is>
      </c>
      <c r="F439" s="8" t="inlineStr">
        <is>
          <t>0001065280-25-000044</t>
        </is>
      </c>
      <c r="G439" s="15" t="n">
        <v>31.61555</v>
      </c>
      <c r="H439" s="15" t="n">
        <v>5.263929</v>
      </c>
      <c r="I439" s="15" t="n">
        <v>0.706212</v>
      </c>
      <c r="J439" s="15" t="n">
        <v>0.7720050000000001</v>
      </c>
      <c r="K439" s="15" t="n">
        <v>5.632831</v>
      </c>
      <c r="L439" s="15" t="n">
        <v>4.491924</v>
      </c>
      <c r="M439" s="15" t="n"/>
      <c r="N439" s="15" t="n">
        <v>0.336682</v>
      </c>
      <c r="O439" s="15" t="n">
        <v>0.407729</v>
      </c>
      <c r="P439" s="15" t="n">
        <v>2.026257</v>
      </c>
      <c r="Q439" s="15" t="n">
        <v>0.575452</v>
      </c>
      <c r="R439" s="15" t="n">
        <v>20.777401</v>
      </c>
      <c r="S439" s="15" t="n">
        <v>15.849248</v>
      </c>
      <c r="T439" s="15" t="n">
        <v>6.058452</v>
      </c>
      <c r="U439" s="15" t="n">
        <v>6.027804</v>
      </c>
      <c r="V439" s="15" t="n">
        <v>0</v>
      </c>
      <c r="W439" s="15" t="n">
        <v>0.699823</v>
      </c>
      <c r="X439" s="15" t="n">
        <v>14.353076</v>
      </c>
      <c r="Y439" s="15" t="n">
        <v>9.266473</v>
      </c>
      <c r="Z439" s="15" t="n">
        <v>8.069825</v>
      </c>
      <c r="AA439" s="15" t="n">
        <v>7.930974</v>
      </c>
      <c r="AB439" s="15" t="n">
        <v>8.488966</v>
      </c>
      <c r="AC439" s="15" t="n">
        <v>25.214339</v>
      </c>
      <c r="AD439" s="16" t="n">
        <v>4453.46776</v>
      </c>
      <c r="AE439" s="17">
        <f>IF(ISNUMBER(K439),K439,IF(AND(ISNUMBER(H439),ISNUMBER(I439)),H439+I439,IF(ISNUMBER(H439),H439,"")))</f>
        <v/>
      </c>
      <c r="AF439" s="18">
        <f>IF(OR(NOT(ISNUMBER(J439)),NOT(ISNUMBER(H439)),H439&lt;=0),기준표!$B$8,MIN(MAX(J439/H439,기준표!$B$6),기준표!$B$7))</f>
        <v/>
      </c>
      <c r="AG439" s="17">
        <f>IF(ISNUMBER(AE439),AE439*(1-AF439),"")</f>
        <v/>
      </c>
      <c r="AH439" s="17">
        <f>IF(AND(NOT(ISNUMBER(V439)),NOT(ISNUMBER(X439))),"",IF(ISNUMBER(V439),V439,0)+IF(ISNUMBER(X439),X439,0))</f>
        <v/>
      </c>
      <c r="AI439" s="17">
        <f>IF(E439="금융","",IF(AND(ISNUMBER(R439),ISNUMBER(AH439),ISNUMBER(T439)),R439+AH439-T439,""))</f>
        <v/>
      </c>
      <c r="AJ439" s="17">
        <f>IF(E439="금융","",IF(NOT(ISNUMBER(AI439)),"",IF(ISNUMBER(AC439),(AI439+AC439)/2,AI439)))</f>
        <v/>
      </c>
      <c r="AK439" s="19">
        <f>IF(AND(ISNUMBER(AG439),ISNUMBER(AJ439),AJ439&gt;0),AG439/AJ439,"")</f>
        <v/>
      </c>
      <c r="AL439" s="17">
        <f>IF(E439="금융","",IF(AND(ISNUMBER(R439),ISNUMBER(AH439)),R439+AH439,""))</f>
        <v/>
      </c>
      <c r="AM439" s="19">
        <f>IF(OR(NOT(ISNUMBER(AG439)),NOT(ISNUMBER(AL439)),AL439&lt;=0),"",IF(AND(ISNUMBER(G439),AL439&lt;0.1*G439),"",AG439/AL439))</f>
        <v/>
      </c>
      <c r="AN439" s="17">
        <f>IF(NOT(ISNUMBER(R439)),"",IF(ISNUMBER(S439),(R439+S439)/2,R439))</f>
        <v/>
      </c>
      <c r="AO439" s="19">
        <f>IF(AND(ISNUMBER(L439),ISNUMBER(AN439),AN439&gt;0),L439/AN439,"")</f>
        <v/>
      </c>
      <c r="AP439" s="19">
        <f>IF(AND(ISNUMBER(AO439),ISNUMBER({ROIC})),AO439-{ROIC},"")</f>
        <v/>
      </c>
      <c r="AQ439" s="17">
        <f>IF(AND(ISNUMBER(AE439),ISNUMBER(N439)),AE439+N439,"")</f>
        <v/>
      </c>
      <c r="AR439" s="20">
        <f>IF(AND(ISNUMBER(AH439),ISNUMBER(T439),ISNUMBER(AQ439),AQ439&gt;0),(AH439-T439)/AQ439,"")</f>
        <v/>
      </c>
      <c r="AS439" s="20">
        <f>IF(AND(ISNUMBER(AE439),ISNUMBER(I439),I439&lt;&gt;0,AE439&gt;0),AE439/I439,"")</f>
        <v/>
      </c>
      <c r="AT439" s="17">
        <f>IF(AND(ISNUMBER(Y439),ISNUMBER(AA439)),Y439-IF(ISNUMBER(T439),T439,0)-(AA439-IF(ISNUMBER(V439),V439,0)),"")</f>
        <v/>
      </c>
      <c r="AU439" s="17">
        <f>IF(AND(ISNUMBER(Z439),ISNUMBER(AB439)),Z439-IF(ISNUMBER(U439),U439,0)-(AB439-IF(ISNUMBER(W439),W439,0)),"")</f>
        <v/>
      </c>
      <c r="AV439" s="17">
        <f>IF(AND(ISNUMBER(AT439),ISNUMBER(AU439)),AT439-AU439,"")</f>
        <v/>
      </c>
      <c r="AW439" s="17">
        <f>IF(AND(ISNUMBER(L439),ISNUMBER(M439),ISNUMBER(AF439)),L439-M439*(1-AF439),IF(ISNUMBER(L439),L439,""))</f>
        <v/>
      </c>
      <c r="AX439" s="17">
        <f>IF(E439="금융","",IF(AND(ISNUMBER(AW439),ISNUMBER(N439),ISNUMBER(O439),ISNUMBER(AV439)),AW439+N439-O439-AV439,IF(AND(ISNUMBER(P439),ISNUMBER(O439)),P439-O439-IF(ISNUMBER(Q439),Q439,0),"")))</f>
        <v/>
      </c>
      <c r="AY439" s="8">
        <f>IF(E439="금융","금융업 - 정의되지 않음",IF(AND(ISNUMBER(AW439),ISNUMBER(N439),ISNUMBER(O439),ISNUMBER(AV439)),"영업순이익+감가상각-설비투자-운전자본증감",IF(AND(ISNUMBER(P439),ISNUMBER(O439)),IF(ISNUMBER(Q439),"영업현금흐름-설비투자-주식보상비용","영업현금흐름-설비투자(주식보상비용 미태깅)"),"산출불가")))</f>
        <v/>
      </c>
      <c r="AZ439" s="19">
        <f>IF(AND(ISNUMBER(AX439),ISNUMBER(G439),G439&lt;&gt;0),AX439/G439,"")</f>
        <v/>
      </c>
      <c r="BA439" s="19">
        <f>IF(AND(ISNUMBER(AE439),ISNUMBER(G439),G439&lt;&gt;0),AE439/G439,"")</f>
        <v/>
      </c>
    </row>
    <row r="440">
      <c r="A440" s="8" t="inlineStr">
        <is>
          <t>NFLX</t>
        </is>
      </c>
      <c r="B440" s="8" t="inlineStr">
        <is>
          <t>NETFLIX INC</t>
        </is>
      </c>
      <c r="C440" s="8" t="n">
        <v>2023</v>
      </c>
      <c r="D440" s="8" t="inlineStr">
        <is>
          <t>2023-12-31</t>
        </is>
      </c>
      <c r="E440" s="8" t="inlineStr">
        <is>
          <t>일반</t>
        </is>
      </c>
      <c r="F440" s="8" t="inlineStr">
        <is>
          <t>0001065280-26-000034</t>
        </is>
      </c>
      <c r="G440" s="15" t="n">
        <v>33.723297</v>
      </c>
      <c r="H440" s="15" t="n">
        <v>6.205405</v>
      </c>
      <c r="I440" s="15" t="n">
        <v>0.6998259999999999</v>
      </c>
      <c r="J440" s="15" t="n">
        <v>0.797415</v>
      </c>
      <c r="K440" s="15" t="n">
        <v>6.954003</v>
      </c>
      <c r="L440" s="15" t="n">
        <v>5.40799</v>
      </c>
      <c r="M440" s="15" t="n"/>
      <c r="N440" s="15" t="n">
        <v>0.356947</v>
      </c>
      <c r="O440" s="15" t="n">
        <v>0.348552</v>
      </c>
      <c r="P440" s="15" t="n">
        <v>7.274301</v>
      </c>
      <c r="Q440" s="15" t="n">
        <v>0.339368</v>
      </c>
      <c r="R440" s="15" t="n">
        <v>20.588313</v>
      </c>
      <c r="S440" s="15" t="n">
        <v>20.777401</v>
      </c>
      <c r="T440" s="15" t="n">
        <v>7.137886</v>
      </c>
      <c r="U440" s="15" t="n">
        <v>6.058452</v>
      </c>
      <c r="V440" s="15" t="n">
        <v>0.399844</v>
      </c>
      <c r="W440" s="15" t="n">
        <v>0</v>
      </c>
      <c r="X440" s="15" t="n">
        <v>14.143417</v>
      </c>
      <c r="Y440" s="15" t="n">
        <v>9.918132999999999</v>
      </c>
      <c r="Z440" s="15" t="n">
        <v>9.266473</v>
      </c>
      <c r="AA440" s="15" t="n">
        <v>8.860655</v>
      </c>
      <c r="AB440" s="15" t="n">
        <v>7.930974</v>
      </c>
      <c r="AC440" s="15" t="n">
        <v>29.072025</v>
      </c>
      <c r="AD440" s="16" t="n">
        <v>4327.59584</v>
      </c>
      <c r="AE440" s="17">
        <f>IF(ISNUMBER(K440),K440,IF(AND(ISNUMBER(H440),ISNUMBER(I440)),H440+I440,IF(ISNUMBER(H440),H440,"")))</f>
        <v/>
      </c>
      <c r="AF440" s="18">
        <f>IF(OR(NOT(ISNUMBER(J440)),NOT(ISNUMBER(H440)),H440&lt;=0),기준표!$B$8,MIN(MAX(J440/H440,기준표!$B$6),기준표!$B$7))</f>
        <v/>
      </c>
      <c r="AG440" s="17">
        <f>IF(ISNUMBER(AE440),AE440*(1-AF440),"")</f>
        <v/>
      </c>
      <c r="AH440" s="17">
        <f>IF(AND(NOT(ISNUMBER(V440)),NOT(ISNUMBER(X440))),"",IF(ISNUMBER(V440),V440,0)+IF(ISNUMBER(X440),X440,0))</f>
        <v/>
      </c>
      <c r="AI440" s="17">
        <f>IF(E440="금융","",IF(AND(ISNUMBER(R440),ISNUMBER(AH440),ISNUMBER(T440)),R440+AH440-T440,""))</f>
        <v/>
      </c>
      <c r="AJ440" s="17">
        <f>IF(E440="금융","",IF(NOT(ISNUMBER(AI440)),"",IF(ISNUMBER(AC440),(AI440+AC440)/2,AI440)))</f>
        <v/>
      </c>
      <c r="AK440" s="19">
        <f>IF(AND(ISNUMBER(AG440),ISNUMBER(AJ440),AJ440&gt;0),AG440/AJ440,"")</f>
        <v/>
      </c>
      <c r="AL440" s="17">
        <f>IF(E440="금융","",IF(AND(ISNUMBER(R440),ISNUMBER(AH440)),R440+AH440,""))</f>
        <v/>
      </c>
      <c r="AM440" s="19">
        <f>IF(OR(NOT(ISNUMBER(AG440)),NOT(ISNUMBER(AL440)),AL440&lt;=0),"",IF(AND(ISNUMBER(G440),AL440&lt;0.1*G440),"",AG440/AL440))</f>
        <v/>
      </c>
      <c r="AN440" s="17">
        <f>IF(NOT(ISNUMBER(R440)),"",IF(ISNUMBER(S440),(R440+S440)/2,R440))</f>
        <v/>
      </c>
      <c r="AO440" s="19">
        <f>IF(AND(ISNUMBER(L440),ISNUMBER(AN440),AN440&gt;0),L440/AN440,"")</f>
        <v/>
      </c>
      <c r="AP440" s="19">
        <f>IF(AND(ISNUMBER(AO440),ISNUMBER({ROIC})),AO440-{ROIC},"")</f>
        <v/>
      </c>
      <c r="AQ440" s="17">
        <f>IF(AND(ISNUMBER(AE440),ISNUMBER(N440)),AE440+N440,"")</f>
        <v/>
      </c>
      <c r="AR440" s="20">
        <f>IF(AND(ISNUMBER(AH440),ISNUMBER(T440),ISNUMBER(AQ440),AQ440&gt;0),(AH440-T440)/AQ440,"")</f>
        <v/>
      </c>
      <c r="AS440" s="20">
        <f>IF(AND(ISNUMBER(AE440),ISNUMBER(I440),I440&lt;&gt;0,AE440&gt;0),AE440/I440,"")</f>
        <v/>
      </c>
      <c r="AT440" s="17">
        <f>IF(AND(ISNUMBER(Y440),ISNUMBER(AA440)),Y440-IF(ISNUMBER(T440),T440,0)-(AA440-IF(ISNUMBER(V440),V440,0)),"")</f>
        <v/>
      </c>
      <c r="AU440" s="17">
        <f>IF(AND(ISNUMBER(Z440),ISNUMBER(AB440)),Z440-IF(ISNUMBER(U440),U440,0)-(AB440-IF(ISNUMBER(W440),W440,0)),"")</f>
        <v/>
      </c>
      <c r="AV440" s="17">
        <f>IF(AND(ISNUMBER(AT440),ISNUMBER(AU440)),AT440-AU440,"")</f>
        <v/>
      </c>
      <c r="AW440" s="17">
        <f>IF(AND(ISNUMBER(L440),ISNUMBER(M440),ISNUMBER(AF440)),L440-M440*(1-AF440),IF(ISNUMBER(L440),L440,""))</f>
        <v/>
      </c>
      <c r="AX440" s="17">
        <f>IF(E440="금융","",IF(AND(ISNUMBER(AW440),ISNUMBER(N440),ISNUMBER(O440),ISNUMBER(AV440)),AW440+N440-O440-AV440,IF(AND(ISNUMBER(P440),ISNUMBER(O440)),P440-O440-IF(ISNUMBER(Q440),Q440,0),"")))</f>
        <v/>
      </c>
      <c r="AY440" s="8">
        <f>IF(E440="금융","금융업 - 정의되지 않음",IF(AND(ISNUMBER(AW440),ISNUMBER(N440),ISNUMBER(O440),ISNUMBER(AV440)),"영업순이익+감가상각-설비투자-운전자본증감",IF(AND(ISNUMBER(P440),ISNUMBER(O440)),IF(ISNUMBER(Q440),"영업현금흐름-설비투자-주식보상비용","영업현금흐름-설비투자(주식보상비용 미태깅)"),"산출불가")))</f>
        <v/>
      </c>
      <c r="AZ440" s="19">
        <f>IF(AND(ISNUMBER(AX440),ISNUMBER(G440),G440&lt;&gt;0),AX440/G440,"")</f>
        <v/>
      </c>
      <c r="BA440" s="19">
        <f>IF(AND(ISNUMBER(AE440),ISNUMBER(G440),G440&lt;&gt;0),AE440/G440,"")</f>
        <v/>
      </c>
    </row>
    <row r="441">
      <c r="A441" s="8" t="inlineStr">
        <is>
          <t>NFLX</t>
        </is>
      </c>
      <c r="B441" s="8" t="inlineStr">
        <is>
          <t>NETFLIX INC</t>
        </is>
      </c>
      <c r="C441" s="8" t="n">
        <v>2024</v>
      </c>
      <c r="D441" s="8" t="inlineStr">
        <is>
          <t>2024-12-31</t>
        </is>
      </c>
      <c r="E441" s="8" t="inlineStr">
        <is>
          <t>일반</t>
        </is>
      </c>
      <c r="F441" s="8" t="inlineStr">
        <is>
          <t>0001065280-26-000034</t>
        </is>
      </c>
      <c r="G441" s="15" t="n">
        <v>39.000966</v>
      </c>
      <c r="H441" s="15" t="n">
        <v>9.965657</v>
      </c>
      <c r="I441" s="15" t="n">
        <v>0.718733</v>
      </c>
      <c r="J441" s="15" t="n">
        <v>1.254026</v>
      </c>
      <c r="K441" s="15" t="n">
        <v>10.417614</v>
      </c>
      <c r="L441" s="15" t="n">
        <v>8.711631000000001</v>
      </c>
      <c r="M441" s="15" t="n"/>
      <c r="N441" s="15" t="n">
        <v>0.328914</v>
      </c>
      <c r="O441" s="15" t="n">
        <v>0.439538</v>
      </c>
      <c r="P441" s="15" t="n">
        <v>7.361364</v>
      </c>
      <c r="Q441" s="15" t="n">
        <v>0.272588</v>
      </c>
      <c r="R441" s="15" t="n">
        <v>24.743567</v>
      </c>
      <c r="S441" s="15" t="n">
        <v>20.588313</v>
      </c>
      <c r="T441" s="15" t="n">
        <v>9.583739</v>
      </c>
      <c r="U441" s="15" t="n">
        <v>7.137886</v>
      </c>
      <c r="V441" s="15" t="n">
        <v>1.784453</v>
      </c>
      <c r="W441" s="15" t="n">
        <v>0.399844</v>
      </c>
      <c r="X441" s="15" t="n">
        <v>13.798351</v>
      </c>
      <c r="Y441" s="15" t="n">
        <v>13.100379</v>
      </c>
      <c r="Z441" s="15" t="n">
        <v>9.918132999999999</v>
      </c>
      <c r="AA441" s="15" t="n">
        <v>10.7554</v>
      </c>
      <c r="AB441" s="15" t="n">
        <v>8.860655</v>
      </c>
      <c r="AC441" s="15" t="n">
        <v>27.993688</v>
      </c>
      <c r="AD441" s="16" t="n">
        <v>4277.571</v>
      </c>
      <c r="AE441" s="17">
        <f>IF(ISNUMBER(K441),K441,IF(AND(ISNUMBER(H441),ISNUMBER(I441)),H441+I441,IF(ISNUMBER(H441),H441,"")))</f>
        <v/>
      </c>
      <c r="AF441" s="18">
        <f>IF(OR(NOT(ISNUMBER(J441)),NOT(ISNUMBER(H441)),H441&lt;=0),기준표!$B$8,MIN(MAX(J441/H441,기준표!$B$6),기준표!$B$7))</f>
        <v/>
      </c>
      <c r="AG441" s="17">
        <f>IF(ISNUMBER(AE441),AE441*(1-AF441),"")</f>
        <v/>
      </c>
      <c r="AH441" s="17">
        <f>IF(AND(NOT(ISNUMBER(V441)),NOT(ISNUMBER(X441))),"",IF(ISNUMBER(V441),V441,0)+IF(ISNUMBER(X441),X441,0))</f>
        <v/>
      </c>
      <c r="AI441" s="17">
        <f>IF(E441="금융","",IF(AND(ISNUMBER(R441),ISNUMBER(AH441),ISNUMBER(T441)),R441+AH441-T441,""))</f>
        <v/>
      </c>
      <c r="AJ441" s="17">
        <f>IF(E441="금융","",IF(NOT(ISNUMBER(AI441)),"",IF(ISNUMBER(AC441),(AI441+AC441)/2,AI441)))</f>
        <v/>
      </c>
      <c r="AK441" s="19">
        <f>IF(AND(ISNUMBER(AG441),ISNUMBER(AJ441),AJ441&gt;0),AG441/AJ441,"")</f>
        <v/>
      </c>
      <c r="AL441" s="17">
        <f>IF(E441="금융","",IF(AND(ISNUMBER(R441),ISNUMBER(AH441)),R441+AH441,""))</f>
        <v/>
      </c>
      <c r="AM441" s="19">
        <f>IF(OR(NOT(ISNUMBER(AG441)),NOT(ISNUMBER(AL441)),AL441&lt;=0),"",IF(AND(ISNUMBER(G441),AL441&lt;0.1*G441),"",AG441/AL441))</f>
        <v/>
      </c>
      <c r="AN441" s="17">
        <f>IF(NOT(ISNUMBER(R441)),"",IF(ISNUMBER(S441),(R441+S441)/2,R441))</f>
        <v/>
      </c>
      <c r="AO441" s="19">
        <f>IF(AND(ISNUMBER(L441),ISNUMBER(AN441),AN441&gt;0),L441/AN441,"")</f>
        <v/>
      </c>
      <c r="AP441" s="19">
        <f>IF(AND(ISNUMBER(AO441),ISNUMBER({ROIC})),AO441-{ROIC},"")</f>
        <v/>
      </c>
      <c r="AQ441" s="17">
        <f>IF(AND(ISNUMBER(AE441),ISNUMBER(N441)),AE441+N441,"")</f>
        <v/>
      </c>
      <c r="AR441" s="20">
        <f>IF(AND(ISNUMBER(AH441),ISNUMBER(T441),ISNUMBER(AQ441),AQ441&gt;0),(AH441-T441)/AQ441,"")</f>
        <v/>
      </c>
      <c r="AS441" s="20">
        <f>IF(AND(ISNUMBER(AE441),ISNUMBER(I441),I441&lt;&gt;0,AE441&gt;0),AE441/I441,"")</f>
        <v/>
      </c>
      <c r="AT441" s="17">
        <f>IF(AND(ISNUMBER(Y441),ISNUMBER(AA441)),Y441-IF(ISNUMBER(T441),T441,0)-(AA441-IF(ISNUMBER(V441),V441,0)),"")</f>
        <v/>
      </c>
      <c r="AU441" s="17">
        <f>IF(AND(ISNUMBER(Z441),ISNUMBER(AB441)),Z441-IF(ISNUMBER(U441),U441,0)-(AB441-IF(ISNUMBER(W441),W441,0)),"")</f>
        <v/>
      </c>
      <c r="AV441" s="17">
        <f>IF(AND(ISNUMBER(AT441),ISNUMBER(AU441)),AT441-AU441,"")</f>
        <v/>
      </c>
      <c r="AW441" s="17">
        <f>IF(AND(ISNUMBER(L441),ISNUMBER(M441),ISNUMBER(AF441)),L441-M441*(1-AF441),IF(ISNUMBER(L441),L441,""))</f>
        <v/>
      </c>
      <c r="AX441" s="17">
        <f>IF(E441="금융","",IF(AND(ISNUMBER(AW441),ISNUMBER(N441),ISNUMBER(O441),ISNUMBER(AV441)),AW441+N441-O441-AV441,IF(AND(ISNUMBER(P441),ISNUMBER(O441)),P441-O441-IF(ISNUMBER(Q441),Q441,0),"")))</f>
        <v/>
      </c>
      <c r="AY441" s="8">
        <f>IF(E441="금융","금융업 - 정의되지 않음",IF(AND(ISNUMBER(AW441),ISNUMBER(N441),ISNUMBER(O441),ISNUMBER(AV441)),"영업순이익+감가상각-설비투자-운전자본증감",IF(AND(ISNUMBER(P441),ISNUMBER(O441)),IF(ISNUMBER(Q441),"영업현금흐름-설비투자-주식보상비용","영업현금흐름-설비투자(주식보상비용 미태깅)"),"산출불가")))</f>
        <v/>
      </c>
      <c r="AZ441" s="19">
        <f>IF(AND(ISNUMBER(AX441),ISNUMBER(G441),G441&lt;&gt;0),AX441/G441,"")</f>
        <v/>
      </c>
      <c r="BA441" s="19">
        <f>IF(AND(ISNUMBER(AE441),ISNUMBER(G441),G441&lt;&gt;0),AE441/G441,"")</f>
        <v/>
      </c>
    </row>
    <row r="442">
      <c r="A442" s="8" t="inlineStr">
        <is>
          <t>NFLX</t>
        </is>
      </c>
      <c r="B442" s="8" t="inlineStr">
        <is>
          <t>NETFLIX INC</t>
        </is>
      </c>
      <c r="C442" s="8" t="n">
        <v>2025</v>
      </c>
      <c r="D442" s="8" t="inlineStr">
        <is>
          <t>2025-12-31</t>
        </is>
      </c>
      <c r="E442" s="8" t="inlineStr">
        <is>
          <t>일반</t>
        </is>
      </c>
      <c r="F442" s="8" t="inlineStr">
        <is>
          <t>0001065280-26-000034</t>
        </is>
      </c>
      <c r="G442" s="15" t="n">
        <v>45.183036</v>
      </c>
      <c r="H442" s="15" t="n">
        <v>12.722552</v>
      </c>
      <c r="I442" s="15" t="n">
        <v>0.77651</v>
      </c>
      <c r="J442" s="15" t="n">
        <v>1.741351</v>
      </c>
      <c r="K442" s="15" t="n">
        <v>13.326603</v>
      </c>
      <c r="L442" s="15" t="n">
        <v>10.981201</v>
      </c>
      <c r="M442" s="15" t="n"/>
      <c r="N442" s="15" t="n">
        <v>0.333389</v>
      </c>
      <c r="O442" s="15" t="n">
        <v>0.6882200000000001</v>
      </c>
      <c r="P442" s="15" t="n">
        <v>10.149273</v>
      </c>
      <c r="Q442" s="15" t="n">
        <v>0.368449</v>
      </c>
      <c r="R442" s="15" t="n">
        <v>26.615488</v>
      </c>
      <c r="S442" s="15" t="n">
        <v>24.743567</v>
      </c>
      <c r="T442" s="15" t="n">
        <v>9.062359000000001</v>
      </c>
      <c r="U442" s="15" t="n">
        <v>9.583739</v>
      </c>
      <c r="V442" s="15" t="n">
        <v>0.998865</v>
      </c>
      <c r="W442" s="15" t="n">
        <v>1.784453</v>
      </c>
      <c r="X442" s="15" t="n">
        <v>13.463971</v>
      </c>
      <c r="Y442" s="15" t="n">
        <v>13.020191</v>
      </c>
      <c r="Z442" s="15" t="n">
        <v>13.100379</v>
      </c>
      <c r="AA442" s="15" t="n">
        <v>10.98093</v>
      </c>
      <c r="AB442" s="15" t="n">
        <v>10.7554</v>
      </c>
      <c r="AC442" s="15" t="n">
        <v>30.742632</v>
      </c>
      <c r="AD442" s="16" t="n">
        <v>4222.16215</v>
      </c>
      <c r="AE442" s="17">
        <f>IF(ISNUMBER(K442),K442,IF(AND(ISNUMBER(H442),ISNUMBER(I442)),H442+I442,IF(ISNUMBER(H442),H442,"")))</f>
        <v/>
      </c>
      <c r="AF442" s="18">
        <f>IF(OR(NOT(ISNUMBER(J442)),NOT(ISNUMBER(H442)),H442&lt;=0),기준표!$B$8,MIN(MAX(J442/H442,기준표!$B$6),기준표!$B$7))</f>
        <v/>
      </c>
      <c r="AG442" s="17">
        <f>IF(ISNUMBER(AE442),AE442*(1-AF442),"")</f>
        <v/>
      </c>
      <c r="AH442" s="17">
        <f>IF(AND(NOT(ISNUMBER(V442)),NOT(ISNUMBER(X442))),"",IF(ISNUMBER(V442),V442,0)+IF(ISNUMBER(X442),X442,0))</f>
        <v/>
      </c>
      <c r="AI442" s="17">
        <f>IF(E442="금융","",IF(AND(ISNUMBER(R442),ISNUMBER(AH442),ISNUMBER(T442)),R442+AH442-T442,""))</f>
        <v/>
      </c>
      <c r="AJ442" s="17">
        <f>IF(E442="금융","",IF(NOT(ISNUMBER(AI442)),"",IF(ISNUMBER(AC442),(AI442+AC442)/2,AI442)))</f>
        <v/>
      </c>
      <c r="AK442" s="19">
        <f>IF(AND(ISNUMBER(AG442),ISNUMBER(AJ442),AJ442&gt;0),AG442/AJ442,"")</f>
        <v/>
      </c>
      <c r="AL442" s="17">
        <f>IF(E442="금융","",IF(AND(ISNUMBER(R442),ISNUMBER(AH442)),R442+AH442,""))</f>
        <v/>
      </c>
      <c r="AM442" s="19">
        <f>IF(OR(NOT(ISNUMBER(AG442)),NOT(ISNUMBER(AL442)),AL442&lt;=0),"",IF(AND(ISNUMBER(G442),AL442&lt;0.1*G442),"",AG442/AL442))</f>
        <v/>
      </c>
      <c r="AN442" s="17">
        <f>IF(NOT(ISNUMBER(R442)),"",IF(ISNUMBER(S442),(R442+S442)/2,R442))</f>
        <v/>
      </c>
      <c r="AO442" s="19">
        <f>IF(AND(ISNUMBER(L442),ISNUMBER(AN442),AN442&gt;0),L442/AN442,"")</f>
        <v/>
      </c>
      <c r="AP442" s="19">
        <f>IF(AND(ISNUMBER(AO442),ISNUMBER({ROIC})),AO442-{ROIC},"")</f>
        <v/>
      </c>
      <c r="AQ442" s="17">
        <f>IF(AND(ISNUMBER(AE442),ISNUMBER(N442)),AE442+N442,"")</f>
        <v/>
      </c>
      <c r="AR442" s="20">
        <f>IF(AND(ISNUMBER(AH442),ISNUMBER(T442),ISNUMBER(AQ442),AQ442&gt;0),(AH442-T442)/AQ442,"")</f>
        <v/>
      </c>
      <c r="AS442" s="20">
        <f>IF(AND(ISNUMBER(AE442),ISNUMBER(I442),I442&lt;&gt;0,AE442&gt;0),AE442/I442,"")</f>
        <v/>
      </c>
      <c r="AT442" s="17">
        <f>IF(AND(ISNUMBER(Y442),ISNUMBER(AA442)),Y442-IF(ISNUMBER(T442),T442,0)-(AA442-IF(ISNUMBER(V442),V442,0)),"")</f>
        <v/>
      </c>
      <c r="AU442" s="17">
        <f>IF(AND(ISNUMBER(Z442),ISNUMBER(AB442)),Z442-IF(ISNUMBER(U442),U442,0)-(AB442-IF(ISNUMBER(W442),W442,0)),"")</f>
        <v/>
      </c>
      <c r="AV442" s="17">
        <f>IF(AND(ISNUMBER(AT442),ISNUMBER(AU442)),AT442-AU442,"")</f>
        <v/>
      </c>
      <c r="AW442" s="17">
        <f>IF(AND(ISNUMBER(L442),ISNUMBER(M442),ISNUMBER(AF442)),L442-M442*(1-AF442),IF(ISNUMBER(L442),L442,""))</f>
        <v/>
      </c>
      <c r="AX442" s="17">
        <f>IF(E442="금융","",IF(AND(ISNUMBER(AW442),ISNUMBER(N442),ISNUMBER(O442),ISNUMBER(AV442)),AW442+N442-O442-AV442,IF(AND(ISNUMBER(P442),ISNUMBER(O442)),P442-O442-IF(ISNUMBER(Q442),Q442,0),"")))</f>
        <v/>
      </c>
      <c r="AY442" s="8">
        <f>IF(E442="금융","금융업 - 정의되지 않음",IF(AND(ISNUMBER(AW442),ISNUMBER(N442),ISNUMBER(O442),ISNUMBER(AV442)),"영업순이익+감가상각-설비투자-운전자본증감",IF(AND(ISNUMBER(P442),ISNUMBER(O442)),IF(ISNUMBER(Q442),"영업현금흐름-설비투자-주식보상비용","영업현금흐름-설비투자(주식보상비용 미태깅)"),"산출불가")))</f>
        <v/>
      </c>
      <c r="AZ442" s="19">
        <f>IF(AND(ISNUMBER(AX442),ISNUMBER(G442),G442&lt;&gt;0),AX442/G442,"")</f>
        <v/>
      </c>
      <c r="BA442" s="19">
        <f>IF(AND(ISNUMBER(AE442),ISNUMBER(G442),G442&lt;&gt;0),AE442/G442,"")</f>
        <v/>
      </c>
    </row>
    <row r="443">
      <c r="A443" s="8" t="inlineStr">
        <is>
          <t>GS</t>
        </is>
      </c>
      <c r="B443" s="8" t="inlineStr">
        <is>
          <t>GOLDMAN SACHS GROUP INC</t>
        </is>
      </c>
      <c r="C443" s="8" t="n">
        <v>2014</v>
      </c>
      <c r="D443" s="8" t="inlineStr">
        <is>
          <t>2014-12-31</t>
        </is>
      </c>
      <c r="E443" s="8" t="inlineStr">
        <is>
          <t>금융</t>
        </is>
      </c>
      <c r="F443" s="8" t="inlineStr">
        <is>
          <t>0001193125-17-056804</t>
        </is>
      </c>
      <c r="G443" s="15" t="n">
        <v>34.528</v>
      </c>
      <c r="H443" s="15" t="n">
        <v>12.357</v>
      </c>
      <c r="I443" s="15" t="n">
        <v>5.557</v>
      </c>
      <c r="J443" s="15" t="n">
        <v>3.88</v>
      </c>
      <c r="K443" s="15" t="n"/>
      <c r="L443" s="15" t="n">
        <v>8.477</v>
      </c>
      <c r="M443" s="15" t="n"/>
      <c r="N443" s="15" t="n">
        <v>1.337</v>
      </c>
      <c r="O443" s="15" t="n">
        <v>0.678</v>
      </c>
      <c r="P443" s="15" t="n"/>
      <c r="Q443" s="15" t="n">
        <v>2.085</v>
      </c>
      <c r="R443" s="15" t="n">
        <v>82.797</v>
      </c>
      <c r="S443" s="15" t="n"/>
      <c r="T443" s="15" t="n">
        <v>75.02500000000001</v>
      </c>
      <c r="U443" s="15" t="n"/>
      <c r="V443" s="15" t="n">
        <v>4.376</v>
      </c>
      <c r="W443" s="15" t="n"/>
      <c r="X443" s="15" t="n">
        <v>174.551</v>
      </c>
      <c r="Y443" s="15" t="n"/>
      <c r="Z443" s="15" t="n"/>
      <c r="AA443" s="15" t="n"/>
      <c r="AB443" s="15" t="n"/>
      <c r="AC443" s="15" t="n"/>
      <c r="AD443" s="16" t="n">
        <v>430.259102</v>
      </c>
      <c r="AE443" s="17">
        <f>IF(ISNUMBER(K443),K443,IF(AND(ISNUMBER(H443),ISNUMBER(I443)),H443+I443,IF(ISNUMBER(H443),H443,"")))</f>
        <v/>
      </c>
      <c r="AF443" s="18">
        <f>IF(OR(NOT(ISNUMBER(J443)),NOT(ISNUMBER(H443)),H443&lt;=0),기준표!$B$8,MIN(MAX(J443/H443,기준표!$B$6),기준표!$B$7))</f>
        <v/>
      </c>
      <c r="AG443" s="17">
        <f>IF(ISNUMBER(AE443),AE443*(1-AF443),"")</f>
        <v/>
      </c>
      <c r="AH443" s="17">
        <f>IF(AND(NOT(ISNUMBER(V443)),NOT(ISNUMBER(X443))),"",IF(ISNUMBER(V443),V443,0)+IF(ISNUMBER(X443),X443,0))</f>
        <v/>
      </c>
      <c r="AI443" s="17">
        <f>IF(E443="금융","",IF(AND(ISNUMBER(R443),ISNUMBER(AH443),ISNUMBER(T443)),R443+AH443-T443,""))</f>
        <v/>
      </c>
      <c r="AJ443" s="17">
        <f>IF(E443="금융","",IF(NOT(ISNUMBER(AI443)),"",IF(ISNUMBER(AC443),(AI443+AC443)/2,AI443)))</f>
        <v/>
      </c>
      <c r="AK443" s="19">
        <f>IF(AND(ISNUMBER(AG443),ISNUMBER(AJ443),AJ443&gt;0),AG443/AJ443,"")</f>
        <v/>
      </c>
      <c r="AL443" s="17">
        <f>IF(E443="금융","",IF(AND(ISNUMBER(R443),ISNUMBER(AH443)),R443+AH443,""))</f>
        <v/>
      </c>
      <c r="AM443" s="19">
        <f>IF(OR(NOT(ISNUMBER(AG443)),NOT(ISNUMBER(AL443)),AL443&lt;=0),"",IF(AND(ISNUMBER(G443),AL443&lt;0.1*G443),"",AG443/AL443))</f>
        <v/>
      </c>
      <c r="AN443" s="17">
        <f>IF(NOT(ISNUMBER(R443)),"",IF(ISNUMBER(S443),(R443+S443)/2,R443))</f>
        <v/>
      </c>
      <c r="AO443" s="19">
        <f>IF(AND(ISNUMBER(L443),ISNUMBER(AN443),AN443&gt;0),L443/AN443,"")</f>
        <v/>
      </c>
      <c r="AP443" s="19">
        <f>IF(AND(ISNUMBER(AO443),ISNUMBER({ROIC})),AO443-{ROIC},"")</f>
        <v/>
      </c>
      <c r="AQ443" s="17">
        <f>IF(AND(ISNUMBER(AE443),ISNUMBER(N443)),AE443+N443,"")</f>
        <v/>
      </c>
      <c r="AR443" s="20">
        <f>IF(AND(ISNUMBER(AH443),ISNUMBER(T443),ISNUMBER(AQ443),AQ443&gt;0),(AH443-T443)/AQ443,"")</f>
        <v/>
      </c>
      <c r="AS443" s="20">
        <f>IF(AND(ISNUMBER(AE443),ISNUMBER(I443),I443&lt;&gt;0,AE443&gt;0),AE443/I443,"")</f>
        <v/>
      </c>
      <c r="AT443" s="17">
        <f>IF(AND(ISNUMBER(Y443),ISNUMBER(AA443)),Y443-IF(ISNUMBER(T443),T443,0)-(AA443-IF(ISNUMBER(V443),V443,0)),"")</f>
        <v/>
      </c>
      <c r="AU443" s="17">
        <f>IF(AND(ISNUMBER(Z443),ISNUMBER(AB443)),Z443-IF(ISNUMBER(U443),U443,0)-(AB443-IF(ISNUMBER(W443),W443,0)),"")</f>
        <v/>
      </c>
      <c r="AV443" s="17">
        <f>IF(AND(ISNUMBER(AT443),ISNUMBER(AU443)),AT443-AU443,"")</f>
        <v/>
      </c>
      <c r="AW443" s="17">
        <f>IF(AND(ISNUMBER(L443),ISNUMBER(M443),ISNUMBER(AF443)),L443-M443*(1-AF443),IF(ISNUMBER(L443),L443,""))</f>
        <v/>
      </c>
      <c r="AX443" s="17">
        <f>IF(E443="금융","",IF(AND(ISNUMBER(AW443),ISNUMBER(N443),ISNUMBER(O443),ISNUMBER(AV443)),AW443+N443-O443-AV443,IF(AND(ISNUMBER(P443),ISNUMBER(O443)),P443-O443-IF(ISNUMBER(Q443),Q443,0),"")))</f>
        <v/>
      </c>
      <c r="AY443" s="8">
        <f>IF(E443="금융","금융업 - 정의되지 않음",IF(AND(ISNUMBER(AW443),ISNUMBER(N443),ISNUMBER(O443),ISNUMBER(AV443)),"영업순이익+감가상각-설비투자-운전자본증감",IF(AND(ISNUMBER(P443),ISNUMBER(O443)),IF(ISNUMBER(Q443),"영업현금흐름-설비투자-주식보상비용","영업현금흐름-설비투자(주식보상비용 미태깅)"),"산출불가")))</f>
        <v/>
      </c>
      <c r="AZ443" s="19">
        <f>IF(AND(ISNUMBER(AX443),ISNUMBER(G443),G443&lt;&gt;0),AX443/G443,"")</f>
        <v/>
      </c>
      <c r="BA443" s="19">
        <f>IF(AND(ISNUMBER(AE443),ISNUMBER(G443),G443&lt;&gt;0),AE443/G443,"")</f>
        <v/>
      </c>
    </row>
    <row r="444">
      <c r="A444" s="8" t="inlineStr">
        <is>
          <t>GS</t>
        </is>
      </c>
      <c r="B444" s="8" t="inlineStr">
        <is>
          <t>GOLDMAN SACHS GROUP INC</t>
        </is>
      </c>
      <c r="C444" s="8" t="n">
        <v>2015</v>
      </c>
      <c r="D444" s="8" t="inlineStr">
        <is>
          <t>2015-12-31</t>
        </is>
      </c>
      <c r="E444" s="8" t="inlineStr">
        <is>
          <t>금융</t>
        </is>
      </c>
      <c r="F444" s="8" t="inlineStr">
        <is>
          <t>0001193125-18-056383</t>
        </is>
      </c>
      <c r="G444" s="15" t="n">
        <v>33.82</v>
      </c>
      <c r="H444" s="15" t="n">
        <v>8.778</v>
      </c>
      <c r="I444" s="15" t="n">
        <v>5.388</v>
      </c>
      <c r="J444" s="15" t="n">
        <v>2.695</v>
      </c>
      <c r="K444" s="15" t="n"/>
      <c r="L444" s="15" t="n">
        <v>6.083</v>
      </c>
      <c r="M444" s="15" t="n"/>
      <c r="N444" s="15" t="n">
        <v>0.991</v>
      </c>
      <c r="O444" s="15" t="n">
        <v>1.833</v>
      </c>
      <c r="P444" s="15" t="n"/>
      <c r="Q444" s="15" t="n">
        <v>2.272</v>
      </c>
      <c r="R444" s="15" t="n">
        <v>86.72799999999999</v>
      </c>
      <c r="S444" s="15" t="n">
        <v>82.797</v>
      </c>
      <c r="T444" s="15" t="n">
        <v>93.43899999999999</v>
      </c>
      <c r="U444" s="15" t="n">
        <v>75.02500000000001</v>
      </c>
      <c r="V444" s="15" t="n">
        <v>4.25</v>
      </c>
      <c r="W444" s="15" t="n">
        <v>4.376</v>
      </c>
      <c r="X444" s="15" t="n">
        <v>185.942</v>
      </c>
      <c r="Y444" s="15" t="n"/>
      <c r="Z444" s="15" t="n"/>
      <c r="AA444" s="15" t="n"/>
      <c r="AB444" s="15" t="n"/>
      <c r="AC444" s="15" t="n"/>
      <c r="AD444" s="16" t="n">
        <v>419.480736</v>
      </c>
      <c r="AE444" s="17">
        <f>IF(ISNUMBER(K444),K444,IF(AND(ISNUMBER(H444),ISNUMBER(I444)),H444+I444,IF(ISNUMBER(H444),H444,"")))</f>
        <v/>
      </c>
      <c r="AF444" s="18">
        <f>IF(OR(NOT(ISNUMBER(J444)),NOT(ISNUMBER(H444)),H444&lt;=0),기준표!$B$8,MIN(MAX(J444/H444,기준표!$B$6),기준표!$B$7))</f>
        <v/>
      </c>
      <c r="AG444" s="17">
        <f>IF(ISNUMBER(AE444),AE444*(1-AF444),"")</f>
        <v/>
      </c>
      <c r="AH444" s="17">
        <f>IF(AND(NOT(ISNUMBER(V444)),NOT(ISNUMBER(X444))),"",IF(ISNUMBER(V444),V444,0)+IF(ISNUMBER(X444),X444,0))</f>
        <v/>
      </c>
      <c r="AI444" s="17">
        <f>IF(E444="금융","",IF(AND(ISNUMBER(R444),ISNUMBER(AH444),ISNUMBER(T444)),R444+AH444-T444,""))</f>
        <v/>
      </c>
      <c r="AJ444" s="17">
        <f>IF(E444="금융","",IF(NOT(ISNUMBER(AI444)),"",IF(ISNUMBER(AC444),(AI444+AC444)/2,AI444)))</f>
        <v/>
      </c>
      <c r="AK444" s="19">
        <f>IF(AND(ISNUMBER(AG444),ISNUMBER(AJ444),AJ444&gt;0),AG444/AJ444,"")</f>
        <v/>
      </c>
      <c r="AL444" s="17">
        <f>IF(E444="금융","",IF(AND(ISNUMBER(R444),ISNUMBER(AH444)),R444+AH444,""))</f>
        <v/>
      </c>
      <c r="AM444" s="19">
        <f>IF(OR(NOT(ISNUMBER(AG444)),NOT(ISNUMBER(AL444)),AL444&lt;=0),"",IF(AND(ISNUMBER(G444),AL444&lt;0.1*G444),"",AG444/AL444))</f>
        <v/>
      </c>
      <c r="AN444" s="17">
        <f>IF(NOT(ISNUMBER(R444)),"",IF(ISNUMBER(S444),(R444+S444)/2,R444))</f>
        <v/>
      </c>
      <c r="AO444" s="19">
        <f>IF(AND(ISNUMBER(L444),ISNUMBER(AN444),AN444&gt;0),L444/AN444,"")</f>
        <v/>
      </c>
      <c r="AP444" s="19">
        <f>IF(AND(ISNUMBER(AO444),ISNUMBER({ROIC})),AO444-{ROIC},"")</f>
        <v/>
      </c>
      <c r="AQ444" s="17">
        <f>IF(AND(ISNUMBER(AE444),ISNUMBER(N444)),AE444+N444,"")</f>
        <v/>
      </c>
      <c r="AR444" s="20">
        <f>IF(AND(ISNUMBER(AH444),ISNUMBER(T444),ISNUMBER(AQ444),AQ444&gt;0),(AH444-T444)/AQ444,"")</f>
        <v/>
      </c>
      <c r="AS444" s="20">
        <f>IF(AND(ISNUMBER(AE444),ISNUMBER(I444),I444&lt;&gt;0,AE444&gt;0),AE444/I444,"")</f>
        <v/>
      </c>
      <c r="AT444" s="17">
        <f>IF(AND(ISNUMBER(Y444),ISNUMBER(AA444)),Y444-IF(ISNUMBER(T444),T444,0)-(AA444-IF(ISNUMBER(V444),V444,0)),"")</f>
        <v/>
      </c>
      <c r="AU444" s="17">
        <f>IF(AND(ISNUMBER(Z444),ISNUMBER(AB444)),Z444-IF(ISNUMBER(U444),U444,0)-(AB444-IF(ISNUMBER(W444),W444,0)),"")</f>
        <v/>
      </c>
      <c r="AV444" s="17">
        <f>IF(AND(ISNUMBER(AT444),ISNUMBER(AU444)),AT444-AU444,"")</f>
        <v/>
      </c>
      <c r="AW444" s="17">
        <f>IF(AND(ISNUMBER(L444),ISNUMBER(M444),ISNUMBER(AF444)),L444-M444*(1-AF444),IF(ISNUMBER(L444),L444,""))</f>
        <v/>
      </c>
      <c r="AX444" s="17">
        <f>IF(E444="금융","",IF(AND(ISNUMBER(AW444),ISNUMBER(N444),ISNUMBER(O444),ISNUMBER(AV444)),AW444+N444-O444-AV444,IF(AND(ISNUMBER(P444),ISNUMBER(O444)),P444-O444-IF(ISNUMBER(Q444),Q444,0),"")))</f>
        <v/>
      </c>
      <c r="AY444" s="8">
        <f>IF(E444="금융","금융업 - 정의되지 않음",IF(AND(ISNUMBER(AW444),ISNUMBER(N444),ISNUMBER(O444),ISNUMBER(AV444)),"영업순이익+감가상각-설비투자-운전자본증감",IF(AND(ISNUMBER(P444),ISNUMBER(O444)),IF(ISNUMBER(Q444),"영업현금흐름-설비투자-주식보상비용","영업현금흐름-설비투자(주식보상비용 미태깅)"),"산출불가")))</f>
        <v/>
      </c>
      <c r="AZ444" s="19">
        <f>IF(AND(ISNUMBER(AX444),ISNUMBER(G444),G444&lt;&gt;0),AX444/G444,"")</f>
        <v/>
      </c>
      <c r="BA444" s="19">
        <f>IF(AND(ISNUMBER(AE444),ISNUMBER(G444),G444&lt;&gt;0),AE444/G444,"")</f>
        <v/>
      </c>
    </row>
    <row r="445">
      <c r="A445" s="8" t="inlineStr">
        <is>
          <t>GS</t>
        </is>
      </c>
      <c r="B445" s="8" t="inlineStr">
        <is>
          <t>GOLDMAN SACHS GROUP INC</t>
        </is>
      </c>
      <c r="C445" s="8" t="n">
        <v>2016</v>
      </c>
      <c r="D445" s="8" t="inlineStr">
        <is>
          <t>2016-12-31</t>
        </is>
      </c>
      <c r="E445" s="8" t="inlineStr">
        <is>
          <t>금융</t>
        </is>
      </c>
      <c r="F445" s="8" t="inlineStr">
        <is>
          <t>0001193125-19-050198</t>
        </is>
      </c>
      <c r="G445" s="15" t="n">
        <v>30.79</v>
      </c>
      <c r="H445" s="15" t="n">
        <v>10.304</v>
      </c>
      <c r="I445" s="15" t="n">
        <v>7.104</v>
      </c>
      <c r="J445" s="15" t="n">
        <v>2.906</v>
      </c>
      <c r="K445" s="15" t="n"/>
      <c r="L445" s="15" t="n">
        <v>7.398</v>
      </c>
      <c r="M445" s="15" t="n"/>
      <c r="N445" s="15" t="n">
        <v>0.998</v>
      </c>
      <c r="O445" s="15" t="n">
        <v>2.865</v>
      </c>
      <c r="P445" s="15" t="n">
        <v>6.494</v>
      </c>
      <c r="Q445" s="15" t="n">
        <v>2.111</v>
      </c>
      <c r="R445" s="15" t="n">
        <v>86.893</v>
      </c>
      <c r="S445" s="15" t="n">
        <v>86.72799999999999</v>
      </c>
      <c r="T445" s="15" t="n">
        <v>121.711</v>
      </c>
      <c r="U445" s="15" t="n">
        <v>93.43899999999999</v>
      </c>
      <c r="V445" s="15" t="n">
        <v>4.037</v>
      </c>
      <c r="W445" s="15" t="n">
        <v>4.25</v>
      </c>
      <c r="X445" s="15" t="n">
        <v>197.491</v>
      </c>
      <c r="Y445" s="15" t="n"/>
      <c r="Z445" s="15" t="n"/>
      <c r="AA445" s="15" t="n"/>
      <c r="AB445" s="15" t="n"/>
      <c r="AC445" s="15" t="n"/>
      <c r="AD445" s="16" t="n">
        <v>392.63223</v>
      </c>
      <c r="AE445" s="17">
        <f>IF(ISNUMBER(K445),K445,IF(AND(ISNUMBER(H445),ISNUMBER(I445)),H445+I445,IF(ISNUMBER(H445),H445,"")))</f>
        <v/>
      </c>
      <c r="AF445" s="18">
        <f>IF(OR(NOT(ISNUMBER(J445)),NOT(ISNUMBER(H445)),H445&lt;=0),기준표!$B$8,MIN(MAX(J445/H445,기준표!$B$6),기준표!$B$7))</f>
        <v/>
      </c>
      <c r="AG445" s="17">
        <f>IF(ISNUMBER(AE445),AE445*(1-AF445),"")</f>
        <v/>
      </c>
      <c r="AH445" s="17">
        <f>IF(AND(NOT(ISNUMBER(V445)),NOT(ISNUMBER(X445))),"",IF(ISNUMBER(V445),V445,0)+IF(ISNUMBER(X445),X445,0))</f>
        <v/>
      </c>
      <c r="AI445" s="17">
        <f>IF(E445="금융","",IF(AND(ISNUMBER(R445),ISNUMBER(AH445),ISNUMBER(T445)),R445+AH445-T445,""))</f>
        <v/>
      </c>
      <c r="AJ445" s="17">
        <f>IF(E445="금융","",IF(NOT(ISNUMBER(AI445)),"",IF(ISNUMBER(AC445),(AI445+AC445)/2,AI445)))</f>
        <v/>
      </c>
      <c r="AK445" s="19">
        <f>IF(AND(ISNUMBER(AG445),ISNUMBER(AJ445),AJ445&gt;0),AG445/AJ445,"")</f>
        <v/>
      </c>
      <c r="AL445" s="17">
        <f>IF(E445="금융","",IF(AND(ISNUMBER(R445),ISNUMBER(AH445)),R445+AH445,""))</f>
        <v/>
      </c>
      <c r="AM445" s="19">
        <f>IF(OR(NOT(ISNUMBER(AG445)),NOT(ISNUMBER(AL445)),AL445&lt;=0),"",IF(AND(ISNUMBER(G445),AL445&lt;0.1*G445),"",AG445/AL445))</f>
        <v/>
      </c>
      <c r="AN445" s="17">
        <f>IF(NOT(ISNUMBER(R445)),"",IF(ISNUMBER(S445),(R445+S445)/2,R445))</f>
        <v/>
      </c>
      <c r="AO445" s="19">
        <f>IF(AND(ISNUMBER(L445),ISNUMBER(AN445),AN445&gt;0),L445/AN445,"")</f>
        <v/>
      </c>
      <c r="AP445" s="19">
        <f>IF(AND(ISNUMBER(AO445),ISNUMBER({ROIC})),AO445-{ROIC},"")</f>
        <v/>
      </c>
      <c r="AQ445" s="17">
        <f>IF(AND(ISNUMBER(AE445),ISNUMBER(N445)),AE445+N445,"")</f>
        <v/>
      </c>
      <c r="AR445" s="20">
        <f>IF(AND(ISNUMBER(AH445),ISNUMBER(T445),ISNUMBER(AQ445),AQ445&gt;0),(AH445-T445)/AQ445,"")</f>
        <v/>
      </c>
      <c r="AS445" s="20">
        <f>IF(AND(ISNUMBER(AE445),ISNUMBER(I445),I445&lt;&gt;0,AE445&gt;0),AE445/I445,"")</f>
        <v/>
      </c>
      <c r="AT445" s="17">
        <f>IF(AND(ISNUMBER(Y445),ISNUMBER(AA445)),Y445-IF(ISNUMBER(T445),T445,0)-(AA445-IF(ISNUMBER(V445),V445,0)),"")</f>
        <v/>
      </c>
      <c r="AU445" s="17">
        <f>IF(AND(ISNUMBER(Z445),ISNUMBER(AB445)),Z445-IF(ISNUMBER(U445),U445,0)-(AB445-IF(ISNUMBER(W445),W445,0)),"")</f>
        <v/>
      </c>
      <c r="AV445" s="17">
        <f>IF(AND(ISNUMBER(AT445),ISNUMBER(AU445)),AT445-AU445,"")</f>
        <v/>
      </c>
      <c r="AW445" s="17">
        <f>IF(AND(ISNUMBER(L445),ISNUMBER(M445),ISNUMBER(AF445)),L445-M445*(1-AF445),IF(ISNUMBER(L445),L445,""))</f>
        <v/>
      </c>
      <c r="AX445" s="17">
        <f>IF(E445="금융","",IF(AND(ISNUMBER(AW445),ISNUMBER(N445),ISNUMBER(O445),ISNUMBER(AV445)),AW445+N445-O445-AV445,IF(AND(ISNUMBER(P445),ISNUMBER(O445)),P445-O445-IF(ISNUMBER(Q445),Q445,0),"")))</f>
        <v/>
      </c>
      <c r="AY445" s="8">
        <f>IF(E445="금융","금융업 - 정의되지 않음",IF(AND(ISNUMBER(AW445),ISNUMBER(N445),ISNUMBER(O445),ISNUMBER(AV445)),"영업순이익+감가상각-설비투자-운전자본증감",IF(AND(ISNUMBER(P445),ISNUMBER(O445)),IF(ISNUMBER(Q445),"영업현금흐름-설비투자-주식보상비용","영업현금흐름-설비투자(주식보상비용 미태깅)"),"산출불가")))</f>
        <v/>
      </c>
      <c r="AZ445" s="19">
        <f>IF(AND(ISNUMBER(AX445),ISNUMBER(G445),G445&lt;&gt;0),AX445/G445,"")</f>
        <v/>
      </c>
      <c r="BA445" s="19">
        <f>IF(AND(ISNUMBER(AE445),ISNUMBER(G445),G445&lt;&gt;0),AE445/G445,"")</f>
        <v/>
      </c>
    </row>
    <row r="446">
      <c r="A446" s="8" t="inlineStr">
        <is>
          <t>GS</t>
        </is>
      </c>
      <c r="B446" s="8" t="inlineStr">
        <is>
          <t>GOLDMAN SACHS GROUP INC</t>
        </is>
      </c>
      <c r="C446" s="8" t="n">
        <v>2017</v>
      </c>
      <c r="D446" s="8" t="inlineStr">
        <is>
          <t>2017-12-31</t>
        </is>
      </c>
      <c r="E446" s="8" t="inlineStr">
        <is>
          <t>금융</t>
        </is>
      </c>
      <c r="F446" s="8" t="inlineStr">
        <is>
          <t>0001193125-20-043853</t>
        </is>
      </c>
      <c r="G446" s="15" t="n">
        <v>32.73</v>
      </c>
      <c r="H446" s="15" t="n">
        <v>11.132</v>
      </c>
      <c r="I446" s="15" t="n">
        <v>10.181</v>
      </c>
      <c r="J446" s="15" t="n">
        <v>6.846</v>
      </c>
      <c r="K446" s="15" t="n"/>
      <c r="L446" s="15" t="n">
        <v>4.286</v>
      </c>
      <c r="M446" s="15" t="n"/>
      <c r="N446" s="15" t="n">
        <v>1.152</v>
      </c>
      <c r="O446" s="15" t="n">
        <v>3.184</v>
      </c>
      <c r="P446" s="15" t="n">
        <v>-20.489</v>
      </c>
      <c r="Q446" s="15" t="n">
        <v>1.769</v>
      </c>
      <c r="R446" s="15" t="n">
        <v>82.24299999999999</v>
      </c>
      <c r="S446" s="15" t="n">
        <v>86.893</v>
      </c>
      <c r="T446" s="15" t="n">
        <v>110.051</v>
      </c>
      <c r="U446" s="15" t="n">
        <v>121.711</v>
      </c>
      <c r="V446" s="15" t="n">
        <v>3.859</v>
      </c>
      <c r="W446" s="15" t="n">
        <v>4.037</v>
      </c>
      <c r="X446" s="15" t="n">
        <v>227.579</v>
      </c>
      <c r="Y446" s="15" t="n"/>
      <c r="Z446" s="15" t="n"/>
      <c r="AA446" s="15" t="n"/>
      <c r="AB446" s="15" t="n"/>
      <c r="AC446" s="15" t="n"/>
      <c r="AD446" s="16" t="n">
        <v>374.808805</v>
      </c>
      <c r="AE446" s="17">
        <f>IF(ISNUMBER(K446),K446,IF(AND(ISNUMBER(H446),ISNUMBER(I446)),H446+I446,IF(ISNUMBER(H446),H446,"")))</f>
        <v/>
      </c>
      <c r="AF446" s="18">
        <f>IF(OR(NOT(ISNUMBER(J446)),NOT(ISNUMBER(H446)),H446&lt;=0),기준표!$B$8,MIN(MAX(J446/H446,기준표!$B$6),기준표!$B$7))</f>
        <v/>
      </c>
      <c r="AG446" s="17">
        <f>IF(ISNUMBER(AE446),AE446*(1-AF446),"")</f>
        <v/>
      </c>
      <c r="AH446" s="17">
        <f>IF(AND(NOT(ISNUMBER(V446)),NOT(ISNUMBER(X446))),"",IF(ISNUMBER(V446),V446,0)+IF(ISNUMBER(X446),X446,0))</f>
        <v/>
      </c>
      <c r="AI446" s="17">
        <f>IF(E446="금융","",IF(AND(ISNUMBER(R446),ISNUMBER(AH446),ISNUMBER(T446)),R446+AH446-T446,""))</f>
        <v/>
      </c>
      <c r="AJ446" s="17">
        <f>IF(E446="금융","",IF(NOT(ISNUMBER(AI446)),"",IF(ISNUMBER(AC446),(AI446+AC446)/2,AI446)))</f>
        <v/>
      </c>
      <c r="AK446" s="19">
        <f>IF(AND(ISNUMBER(AG446),ISNUMBER(AJ446),AJ446&gt;0),AG446/AJ446,"")</f>
        <v/>
      </c>
      <c r="AL446" s="17">
        <f>IF(E446="금융","",IF(AND(ISNUMBER(R446),ISNUMBER(AH446)),R446+AH446,""))</f>
        <v/>
      </c>
      <c r="AM446" s="19">
        <f>IF(OR(NOT(ISNUMBER(AG446)),NOT(ISNUMBER(AL446)),AL446&lt;=0),"",IF(AND(ISNUMBER(G446),AL446&lt;0.1*G446),"",AG446/AL446))</f>
        <v/>
      </c>
      <c r="AN446" s="17">
        <f>IF(NOT(ISNUMBER(R446)),"",IF(ISNUMBER(S446),(R446+S446)/2,R446))</f>
        <v/>
      </c>
      <c r="AO446" s="19">
        <f>IF(AND(ISNUMBER(L446),ISNUMBER(AN446),AN446&gt;0),L446/AN446,"")</f>
        <v/>
      </c>
      <c r="AP446" s="19">
        <f>IF(AND(ISNUMBER(AO446),ISNUMBER({ROIC})),AO446-{ROIC},"")</f>
        <v/>
      </c>
      <c r="AQ446" s="17">
        <f>IF(AND(ISNUMBER(AE446),ISNUMBER(N446)),AE446+N446,"")</f>
        <v/>
      </c>
      <c r="AR446" s="20">
        <f>IF(AND(ISNUMBER(AH446),ISNUMBER(T446),ISNUMBER(AQ446),AQ446&gt;0),(AH446-T446)/AQ446,"")</f>
        <v/>
      </c>
      <c r="AS446" s="20">
        <f>IF(AND(ISNUMBER(AE446),ISNUMBER(I446),I446&lt;&gt;0,AE446&gt;0),AE446/I446,"")</f>
        <v/>
      </c>
      <c r="AT446" s="17">
        <f>IF(AND(ISNUMBER(Y446),ISNUMBER(AA446)),Y446-IF(ISNUMBER(T446),T446,0)-(AA446-IF(ISNUMBER(V446),V446,0)),"")</f>
        <v/>
      </c>
      <c r="AU446" s="17">
        <f>IF(AND(ISNUMBER(Z446),ISNUMBER(AB446)),Z446-IF(ISNUMBER(U446),U446,0)-(AB446-IF(ISNUMBER(W446),W446,0)),"")</f>
        <v/>
      </c>
      <c r="AV446" s="17">
        <f>IF(AND(ISNUMBER(AT446),ISNUMBER(AU446)),AT446-AU446,"")</f>
        <v/>
      </c>
      <c r="AW446" s="17">
        <f>IF(AND(ISNUMBER(L446),ISNUMBER(M446),ISNUMBER(AF446)),L446-M446*(1-AF446),IF(ISNUMBER(L446),L446,""))</f>
        <v/>
      </c>
      <c r="AX446" s="17">
        <f>IF(E446="금융","",IF(AND(ISNUMBER(AW446),ISNUMBER(N446),ISNUMBER(O446),ISNUMBER(AV446)),AW446+N446-O446-AV446,IF(AND(ISNUMBER(P446),ISNUMBER(O446)),P446-O446-IF(ISNUMBER(Q446),Q446,0),"")))</f>
        <v/>
      </c>
      <c r="AY446" s="8">
        <f>IF(E446="금융","금융업 - 정의되지 않음",IF(AND(ISNUMBER(AW446),ISNUMBER(N446),ISNUMBER(O446),ISNUMBER(AV446)),"영업순이익+감가상각-설비투자-운전자본증감",IF(AND(ISNUMBER(P446),ISNUMBER(O446)),IF(ISNUMBER(Q446),"영업현금흐름-설비투자-주식보상비용","영업현금흐름-설비투자(주식보상비용 미태깅)"),"산출불가")))</f>
        <v/>
      </c>
      <c r="AZ446" s="19">
        <f>IF(AND(ISNUMBER(AX446),ISNUMBER(G446),G446&lt;&gt;0),AX446/G446,"")</f>
        <v/>
      </c>
      <c r="BA446" s="19">
        <f>IF(AND(ISNUMBER(AE446),ISNUMBER(G446),G446&lt;&gt;0),AE446/G446,"")</f>
        <v/>
      </c>
    </row>
    <row r="447">
      <c r="A447" s="8" t="inlineStr">
        <is>
          <t>GS</t>
        </is>
      </c>
      <c r="B447" s="8" t="inlineStr">
        <is>
          <t>GOLDMAN SACHS GROUP INC</t>
        </is>
      </c>
      <c r="C447" s="8" t="n">
        <v>2018</v>
      </c>
      <c r="D447" s="8" t="inlineStr">
        <is>
          <t>2018-12-31</t>
        </is>
      </c>
      <c r="E447" s="8" t="inlineStr">
        <is>
          <t>금융</t>
        </is>
      </c>
      <c r="F447" s="8" t="inlineStr">
        <is>
          <t>0001193125-21-049380</t>
        </is>
      </c>
      <c r="G447" s="15" t="n">
        <v>36.616</v>
      </c>
      <c r="H447" s="15" t="n">
        <v>12.481</v>
      </c>
      <c r="I447" s="15" t="n">
        <v>15.912</v>
      </c>
      <c r="J447" s="15" t="n">
        <v>2.022</v>
      </c>
      <c r="K447" s="15" t="n"/>
      <c r="L447" s="15" t="n">
        <v>10.459</v>
      </c>
      <c r="M447" s="15" t="n"/>
      <c r="N447" s="15" t="n">
        <v>1.328</v>
      </c>
      <c r="O447" s="15" t="n">
        <v>7.982</v>
      </c>
      <c r="P447" s="15" t="n">
        <v>16.564</v>
      </c>
      <c r="Q447" s="15" t="n">
        <v>1.831</v>
      </c>
      <c r="R447" s="15" t="n">
        <v>90.185</v>
      </c>
      <c r="S447" s="15" t="n">
        <v>82.24299999999999</v>
      </c>
      <c r="T447" s="15" t="n">
        <v>130.547</v>
      </c>
      <c r="U447" s="15" t="n">
        <v>110.051</v>
      </c>
      <c r="V447" s="15" t="n">
        <v>2.118</v>
      </c>
      <c r="W447" s="15" t="n">
        <v>3.859</v>
      </c>
      <c r="X447" s="15" t="n">
        <v>236.027</v>
      </c>
      <c r="Y447" s="15" t="n"/>
      <c r="Z447" s="15" t="n"/>
      <c r="AA447" s="15" t="n"/>
      <c r="AB447" s="15" t="n"/>
      <c r="AC447" s="15" t="n"/>
      <c r="AD447" s="16" t="n">
        <v>367.741973</v>
      </c>
      <c r="AE447" s="17">
        <f>IF(ISNUMBER(K447),K447,IF(AND(ISNUMBER(H447),ISNUMBER(I447)),H447+I447,IF(ISNUMBER(H447),H447,"")))</f>
        <v/>
      </c>
      <c r="AF447" s="18">
        <f>IF(OR(NOT(ISNUMBER(J447)),NOT(ISNUMBER(H447)),H447&lt;=0),기준표!$B$8,MIN(MAX(J447/H447,기준표!$B$6),기준표!$B$7))</f>
        <v/>
      </c>
      <c r="AG447" s="17">
        <f>IF(ISNUMBER(AE447),AE447*(1-AF447),"")</f>
        <v/>
      </c>
      <c r="AH447" s="17">
        <f>IF(AND(NOT(ISNUMBER(V447)),NOT(ISNUMBER(X447))),"",IF(ISNUMBER(V447),V447,0)+IF(ISNUMBER(X447),X447,0))</f>
        <v/>
      </c>
      <c r="AI447" s="17">
        <f>IF(E447="금융","",IF(AND(ISNUMBER(R447),ISNUMBER(AH447),ISNUMBER(T447)),R447+AH447-T447,""))</f>
        <v/>
      </c>
      <c r="AJ447" s="17">
        <f>IF(E447="금융","",IF(NOT(ISNUMBER(AI447)),"",IF(ISNUMBER(AC447),(AI447+AC447)/2,AI447)))</f>
        <v/>
      </c>
      <c r="AK447" s="19">
        <f>IF(AND(ISNUMBER(AG447),ISNUMBER(AJ447),AJ447&gt;0),AG447/AJ447,"")</f>
        <v/>
      </c>
      <c r="AL447" s="17">
        <f>IF(E447="금융","",IF(AND(ISNUMBER(R447),ISNUMBER(AH447)),R447+AH447,""))</f>
        <v/>
      </c>
      <c r="AM447" s="19">
        <f>IF(OR(NOT(ISNUMBER(AG447)),NOT(ISNUMBER(AL447)),AL447&lt;=0),"",IF(AND(ISNUMBER(G447),AL447&lt;0.1*G447),"",AG447/AL447))</f>
        <v/>
      </c>
      <c r="AN447" s="17">
        <f>IF(NOT(ISNUMBER(R447)),"",IF(ISNUMBER(S447),(R447+S447)/2,R447))</f>
        <v/>
      </c>
      <c r="AO447" s="19">
        <f>IF(AND(ISNUMBER(L447),ISNUMBER(AN447),AN447&gt;0),L447/AN447,"")</f>
        <v/>
      </c>
      <c r="AP447" s="19">
        <f>IF(AND(ISNUMBER(AO447),ISNUMBER({ROIC})),AO447-{ROIC},"")</f>
        <v/>
      </c>
      <c r="AQ447" s="17">
        <f>IF(AND(ISNUMBER(AE447),ISNUMBER(N447)),AE447+N447,"")</f>
        <v/>
      </c>
      <c r="AR447" s="20">
        <f>IF(AND(ISNUMBER(AH447),ISNUMBER(T447),ISNUMBER(AQ447),AQ447&gt;0),(AH447-T447)/AQ447,"")</f>
        <v/>
      </c>
      <c r="AS447" s="20">
        <f>IF(AND(ISNUMBER(AE447),ISNUMBER(I447),I447&lt;&gt;0,AE447&gt;0),AE447/I447,"")</f>
        <v/>
      </c>
      <c r="AT447" s="17">
        <f>IF(AND(ISNUMBER(Y447),ISNUMBER(AA447)),Y447-IF(ISNUMBER(T447),T447,0)-(AA447-IF(ISNUMBER(V447),V447,0)),"")</f>
        <v/>
      </c>
      <c r="AU447" s="17">
        <f>IF(AND(ISNUMBER(Z447),ISNUMBER(AB447)),Z447-IF(ISNUMBER(U447),U447,0)-(AB447-IF(ISNUMBER(W447),W447,0)),"")</f>
        <v/>
      </c>
      <c r="AV447" s="17">
        <f>IF(AND(ISNUMBER(AT447),ISNUMBER(AU447)),AT447-AU447,"")</f>
        <v/>
      </c>
      <c r="AW447" s="17">
        <f>IF(AND(ISNUMBER(L447),ISNUMBER(M447),ISNUMBER(AF447)),L447-M447*(1-AF447),IF(ISNUMBER(L447),L447,""))</f>
        <v/>
      </c>
      <c r="AX447" s="17">
        <f>IF(E447="금융","",IF(AND(ISNUMBER(AW447),ISNUMBER(N447),ISNUMBER(O447),ISNUMBER(AV447)),AW447+N447-O447-AV447,IF(AND(ISNUMBER(P447),ISNUMBER(O447)),P447-O447-IF(ISNUMBER(Q447),Q447,0),"")))</f>
        <v/>
      </c>
      <c r="AY447" s="8">
        <f>IF(E447="금융","금융업 - 정의되지 않음",IF(AND(ISNUMBER(AW447),ISNUMBER(N447),ISNUMBER(O447),ISNUMBER(AV447)),"영업순이익+감가상각-설비투자-운전자본증감",IF(AND(ISNUMBER(P447),ISNUMBER(O447)),IF(ISNUMBER(Q447),"영업현금흐름-설비투자-주식보상비용","영업현금흐름-설비투자(주식보상비용 미태깅)"),"산출불가")))</f>
        <v/>
      </c>
      <c r="AZ447" s="19">
        <f>IF(AND(ISNUMBER(AX447),ISNUMBER(G447),G447&lt;&gt;0),AX447/G447,"")</f>
        <v/>
      </c>
      <c r="BA447" s="19">
        <f>IF(AND(ISNUMBER(AE447),ISNUMBER(G447),G447&lt;&gt;0),AE447/G447,"")</f>
        <v/>
      </c>
    </row>
    <row r="448">
      <c r="A448" s="8" t="inlineStr">
        <is>
          <t>GS</t>
        </is>
      </c>
      <c r="B448" s="8" t="inlineStr">
        <is>
          <t>GOLDMAN SACHS GROUP INC</t>
        </is>
      </c>
      <c r="C448" s="8" t="n">
        <v>2019</v>
      </c>
      <c r="D448" s="8" t="inlineStr">
        <is>
          <t>2019-12-31</t>
        </is>
      </c>
      <c r="E448" s="8" t="inlineStr">
        <is>
          <t>금융</t>
        </is>
      </c>
      <c r="F448" s="8" t="inlineStr">
        <is>
          <t>0001193125-22-052682</t>
        </is>
      </c>
      <c r="G448" s="15" t="n">
        <v>36.546</v>
      </c>
      <c r="H448" s="15" t="n">
        <v>10.583</v>
      </c>
      <c r="I448" s="15" t="n">
        <v>17.376</v>
      </c>
      <c r="J448" s="15" t="n">
        <v>2.117</v>
      </c>
      <c r="K448" s="15" t="n"/>
      <c r="L448" s="15" t="n">
        <v>8.465999999999999</v>
      </c>
      <c r="M448" s="15" t="n"/>
      <c r="N448" s="15" t="n">
        <v>1.704</v>
      </c>
      <c r="O448" s="15" t="n">
        <v>8.443</v>
      </c>
      <c r="P448" s="15" t="n">
        <v>23.868</v>
      </c>
      <c r="Q448" s="15" t="n">
        <v>2.018</v>
      </c>
      <c r="R448" s="15" t="n">
        <v>90.265</v>
      </c>
      <c r="S448" s="15" t="n">
        <v>90.185</v>
      </c>
      <c r="T448" s="15" t="n">
        <v>133.546</v>
      </c>
      <c r="U448" s="15" t="n">
        <v>130.547</v>
      </c>
      <c r="V448" s="15" t="n">
        <v>1.837</v>
      </c>
      <c r="W448" s="15" t="n">
        <v>2.118</v>
      </c>
      <c r="X448" s="15" t="n"/>
      <c r="Y448" s="15" t="n"/>
      <c r="Z448" s="15" t="n"/>
      <c r="AA448" s="15" t="n"/>
      <c r="AB448" s="15" t="n"/>
      <c r="AC448" s="15" t="n"/>
      <c r="AD448" s="16" t="n">
        <v>347.343184</v>
      </c>
      <c r="AE448" s="17">
        <f>IF(ISNUMBER(K448),K448,IF(AND(ISNUMBER(H448),ISNUMBER(I448)),H448+I448,IF(ISNUMBER(H448),H448,"")))</f>
        <v/>
      </c>
      <c r="AF448" s="18">
        <f>IF(OR(NOT(ISNUMBER(J448)),NOT(ISNUMBER(H448)),H448&lt;=0),기준표!$B$8,MIN(MAX(J448/H448,기준표!$B$6),기준표!$B$7))</f>
        <v/>
      </c>
      <c r="AG448" s="17">
        <f>IF(ISNUMBER(AE448),AE448*(1-AF448),"")</f>
        <v/>
      </c>
      <c r="AH448" s="17">
        <f>IF(AND(NOT(ISNUMBER(V448)),NOT(ISNUMBER(X448))),"",IF(ISNUMBER(V448),V448,0)+IF(ISNUMBER(X448),X448,0))</f>
        <v/>
      </c>
      <c r="AI448" s="17">
        <f>IF(E448="금융","",IF(AND(ISNUMBER(R448),ISNUMBER(AH448),ISNUMBER(T448)),R448+AH448-T448,""))</f>
        <v/>
      </c>
      <c r="AJ448" s="17">
        <f>IF(E448="금융","",IF(NOT(ISNUMBER(AI448)),"",IF(ISNUMBER(AC448),(AI448+AC448)/2,AI448)))</f>
        <v/>
      </c>
      <c r="AK448" s="19">
        <f>IF(AND(ISNUMBER(AG448),ISNUMBER(AJ448),AJ448&gt;0),AG448/AJ448,"")</f>
        <v/>
      </c>
      <c r="AL448" s="17">
        <f>IF(E448="금융","",IF(AND(ISNUMBER(R448),ISNUMBER(AH448)),R448+AH448,""))</f>
        <v/>
      </c>
      <c r="AM448" s="19">
        <f>IF(OR(NOT(ISNUMBER(AG448)),NOT(ISNUMBER(AL448)),AL448&lt;=0),"",IF(AND(ISNUMBER(G448),AL448&lt;0.1*G448),"",AG448/AL448))</f>
        <v/>
      </c>
      <c r="AN448" s="17">
        <f>IF(NOT(ISNUMBER(R448)),"",IF(ISNUMBER(S448),(R448+S448)/2,R448))</f>
        <v/>
      </c>
      <c r="AO448" s="19">
        <f>IF(AND(ISNUMBER(L448),ISNUMBER(AN448),AN448&gt;0),L448/AN448,"")</f>
        <v/>
      </c>
      <c r="AP448" s="19">
        <f>IF(AND(ISNUMBER(AO448),ISNUMBER({ROIC})),AO448-{ROIC},"")</f>
        <v/>
      </c>
      <c r="AQ448" s="17">
        <f>IF(AND(ISNUMBER(AE448),ISNUMBER(N448)),AE448+N448,"")</f>
        <v/>
      </c>
      <c r="AR448" s="20">
        <f>IF(AND(ISNUMBER(AH448),ISNUMBER(T448),ISNUMBER(AQ448),AQ448&gt;0),(AH448-T448)/AQ448,"")</f>
        <v/>
      </c>
      <c r="AS448" s="20">
        <f>IF(AND(ISNUMBER(AE448),ISNUMBER(I448),I448&lt;&gt;0,AE448&gt;0),AE448/I448,"")</f>
        <v/>
      </c>
      <c r="AT448" s="17">
        <f>IF(AND(ISNUMBER(Y448),ISNUMBER(AA448)),Y448-IF(ISNUMBER(T448),T448,0)-(AA448-IF(ISNUMBER(V448),V448,0)),"")</f>
        <v/>
      </c>
      <c r="AU448" s="17">
        <f>IF(AND(ISNUMBER(Z448),ISNUMBER(AB448)),Z448-IF(ISNUMBER(U448),U448,0)-(AB448-IF(ISNUMBER(W448),W448,0)),"")</f>
        <v/>
      </c>
      <c r="AV448" s="17">
        <f>IF(AND(ISNUMBER(AT448),ISNUMBER(AU448)),AT448-AU448,"")</f>
        <v/>
      </c>
      <c r="AW448" s="17">
        <f>IF(AND(ISNUMBER(L448),ISNUMBER(M448),ISNUMBER(AF448)),L448-M448*(1-AF448),IF(ISNUMBER(L448),L448,""))</f>
        <v/>
      </c>
      <c r="AX448" s="17">
        <f>IF(E448="금융","",IF(AND(ISNUMBER(AW448),ISNUMBER(N448),ISNUMBER(O448),ISNUMBER(AV448)),AW448+N448-O448-AV448,IF(AND(ISNUMBER(P448),ISNUMBER(O448)),P448-O448-IF(ISNUMBER(Q448),Q448,0),"")))</f>
        <v/>
      </c>
      <c r="AY448" s="8">
        <f>IF(E448="금융","금융업 - 정의되지 않음",IF(AND(ISNUMBER(AW448),ISNUMBER(N448),ISNUMBER(O448),ISNUMBER(AV448)),"영업순이익+감가상각-설비투자-운전자본증감",IF(AND(ISNUMBER(P448),ISNUMBER(O448)),IF(ISNUMBER(Q448),"영업현금흐름-설비투자-주식보상비용","영업현금흐름-설비투자(주식보상비용 미태깅)"),"산출불가")))</f>
        <v/>
      </c>
      <c r="AZ448" s="19">
        <f>IF(AND(ISNUMBER(AX448),ISNUMBER(G448),G448&lt;&gt;0),AX448/G448,"")</f>
        <v/>
      </c>
      <c r="BA448" s="19">
        <f>IF(AND(ISNUMBER(AE448),ISNUMBER(G448),G448&lt;&gt;0),AE448/G448,"")</f>
        <v/>
      </c>
    </row>
    <row r="449">
      <c r="A449" s="8" t="inlineStr">
        <is>
          <t>GS</t>
        </is>
      </c>
      <c r="B449" s="8" t="inlineStr">
        <is>
          <t>GOLDMAN SACHS GROUP INC</t>
        </is>
      </c>
      <c r="C449" s="8" t="n">
        <v>2020</v>
      </c>
      <c r="D449" s="8" t="inlineStr">
        <is>
          <t>2020-12-31</t>
        </is>
      </c>
      <c r="E449" s="8" t="inlineStr">
        <is>
          <t>금융</t>
        </is>
      </c>
      <c r="F449" s="8" t="inlineStr">
        <is>
          <t>0000886982-23-000003</t>
        </is>
      </c>
      <c r="G449" s="15" t="n">
        <v>44.56</v>
      </c>
      <c r="H449" s="15" t="n">
        <v>12.479</v>
      </c>
      <c r="I449" s="15" t="n">
        <v>8.938000000000001</v>
      </c>
      <c r="J449" s="15" t="n">
        <v>3.02</v>
      </c>
      <c r="K449" s="15" t="n"/>
      <c r="L449" s="15" t="n">
        <v>9.459</v>
      </c>
      <c r="M449" s="15" t="n"/>
      <c r="N449" s="15" t="n">
        <v>1.902</v>
      </c>
      <c r="O449" s="15" t="n">
        <v>6.309</v>
      </c>
      <c r="P449" s="15" t="n">
        <v>-18.535</v>
      </c>
      <c r="Q449" s="15" t="n">
        <v>1.92</v>
      </c>
      <c r="R449" s="15" t="n">
        <v>95.932</v>
      </c>
      <c r="S449" s="15" t="n">
        <v>90.265</v>
      </c>
      <c r="T449" s="15" t="n">
        <v>155.842</v>
      </c>
      <c r="U449" s="15" t="n">
        <v>133.546</v>
      </c>
      <c r="V449" s="15" t="n">
        <v>2.048</v>
      </c>
      <c r="W449" s="15" t="n">
        <v>1.837</v>
      </c>
      <c r="X449" s="15" t="n"/>
      <c r="Y449" s="15" t="n"/>
      <c r="Z449" s="15" t="n"/>
      <c r="AA449" s="15" t="n"/>
      <c r="AB449" s="15" t="n"/>
      <c r="AC449" s="15" t="n"/>
      <c r="AD449" s="16" t="n">
        <v>344.088725</v>
      </c>
      <c r="AE449" s="17">
        <f>IF(ISNUMBER(K449),K449,IF(AND(ISNUMBER(H449),ISNUMBER(I449)),H449+I449,IF(ISNUMBER(H449),H449,"")))</f>
        <v/>
      </c>
      <c r="AF449" s="18">
        <f>IF(OR(NOT(ISNUMBER(J449)),NOT(ISNUMBER(H449)),H449&lt;=0),기준표!$B$8,MIN(MAX(J449/H449,기준표!$B$6),기준표!$B$7))</f>
        <v/>
      </c>
      <c r="AG449" s="17">
        <f>IF(ISNUMBER(AE449),AE449*(1-AF449),"")</f>
        <v/>
      </c>
      <c r="AH449" s="17">
        <f>IF(AND(NOT(ISNUMBER(V449)),NOT(ISNUMBER(X449))),"",IF(ISNUMBER(V449),V449,0)+IF(ISNUMBER(X449),X449,0))</f>
        <v/>
      </c>
      <c r="AI449" s="17">
        <f>IF(E449="금융","",IF(AND(ISNUMBER(R449),ISNUMBER(AH449),ISNUMBER(T449)),R449+AH449-T449,""))</f>
        <v/>
      </c>
      <c r="AJ449" s="17">
        <f>IF(E449="금융","",IF(NOT(ISNUMBER(AI449)),"",IF(ISNUMBER(AC449),(AI449+AC449)/2,AI449)))</f>
        <v/>
      </c>
      <c r="AK449" s="19">
        <f>IF(AND(ISNUMBER(AG449),ISNUMBER(AJ449),AJ449&gt;0),AG449/AJ449,"")</f>
        <v/>
      </c>
      <c r="AL449" s="17">
        <f>IF(E449="금융","",IF(AND(ISNUMBER(R449),ISNUMBER(AH449)),R449+AH449,""))</f>
        <v/>
      </c>
      <c r="AM449" s="19">
        <f>IF(OR(NOT(ISNUMBER(AG449)),NOT(ISNUMBER(AL449)),AL449&lt;=0),"",IF(AND(ISNUMBER(G449),AL449&lt;0.1*G449),"",AG449/AL449))</f>
        <v/>
      </c>
      <c r="AN449" s="17">
        <f>IF(NOT(ISNUMBER(R449)),"",IF(ISNUMBER(S449),(R449+S449)/2,R449))</f>
        <v/>
      </c>
      <c r="AO449" s="19">
        <f>IF(AND(ISNUMBER(L449),ISNUMBER(AN449),AN449&gt;0),L449/AN449,"")</f>
        <v/>
      </c>
      <c r="AP449" s="19">
        <f>IF(AND(ISNUMBER(AO449),ISNUMBER({ROIC})),AO449-{ROIC},"")</f>
        <v/>
      </c>
      <c r="AQ449" s="17">
        <f>IF(AND(ISNUMBER(AE449),ISNUMBER(N449)),AE449+N449,"")</f>
        <v/>
      </c>
      <c r="AR449" s="20">
        <f>IF(AND(ISNUMBER(AH449),ISNUMBER(T449),ISNUMBER(AQ449),AQ449&gt;0),(AH449-T449)/AQ449,"")</f>
        <v/>
      </c>
      <c r="AS449" s="20">
        <f>IF(AND(ISNUMBER(AE449),ISNUMBER(I449),I449&lt;&gt;0,AE449&gt;0),AE449/I449,"")</f>
        <v/>
      </c>
      <c r="AT449" s="17">
        <f>IF(AND(ISNUMBER(Y449),ISNUMBER(AA449)),Y449-IF(ISNUMBER(T449),T449,0)-(AA449-IF(ISNUMBER(V449),V449,0)),"")</f>
        <v/>
      </c>
      <c r="AU449" s="17">
        <f>IF(AND(ISNUMBER(Z449),ISNUMBER(AB449)),Z449-IF(ISNUMBER(U449),U449,0)-(AB449-IF(ISNUMBER(W449),W449,0)),"")</f>
        <v/>
      </c>
      <c r="AV449" s="17">
        <f>IF(AND(ISNUMBER(AT449),ISNUMBER(AU449)),AT449-AU449,"")</f>
        <v/>
      </c>
      <c r="AW449" s="17">
        <f>IF(AND(ISNUMBER(L449),ISNUMBER(M449),ISNUMBER(AF449)),L449-M449*(1-AF449),IF(ISNUMBER(L449),L449,""))</f>
        <v/>
      </c>
      <c r="AX449" s="17">
        <f>IF(E449="금융","",IF(AND(ISNUMBER(AW449),ISNUMBER(N449),ISNUMBER(O449),ISNUMBER(AV449)),AW449+N449-O449-AV449,IF(AND(ISNUMBER(P449),ISNUMBER(O449)),P449-O449-IF(ISNUMBER(Q449),Q449,0),"")))</f>
        <v/>
      </c>
      <c r="AY449" s="8">
        <f>IF(E449="금융","금융업 - 정의되지 않음",IF(AND(ISNUMBER(AW449),ISNUMBER(N449),ISNUMBER(O449),ISNUMBER(AV449)),"영업순이익+감가상각-설비투자-운전자본증감",IF(AND(ISNUMBER(P449),ISNUMBER(O449)),IF(ISNUMBER(Q449),"영업현금흐름-설비투자-주식보상비용","영업현금흐름-설비투자(주식보상비용 미태깅)"),"산출불가")))</f>
        <v/>
      </c>
      <c r="AZ449" s="19">
        <f>IF(AND(ISNUMBER(AX449),ISNUMBER(G449),G449&lt;&gt;0),AX449/G449,"")</f>
        <v/>
      </c>
      <c r="BA449" s="19">
        <f>IF(AND(ISNUMBER(AE449),ISNUMBER(G449),G449&lt;&gt;0),AE449/G449,"")</f>
        <v/>
      </c>
    </row>
    <row r="450">
      <c r="A450" s="8" t="inlineStr">
        <is>
          <t>GS</t>
        </is>
      </c>
      <c r="B450" s="8" t="inlineStr">
        <is>
          <t>GOLDMAN SACHS GROUP INC</t>
        </is>
      </c>
      <c r="C450" s="8" t="n">
        <v>2021</v>
      </c>
      <c r="D450" s="8" t="inlineStr">
        <is>
          <t>2021-12-31</t>
        </is>
      </c>
      <c r="E450" s="8" t="inlineStr">
        <is>
          <t>금융</t>
        </is>
      </c>
      <c r="F450" s="8" t="inlineStr">
        <is>
          <t>0000886982-24-000006</t>
        </is>
      </c>
      <c r="G450" s="15" t="n">
        <v>59.339</v>
      </c>
      <c r="H450" s="15" t="n">
        <v>27.044</v>
      </c>
      <c r="I450" s="15" t="n">
        <v>5.65</v>
      </c>
      <c r="J450" s="15" t="n">
        <v>5.409</v>
      </c>
      <c r="K450" s="15" t="n"/>
      <c r="L450" s="15" t="n">
        <v>21.635</v>
      </c>
      <c r="M450" s="15" t="n"/>
      <c r="N450" s="15" t="n">
        <v>2.015</v>
      </c>
      <c r="O450" s="15" t="n">
        <v>4.667</v>
      </c>
      <c r="P450" s="15" t="n">
        <v>6.298</v>
      </c>
      <c r="Q450" s="15" t="n">
        <v>2.348</v>
      </c>
      <c r="R450" s="15" t="n">
        <v>109.926</v>
      </c>
      <c r="S450" s="15" t="n">
        <v>95.932</v>
      </c>
      <c r="T450" s="15" t="n">
        <v>261.036</v>
      </c>
      <c r="U450" s="15" t="n">
        <v>155.842</v>
      </c>
      <c r="V450" s="15" t="n">
        <v>2.034</v>
      </c>
      <c r="W450" s="15" t="n">
        <v>2.048</v>
      </c>
      <c r="X450" s="15" t="n"/>
      <c r="Y450" s="15" t="n"/>
      <c r="Z450" s="15" t="n"/>
      <c r="AA450" s="15" t="n"/>
      <c r="AB450" s="15" t="n"/>
      <c r="AC450" s="15" t="n"/>
      <c r="AD450" s="16" t="n">
        <v>333.573254</v>
      </c>
      <c r="AE450" s="17">
        <f>IF(ISNUMBER(K450),K450,IF(AND(ISNUMBER(H450),ISNUMBER(I450)),H450+I450,IF(ISNUMBER(H450),H450,"")))</f>
        <v/>
      </c>
      <c r="AF450" s="18">
        <f>IF(OR(NOT(ISNUMBER(J450)),NOT(ISNUMBER(H450)),H450&lt;=0),기준표!$B$8,MIN(MAX(J450/H450,기준표!$B$6),기준표!$B$7))</f>
        <v/>
      </c>
      <c r="AG450" s="17">
        <f>IF(ISNUMBER(AE450),AE450*(1-AF450),"")</f>
        <v/>
      </c>
      <c r="AH450" s="17">
        <f>IF(AND(NOT(ISNUMBER(V450)),NOT(ISNUMBER(X450))),"",IF(ISNUMBER(V450),V450,0)+IF(ISNUMBER(X450),X450,0))</f>
        <v/>
      </c>
      <c r="AI450" s="17">
        <f>IF(E450="금융","",IF(AND(ISNUMBER(R450),ISNUMBER(AH450),ISNUMBER(T450)),R450+AH450-T450,""))</f>
        <v/>
      </c>
      <c r="AJ450" s="17">
        <f>IF(E450="금융","",IF(NOT(ISNUMBER(AI450)),"",IF(ISNUMBER(AC450),(AI450+AC450)/2,AI450)))</f>
        <v/>
      </c>
      <c r="AK450" s="19">
        <f>IF(AND(ISNUMBER(AG450),ISNUMBER(AJ450),AJ450&gt;0),AG450/AJ450,"")</f>
        <v/>
      </c>
      <c r="AL450" s="17">
        <f>IF(E450="금융","",IF(AND(ISNUMBER(R450),ISNUMBER(AH450)),R450+AH450,""))</f>
        <v/>
      </c>
      <c r="AM450" s="19">
        <f>IF(OR(NOT(ISNUMBER(AG450)),NOT(ISNUMBER(AL450)),AL450&lt;=0),"",IF(AND(ISNUMBER(G450),AL450&lt;0.1*G450),"",AG450/AL450))</f>
        <v/>
      </c>
      <c r="AN450" s="17">
        <f>IF(NOT(ISNUMBER(R450)),"",IF(ISNUMBER(S450),(R450+S450)/2,R450))</f>
        <v/>
      </c>
      <c r="AO450" s="19">
        <f>IF(AND(ISNUMBER(L450),ISNUMBER(AN450),AN450&gt;0),L450/AN450,"")</f>
        <v/>
      </c>
      <c r="AP450" s="19">
        <f>IF(AND(ISNUMBER(AO450),ISNUMBER({ROIC})),AO450-{ROIC},"")</f>
        <v/>
      </c>
      <c r="AQ450" s="17">
        <f>IF(AND(ISNUMBER(AE450),ISNUMBER(N450)),AE450+N450,"")</f>
        <v/>
      </c>
      <c r="AR450" s="20">
        <f>IF(AND(ISNUMBER(AH450),ISNUMBER(T450),ISNUMBER(AQ450),AQ450&gt;0),(AH450-T450)/AQ450,"")</f>
        <v/>
      </c>
      <c r="AS450" s="20">
        <f>IF(AND(ISNUMBER(AE450),ISNUMBER(I450),I450&lt;&gt;0,AE450&gt;0),AE450/I450,"")</f>
        <v/>
      </c>
      <c r="AT450" s="17">
        <f>IF(AND(ISNUMBER(Y450),ISNUMBER(AA450)),Y450-IF(ISNUMBER(T450),T450,0)-(AA450-IF(ISNUMBER(V450),V450,0)),"")</f>
        <v/>
      </c>
      <c r="AU450" s="17">
        <f>IF(AND(ISNUMBER(Z450),ISNUMBER(AB450)),Z450-IF(ISNUMBER(U450),U450,0)-(AB450-IF(ISNUMBER(W450),W450,0)),"")</f>
        <v/>
      </c>
      <c r="AV450" s="17">
        <f>IF(AND(ISNUMBER(AT450),ISNUMBER(AU450)),AT450-AU450,"")</f>
        <v/>
      </c>
      <c r="AW450" s="17">
        <f>IF(AND(ISNUMBER(L450),ISNUMBER(M450),ISNUMBER(AF450)),L450-M450*(1-AF450),IF(ISNUMBER(L450),L450,""))</f>
        <v/>
      </c>
      <c r="AX450" s="17">
        <f>IF(E450="금융","",IF(AND(ISNUMBER(AW450),ISNUMBER(N450),ISNUMBER(O450),ISNUMBER(AV450)),AW450+N450-O450-AV450,IF(AND(ISNUMBER(P450),ISNUMBER(O450)),P450-O450-IF(ISNUMBER(Q450),Q450,0),"")))</f>
        <v/>
      </c>
      <c r="AY450" s="8">
        <f>IF(E450="금융","금융업 - 정의되지 않음",IF(AND(ISNUMBER(AW450),ISNUMBER(N450),ISNUMBER(O450),ISNUMBER(AV450)),"영업순이익+감가상각-설비투자-운전자본증감",IF(AND(ISNUMBER(P450),ISNUMBER(O450)),IF(ISNUMBER(Q450),"영업현금흐름-설비투자-주식보상비용","영업현금흐름-설비투자(주식보상비용 미태깅)"),"산출불가")))</f>
        <v/>
      </c>
      <c r="AZ450" s="19">
        <f>IF(AND(ISNUMBER(AX450),ISNUMBER(G450),G450&lt;&gt;0),AX450/G450,"")</f>
        <v/>
      </c>
      <c r="BA450" s="19">
        <f>IF(AND(ISNUMBER(AE450),ISNUMBER(G450),G450&lt;&gt;0),AE450/G450,"")</f>
        <v/>
      </c>
    </row>
    <row r="451">
      <c r="A451" s="8" t="inlineStr">
        <is>
          <t>GS</t>
        </is>
      </c>
      <c r="B451" s="8" t="inlineStr">
        <is>
          <t>GOLDMAN SACHS GROUP INC</t>
        </is>
      </c>
      <c r="C451" s="8" t="n">
        <v>2022</v>
      </c>
      <c r="D451" s="8" t="inlineStr">
        <is>
          <t>2022-12-31</t>
        </is>
      </c>
      <c r="E451" s="8" t="inlineStr">
        <is>
          <t>금융</t>
        </is>
      </c>
      <c r="F451" s="8" t="inlineStr">
        <is>
          <t>0000886982-25-000005</t>
        </is>
      </c>
      <c r="G451" s="15" t="n">
        <v>47.365</v>
      </c>
      <c r="H451" s="15" t="n">
        <v>13.486</v>
      </c>
      <c r="I451" s="15" t="n">
        <v>21.346</v>
      </c>
      <c r="J451" s="15" t="n">
        <v>2.225</v>
      </c>
      <c r="K451" s="15" t="n"/>
      <c r="L451" s="15" t="n">
        <v>11.261</v>
      </c>
      <c r="M451" s="15" t="n"/>
      <c r="N451" s="15" t="n">
        <v>2.455</v>
      </c>
      <c r="O451" s="15" t="n">
        <v>3.748</v>
      </c>
      <c r="P451" s="15" t="n">
        <v>8.708</v>
      </c>
      <c r="Q451" s="15" t="n">
        <v>4.083</v>
      </c>
      <c r="R451" s="15" t="n">
        <v>117.189</v>
      </c>
      <c r="S451" s="15" t="n">
        <v>109.926</v>
      </c>
      <c r="T451" s="15" t="n">
        <v>241.825</v>
      </c>
      <c r="U451" s="15" t="n">
        <v>261.036</v>
      </c>
      <c r="V451" s="15" t="n">
        <v>2.225</v>
      </c>
      <c r="W451" s="15" t="n">
        <v>2.034</v>
      </c>
      <c r="X451" s="15" t="n"/>
      <c r="Y451" s="15" t="n"/>
      <c r="Z451" s="15" t="n"/>
      <c r="AA451" s="15" t="n"/>
      <c r="AB451" s="15" t="n"/>
      <c r="AC451" s="15" t="n"/>
      <c r="AD451" s="16" t="n">
        <v>334.918639</v>
      </c>
      <c r="AE451" s="17">
        <f>IF(ISNUMBER(K451),K451,IF(AND(ISNUMBER(H451),ISNUMBER(I451)),H451+I451,IF(ISNUMBER(H451),H451,"")))</f>
        <v/>
      </c>
      <c r="AF451" s="18">
        <f>IF(OR(NOT(ISNUMBER(J451)),NOT(ISNUMBER(H451)),H451&lt;=0),기준표!$B$8,MIN(MAX(J451/H451,기준표!$B$6),기준표!$B$7))</f>
        <v/>
      </c>
      <c r="AG451" s="17">
        <f>IF(ISNUMBER(AE451),AE451*(1-AF451),"")</f>
        <v/>
      </c>
      <c r="AH451" s="17">
        <f>IF(AND(NOT(ISNUMBER(V451)),NOT(ISNUMBER(X451))),"",IF(ISNUMBER(V451),V451,0)+IF(ISNUMBER(X451),X451,0))</f>
        <v/>
      </c>
      <c r="AI451" s="17">
        <f>IF(E451="금융","",IF(AND(ISNUMBER(R451),ISNUMBER(AH451),ISNUMBER(T451)),R451+AH451-T451,""))</f>
        <v/>
      </c>
      <c r="AJ451" s="17">
        <f>IF(E451="금융","",IF(NOT(ISNUMBER(AI451)),"",IF(ISNUMBER(AC451),(AI451+AC451)/2,AI451)))</f>
        <v/>
      </c>
      <c r="AK451" s="19">
        <f>IF(AND(ISNUMBER(AG451),ISNUMBER(AJ451),AJ451&gt;0),AG451/AJ451,"")</f>
        <v/>
      </c>
      <c r="AL451" s="17">
        <f>IF(E451="금융","",IF(AND(ISNUMBER(R451),ISNUMBER(AH451)),R451+AH451,""))</f>
        <v/>
      </c>
      <c r="AM451" s="19">
        <f>IF(OR(NOT(ISNUMBER(AG451)),NOT(ISNUMBER(AL451)),AL451&lt;=0),"",IF(AND(ISNUMBER(G451),AL451&lt;0.1*G451),"",AG451/AL451))</f>
        <v/>
      </c>
      <c r="AN451" s="17">
        <f>IF(NOT(ISNUMBER(R451)),"",IF(ISNUMBER(S451),(R451+S451)/2,R451))</f>
        <v/>
      </c>
      <c r="AO451" s="19">
        <f>IF(AND(ISNUMBER(L451),ISNUMBER(AN451),AN451&gt;0),L451/AN451,"")</f>
        <v/>
      </c>
      <c r="AP451" s="19">
        <f>IF(AND(ISNUMBER(AO451),ISNUMBER({ROIC})),AO451-{ROIC},"")</f>
        <v/>
      </c>
      <c r="AQ451" s="17">
        <f>IF(AND(ISNUMBER(AE451),ISNUMBER(N451)),AE451+N451,"")</f>
        <v/>
      </c>
      <c r="AR451" s="20">
        <f>IF(AND(ISNUMBER(AH451),ISNUMBER(T451),ISNUMBER(AQ451),AQ451&gt;0),(AH451-T451)/AQ451,"")</f>
        <v/>
      </c>
      <c r="AS451" s="20">
        <f>IF(AND(ISNUMBER(AE451),ISNUMBER(I451),I451&lt;&gt;0,AE451&gt;0),AE451/I451,"")</f>
        <v/>
      </c>
      <c r="AT451" s="17">
        <f>IF(AND(ISNUMBER(Y451),ISNUMBER(AA451)),Y451-IF(ISNUMBER(T451),T451,0)-(AA451-IF(ISNUMBER(V451),V451,0)),"")</f>
        <v/>
      </c>
      <c r="AU451" s="17">
        <f>IF(AND(ISNUMBER(Z451),ISNUMBER(AB451)),Z451-IF(ISNUMBER(U451),U451,0)-(AB451-IF(ISNUMBER(W451),W451,0)),"")</f>
        <v/>
      </c>
      <c r="AV451" s="17">
        <f>IF(AND(ISNUMBER(AT451),ISNUMBER(AU451)),AT451-AU451,"")</f>
        <v/>
      </c>
      <c r="AW451" s="17">
        <f>IF(AND(ISNUMBER(L451),ISNUMBER(M451),ISNUMBER(AF451)),L451-M451*(1-AF451),IF(ISNUMBER(L451),L451,""))</f>
        <v/>
      </c>
      <c r="AX451" s="17">
        <f>IF(E451="금융","",IF(AND(ISNUMBER(AW451),ISNUMBER(N451),ISNUMBER(O451),ISNUMBER(AV451)),AW451+N451-O451-AV451,IF(AND(ISNUMBER(P451),ISNUMBER(O451)),P451-O451-IF(ISNUMBER(Q451),Q451,0),"")))</f>
        <v/>
      </c>
      <c r="AY451" s="8">
        <f>IF(E451="금융","금융업 - 정의되지 않음",IF(AND(ISNUMBER(AW451),ISNUMBER(N451),ISNUMBER(O451),ISNUMBER(AV451)),"영업순이익+감가상각-설비투자-운전자본증감",IF(AND(ISNUMBER(P451),ISNUMBER(O451)),IF(ISNUMBER(Q451),"영업현금흐름-설비투자-주식보상비용","영업현금흐름-설비투자(주식보상비용 미태깅)"),"산출불가")))</f>
        <v/>
      </c>
      <c r="AZ451" s="19">
        <f>IF(AND(ISNUMBER(AX451),ISNUMBER(G451),G451&lt;&gt;0),AX451/G451,"")</f>
        <v/>
      </c>
      <c r="BA451" s="19">
        <f>IF(AND(ISNUMBER(AE451),ISNUMBER(G451),G451&lt;&gt;0),AE451/G451,"")</f>
        <v/>
      </c>
    </row>
    <row r="452">
      <c r="A452" s="8" t="inlineStr">
        <is>
          <t>GS</t>
        </is>
      </c>
      <c r="B452" s="8" t="inlineStr">
        <is>
          <t>GOLDMAN SACHS GROUP INC</t>
        </is>
      </c>
      <c r="C452" s="8" t="n">
        <v>2023</v>
      </c>
      <c r="D452" s="8" t="inlineStr">
        <is>
          <t>2023-12-31</t>
        </is>
      </c>
      <c r="E452" s="8" t="inlineStr">
        <is>
          <t>금융</t>
        </is>
      </c>
      <c r="F452" s="8" t="inlineStr">
        <is>
          <t>0000886982-26-000091</t>
        </is>
      </c>
      <c r="G452" s="15" t="n">
        <v>46.254</v>
      </c>
      <c r="H452" s="15" t="n">
        <v>10.739</v>
      </c>
      <c r="I452" s="15" t="n">
        <v>62.164</v>
      </c>
      <c r="J452" s="15" t="n">
        <v>2.223</v>
      </c>
      <c r="K452" s="15" t="n"/>
      <c r="L452" s="15" t="n">
        <v>8.516</v>
      </c>
      <c r="M452" s="15" t="n"/>
      <c r="N452" s="15" t="n">
        <v>4.856</v>
      </c>
      <c r="O452" s="15" t="n">
        <v>2.316</v>
      </c>
      <c r="P452" s="15" t="n">
        <v>-12.587</v>
      </c>
      <c r="Q452" s="15" t="n">
        <v>2.085</v>
      </c>
      <c r="R452" s="15" t="n">
        <v>116.905</v>
      </c>
      <c r="S452" s="15" t="n">
        <v>117.189</v>
      </c>
      <c r="T452" s="15" t="n">
        <v>241.577</v>
      </c>
      <c r="U452" s="15" t="n">
        <v>241.825</v>
      </c>
      <c r="V452" s="15" t="n">
        <v>2.298</v>
      </c>
      <c r="W452" s="15" t="n">
        <v>2.225</v>
      </c>
      <c r="X452" s="15" t="n"/>
      <c r="Y452" s="15" t="n"/>
      <c r="Z452" s="15" t="n"/>
      <c r="AA452" s="15" t="n"/>
      <c r="AB452" s="15" t="n"/>
      <c r="AC452" s="15" t="n"/>
      <c r="AD452" s="16" t="n">
        <v>323.376354</v>
      </c>
      <c r="AE452" s="17">
        <f>IF(ISNUMBER(K452),K452,IF(AND(ISNUMBER(H452),ISNUMBER(I452)),H452+I452,IF(ISNUMBER(H452),H452,"")))</f>
        <v/>
      </c>
      <c r="AF452" s="18">
        <f>IF(OR(NOT(ISNUMBER(J452)),NOT(ISNUMBER(H452)),H452&lt;=0),기준표!$B$8,MIN(MAX(J452/H452,기준표!$B$6),기준표!$B$7))</f>
        <v/>
      </c>
      <c r="AG452" s="17">
        <f>IF(ISNUMBER(AE452),AE452*(1-AF452),"")</f>
        <v/>
      </c>
      <c r="AH452" s="17">
        <f>IF(AND(NOT(ISNUMBER(V452)),NOT(ISNUMBER(X452))),"",IF(ISNUMBER(V452),V452,0)+IF(ISNUMBER(X452),X452,0))</f>
        <v/>
      </c>
      <c r="AI452" s="17">
        <f>IF(E452="금융","",IF(AND(ISNUMBER(R452),ISNUMBER(AH452),ISNUMBER(T452)),R452+AH452-T452,""))</f>
        <v/>
      </c>
      <c r="AJ452" s="17">
        <f>IF(E452="금융","",IF(NOT(ISNUMBER(AI452)),"",IF(ISNUMBER(AC452),(AI452+AC452)/2,AI452)))</f>
        <v/>
      </c>
      <c r="AK452" s="19">
        <f>IF(AND(ISNUMBER(AG452),ISNUMBER(AJ452),AJ452&gt;0),AG452/AJ452,"")</f>
        <v/>
      </c>
      <c r="AL452" s="17">
        <f>IF(E452="금융","",IF(AND(ISNUMBER(R452),ISNUMBER(AH452)),R452+AH452,""))</f>
        <v/>
      </c>
      <c r="AM452" s="19">
        <f>IF(OR(NOT(ISNUMBER(AG452)),NOT(ISNUMBER(AL452)),AL452&lt;=0),"",IF(AND(ISNUMBER(G452),AL452&lt;0.1*G452),"",AG452/AL452))</f>
        <v/>
      </c>
      <c r="AN452" s="17">
        <f>IF(NOT(ISNUMBER(R452)),"",IF(ISNUMBER(S452),(R452+S452)/2,R452))</f>
        <v/>
      </c>
      <c r="AO452" s="19">
        <f>IF(AND(ISNUMBER(L452),ISNUMBER(AN452),AN452&gt;0),L452/AN452,"")</f>
        <v/>
      </c>
      <c r="AP452" s="19">
        <f>IF(AND(ISNUMBER(AO452),ISNUMBER({ROIC})),AO452-{ROIC},"")</f>
        <v/>
      </c>
      <c r="AQ452" s="17">
        <f>IF(AND(ISNUMBER(AE452),ISNUMBER(N452)),AE452+N452,"")</f>
        <v/>
      </c>
      <c r="AR452" s="20">
        <f>IF(AND(ISNUMBER(AH452),ISNUMBER(T452),ISNUMBER(AQ452),AQ452&gt;0),(AH452-T452)/AQ452,"")</f>
        <v/>
      </c>
      <c r="AS452" s="20">
        <f>IF(AND(ISNUMBER(AE452),ISNUMBER(I452),I452&lt;&gt;0,AE452&gt;0),AE452/I452,"")</f>
        <v/>
      </c>
      <c r="AT452" s="17">
        <f>IF(AND(ISNUMBER(Y452),ISNUMBER(AA452)),Y452-IF(ISNUMBER(T452),T452,0)-(AA452-IF(ISNUMBER(V452),V452,0)),"")</f>
        <v/>
      </c>
      <c r="AU452" s="17">
        <f>IF(AND(ISNUMBER(Z452),ISNUMBER(AB452)),Z452-IF(ISNUMBER(U452),U452,0)-(AB452-IF(ISNUMBER(W452),W452,0)),"")</f>
        <v/>
      </c>
      <c r="AV452" s="17">
        <f>IF(AND(ISNUMBER(AT452),ISNUMBER(AU452)),AT452-AU452,"")</f>
        <v/>
      </c>
      <c r="AW452" s="17">
        <f>IF(AND(ISNUMBER(L452),ISNUMBER(M452),ISNUMBER(AF452)),L452-M452*(1-AF452),IF(ISNUMBER(L452),L452,""))</f>
        <v/>
      </c>
      <c r="AX452" s="17">
        <f>IF(E452="금융","",IF(AND(ISNUMBER(AW452),ISNUMBER(N452),ISNUMBER(O452),ISNUMBER(AV452)),AW452+N452-O452-AV452,IF(AND(ISNUMBER(P452),ISNUMBER(O452)),P452-O452-IF(ISNUMBER(Q452),Q452,0),"")))</f>
        <v/>
      </c>
      <c r="AY452" s="8">
        <f>IF(E452="금융","금융업 - 정의되지 않음",IF(AND(ISNUMBER(AW452),ISNUMBER(N452),ISNUMBER(O452),ISNUMBER(AV452)),"영업순이익+감가상각-설비투자-운전자본증감",IF(AND(ISNUMBER(P452),ISNUMBER(O452)),IF(ISNUMBER(Q452),"영업현금흐름-설비투자-주식보상비용","영업현금흐름-설비투자(주식보상비용 미태깅)"),"산출불가")))</f>
        <v/>
      </c>
      <c r="AZ452" s="19">
        <f>IF(AND(ISNUMBER(AX452),ISNUMBER(G452),G452&lt;&gt;0),AX452/G452,"")</f>
        <v/>
      </c>
      <c r="BA452" s="19">
        <f>IF(AND(ISNUMBER(AE452),ISNUMBER(G452),G452&lt;&gt;0),AE452/G452,"")</f>
        <v/>
      </c>
    </row>
    <row r="453">
      <c r="A453" s="8" t="inlineStr">
        <is>
          <t>GS</t>
        </is>
      </c>
      <c r="B453" s="8" t="inlineStr">
        <is>
          <t>GOLDMAN SACHS GROUP INC</t>
        </is>
      </c>
      <c r="C453" s="8" t="n">
        <v>2024</v>
      </c>
      <c r="D453" s="8" t="inlineStr">
        <is>
          <t>2024-12-31</t>
        </is>
      </c>
      <c r="E453" s="8" t="inlineStr">
        <is>
          <t>금융</t>
        </is>
      </c>
      <c r="F453" s="8" t="inlineStr">
        <is>
          <t>0000886982-26-000091</t>
        </is>
      </c>
      <c r="G453" s="15" t="n">
        <v>53.512</v>
      </c>
      <c r="H453" s="15" t="n">
        <v>18.397</v>
      </c>
      <c r="I453" s="15" t="n">
        <v>73.34099999999999</v>
      </c>
      <c r="J453" s="15" t="n">
        <v>4.121</v>
      </c>
      <c r="K453" s="15" t="n"/>
      <c r="L453" s="15" t="n">
        <v>14.276</v>
      </c>
      <c r="M453" s="15" t="n"/>
      <c r="N453" s="15" t="n">
        <v>2.392</v>
      </c>
      <c r="O453" s="15" t="n">
        <v>2.091</v>
      </c>
      <c r="P453" s="15" t="n">
        <v>-13.212</v>
      </c>
      <c r="Q453" s="15" t="n">
        <v>2.663</v>
      </c>
      <c r="R453" s="15" t="n">
        <v>121.996</v>
      </c>
      <c r="S453" s="15" t="n">
        <v>116.905</v>
      </c>
      <c r="T453" s="15" t="n">
        <v>182.092</v>
      </c>
      <c r="U453" s="15" t="n">
        <v>241.577</v>
      </c>
      <c r="V453" s="15" t="n">
        <v>2.058</v>
      </c>
      <c r="W453" s="15" t="n">
        <v>2.298</v>
      </c>
      <c r="X453" s="15" t="n"/>
      <c r="Y453" s="15" t="n"/>
      <c r="Z453" s="15" t="n"/>
      <c r="AA453" s="15" t="n"/>
      <c r="AB453" s="15" t="n"/>
      <c r="AC453" s="15" t="n"/>
      <c r="AD453" s="16" t="n">
        <v>310.653708</v>
      </c>
      <c r="AE453" s="17">
        <f>IF(ISNUMBER(K453),K453,IF(AND(ISNUMBER(H453),ISNUMBER(I453)),H453+I453,IF(ISNUMBER(H453),H453,"")))</f>
        <v/>
      </c>
      <c r="AF453" s="18">
        <f>IF(OR(NOT(ISNUMBER(J453)),NOT(ISNUMBER(H453)),H453&lt;=0),기준표!$B$8,MIN(MAX(J453/H453,기준표!$B$6),기준표!$B$7))</f>
        <v/>
      </c>
      <c r="AG453" s="17">
        <f>IF(ISNUMBER(AE453),AE453*(1-AF453),"")</f>
        <v/>
      </c>
      <c r="AH453" s="17">
        <f>IF(AND(NOT(ISNUMBER(V453)),NOT(ISNUMBER(X453))),"",IF(ISNUMBER(V453),V453,0)+IF(ISNUMBER(X453),X453,0))</f>
        <v/>
      </c>
      <c r="AI453" s="17">
        <f>IF(E453="금융","",IF(AND(ISNUMBER(R453),ISNUMBER(AH453),ISNUMBER(T453)),R453+AH453-T453,""))</f>
        <v/>
      </c>
      <c r="AJ453" s="17">
        <f>IF(E453="금융","",IF(NOT(ISNUMBER(AI453)),"",IF(ISNUMBER(AC453),(AI453+AC453)/2,AI453)))</f>
        <v/>
      </c>
      <c r="AK453" s="19">
        <f>IF(AND(ISNUMBER(AG453),ISNUMBER(AJ453),AJ453&gt;0),AG453/AJ453,"")</f>
        <v/>
      </c>
      <c r="AL453" s="17">
        <f>IF(E453="금융","",IF(AND(ISNUMBER(R453),ISNUMBER(AH453)),R453+AH453,""))</f>
        <v/>
      </c>
      <c r="AM453" s="19">
        <f>IF(OR(NOT(ISNUMBER(AG453)),NOT(ISNUMBER(AL453)),AL453&lt;=0),"",IF(AND(ISNUMBER(G453),AL453&lt;0.1*G453),"",AG453/AL453))</f>
        <v/>
      </c>
      <c r="AN453" s="17">
        <f>IF(NOT(ISNUMBER(R453)),"",IF(ISNUMBER(S453),(R453+S453)/2,R453))</f>
        <v/>
      </c>
      <c r="AO453" s="19">
        <f>IF(AND(ISNUMBER(L453),ISNUMBER(AN453),AN453&gt;0),L453/AN453,"")</f>
        <v/>
      </c>
      <c r="AP453" s="19">
        <f>IF(AND(ISNUMBER(AO453),ISNUMBER({ROIC})),AO453-{ROIC},"")</f>
        <v/>
      </c>
      <c r="AQ453" s="17">
        <f>IF(AND(ISNUMBER(AE453),ISNUMBER(N453)),AE453+N453,"")</f>
        <v/>
      </c>
      <c r="AR453" s="20">
        <f>IF(AND(ISNUMBER(AH453),ISNUMBER(T453),ISNUMBER(AQ453),AQ453&gt;0),(AH453-T453)/AQ453,"")</f>
        <v/>
      </c>
      <c r="AS453" s="20">
        <f>IF(AND(ISNUMBER(AE453),ISNUMBER(I453),I453&lt;&gt;0,AE453&gt;0),AE453/I453,"")</f>
        <v/>
      </c>
      <c r="AT453" s="17">
        <f>IF(AND(ISNUMBER(Y453),ISNUMBER(AA453)),Y453-IF(ISNUMBER(T453),T453,0)-(AA453-IF(ISNUMBER(V453),V453,0)),"")</f>
        <v/>
      </c>
      <c r="AU453" s="17">
        <f>IF(AND(ISNUMBER(Z453),ISNUMBER(AB453)),Z453-IF(ISNUMBER(U453),U453,0)-(AB453-IF(ISNUMBER(W453),W453,0)),"")</f>
        <v/>
      </c>
      <c r="AV453" s="17">
        <f>IF(AND(ISNUMBER(AT453),ISNUMBER(AU453)),AT453-AU453,"")</f>
        <v/>
      </c>
      <c r="AW453" s="17">
        <f>IF(AND(ISNUMBER(L453),ISNUMBER(M453),ISNUMBER(AF453)),L453-M453*(1-AF453),IF(ISNUMBER(L453),L453,""))</f>
        <v/>
      </c>
      <c r="AX453" s="17">
        <f>IF(E453="금융","",IF(AND(ISNUMBER(AW453),ISNUMBER(N453),ISNUMBER(O453),ISNUMBER(AV453)),AW453+N453-O453-AV453,IF(AND(ISNUMBER(P453),ISNUMBER(O453)),P453-O453-IF(ISNUMBER(Q453),Q453,0),"")))</f>
        <v/>
      </c>
      <c r="AY453" s="8">
        <f>IF(E453="금융","금융업 - 정의되지 않음",IF(AND(ISNUMBER(AW453),ISNUMBER(N453),ISNUMBER(O453),ISNUMBER(AV453)),"영업순이익+감가상각-설비투자-운전자본증감",IF(AND(ISNUMBER(P453),ISNUMBER(O453)),IF(ISNUMBER(Q453),"영업현금흐름-설비투자-주식보상비용","영업현금흐름-설비투자(주식보상비용 미태깅)"),"산출불가")))</f>
        <v/>
      </c>
      <c r="AZ453" s="19">
        <f>IF(AND(ISNUMBER(AX453),ISNUMBER(G453),G453&lt;&gt;0),AX453/G453,"")</f>
        <v/>
      </c>
      <c r="BA453" s="19">
        <f>IF(AND(ISNUMBER(AE453),ISNUMBER(G453),G453&lt;&gt;0),AE453/G453,"")</f>
        <v/>
      </c>
    </row>
    <row r="454">
      <c r="A454" s="8" t="inlineStr">
        <is>
          <t>GS</t>
        </is>
      </c>
      <c r="B454" s="8" t="inlineStr">
        <is>
          <t>GOLDMAN SACHS GROUP INC</t>
        </is>
      </c>
      <c r="C454" s="8" t="n">
        <v>2025</v>
      </c>
      <c r="D454" s="8" t="inlineStr">
        <is>
          <t>2025-12-31</t>
        </is>
      </c>
      <c r="E454" s="8" t="inlineStr">
        <is>
          <t>금융</t>
        </is>
      </c>
      <c r="F454" s="8" t="inlineStr">
        <is>
          <t>0000886982-26-000091</t>
        </is>
      </c>
      <c r="G454" s="15" t="n">
        <v>58.283</v>
      </c>
      <c r="H454" s="15" t="n">
        <v>21.852</v>
      </c>
      <c r="I454" s="15" t="n">
        <v>66.81399999999999</v>
      </c>
      <c r="J454" s="15" t="n">
        <v>4.676</v>
      </c>
      <c r="K454" s="15" t="n"/>
      <c r="L454" s="15" t="n">
        <v>17.176</v>
      </c>
      <c r="M454" s="15" t="n"/>
      <c r="N454" s="15" t="n">
        <v>2.182</v>
      </c>
      <c r="O454" s="15" t="n">
        <v>2.064</v>
      </c>
      <c r="P454" s="15" t="n">
        <v>-45.154</v>
      </c>
      <c r="Q454" s="15" t="n">
        <v>3.445</v>
      </c>
      <c r="R454" s="15" t="n">
        <v>124.972</v>
      </c>
      <c r="S454" s="15" t="n">
        <v>121.996</v>
      </c>
      <c r="T454" s="15" t="n">
        <v>164.259</v>
      </c>
      <c r="U454" s="15" t="n">
        <v>182.092</v>
      </c>
      <c r="V454" s="15" t="n"/>
      <c r="W454" s="15" t="n">
        <v>2.058</v>
      </c>
      <c r="X454" s="15" t="n"/>
      <c r="Y454" s="15" t="n"/>
      <c r="Z454" s="15" t="n"/>
      <c r="AA454" s="15" t="n"/>
      <c r="AB454" s="15" t="n"/>
      <c r="AC454" s="15" t="n"/>
      <c r="AD454" s="16" t="n">
        <v>296.476742</v>
      </c>
      <c r="AE454" s="17">
        <f>IF(ISNUMBER(K454),K454,IF(AND(ISNUMBER(H454),ISNUMBER(I454)),H454+I454,IF(ISNUMBER(H454),H454,"")))</f>
        <v/>
      </c>
      <c r="AF454" s="18">
        <f>IF(OR(NOT(ISNUMBER(J454)),NOT(ISNUMBER(H454)),H454&lt;=0),기준표!$B$8,MIN(MAX(J454/H454,기준표!$B$6),기준표!$B$7))</f>
        <v/>
      </c>
      <c r="AG454" s="17">
        <f>IF(ISNUMBER(AE454),AE454*(1-AF454),"")</f>
        <v/>
      </c>
      <c r="AH454" s="17">
        <f>IF(AND(NOT(ISNUMBER(V454)),NOT(ISNUMBER(X454))),"",IF(ISNUMBER(V454),V454,0)+IF(ISNUMBER(X454),X454,0))</f>
        <v/>
      </c>
      <c r="AI454" s="17">
        <f>IF(E454="금융","",IF(AND(ISNUMBER(R454),ISNUMBER(AH454),ISNUMBER(T454)),R454+AH454-T454,""))</f>
        <v/>
      </c>
      <c r="AJ454" s="17">
        <f>IF(E454="금융","",IF(NOT(ISNUMBER(AI454)),"",IF(ISNUMBER(AC454),(AI454+AC454)/2,AI454)))</f>
        <v/>
      </c>
      <c r="AK454" s="19">
        <f>IF(AND(ISNUMBER(AG454),ISNUMBER(AJ454),AJ454&gt;0),AG454/AJ454,"")</f>
        <v/>
      </c>
      <c r="AL454" s="17">
        <f>IF(E454="금융","",IF(AND(ISNUMBER(R454),ISNUMBER(AH454)),R454+AH454,""))</f>
        <v/>
      </c>
      <c r="AM454" s="19">
        <f>IF(OR(NOT(ISNUMBER(AG454)),NOT(ISNUMBER(AL454)),AL454&lt;=0),"",IF(AND(ISNUMBER(G454),AL454&lt;0.1*G454),"",AG454/AL454))</f>
        <v/>
      </c>
      <c r="AN454" s="17">
        <f>IF(NOT(ISNUMBER(R454)),"",IF(ISNUMBER(S454),(R454+S454)/2,R454))</f>
        <v/>
      </c>
      <c r="AO454" s="19">
        <f>IF(AND(ISNUMBER(L454),ISNUMBER(AN454),AN454&gt;0),L454/AN454,"")</f>
        <v/>
      </c>
      <c r="AP454" s="19">
        <f>IF(AND(ISNUMBER(AO454),ISNUMBER({ROIC})),AO454-{ROIC},"")</f>
        <v/>
      </c>
      <c r="AQ454" s="17">
        <f>IF(AND(ISNUMBER(AE454),ISNUMBER(N454)),AE454+N454,"")</f>
        <v/>
      </c>
      <c r="AR454" s="20">
        <f>IF(AND(ISNUMBER(AH454),ISNUMBER(T454),ISNUMBER(AQ454),AQ454&gt;0),(AH454-T454)/AQ454,"")</f>
        <v/>
      </c>
      <c r="AS454" s="20">
        <f>IF(AND(ISNUMBER(AE454),ISNUMBER(I454),I454&lt;&gt;0,AE454&gt;0),AE454/I454,"")</f>
        <v/>
      </c>
      <c r="AT454" s="17">
        <f>IF(AND(ISNUMBER(Y454),ISNUMBER(AA454)),Y454-IF(ISNUMBER(T454),T454,0)-(AA454-IF(ISNUMBER(V454),V454,0)),"")</f>
        <v/>
      </c>
      <c r="AU454" s="17">
        <f>IF(AND(ISNUMBER(Z454),ISNUMBER(AB454)),Z454-IF(ISNUMBER(U454),U454,0)-(AB454-IF(ISNUMBER(W454),W454,0)),"")</f>
        <v/>
      </c>
      <c r="AV454" s="17">
        <f>IF(AND(ISNUMBER(AT454),ISNUMBER(AU454)),AT454-AU454,"")</f>
        <v/>
      </c>
      <c r="AW454" s="17">
        <f>IF(AND(ISNUMBER(L454),ISNUMBER(M454),ISNUMBER(AF454)),L454-M454*(1-AF454),IF(ISNUMBER(L454),L454,""))</f>
        <v/>
      </c>
      <c r="AX454" s="17">
        <f>IF(E454="금융","",IF(AND(ISNUMBER(AW454),ISNUMBER(N454),ISNUMBER(O454),ISNUMBER(AV454)),AW454+N454-O454-AV454,IF(AND(ISNUMBER(P454),ISNUMBER(O454)),P454-O454-IF(ISNUMBER(Q454),Q454,0),"")))</f>
        <v/>
      </c>
      <c r="AY454" s="8">
        <f>IF(E454="금융","금융업 - 정의되지 않음",IF(AND(ISNUMBER(AW454),ISNUMBER(N454),ISNUMBER(O454),ISNUMBER(AV454)),"영업순이익+감가상각-설비투자-운전자본증감",IF(AND(ISNUMBER(P454),ISNUMBER(O454)),IF(ISNUMBER(Q454),"영업현금흐름-설비투자-주식보상비용","영업현금흐름-설비투자(주식보상비용 미태깅)"),"산출불가")))</f>
        <v/>
      </c>
      <c r="AZ454" s="19">
        <f>IF(AND(ISNUMBER(AX454),ISNUMBER(G454),G454&lt;&gt;0),AX454/G454,"")</f>
        <v/>
      </c>
      <c r="BA454" s="19">
        <f>IF(AND(ISNUMBER(AE454),ISNUMBER(G454),G454&lt;&gt;0),AE454/G454,"")</f>
        <v/>
      </c>
    </row>
    <row r="455">
      <c r="A455" s="8" t="inlineStr">
        <is>
          <t>RTX</t>
        </is>
      </c>
      <c r="B455" s="8" t="inlineStr">
        <is>
          <t>RTX Corp</t>
        </is>
      </c>
      <c r="C455" s="8" t="n">
        <v>2014</v>
      </c>
      <c r="D455" s="8" t="inlineStr">
        <is>
          <t>2014-12-31</t>
        </is>
      </c>
      <c r="E455" s="8" t="inlineStr">
        <is>
          <t>일반</t>
        </is>
      </c>
      <c r="F455" s="8" t="inlineStr">
        <is>
          <t>0000101829-17-000007</t>
        </is>
      </c>
      <c r="G455" s="15" t="n"/>
      <c r="H455" s="15" t="n">
        <v>8.712</v>
      </c>
      <c r="I455" s="15" t="n">
        <v>0.881</v>
      </c>
      <c r="J455" s="15" t="n">
        <v>2.244</v>
      </c>
      <c r="K455" s="15" t="n">
        <v>9.593</v>
      </c>
      <c r="L455" s="15" t="n">
        <v>6.22</v>
      </c>
      <c r="M455" s="15" t="n"/>
      <c r="N455" s="15" t="n">
        <v>1.82</v>
      </c>
      <c r="O455" s="15" t="n"/>
      <c r="P455" s="15" t="n">
        <v>7.336</v>
      </c>
      <c r="Q455" s="15" t="n">
        <v>0.219</v>
      </c>
      <c r="R455" s="15" t="n">
        <v>31.213</v>
      </c>
      <c r="S455" s="15" t="n"/>
      <c r="T455" s="15" t="n">
        <v>5.229</v>
      </c>
      <c r="U455" s="15" t="n"/>
      <c r="V455" s="15" t="n">
        <v>0.126</v>
      </c>
      <c r="W455" s="15" t="n"/>
      <c r="X455" s="15" t="n">
        <v>17.784</v>
      </c>
      <c r="Y455" s="15" t="n">
        <v>31.483</v>
      </c>
      <c r="Z455" s="15" t="n"/>
      <c r="AA455" s="15" t="n">
        <v>23.475</v>
      </c>
      <c r="AB455" s="15" t="n"/>
      <c r="AC455" s="15" t="n"/>
      <c r="AD455" s="16" t="n">
        <v>911.6</v>
      </c>
      <c r="AE455" s="17">
        <f>IF(ISNUMBER(K455),K455,IF(AND(ISNUMBER(H455),ISNUMBER(I455)),H455+I455,IF(ISNUMBER(H455),H455,"")))</f>
        <v/>
      </c>
      <c r="AF455" s="18">
        <f>IF(OR(NOT(ISNUMBER(J455)),NOT(ISNUMBER(H455)),H455&lt;=0),기준표!$B$8,MIN(MAX(J455/H455,기준표!$B$6),기준표!$B$7))</f>
        <v/>
      </c>
      <c r="AG455" s="17">
        <f>IF(ISNUMBER(AE455),AE455*(1-AF455),"")</f>
        <v/>
      </c>
      <c r="AH455" s="17">
        <f>IF(AND(NOT(ISNUMBER(V455)),NOT(ISNUMBER(X455))),"",IF(ISNUMBER(V455),V455,0)+IF(ISNUMBER(X455),X455,0))</f>
        <v/>
      </c>
      <c r="AI455" s="17">
        <f>IF(E455="금융","",IF(AND(ISNUMBER(R455),ISNUMBER(AH455),ISNUMBER(T455)),R455+AH455-T455,""))</f>
        <v/>
      </c>
      <c r="AJ455" s="17">
        <f>IF(E455="금융","",IF(NOT(ISNUMBER(AI455)),"",IF(ISNUMBER(AC455),(AI455+AC455)/2,AI455)))</f>
        <v/>
      </c>
      <c r="AK455" s="19">
        <f>IF(AND(ISNUMBER(AG455),ISNUMBER(AJ455),AJ455&gt;0),AG455/AJ455,"")</f>
        <v/>
      </c>
      <c r="AL455" s="17">
        <f>IF(E455="금융","",IF(AND(ISNUMBER(R455),ISNUMBER(AH455)),R455+AH455,""))</f>
        <v/>
      </c>
      <c r="AM455" s="19">
        <f>IF(OR(NOT(ISNUMBER(AG455)),NOT(ISNUMBER(AL455)),AL455&lt;=0),"",IF(AND(ISNUMBER(G455),AL455&lt;0.1*G455),"",AG455/AL455))</f>
        <v/>
      </c>
      <c r="AN455" s="17">
        <f>IF(NOT(ISNUMBER(R455)),"",IF(ISNUMBER(S455),(R455+S455)/2,R455))</f>
        <v/>
      </c>
      <c r="AO455" s="19">
        <f>IF(AND(ISNUMBER(L455),ISNUMBER(AN455),AN455&gt;0),L455/AN455,"")</f>
        <v/>
      </c>
      <c r="AP455" s="19">
        <f>IF(AND(ISNUMBER(AO455),ISNUMBER({ROIC})),AO455-{ROIC},"")</f>
        <v/>
      </c>
      <c r="AQ455" s="17">
        <f>IF(AND(ISNUMBER(AE455),ISNUMBER(N455)),AE455+N455,"")</f>
        <v/>
      </c>
      <c r="AR455" s="20">
        <f>IF(AND(ISNUMBER(AH455),ISNUMBER(T455),ISNUMBER(AQ455),AQ455&gt;0),(AH455-T455)/AQ455,"")</f>
        <v/>
      </c>
      <c r="AS455" s="20">
        <f>IF(AND(ISNUMBER(AE455),ISNUMBER(I455),I455&lt;&gt;0,AE455&gt;0),AE455/I455,"")</f>
        <v/>
      </c>
      <c r="AT455" s="17">
        <f>IF(AND(ISNUMBER(Y455),ISNUMBER(AA455)),Y455-IF(ISNUMBER(T455),T455,0)-(AA455-IF(ISNUMBER(V455),V455,0)),"")</f>
        <v/>
      </c>
      <c r="AU455" s="17">
        <f>IF(AND(ISNUMBER(Z455),ISNUMBER(AB455)),Z455-IF(ISNUMBER(U455),U455,0)-(AB455-IF(ISNUMBER(W455),W455,0)),"")</f>
        <v/>
      </c>
      <c r="AV455" s="17">
        <f>IF(AND(ISNUMBER(AT455),ISNUMBER(AU455)),AT455-AU455,"")</f>
        <v/>
      </c>
      <c r="AW455" s="17">
        <f>IF(AND(ISNUMBER(L455),ISNUMBER(M455),ISNUMBER(AF455)),L455-M455*(1-AF455),IF(ISNUMBER(L455),L455,""))</f>
        <v/>
      </c>
      <c r="AX455" s="17">
        <f>IF(E455="금융","",IF(AND(ISNUMBER(AW455),ISNUMBER(N455),ISNUMBER(O455),ISNUMBER(AV455)),AW455+N455-O455-AV455,IF(AND(ISNUMBER(P455),ISNUMBER(O455)),P455-O455-IF(ISNUMBER(Q455),Q455,0),"")))</f>
        <v/>
      </c>
      <c r="AY455" s="8">
        <f>IF(E455="금융","금융업 - 정의되지 않음",IF(AND(ISNUMBER(AW455),ISNUMBER(N455),ISNUMBER(O455),ISNUMBER(AV455)),"영업순이익+감가상각-설비투자-운전자본증감",IF(AND(ISNUMBER(P455),ISNUMBER(O455)),IF(ISNUMBER(Q455),"영업현금흐름-설비투자-주식보상비용","영업현금흐름-설비투자(주식보상비용 미태깅)"),"산출불가")))</f>
        <v/>
      </c>
      <c r="AZ455" s="19">
        <f>IF(AND(ISNUMBER(AX455),ISNUMBER(G455),G455&lt;&gt;0),AX455/G455,"")</f>
        <v/>
      </c>
      <c r="BA455" s="19">
        <f>IF(AND(ISNUMBER(AE455),ISNUMBER(G455),G455&lt;&gt;0),AE455/G455,"")</f>
        <v/>
      </c>
    </row>
    <row r="456">
      <c r="A456" s="8" t="inlineStr">
        <is>
          <t>RTX</t>
        </is>
      </c>
      <c r="B456" s="8" t="inlineStr">
        <is>
          <t>RTX Corp</t>
        </is>
      </c>
      <c r="C456" s="8" t="n">
        <v>2015</v>
      </c>
      <c r="D456" s="8" t="inlineStr">
        <is>
          <t>2015-12-31</t>
        </is>
      </c>
      <c r="E456" s="8" t="inlineStr">
        <is>
          <t>일반</t>
        </is>
      </c>
      <c r="F456" s="8" t="inlineStr">
        <is>
          <t>0000101829-18-000005</t>
        </is>
      </c>
      <c r="G456" s="15" t="n"/>
      <c r="H456" s="15" t="n">
        <v>6.467</v>
      </c>
      <c r="I456" s="15" t="n">
        <v>0.824</v>
      </c>
      <c r="J456" s="15" t="n">
        <v>2.111</v>
      </c>
      <c r="K456" s="15" t="n">
        <v>7.291</v>
      </c>
      <c r="L456" s="15" t="n">
        <v>7.608</v>
      </c>
      <c r="M456" s="15" t="n"/>
      <c r="N456" s="15" t="n">
        <v>1.863</v>
      </c>
      <c r="O456" s="15" t="n"/>
      <c r="P456" s="15" t="n"/>
      <c r="Q456" s="15" t="n">
        <v>0.158</v>
      </c>
      <c r="R456" s="15" t="n">
        <v>27.358</v>
      </c>
      <c r="S456" s="15" t="n">
        <v>31.213</v>
      </c>
      <c r="T456" s="15" t="n">
        <v>7.075</v>
      </c>
      <c r="U456" s="15" t="n">
        <v>5.229</v>
      </c>
      <c r="V456" s="15" t="n">
        <v>0.926</v>
      </c>
      <c r="W456" s="15" t="n">
        <v>0.126</v>
      </c>
      <c r="X456" s="15" t="n">
        <v>19.32</v>
      </c>
      <c r="Y456" s="15" t="n">
        <v>26.706</v>
      </c>
      <c r="Z456" s="15" t="n">
        <v>31.483</v>
      </c>
      <c r="AA456" s="15" t="n">
        <v>22.618</v>
      </c>
      <c r="AB456" s="15" t="n">
        <v>23.475</v>
      </c>
      <c r="AC456" s="15" t="n">
        <v>43.894</v>
      </c>
      <c r="AD456" s="16" t="n">
        <v>883.2</v>
      </c>
      <c r="AE456" s="17">
        <f>IF(ISNUMBER(K456),K456,IF(AND(ISNUMBER(H456),ISNUMBER(I456)),H456+I456,IF(ISNUMBER(H456),H456,"")))</f>
        <v/>
      </c>
      <c r="AF456" s="18">
        <f>IF(OR(NOT(ISNUMBER(J456)),NOT(ISNUMBER(H456)),H456&lt;=0),기준표!$B$8,MIN(MAX(J456/H456,기준표!$B$6),기준표!$B$7))</f>
        <v/>
      </c>
      <c r="AG456" s="17">
        <f>IF(ISNUMBER(AE456),AE456*(1-AF456),"")</f>
        <v/>
      </c>
      <c r="AH456" s="17">
        <f>IF(AND(NOT(ISNUMBER(V456)),NOT(ISNUMBER(X456))),"",IF(ISNUMBER(V456),V456,0)+IF(ISNUMBER(X456),X456,0))</f>
        <v/>
      </c>
      <c r="AI456" s="17">
        <f>IF(E456="금융","",IF(AND(ISNUMBER(R456),ISNUMBER(AH456),ISNUMBER(T456)),R456+AH456-T456,""))</f>
        <v/>
      </c>
      <c r="AJ456" s="17">
        <f>IF(E456="금융","",IF(NOT(ISNUMBER(AI456)),"",IF(ISNUMBER(AC456),(AI456+AC456)/2,AI456)))</f>
        <v/>
      </c>
      <c r="AK456" s="19">
        <f>IF(AND(ISNUMBER(AG456),ISNUMBER(AJ456),AJ456&gt;0),AG456/AJ456,"")</f>
        <v/>
      </c>
      <c r="AL456" s="17">
        <f>IF(E456="금융","",IF(AND(ISNUMBER(R456),ISNUMBER(AH456)),R456+AH456,""))</f>
        <v/>
      </c>
      <c r="AM456" s="19">
        <f>IF(OR(NOT(ISNUMBER(AG456)),NOT(ISNUMBER(AL456)),AL456&lt;=0),"",IF(AND(ISNUMBER(G456),AL456&lt;0.1*G456),"",AG456/AL456))</f>
        <v/>
      </c>
      <c r="AN456" s="17">
        <f>IF(NOT(ISNUMBER(R456)),"",IF(ISNUMBER(S456),(R456+S456)/2,R456))</f>
        <v/>
      </c>
      <c r="AO456" s="19">
        <f>IF(AND(ISNUMBER(L456),ISNUMBER(AN456),AN456&gt;0),L456/AN456,"")</f>
        <v/>
      </c>
      <c r="AP456" s="19">
        <f>IF(AND(ISNUMBER(AO456),ISNUMBER({ROIC})),AO456-{ROIC},"")</f>
        <v/>
      </c>
      <c r="AQ456" s="17">
        <f>IF(AND(ISNUMBER(AE456),ISNUMBER(N456)),AE456+N456,"")</f>
        <v/>
      </c>
      <c r="AR456" s="20">
        <f>IF(AND(ISNUMBER(AH456),ISNUMBER(T456),ISNUMBER(AQ456),AQ456&gt;0),(AH456-T456)/AQ456,"")</f>
        <v/>
      </c>
      <c r="AS456" s="20">
        <f>IF(AND(ISNUMBER(AE456),ISNUMBER(I456),I456&lt;&gt;0,AE456&gt;0),AE456/I456,"")</f>
        <v/>
      </c>
      <c r="AT456" s="17">
        <f>IF(AND(ISNUMBER(Y456),ISNUMBER(AA456)),Y456-IF(ISNUMBER(T456),T456,0)-(AA456-IF(ISNUMBER(V456),V456,0)),"")</f>
        <v/>
      </c>
      <c r="AU456" s="17">
        <f>IF(AND(ISNUMBER(Z456),ISNUMBER(AB456)),Z456-IF(ISNUMBER(U456),U456,0)-(AB456-IF(ISNUMBER(W456),W456,0)),"")</f>
        <v/>
      </c>
      <c r="AV456" s="17">
        <f>IF(AND(ISNUMBER(AT456),ISNUMBER(AU456)),AT456-AU456,"")</f>
        <v/>
      </c>
      <c r="AW456" s="17">
        <f>IF(AND(ISNUMBER(L456),ISNUMBER(M456),ISNUMBER(AF456)),L456-M456*(1-AF456),IF(ISNUMBER(L456),L456,""))</f>
        <v/>
      </c>
      <c r="AX456" s="17">
        <f>IF(E456="금융","",IF(AND(ISNUMBER(AW456),ISNUMBER(N456),ISNUMBER(O456),ISNUMBER(AV456)),AW456+N456-O456-AV456,IF(AND(ISNUMBER(P456),ISNUMBER(O456)),P456-O456-IF(ISNUMBER(Q456),Q456,0),"")))</f>
        <v/>
      </c>
      <c r="AY456" s="8">
        <f>IF(E456="금융","금융업 - 정의되지 않음",IF(AND(ISNUMBER(AW456),ISNUMBER(N456),ISNUMBER(O456),ISNUMBER(AV456)),"영업순이익+감가상각-설비투자-운전자본증감",IF(AND(ISNUMBER(P456),ISNUMBER(O456)),IF(ISNUMBER(Q456),"영업현금흐름-설비투자-주식보상비용","영업현금흐름-설비투자(주식보상비용 미태깅)"),"산출불가")))</f>
        <v/>
      </c>
      <c r="AZ456" s="19">
        <f>IF(AND(ISNUMBER(AX456),ISNUMBER(G456),G456&lt;&gt;0),AX456/G456,"")</f>
        <v/>
      </c>
      <c r="BA456" s="19">
        <f>IF(AND(ISNUMBER(AE456),ISNUMBER(G456),G456&lt;&gt;0),AE456/G456,"")</f>
        <v/>
      </c>
    </row>
    <row r="457">
      <c r="A457" s="8" t="inlineStr">
        <is>
          <t>RTX</t>
        </is>
      </c>
      <c r="B457" s="8" t="inlineStr">
        <is>
          <t>RTX Corp</t>
        </is>
      </c>
      <c r="C457" s="8" t="n">
        <v>2016</v>
      </c>
      <c r="D457" s="8" t="inlineStr">
        <is>
          <t>2016-12-31</t>
        </is>
      </c>
      <c r="E457" s="8" t="inlineStr">
        <is>
          <t>일반</t>
        </is>
      </c>
      <c r="F457" s="8" t="inlineStr">
        <is>
          <t>0000101829-19-000007</t>
        </is>
      </c>
      <c r="G457" s="15" t="n"/>
      <c r="H457" s="15" t="n">
        <v>7.133</v>
      </c>
      <c r="I457" s="15" t="n">
        <v>1.039</v>
      </c>
      <c r="J457" s="15" t="n">
        <v>1.697</v>
      </c>
      <c r="K457" s="15" t="n">
        <v>8.221</v>
      </c>
      <c r="L457" s="15" t="n">
        <v>5.055</v>
      </c>
      <c r="M457" s="15" t="n"/>
      <c r="N457" s="15" t="n">
        <v>1.962</v>
      </c>
      <c r="O457" s="15" t="n"/>
      <c r="P457" s="15" t="n"/>
      <c r="Q457" s="15" t="n">
        <v>0.152</v>
      </c>
      <c r="R457" s="15" t="n">
        <v>27.579</v>
      </c>
      <c r="S457" s="15" t="n">
        <v>27.358</v>
      </c>
      <c r="T457" s="15" t="n">
        <v>7.157</v>
      </c>
      <c r="U457" s="15" t="n">
        <v>7.075</v>
      </c>
      <c r="V457" s="15" t="n">
        <v>0.601</v>
      </c>
      <c r="W457" s="15" t="n">
        <v>0.926</v>
      </c>
      <c r="X457" s="15" t="n">
        <v>21.697</v>
      </c>
      <c r="Y457" s="15" t="n">
        <v>28.55</v>
      </c>
      <c r="Z457" s="15" t="n">
        <v>26.706</v>
      </c>
      <c r="AA457" s="15" t="n">
        <v>21.906</v>
      </c>
      <c r="AB457" s="15" t="n">
        <v>22.618</v>
      </c>
      <c r="AC457" s="15" t="n">
        <v>40.529</v>
      </c>
      <c r="AD457" s="16" t="n">
        <v>826.1</v>
      </c>
      <c r="AE457" s="17">
        <f>IF(ISNUMBER(K457),K457,IF(AND(ISNUMBER(H457),ISNUMBER(I457)),H457+I457,IF(ISNUMBER(H457),H457,"")))</f>
        <v/>
      </c>
      <c r="AF457" s="18">
        <f>IF(OR(NOT(ISNUMBER(J457)),NOT(ISNUMBER(H457)),H457&lt;=0),기준표!$B$8,MIN(MAX(J457/H457,기준표!$B$6),기준표!$B$7))</f>
        <v/>
      </c>
      <c r="AG457" s="17">
        <f>IF(ISNUMBER(AE457),AE457*(1-AF457),"")</f>
        <v/>
      </c>
      <c r="AH457" s="17">
        <f>IF(AND(NOT(ISNUMBER(V457)),NOT(ISNUMBER(X457))),"",IF(ISNUMBER(V457),V457,0)+IF(ISNUMBER(X457),X457,0))</f>
        <v/>
      </c>
      <c r="AI457" s="17">
        <f>IF(E457="금융","",IF(AND(ISNUMBER(R457),ISNUMBER(AH457),ISNUMBER(T457)),R457+AH457-T457,""))</f>
        <v/>
      </c>
      <c r="AJ457" s="17">
        <f>IF(E457="금융","",IF(NOT(ISNUMBER(AI457)),"",IF(ISNUMBER(AC457),(AI457+AC457)/2,AI457)))</f>
        <v/>
      </c>
      <c r="AK457" s="19">
        <f>IF(AND(ISNUMBER(AG457),ISNUMBER(AJ457),AJ457&gt;0),AG457/AJ457,"")</f>
        <v/>
      </c>
      <c r="AL457" s="17">
        <f>IF(E457="금융","",IF(AND(ISNUMBER(R457),ISNUMBER(AH457)),R457+AH457,""))</f>
        <v/>
      </c>
      <c r="AM457" s="19">
        <f>IF(OR(NOT(ISNUMBER(AG457)),NOT(ISNUMBER(AL457)),AL457&lt;=0),"",IF(AND(ISNUMBER(G457),AL457&lt;0.1*G457),"",AG457/AL457))</f>
        <v/>
      </c>
      <c r="AN457" s="17">
        <f>IF(NOT(ISNUMBER(R457)),"",IF(ISNUMBER(S457),(R457+S457)/2,R457))</f>
        <v/>
      </c>
      <c r="AO457" s="19">
        <f>IF(AND(ISNUMBER(L457),ISNUMBER(AN457),AN457&gt;0),L457/AN457,"")</f>
        <v/>
      </c>
      <c r="AP457" s="19">
        <f>IF(AND(ISNUMBER(AO457),ISNUMBER({ROIC})),AO457-{ROIC},"")</f>
        <v/>
      </c>
      <c r="AQ457" s="17">
        <f>IF(AND(ISNUMBER(AE457),ISNUMBER(N457)),AE457+N457,"")</f>
        <v/>
      </c>
      <c r="AR457" s="20">
        <f>IF(AND(ISNUMBER(AH457),ISNUMBER(T457),ISNUMBER(AQ457),AQ457&gt;0),(AH457-T457)/AQ457,"")</f>
        <v/>
      </c>
      <c r="AS457" s="20">
        <f>IF(AND(ISNUMBER(AE457),ISNUMBER(I457),I457&lt;&gt;0,AE457&gt;0),AE457/I457,"")</f>
        <v/>
      </c>
      <c r="AT457" s="17">
        <f>IF(AND(ISNUMBER(Y457),ISNUMBER(AA457)),Y457-IF(ISNUMBER(T457),T457,0)-(AA457-IF(ISNUMBER(V457),V457,0)),"")</f>
        <v/>
      </c>
      <c r="AU457" s="17">
        <f>IF(AND(ISNUMBER(Z457),ISNUMBER(AB457)),Z457-IF(ISNUMBER(U457),U457,0)-(AB457-IF(ISNUMBER(W457),W457,0)),"")</f>
        <v/>
      </c>
      <c r="AV457" s="17">
        <f>IF(AND(ISNUMBER(AT457),ISNUMBER(AU457)),AT457-AU457,"")</f>
        <v/>
      </c>
      <c r="AW457" s="17">
        <f>IF(AND(ISNUMBER(L457),ISNUMBER(M457),ISNUMBER(AF457)),L457-M457*(1-AF457),IF(ISNUMBER(L457),L457,""))</f>
        <v/>
      </c>
      <c r="AX457" s="17">
        <f>IF(E457="금융","",IF(AND(ISNUMBER(AW457),ISNUMBER(N457),ISNUMBER(O457),ISNUMBER(AV457)),AW457+N457-O457-AV457,IF(AND(ISNUMBER(P457),ISNUMBER(O457)),P457-O457-IF(ISNUMBER(Q457),Q457,0),"")))</f>
        <v/>
      </c>
      <c r="AY457" s="8">
        <f>IF(E457="금융","금융업 - 정의되지 않음",IF(AND(ISNUMBER(AW457),ISNUMBER(N457),ISNUMBER(O457),ISNUMBER(AV457)),"영업순이익+감가상각-설비투자-운전자본증감",IF(AND(ISNUMBER(P457),ISNUMBER(O457)),IF(ISNUMBER(Q457),"영업현금흐름-설비투자-주식보상비용","영업현금흐름-설비투자(주식보상비용 미태깅)"),"산출불가")))</f>
        <v/>
      </c>
      <c r="AZ457" s="19">
        <f>IF(AND(ISNUMBER(AX457),ISNUMBER(G457),G457&lt;&gt;0),AX457/G457,"")</f>
        <v/>
      </c>
      <c r="BA457" s="19">
        <f>IF(AND(ISNUMBER(AE457),ISNUMBER(G457),G457&lt;&gt;0),AE457/G457,"")</f>
        <v/>
      </c>
    </row>
    <row r="458">
      <c r="A458" s="8" t="inlineStr">
        <is>
          <t>RTX</t>
        </is>
      </c>
      <c r="B458" s="8" t="inlineStr">
        <is>
          <t>RTX Corp</t>
        </is>
      </c>
      <c r="C458" s="8" t="n">
        <v>2017</v>
      </c>
      <c r="D458" s="8" t="inlineStr">
        <is>
          <t>2017-12-31</t>
        </is>
      </c>
      <c r="E458" s="8" t="inlineStr">
        <is>
          <t>일반</t>
        </is>
      </c>
      <c r="F458" s="8" t="inlineStr">
        <is>
          <t>0000101829-20-000013</t>
        </is>
      </c>
      <c r="G458" s="15" t="n"/>
      <c r="H458" s="15" t="n">
        <v>7.763</v>
      </c>
      <c r="I458" s="15" t="n">
        <v>0.909</v>
      </c>
      <c r="J458" s="15" t="n">
        <v>2.843</v>
      </c>
      <c r="K458" s="15" t="n">
        <v>8.138</v>
      </c>
      <c r="L458" s="15" t="n">
        <v>4.552</v>
      </c>
      <c r="M458" s="15" t="n"/>
      <c r="N458" s="15" t="n">
        <v>2.14</v>
      </c>
      <c r="O458" s="15" t="n"/>
      <c r="P458" s="15" t="n"/>
      <c r="Q458" s="15" t="n">
        <v>0.192</v>
      </c>
      <c r="R458" s="15" t="n">
        <v>29.61</v>
      </c>
      <c r="S458" s="15" t="n">
        <v>27.579</v>
      </c>
      <c r="T458" s="15" t="n">
        <v>8.984999999999999</v>
      </c>
      <c r="U458" s="15" t="n">
        <v>7.157</v>
      </c>
      <c r="V458" s="15" t="n">
        <v>0.392</v>
      </c>
      <c r="W458" s="15" t="n">
        <v>0.601</v>
      </c>
      <c r="X458" s="15" t="n">
        <v>24.989</v>
      </c>
      <c r="Y458" s="15" t="n">
        <v>32.858</v>
      </c>
      <c r="Z458" s="15" t="n">
        <v>28.55</v>
      </c>
      <c r="AA458" s="15" t="n">
        <v>24.391</v>
      </c>
      <c r="AB458" s="15" t="n">
        <v>21.906</v>
      </c>
      <c r="AC458" s="15" t="n">
        <v>42.72</v>
      </c>
      <c r="AD458" s="16" t="n">
        <v>799.1</v>
      </c>
      <c r="AE458" s="17">
        <f>IF(ISNUMBER(K458),K458,IF(AND(ISNUMBER(H458),ISNUMBER(I458)),H458+I458,IF(ISNUMBER(H458),H458,"")))</f>
        <v/>
      </c>
      <c r="AF458" s="18">
        <f>IF(OR(NOT(ISNUMBER(J458)),NOT(ISNUMBER(H458)),H458&lt;=0),기준표!$B$8,MIN(MAX(J458/H458,기준표!$B$6),기준표!$B$7))</f>
        <v/>
      </c>
      <c r="AG458" s="17">
        <f>IF(ISNUMBER(AE458),AE458*(1-AF458),"")</f>
        <v/>
      </c>
      <c r="AH458" s="17">
        <f>IF(AND(NOT(ISNUMBER(V458)),NOT(ISNUMBER(X458))),"",IF(ISNUMBER(V458),V458,0)+IF(ISNUMBER(X458),X458,0))</f>
        <v/>
      </c>
      <c r="AI458" s="17">
        <f>IF(E458="금융","",IF(AND(ISNUMBER(R458),ISNUMBER(AH458),ISNUMBER(T458)),R458+AH458-T458,""))</f>
        <v/>
      </c>
      <c r="AJ458" s="17">
        <f>IF(E458="금융","",IF(NOT(ISNUMBER(AI458)),"",IF(ISNUMBER(AC458),(AI458+AC458)/2,AI458)))</f>
        <v/>
      </c>
      <c r="AK458" s="19">
        <f>IF(AND(ISNUMBER(AG458),ISNUMBER(AJ458),AJ458&gt;0),AG458/AJ458,"")</f>
        <v/>
      </c>
      <c r="AL458" s="17">
        <f>IF(E458="금융","",IF(AND(ISNUMBER(R458),ISNUMBER(AH458)),R458+AH458,""))</f>
        <v/>
      </c>
      <c r="AM458" s="19">
        <f>IF(OR(NOT(ISNUMBER(AG458)),NOT(ISNUMBER(AL458)),AL458&lt;=0),"",IF(AND(ISNUMBER(G458),AL458&lt;0.1*G458),"",AG458/AL458))</f>
        <v/>
      </c>
      <c r="AN458" s="17">
        <f>IF(NOT(ISNUMBER(R458)),"",IF(ISNUMBER(S458),(R458+S458)/2,R458))</f>
        <v/>
      </c>
      <c r="AO458" s="19">
        <f>IF(AND(ISNUMBER(L458),ISNUMBER(AN458),AN458&gt;0),L458/AN458,"")</f>
        <v/>
      </c>
      <c r="AP458" s="19">
        <f>IF(AND(ISNUMBER(AO458),ISNUMBER({ROIC})),AO458-{ROIC},"")</f>
        <v/>
      </c>
      <c r="AQ458" s="17">
        <f>IF(AND(ISNUMBER(AE458),ISNUMBER(N458)),AE458+N458,"")</f>
        <v/>
      </c>
      <c r="AR458" s="20">
        <f>IF(AND(ISNUMBER(AH458),ISNUMBER(T458),ISNUMBER(AQ458),AQ458&gt;0),(AH458-T458)/AQ458,"")</f>
        <v/>
      </c>
      <c r="AS458" s="20">
        <f>IF(AND(ISNUMBER(AE458),ISNUMBER(I458),I458&lt;&gt;0,AE458&gt;0),AE458/I458,"")</f>
        <v/>
      </c>
      <c r="AT458" s="17">
        <f>IF(AND(ISNUMBER(Y458),ISNUMBER(AA458)),Y458-IF(ISNUMBER(T458),T458,0)-(AA458-IF(ISNUMBER(V458),V458,0)),"")</f>
        <v/>
      </c>
      <c r="AU458" s="17">
        <f>IF(AND(ISNUMBER(Z458),ISNUMBER(AB458)),Z458-IF(ISNUMBER(U458),U458,0)-(AB458-IF(ISNUMBER(W458),W458,0)),"")</f>
        <v/>
      </c>
      <c r="AV458" s="17">
        <f>IF(AND(ISNUMBER(AT458),ISNUMBER(AU458)),AT458-AU458,"")</f>
        <v/>
      </c>
      <c r="AW458" s="17">
        <f>IF(AND(ISNUMBER(L458),ISNUMBER(M458),ISNUMBER(AF458)),L458-M458*(1-AF458),IF(ISNUMBER(L458),L458,""))</f>
        <v/>
      </c>
      <c r="AX458" s="17">
        <f>IF(E458="금융","",IF(AND(ISNUMBER(AW458),ISNUMBER(N458),ISNUMBER(O458),ISNUMBER(AV458)),AW458+N458-O458-AV458,IF(AND(ISNUMBER(P458),ISNUMBER(O458)),P458-O458-IF(ISNUMBER(Q458),Q458,0),"")))</f>
        <v/>
      </c>
      <c r="AY458" s="8">
        <f>IF(E458="금융","금융업 - 정의되지 않음",IF(AND(ISNUMBER(AW458),ISNUMBER(N458),ISNUMBER(O458),ISNUMBER(AV458)),"영업순이익+감가상각-설비투자-운전자본증감",IF(AND(ISNUMBER(P458),ISNUMBER(O458)),IF(ISNUMBER(Q458),"영업현금흐름-설비투자-주식보상비용","영업현금흐름-설비투자(주식보상비용 미태깅)"),"산출불가")))</f>
        <v/>
      </c>
      <c r="AZ458" s="19">
        <f>IF(AND(ISNUMBER(AX458),ISNUMBER(G458),G458&lt;&gt;0),AX458/G458,"")</f>
        <v/>
      </c>
      <c r="BA458" s="19">
        <f>IF(AND(ISNUMBER(AE458),ISNUMBER(G458),G458&lt;&gt;0),AE458/G458,"")</f>
        <v/>
      </c>
    </row>
    <row r="459">
      <c r="A459" s="8" t="inlineStr">
        <is>
          <t>RTX</t>
        </is>
      </c>
      <c r="B459" s="8" t="inlineStr">
        <is>
          <t>RTX Corp</t>
        </is>
      </c>
      <c r="C459" s="8" t="n">
        <v>2018</v>
      </c>
      <c r="D459" s="8" t="inlineStr">
        <is>
          <t>2018-12-31</t>
        </is>
      </c>
      <c r="E459" s="8" t="inlineStr">
        <is>
          <t>일반</t>
        </is>
      </c>
      <c r="F459" s="8" t="inlineStr">
        <is>
          <t>0000101829-21-000008</t>
        </is>
      </c>
      <c r="G459" s="15" t="n"/>
      <c r="H459" s="15" t="n">
        <v>2.504</v>
      </c>
      <c r="I459" s="15" t="n">
        <v>1.032</v>
      </c>
      <c r="J459" s="15" t="n">
        <v>1.098</v>
      </c>
      <c r="K459" s="15" t="n">
        <v>2.877</v>
      </c>
      <c r="L459" s="15" t="n">
        <v>5.269</v>
      </c>
      <c r="M459" s="15" t="n"/>
      <c r="N459" s="15" t="n">
        <v>1.896</v>
      </c>
      <c r="O459" s="15" t="n"/>
      <c r="P459" s="15" t="n"/>
      <c r="Q459" s="15" t="n">
        <v>0.169</v>
      </c>
      <c r="R459" s="15" t="n">
        <v>38.446</v>
      </c>
      <c r="S459" s="15" t="n">
        <v>29.61</v>
      </c>
      <c r="T459" s="15" t="n">
        <v>3.693</v>
      </c>
      <c r="U459" s="15" t="n">
        <v>8.984999999999999</v>
      </c>
      <c r="V459" s="15" t="n">
        <v>1.469</v>
      </c>
      <c r="W459" s="15" t="n">
        <v>0.392</v>
      </c>
      <c r="X459" s="15" t="n">
        <v>41.192</v>
      </c>
      <c r="Y459" s="15" t="n">
        <v>35.503</v>
      </c>
      <c r="Z459" s="15" t="n">
        <v>32.858</v>
      </c>
      <c r="AA459" s="15" t="n">
        <v>31.368</v>
      </c>
      <c r="AB459" s="15" t="n">
        <v>24.391</v>
      </c>
      <c r="AC459" s="15" t="n">
        <v>46.006</v>
      </c>
      <c r="AD459" s="16" t="n">
        <v>810.1</v>
      </c>
      <c r="AE459" s="17">
        <f>IF(ISNUMBER(K459),K459,IF(AND(ISNUMBER(H459),ISNUMBER(I459)),H459+I459,IF(ISNUMBER(H459),H459,"")))</f>
        <v/>
      </c>
      <c r="AF459" s="18">
        <f>IF(OR(NOT(ISNUMBER(J459)),NOT(ISNUMBER(H459)),H459&lt;=0),기준표!$B$8,MIN(MAX(J459/H459,기준표!$B$6),기준표!$B$7))</f>
        <v/>
      </c>
      <c r="AG459" s="17">
        <f>IF(ISNUMBER(AE459),AE459*(1-AF459),"")</f>
        <v/>
      </c>
      <c r="AH459" s="17">
        <f>IF(AND(NOT(ISNUMBER(V459)),NOT(ISNUMBER(X459))),"",IF(ISNUMBER(V459),V459,0)+IF(ISNUMBER(X459),X459,0))</f>
        <v/>
      </c>
      <c r="AI459" s="17">
        <f>IF(E459="금융","",IF(AND(ISNUMBER(R459),ISNUMBER(AH459),ISNUMBER(T459)),R459+AH459-T459,""))</f>
        <v/>
      </c>
      <c r="AJ459" s="17">
        <f>IF(E459="금융","",IF(NOT(ISNUMBER(AI459)),"",IF(ISNUMBER(AC459),(AI459+AC459)/2,AI459)))</f>
        <v/>
      </c>
      <c r="AK459" s="19">
        <f>IF(AND(ISNUMBER(AG459),ISNUMBER(AJ459),AJ459&gt;0),AG459/AJ459,"")</f>
        <v/>
      </c>
      <c r="AL459" s="17">
        <f>IF(E459="금융","",IF(AND(ISNUMBER(R459),ISNUMBER(AH459)),R459+AH459,""))</f>
        <v/>
      </c>
      <c r="AM459" s="19">
        <f>IF(OR(NOT(ISNUMBER(AG459)),NOT(ISNUMBER(AL459)),AL459&lt;=0),"",IF(AND(ISNUMBER(G459),AL459&lt;0.1*G459),"",AG459/AL459))</f>
        <v/>
      </c>
      <c r="AN459" s="17">
        <f>IF(NOT(ISNUMBER(R459)),"",IF(ISNUMBER(S459),(R459+S459)/2,R459))</f>
        <v/>
      </c>
      <c r="AO459" s="19">
        <f>IF(AND(ISNUMBER(L459),ISNUMBER(AN459),AN459&gt;0),L459/AN459,"")</f>
        <v/>
      </c>
      <c r="AP459" s="19">
        <f>IF(AND(ISNUMBER(AO459),ISNUMBER({ROIC})),AO459-{ROIC},"")</f>
        <v/>
      </c>
      <c r="AQ459" s="17">
        <f>IF(AND(ISNUMBER(AE459),ISNUMBER(N459)),AE459+N459,"")</f>
        <v/>
      </c>
      <c r="AR459" s="20">
        <f>IF(AND(ISNUMBER(AH459),ISNUMBER(T459),ISNUMBER(AQ459),AQ459&gt;0),(AH459-T459)/AQ459,"")</f>
        <v/>
      </c>
      <c r="AS459" s="20">
        <f>IF(AND(ISNUMBER(AE459),ISNUMBER(I459),I459&lt;&gt;0,AE459&gt;0),AE459/I459,"")</f>
        <v/>
      </c>
      <c r="AT459" s="17">
        <f>IF(AND(ISNUMBER(Y459),ISNUMBER(AA459)),Y459-IF(ISNUMBER(T459),T459,0)-(AA459-IF(ISNUMBER(V459),V459,0)),"")</f>
        <v/>
      </c>
      <c r="AU459" s="17">
        <f>IF(AND(ISNUMBER(Z459),ISNUMBER(AB459)),Z459-IF(ISNUMBER(U459),U459,0)-(AB459-IF(ISNUMBER(W459),W459,0)),"")</f>
        <v/>
      </c>
      <c r="AV459" s="17">
        <f>IF(AND(ISNUMBER(AT459),ISNUMBER(AU459)),AT459-AU459,"")</f>
        <v/>
      </c>
      <c r="AW459" s="17">
        <f>IF(AND(ISNUMBER(L459),ISNUMBER(M459),ISNUMBER(AF459)),L459-M459*(1-AF459),IF(ISNUMBER(L459),L459,""))</f>
        <v/>
      </c>
      <c r="AX459" s="17">
        <f>IF(E459="금융","",IF(AND(ISNUMBER(AW459),ISNUMBER(N459),ISNUMBER(O459),ISNUMBER(AV459)),AW459+N459-O459-AV459,IF(AND(ISNUMBER(P459),ISNUMBER(O459)),P459-O459-IF(ISNUMBER(Q459),Q459,0),"")))</f>
        <v/>
      </c>
      <c r="AY459" s="8">
        <f>IF(E459="금융","금융업 - 정의되지 않음",IF(AND(ISNUMBER(AW459),ISNUMBER(N459),ISNUMBER(O459),ISNUMBER(AV459)),"영업순이익+감가상각-설비투자-운전자본증감",IF(AND(ISNUMBER(P459),ISNUMBER(O459)),IF(ISNUMBER(Q459),"영업현금흐름-설비투자-주식보상비용","영업현금흐름-설비투자(주식보상비용 미태깅)"),"산출불가")))</f>
        <v/>
      </c>
      <c r="AZ459" s="19">
        <f>IF(AND(ISNUMBER(AX459),ISNUMBER(G459),G459&lt;&gt;0),AX459/G459,"")</f>
        <v/>
      </c>
      <c r="BA459" s="19">
        <f>IF(AND(ISNUMBER(AE459),ISNUMBER(G459),G459&lt;&gt;0),AE459/G459,"")</f>
        <v/>
      </c>
    </row>
    <row r="460">
      <c r="A460" s="8" t="inlineStr">
        <is>
          <t>RTX</t>
        </is>
      </c>
      <c r="B460" s="8" t="inlineStr">
        <is>
          <t>RTX Corp</t>
        </is>
      </c>
      <c r="C460" s="8" t="n">
        <v>2019</v>
      </c>
      <c r="D460" s="8" t="inlineStr">
        <is>
          <t>2019-12-31</t>
        </is>
      </c>
      <c r="E460" s="8" t="inlineStr">
        <is>
          <t>일반</t>
        </is>
      </c>
      <c r="F460" s="8" t="inlineStr">
        <is>
          <t>0000101829-22-000005</t>
        </is>
      </c>
      <c r="G460" s="15" t="n"/>
      <c r="H460" s="15" t="n">
        <v>4.152</v>
      </c>
      <c r="I460" s="15" t="n">
        <v>1.591</v>
      </c>
      <c r="J460" s="15" t="n">
        <v>0.421</v>
      </c>
      <c r="K460" s="15" t="n">
        <v>4.914</v>
      </c>
      <c r="L460" s="15" t="n">
        <v>5.537</v>
      </c>
      <c r="M460" s="15" t="n"/>
      <c r="N460" s="15" t="n">
        <v>2.708</v>
      </c>
      <c r="O460" s="15" t="n">
        <v>1.868</v>
      </c>
      <c r="P460" s="15" t="n"/>
      <c r="Q460" s="15" t="n">
        <v>0.268</v>
      </c>
      <c r="R460" s="15" t="n">
        <v>41.774</v>
      </c>
      <c r="S460" s="15" t="n">
        <v>38.446</v>
      </c>
      <c r="T460" s="15" t="n">
        <v>4.937</v>
      </c>
      <c r="U460" s="15" t="n">
        <v>3.693</v>
      </c>
      <c r="V460" s="15" t="n">
        <v>2.293</v>
      </c>
      <c r="W460" s="15" t="n">
        <v>1.469</v>
      </c>
      <c r="X460" s="15" t="n">
        <v>37.701</v>
      </c>
      <c r="Y460" s="15" t="n">
        <v>61.577</v>
      </c>
      <c r="Z460" s="15" t="n">
        <v>35.503</v>
      </c>
      <c r="AA460" s="15" t="n">
        <v>46.594</v>
      </c>
      <c r="AB460" s="15" t="n">
        <v>31.368</v>
      </c>
      <c r="AC460" s="15" t="n">
        <v>77.414</v>
      </c>
      <c r="AD460" s="16" t="n">
        <v>863.9</v>
      </c>
      <c r="AE460" s="17">
        <f>IF(ISNUMBER(K460),K460,IF(AND(ISNUMBER(H460),ISNUMBER(I460)),H460+I460,IF(ISNUMBER(H460),H460,"")))</f>
        <v/>
      </c>
      <c r="AF460" s="18">
        <f>IF(OR(NOT(ISNUMBER(J460)),NOT(ISNUMBER(H460)),H460&lt;=0),기준표!$B$8,MIN(MAX(J460/H460,기준표!$B$6),기준표!$B$7))</f>
        <v/>
      </c>
      <c r="AG460" s="17">
        <f>IF(ISNUMBER(AE460),AE460*(1-AF460),"")</f>
        <v/>
      </c>
      <c r="AH460" s="17">
        <f>IF(AND(NOT(ISNUMBER(V460)),NOT(ISNUMBER(X460))),"",IF(ISNUMBER(V460),V460,0)+IF(ISNUMBER(X460),X460,0))</f>
        <v/>
      </c>
      <c r="AI460" s="17">
        <f>IF(E460="금융","",IF(AND(ISNUMBER(R460),ISNUMBER(AH460),ISNUMBER(T460)),R460+AH460-T460,""))</f>
        <v/>
      </c>
      <c r="AJ460" s="17">
        <f>IF(E460="금융","",IF(NOT(ISNUMBER(AI460)),"",IF(ISNUMBER(AC460),(AI460+AC460)/2,AI460)))</f>
        <v/>
      </c>
      <c r="AK460" s="19">
        <f>IF(AND(ISNUMBER(AG460),ISNUMBER(AJ460),AJ460&gt;0),AG460/AJ460,"")</f>
        <v/>
      </c>
      <c r="AL460" s="17">
        <f>IF(E460="금융","",IF(AND(ISNUMBER(R460),ISNUMBER(AH460)),R460+AH460,""))</f>
        <v/>
      </c>
      <c r="AM460" s="19">
        <f>IF(OR(NOT(ISNUMBER(AG460)),NOT(ISNUMBER(AL460)),AL460&lt;=0),"",IF(AND(ISNUMBER(G460),AL460&lt;0.1*G460),"",AG460/AL460))</f>
        <v/>
      </c>
      <c r="AN460" s="17">
        <f>IF(NOT(ISNUMBER(R460)),"",IF(ISNUMBER(S460),(R460+S460)/2,R460))</f>
        <v/>
      </c>
      <c r="AO460" s="19">
        <f>IF(AND(ISNUMBER(L460),ISNUMBER(AN460),AN460&gt;0),L460/AN460,"")</f>
        <v/>
      </c>
      <c r="AP460" s="19">
        <f>IF(AND(ISNUMBER(AO460),ISNUMBER({ROIC})),AO460-{ROIC},"")</f>
        <v/>
      </c>
      <c r="AQ460" s="17">
        <f>IF(AND(ISNUMBER(AE460),ISNUMBER(N460)),AE460+N460,"")</f>
        <v/>
      </c>
      <c r="AR460" s="20">
        <f>IF(AND(ISNUMBER(AH460),ISNUMBER(T460),ISNUMBER(AQ460),AQ460&gt;0),(AH460-T460)/AQ460,"")</f>
        <v/>
      </c>
      <c r="AS460" s="20">
        <f>IF(AND(ISNUMBER(AE460),ISNUMBER(I460),I460&lt;&gt;0,AE460&gt;0),AE460/I460,"")</f>
        <v/>
      </c>
      <c r="AT460" s="17">
        <f>IF(AND(ISNUMBER(Y460),ISNUMBER(AA460)),Y460-IF(ISNUMBER(T460),T460,0)-(AA460-IF(ISNUMBER(V460),V460,0)),"")</f>
        <v/>
      </c>
      <c r="AU460" s="17">
        <f>IF(AND(ISNUMBER(Z460),ISNUMBER(AB460)),Z460-IF(ISNUMBER(U460),U460,0)-(AB460-IF(ISNUMBER(W460),W460,0)),"")</f>
        <v/>
      </c>
      <c r="AV460" s="17">
        <f>IF(AND(ISNUMBER(AT460),ISNUMBER(AU460)),AT460-AU460,"")</f>
        <v/>
      </c>
      <c r="AW460" s="17">
        <f>IF(AND(ISNUMBER(L460),ISNUMBER(M460),ISNUMBER(AF460)),L460-M460*(1-AF460),IF(ISNUMBER(L460),L460,""))</f>
        <v/>
      </c>
      <c r="AX460" s="17">
        <f>IF(E460="금융","",IF(AND(ISNUMBER(AW460),ISNUMBER(N460),ISNUMBER(O460),ISNUMBER(AV460)),AW460+N460-O460-AV460,IF(AND(ISNUMBER(P460),ISNUMBER(O460)),P460-O460-IF(ISNUMBER(Q460),Q460,0),"")))</f>
        <v/>
      </c>
      <c r="AY460" s="8">
        <f>IF(E460="금융","금융업 - 정의되지 않음",IF(AND(ISNUMBER(AW460),ISNUMBER(N460),ISNUMBER(O460),ISNUMBER(AV460)),"영업순이익+감가상각-설비투자-운전자본증감",IF(AND(ISNUMBER(P460),ISNUMBER(O460)),IF(ISNUMBER(Q460),"영업현금흐름-설비투자-주식보상비용","영업현금흐름-설비투자(주식보상비용 미태깅)"),"산출불가")))</f>
        <v/>
      </c>
      <c r="AZ460" s="19">
        <f>IF(AND(ISNUMBER(AX460),ISNUMBER(G460),G460&lt;&gt;0),AX460/G460,"")</f>
        <v/>
      </c>
      <c r="BA460" s="19">
        <f>IF(AND(ISNUMBER(AE460),ISNUMBER(G460),G460&lt;&gt;0),AE460/G460,"")</f>
        <v/>
      </c>
    </row>
    <row r="461">
      <c r="A461" s="8" t="inlineStr">
        <is>
          <t>RTX</t>
        </is>
      </c>
      <c r="B461" s="8" t="inlineStr">
        <is>
          <t>RTX Corp</t>
        </is>
      </c>
      <c r="C461" s="8" t="n">
        <v>2020</v>
      </c>
      <c r="D461" s="8" t="inlineStr">
        <is>
          <t>2020-12-31</t>
        </is>
      </c>
      <c r="E461" s="8" t="inlineStr">
        <is>
          <t>일반</t>
        </is>
      </c>
      <c r="F461" s="8" t="inlineStr">
        <is>
          <t>0000101829-23-000009</t>
        </is>
      </c>
      <c r="G461" s="15" t="n"/>
      <c r="H461" s="15" t="n">
        <v>-2.353</v>
      </c>
      <c r="I461" s="15" t="n">
        <v>1.366</v>
      </c>
      <c r="J461" s="15" t="n">
        <v>0.575</v>
      </c>
      <c r="K461" s="15" t="n">
        <v>-1.889</v>
      </c>
      <c r="L461" s="15" t="n">
        <v>-3.519</v>
      </c>
      <c r="M461" s="15" t="n"/>
      <c r="N461" s="15" t="n">
        <v>4.156</v>
      </c>
      <c r="O461" s="15" t="n">
        <v>1.795</v>
      </c>
      <c r="P461" s="15" t="n"/>
      <c r="Q461" s="15" t="n">
        <v>0.33</v>
      </c>
      <c r="R461" s="15" t="n">
        <v>72.163</v>
      </c>
      <c r="S461" s="15" t="n">
        <v>41.774</v>
      </c>
      <c r="T461" s="15" t="n">
        <v>9.683</v>
      </c>
      <c r="U461" s="15" t="n">
        <v>4.937</v>
      </c>
      <c r="V461" s="15" t="n">
        <v>0.247</v>
      </c>
      <c r="W461" s="15" t="n">
        <v>2.293</v>
      </c>
      <c r="X461" s="15" t="n">
        <v>31.026</v>
      </c>
      <c r="Y461" s="15" t="n">
        <v>43.376</v>
      </c>
      <c r="Z461" s="15" t="n">
        <v>61.577</v>
      </c>
      <c r="AA461" s="15" t="n">
        <v>35.848</v>
      </c>
      <c r="AB461" s="15" t="n">
        <v>46.594</v>
      </c>
      <c r="AC461" s="15" t="n">
        <v>76.831</v>
      </c>
      <c r="AD461" s="16" t="n">
        <v>1357.8</v>
      </c>
      <c r="AE461" s="17">
        <f>IF(ISNUMBER(K461),K461,IF(AND(ISNUMBER(H461),ISNUMBER(I461)),H461+I461,IF(ISNUMBER(H461),H461,"")))</f>
        <v/>
      </c>
      <c r="AF461" s="18">
        <f>IF(OR(NOT(ISNUMBER(J461)),NOT(ISNUMBER(H461)),H461&lt;=0),기준표!$B$8,MIN(MAX(J461/H461,기준표!$B$6),기준표!$B$7))</f>
        <v/>
      </c>
      <c r="AG461" s="17">
        <f>IF(ISNUMBER(AE461),AE461*(1-AF461),"")</f>
        <v/>
      </c>
      <c r="AH461" s="17">
        <f>IF(AND(NOT(ISNUMBER(V461)),NOT(ISNUMBER(X461))),"",IF(ISNUMBER(V461),V461,0)+IF(ISNUMBER(X461),X461,0))</f>
        <v/>
      </c>
      <c r="AI461" s="17">
        <f>IF(E461="금융","",IF(AND(ISNUMBER(R461),ISNUMBER(AH461),ISNUMBER(T461)),R461+AH461-T461,""))</f>
        <v/>
      </c>
      <c r="AJ461" s="17">
        <f>IF(E461="금융","",IF(NOT(ISNUMBER(AI461)),"",IF(ISNUMBER(AC461),(AI461+AC461)/2,AI461)))</f>
        <v/>
      </c>
      <c r="AK461" s="19">
        <f>IF(AND(ISNUMBER(AG461),ISNUMBER(AJ461),AJ461&gt;0),AG461/AJ461,"")</f>
        <v/>
      </c>
      <c r="AL461" s="17">
        <f>IF(E461="금융","",IF(AND(ISNUMBER(R461),ISNUMBER(AH461)),R461+AH461,""))</f>
        <v/>
      </c>
      <c r="AM461" s="19">
        <f>IF(OR(NOT(ISNUMBER(AG461)),NOT(ISNUMBER(AL461)),AL461&lt;=0),"",IF(AND(ISNUMBER(G461),AL461&lt;0.1*G461),"",AG461/AL461))</f>
        <v/>
      </c>
      <c r="AN461" s="17">
        <f>IF(NOT(ISNUMBER(R461)),"",IF(ISNUMBER(S461),(R461+S461)/2,R461))</f>
        <v/>
      </c>
      <c r="AO461" s="19">
        <f>IF(AND(ISNUMBER(L461),ISNUMBER(AN461),AN461&gt;0),L461/AN461,"")</f>
        <v/>
      </c>
      <c r="AP461" s="19">
        <f>IF(AND(ISNUMBER(AO461),ISNUMBER({ROIC})),AO461-{ROIC},"")</f>
        <v/>
      </c>
      <c r="AQ461" s="17">
        <f>IF(AND(ISNUMBER(AE461),ISNUMBER(N461)),AE461+N461,"")</f>
        <v/>
      </c>
      <c r="AR461" s="20">
        <f>IF(AND(ISNUMBER(AH461),ISNUMBER(T461),ISNUMBER(AQ461),AQ461&gt;0),(AH461-T461)/AQ461,"")</f>
        <v/>
      </c>
      <c r="AS461" s="20">
        <f>IF(AND(ISNUMBER(AE461),ISNUMBER(I461),I461&lt;&gt;0,AE461&gt;0),AE461/I461,"")</f>
        <v/>
      </c>
      <c r="AT461" s="17">
        <f>IF(AND(ISNUMBER(Y461),ISNUMBER(AA461)),Y461-IF(ISNUMBER(T461),T461,0)-(AA461-IF(ISNUMBER(V461),V461,0)),"")</f>
        <v/>
      </c>
      <c r="AU461" s="17">
        <f>IF(AND(ISNUMBER(Z461),ISNUMBER(AB461)),Z461-IF(ISNUMBER(U461),U461,0)-(AB461-IF(ISNUMBER(W461),W461,0)),"")</f>
        <v/>
      </c>
      <c r="AV461" s="17">
        <f>IF(AND(ISNUMBER(AT461),ISNUMBER(AU461)),AT461-AU461,"")</f>
        <v/>
      </c>
      <c r="AW461" s="17">
        <f>IF(AND(ISNUMBER(L461),ISNUMBER(M461),ISNUMBER(AF461)),L461-M461*(1-AF461),IF(ISNUMBER(L461),L461,""))</f>
        <v/>
      </c>
      <c r="AX461" s="17">
        <f>IF(E461="금융","",IF(AND(ISNUMBER(AW461),ISNUMBER(N461),ISNUMBER(O461),ISNUMBER(AV461)),AW461+N461-O461-AV461,IF(AND(ISNUMBER(P461),ISNUMBER(O461)),P461-O461-IF(ISNUMBER(Q461),Q461,0),"")))</f>
        <v/>
      </c>
      <c r="AY461" s="8">
        <f>IF(E461="금융","금융업 - 정의되지 않음",IF(AND(ISNUMBER(AW461),ISNUMBER(N461),ISNUMBER(O461),ISNUMBER(AV461)),"영업순이익+감가상각-설비투자-운전자본증감",IF(AND(ISNUMBER(P461),ISNUMBER(O461)),IF(ISNUMBER(Q461),"영업현금흐름-설비투자-주식보상비용","영업현금흐름-설비투자(주식보상비용 미태깅)"),"산출불가")))</f>
        <v/>
      </c>
      <c r="AZ461" s="19">
        <f>IF(AND(ISNUMBER(AX461),ISNUMBER(G461),G461&lt;&gt;0),AX461/G461,"")</f>
        <v/>
      </c>
      <c r="BA461" s="19">
        <f>IF(AND(ISNUMBER(AE461),ISNUMBER(G461),G461&lt;&gt;0),AE461/G461,"")</f>
        <v/>
      </c>
    </row>
    <row r="462">
      <c r="A462" s="8" t="inlineStr">
        <is>
          <t>RTX</t>
        </is>
      </c>
      <c r="B462" s="8" t="inlineStr">
        <is>
          <t>RTX Corp</t>
        </is>
      </c>
      <c r="C462" s="8" t="n">
        <v>2021</v>
      </c>
      <c r="D462" s="8" t="inlineStr">
        <is>
          <t>2021-12-31</t>
        </is>
      </c>
      <c r="E462" s="8" t="inlineStr">
        <is>
          <t>일반</t>
        </is>
      </c>
      <c r="F462" s="8" t="inlineStr">
        <is>
          <t>0000101829-24-000008</t>
        </is>
      </c>
      <c r="G462" s="15" t="n">
        <v>64.38800000000001</v>
      </c>
      <c r="H462" s="15" t="n">
        <v>5.109</v>
      </c>
      <c r="I462" s="15" t="n">
        <v>1.322</v>
      </c>
      <c r="J462" s="15" t="n">
        <v>0.964</v>
      </c>
      <c r="K462" s="15" t="n">
        <v>5.136</v>
      </c>
      <c r="L462" s="15" t="n">
        <v>3.864</v>
      </c>
      <c r="M462" s="15" t="n"/>
      <c r="N462" s="15" t="n">
        <v>4.557</v>
      </c>
      <c r="O462" s="15" t="n">
        <v>2.134</v>
      </c>
      <c r="P462" s="15" t="n"/>
      <c r="Q462" s="15" t="n">
        <v>0.442</v>
      </c>
      <c r="R462" s="15" t="n">
        <v>73.068</v>
      </c>
      <c r="S462" s="15" t="n">
        <v>72.163</v>
      </c>
      <c r="T462" s="15" t="n">
        <v>8.797000000000001</v>
      </c>
      <c r="U462" s="15" t="n">
        <v>9.683</v>
      </c>
      <c r="V462" s="15" t="n">
        <v>0.134</v>
      </c>
      <c r="W462" s="15" t="n">
        <v>0.247</v>
      </c>
      <c r="X462" s="15" t="n">
        <v>31.327</v>
      </c>
      <c r="Y462" s="15" t="n">
        <v>42.05</v>
      </c>
      <c r="Z462" s="15" t="n">
        <v>43.376</v>
      </c>
      <c r="AA462" s="15" t="n">
        <v>35.449</v>
      </c>
      <c r="AB462" s="15" t="n">
        <v>35.848</v>
      </c>
      <c r="AC462" s="15" t="n">
        <v>93.753</v>
      </c>
      <c r="AD462" s="16" t="n">
        <v>1508.5</v>
      </c>
      <c r="AE462" s="17">
        <f>IF(ISNUMBER(K462),K462,IF(AND(ISNUMBER(H462),ISNUMBER(I462)),H462+I462,IF(ISNUMBER(H462),H462,"")))</f>
        <v/>
      </c>
      <c r="AF462" s="18">
        <f>IF(OR(NOT(ISNUMBER(J462)),NOT(ISNUMBER(H462)),H462&lt;=0),기준표!$B$8,MIN(MAX(J462/H462,기준표!$B$6),기준표!$B$7))</f>
        <v/>
      </c>
      <c r="AG462" s="17">
        <f>IF(ISNUMBER(AE462),AE462*(1-AF462),"")</f>
        <v/>
      </c>
      <c r="AH462" s="17">
        <f>IF(AND(NOT(ISNUMBER(V462)),NOT(ISNUMBER(X462))),"",IF(ISNUMBER(V462),V462,0)+IF(ISNUMBER(X462),X462,0))</f>
        <v/>
      </c>
      <c r="AI462" s="17">
        <f>IF(E462="금융","",IF(AND(ISNUMBER(R462),ISNUMBER(AH462),ISNUMBER(T462)),R462+AH462-T462,""))</f>
        <v/>
      </c>
      <c r="AJ462" s="17">
        <f>IF(E462="금융","",IF(NOT(ISNUMBER(AI462)),"",IF(ISNUMBER(AC462),(AI462+AC462)/2,AI462)))</f>
        <v/>
      </c>
      <c r="AK462" s="19">
        <f>IF(AND(ISNUMBER(AG462),ISNUMBER(AJ462),AJ462&gt;0),AG462/AJ462,"")</f>
        <v/>
      </c>
      <c r="AL462" s="17">
        <f>IF(E462="금융","",IF(AND(ISNUMBER(R462),ISNUMBER(AH462)),R462+AH462,""))</f>
        <v/>
      </c>
      <c r="AM462" s="19">
        <f>IF(OR(NOT(ISNUMBER(AG462)),NOT(ISNUMBER(AL462)),AL462&lt;=0),"",IF(AND(ISNUMBER(G462),AL462&lt;0.1*G462),"",AG462/AL462))</f>
        <v/>
      </c>
      <c r="AN462" s="17">
        <f>IF(NOT(ISNUMBER(R462)),"",IF(ISNUMBER(S462),(R462+S462)/2,R462))</f>
        <v/>
      </c>
      <c r="AO462" s="19">
        <f>IF(AND(ISNUMBER(L462),ISNUMBER(AN462),AN462&gt;0),L462/AN462,"")</f>
        <v/>
      </c>
      <c r="AP462" s="19">
        <f>IF(AND(ISNUMBER(AO462),ISNUMBER({ROIC})),AO462-{ROIC},"")</f>
        <v/>
      </c>
      <c r="AQ462" s="17">
        <f>IF(AND(ISNUMBER(AE462),ISNUMBER(N462)),AE462+N462,"")</f>
        <v/>
      </c>
      <c r="AR462" s="20">
        <f>IF(AND(ISNUMBER(AH462),ISNUMBER(T462),ISNUMBER(AQ462),AQ462&gt;0),(AH462-T462)/AQ462,"")</f>
        <v/>
      </c>
      <c r="AS462" s="20">
        <f>IF(AND(ISNUMBER(AE462),ISNUMBER(I462),I462&lt;&gt;0,AE462&gt;0),AE462/I462,"")</f>
        <v/>
      </c>
      <c r="AT462" s="17">
        <f>IF(AND(ISNUMBER(Y462),ISNUMBER(AA462)),Y462-IF(ISNUMBER(T462),T462,0)-(AA462-IF(ISNUMBER(V462),V462,0)),"")</f>
        <v/>
      </c>
      <c r="AU462" s="17">
        <f>IF(AND(ISNUMBER(Z462),ISNUMBER(AB462)),Z462-IF(ISNUMBER(U462),U462,0)-(AB462-IF(ISNUMBER(W462),W462,0)),"")</f>
        <v/>
      </c>
      <c r="AV462" s="17">
        <f>IF(AND(ISNUMBER(AT462),ISNUMBER(AU462)),AT462-AU462,"")</f>
        <v/>
      </c>
      <c r="AW462" s="17">
        <f>IF(AND(ISNUMBER(L462),ISNUMBER(M462),ISNUMBER(AF462)),L462-M462*(1-AF462),IF(ISNUMBER(L462),L462,""))</f>
        <v/>
      </c>
      <c r="AX462" s="17">
        <f>IF(E462="금융","",IF(AND(ISNUMBER(AW462),ISNUMBER(N462),ISNUMBER(O462),ISNUMBER(AV462)),AW462+N462-O462-AV462,IF(AND(ISNUMBER(P462),ISNUMBER(O462)),P462-O462-IF(ISNUMBER(Q462),Q462,0),"")))</f>
        <v/>
      </c>
      <c r="AY462" s="8">
        <f>IF(E462="금융","금융업 - 정의되지 않음",IF(AND(ISNUMBER(AW462),ISNUMBER(N462),ISNUMBER(O462),ISNUMBER(AV462)),"영업순이익+감가상각-설비투자-운전자본증감",IF(AND(ISNUMBER(P462),ISNUMBER(O462)),IF(ISNUMBER(Q462),"영업현금흐름-설비투자-주식보상비용","영업현금흐름-설비투자(주식보상비용 미태깅)"),"산출불가")))</f>
        <v/>
      </c>
      <c r="AZ462" s="19">
        <f>IF(AND(ISNUMBER(AX462),ISNUMBER(G462),G462&lt;&gt;0),AX462/G462,"")</f>
        <v/>
      </c>
      <c r="BA462" s="19">
        <f>IF(AND(ISNUMBER(AE462),ISNUMBER(G462),G462&lt;&gt;0),AE462/G462,"")</f>
        <v/>
      </c>
    </row>
    <row r="463">
      <c r="A463" s="8" t="inlineStr">
        <is>
          <t>RTX</t>
        </is>
      </c>
      <c r="B463" s="8" t="inlineStr">
        <is>
          <t>RTX Corp</t>
        </is>
      </c>
      <c r="C463" s="8" t="n">
        <v>2022</v>
      </c>
      <c r="D463" s="8" t="inlineStr">
        <is>
          <t>2022-12-31</t>
        </is>
      </c>
      <c r="E463" s="8" t="inlineStr">
        <is>
          <t>일반</t>
        </is>
      </c>
      <c r="F463" s="8" t="inlineStr">
        <is>
          <t>0000101829-25-000005</t>
        </is>
      </c>
      <c r="G463" s="15" t="n">
        <v>67.074</v>
      </c>
      <c r="H463" s="15" t="n">
        <v>6.117</v>
      </c>
      <c r="I463" s="15" t="n">
        <v>1.276</v>
      </c>
      <c r="J463" s="15" t="n">
        <v>0.79</v>
      </c>
      <c r="K463" s="15" t="n">
        <v>5.504</v>
      </c>
      <c r="L463" s="15" t="n">
        <v>5.197</v>
      </c>
      <c r="M463" s="15" t="n"/>
      <c r="N463" s="15" t="n">
        <v>4.108</v>
      </c>
      <c r="O463" s="15" t="n">
        <v>2.288</v>
      </c>
      <c r="P463" s="15" t="n">
        <v>7.168</v>
      </c>
      <c r="Q463" s="15" t="n">
        <v>0.42</v>
      </c>
      <c r="R463" s="15" t="n">
        <v>72.63200000000001</v>
      </c>
      <c r="S463" s="15" t="n">
        <v>73.068</v>
      </c>
      <c r="T463" s="15" t="n">
        <v>6.994</v>
      </c>
      <c r="U463" s="15" t="n">
        <v>8.797000000000001</v>
      </c>
      <c r="V463" s="15" t="n">
        <v>0.625</v>
      </c>
      <c r="W463" s="15" t="n">
        <v>0.134</v>
      </c>
      <c r="X463" s="15" t="n">
        <v>30.694</v>
      </c>
      <c r="Y463" s="15" t="n">
        <v>42.443</v>
      </c>
      <c r="Z463" s="15" t="n">
        <v>42.05</v>
      </c>
      <c r="AA463" s="15" t="n">
        <v>39.114</v>
      </c>
      <c r="AB463" s="15" t="n">
        <v>35.449</v>
      </c>
      <c r="AC463" s="15" t="n">
        <v>95.732</v>
      </c>
      <c r="AD463" s="16" t="n">
        <v>1485.9</v>
      </c>
      <c r="AE463" s="17">
        <f>IF(ISNUMBER(K463),K463,IF(AND(ISNUMBER(H463),ISNUMBER(I463)),H463+I463,IF(ISNUMBER(H463),H463,"")))</f>
        <v/>
      </c>
      <c r="AF463" s="18">
        <f>IF(OR(NOT(ISNUMBER(J463)),NOT(ISNUMBER(H463)),H463&lt;=0),기준표!$B$8,MIN(MAX(J463/H463,기준표!$B$6),기준표!$B$7))</f>
        <v/>
      </c>
      <c r="AG463" s="17">
        <f>IF(ISNUMBER(AE463),AE463*(1-AF463),"")</f>
        <v/>
      </c>
      <c r="AH463" s="17">
        <f>IF(AND(NOT(ISNUMBER(V463)),NOT(ISNUMBER(X463))),"",IF(ISNUMBER(V463),V463,0)+IF(ISNUMBER(X463),X463,0))</f>
        <v/>
      </c>
      <c r="AI463" s="17">
        <f>IF(E463="금융","",IF(AND(ISNUMBER(R463),ISNUMBER(AH463),ISNUMBER(T463)),R463+AH463-T463,""))</f>
        <v/>
      </c>
      <c r="AJ463" s="17">
        <f>IF(E463="금융","",IF(NOT(ISNUMBER(AI463)),"",IF(ISNUMBER(AC463),(AI463+AC463)/2,AI463)))</f>
        <v/>
      </c>
      <c r="AK463" s="19">
        <f>IF(AND(ISNUMBER(AG463),ISNUMBER(AJ463),AJ463&gt;0),AG463/AJ463,"")</f>
        <v/>
      </c>
      <c r="AL463" s="17">
        <f>IF(E463="금융","",IF(AND(ISNUMBER(R463),ISNUMBER(AH463)),R463+AH463,""))</f>
        <v/>
      </c>
      <c r="AM463" s="19">
        <f>IF(OR(NOT(ISNUMBER(AG463)),NOT(ISNUMBER(AL463)),AL463&lt;=0),"",IF(AND(ISNUMBER(G463),AL463&lt;0.1*G463),"",AG463/AL463))</f>
        <v/>
      </c>
      <c r="AN463" s="17">
        <f>IF(NOT(ISNUMBER(R463)),"",IF(ISNUMBER(S463),(R463+S463)/2,R463))</f>
        <v/>
      </c>
      <c r="AO463" s="19">
        <f>IF(AND(ISNUMBER(L463),ISNUMBER(AN463),AN463&gt;0),L463/AN463,"")</f>
        <v/>
      </c>
      <c r="AP463" s="19">
        <f>IF(AND(ISNUMBER(AO463),ISNUMBER({ROIC})),AO463-{ROIC},"")</f>
        <v/>
      </c>
      <c r="AQ463" s="17">
        <f>IF(AND(ISNUMBER(AE463),ISNUMBER(N463)),AE463+N463,"")</f>
        <v/>
      </c>
      <c r="AR463" s="20">
        <f>IF(AND(ISNUMBER(AH463),ISNUMBER(T463),ISNUMBER(AQ463),AQ463&gt;0),(AH463-T463)/AQ463,"")</f>
        <v/>
      </c>
      <c r="AS463" s="20">
        <f>IF(AND(ISNUMBER(AE463),ISNUMBER(I463),I463&lt;&gt;0,AE463&gt;0),AE463/I463,"")</f>
        <v/>
      </c>
      <c r="AT463" s="17">
        <f>IF(AND(ISNUMBER(Y463),ISNUMBER(AA463)),Y463-IF(ISNUMBER(T463),T463,0)-(AA463-IF(ISNUMBER(V463),V463,0)),"")</f>
        <v/>
      </c>
      <c r="AU463" s="17">
        <f>IF(AND(ISNUMBER(Z463),ISNUMBER(AB463)),Z463-IF(ISNUMBER(U463),U463,0)-(AB463-IF(ISNUMBER(W463),W463,0)),"")</f>
        <v/>
      </c>
      <c r="AV463" s="17">
        <f>IF(AND(ISNUMBER(AT463),ISNUMBER(AU463)),AT463-AU463,"")</f>
        <v/>
      </c>
      <c r="AW463" s="17">
        <f>IF(AND(ISNUMBER(L463),ISNUMBER(M463),ISNUMBER(AF463)),L463-M463*(1-AF463),IF(ISNUMBER(L463),L463,""))</f>
        <v/>
      </c>
      <c r="AX463" s="17">
        <f>IF(E463="금융","",IF(AND(ISNUMBER(AW463),ISNUMBER(N463),ISNUMBER(O463),ISNUMBER(AV463)),AW463+N463-O463-AV463,IF(AND(ISNUMBER(P463),ISNUMBER(O463)),P463-O463-IF(ISNUMBER(Q463),Q463,0),"")))</f>
        <v/>
      </c>
      <c r="AY463" s="8">
        <f>IF(E463="금융","금융업 - 정의되지 않음",IF(AND(ISNUMBER(AW463),ISNUMBER(N463),ISNUMBER(O463),ISNUMBER(AV463)),"영업순이익+감가상각-설비투자-운전자본증감",IF(AND(ISNUMBER(P463),ISNUMBER(O463)),IF(ISNUMBER(Q463),"영업현금흐름-설비투자-주식보상비용","영업현금흐름-설비투자(주식보상비용 미태깅)"),"산출불가")))</f>
        <v/>
      </c>
      <c r="AZ463" s="19">
        <f>IF(AND(ISNUMBER(AX463),ISNUMBER(G463),G463&lt;&gt;0),AX463/G463,"")</f>
        <v/>
      </c>
      <c r="BA463" s="19">
        <f>IF(AND(ISNUMBER(AE463),ISNUMBER(G463),G463&lt;&gt;0),AE463/G463,"")</f>
        <v/>
      </c>
    </row>
    <row r="464">
      <c r="A464" s="8" t="inlineStr">
        <is>
          <t>RTX</t>
        </is>
      </c>
      <c r="B464" s="8" t="inlineStr">
        <is>
          <t>RTX Corp</t>
        </is>
      </c>
      <c r="C464" s="8" t="n">
        <v>2023</v>
      </c>
      <c r="D464" s="8" t="inlineStr">
        <is>
          <t>2023-12-31</t>
        </is>
      </c>
      <c r="E464" s="8" t="inlineStr">
        <is>
          <t>일반</t>
        </is>
      </c>
      <c r="F464" s="8" t="inlineStr">
        <is>
          <t>0000101829-26-000006</t>
        </is>
      </c>
      <c r="G464" s="15" t="n">
        <v>68.92</v>
      </c>
      <c r="H464" s="15" t="n">
        <v>3.836</v>
      </c>
      <c r="I464" s="15" t="n">
        <v>1.505</v>
      </c>
      <c r="J464" s="15" t="n">
        <v>0.456</v>
      </c>
      <c r="K464" s="15" t="n">
        <v>3.561</v>
      </c>
      <c r="L464" s="15" t="n">
        <v>3.195</v>
      </c>
      <c r="M464" s="15" t="n"/>
      <c r="N464" s="15" t="n">
        <v>4.211</v>
      </c>
      <c r="O464" s="15" t="n">
        <v>2.415</v>
      </c>
      <c r="P464" s="15" t="n">
        <v>7.883</v>
      </c>
      <c r="Q464" s="15" t="n">
        <v>0.425</v>
      </c>
      <c r="R464" s="15" t="n">
        <v>59.798</v>
      </c>
      <c r="S464" s="15" t="n">
        <v>72.63200000000001</v>
      </c>
      <c r="T464" s="15" t="n">
        <v>7.332</v>
      </c>
      <c r="U464" s="15" t="n">
        <v>6.994</v>
      </c>
      <c r="V464" s="15" t="n">
        <v>0.189</v>
      </c>
      <c r="W464" s="15" t="n">
        <v>0.625</v>
      </c>
      <c r="X464" s="15" t="n">
        <v>42.355</v>
      </c>
      <c r="Y464" s="15" t="n">
        <v>48.417</v>
      </c>
      <c r="Z464" s="15" t="n">
        <v>42.443</v>
      </c>
      <c r="AA464" s="15" t="n">
        <v>46.761</v>
      </c>
      <c r="AB464" s="15" t="n">
        <v>39.114</v>
      </c>
      <c r="AC464" s="15" t="n">
        <v>96.95699999999999</v>
      </c>
      <c r="AD464" s="16" t="n">
        <v>1435.4</v>
      </c>
      <c r="AE464" s="17">
        <f>IF(ISNUMBER(K464),K464,IF(AND(ISNUMBER(H464),ISNUMBER(I464)),H464+I464,IF(ISNUMBER(H464),H464,"")))</f>
        <v/>
      </c>
      <c r="AF464" s="18">
        <f>IF(OR(NOT(ISNUMBER(J464)),NOT(ISNUMBER(H464)),H464&lt;=0),기준표!$B$8,MIN(MAX(J464/H464,기준표!$B$6),기준표!$B$7))</f>
        <v/>
      </c>
      <c r="AG464" s="17">
        <f>IF(ISNUMBER(AE464),AE464*(1-AF464),"")</f>
        <v/>
      </c>
      <c r="AH464" s="17">
        <f>IF(AND(NOT(ISNUMBER(V464)),NOT(ISNUMBER(X464))),"",IF(ISNUMBER(V464),V464,0)+IF(ISNUMBER(X464),X464,0))</f>
        <v/>
      </c>
      <c r="AI464" s="17">
        <f>IF(E464="금융","",IF(AND(ISNUMBER(R464),ISNUMBER(AH464),ISNUMBER(T464)),R464+AH464-T464,""))</f>
        <v/>
      </c>
      <c r="AJ464" s="17">
        <f>IF(E464="금융","",IF(NOT(ISNUMBER(AI464)),"",IF(ISNUMBER(AC464),(AI464+AC464)/2,AI464)))</f>
        <v/>
      </c>
      <c r="AK464" s="19">
        <f>IF(AND(ISNUMBER(AG464),ISNUMBER(AJ464),AJ464&gt;0),AG464/AJ464,"")</f>
        <v/>
      </c>
      <c r="AL464" s="17">
        <f>IF(E464="금융","",IF(AND(ISNUMBER(R464),ISNUMBER(AH464)),R464+AH464,""))</f>
        <v/>
      </c>
      <c r="AM464" s="19">
        <f>IF(OR(NOT(ISNUMBER(AG464)),NOT(ISNUMBER(AL464)),AL464&lt;=0),"",IF(AND(ISNUMBER(G464),AL464&lt;0.1*G464),"",AG464/AL464))</f>
        <v/>
      </c>
      <c r="AN464" s="17">
        <f>IF(NOT(ISNUMBER(R464)),"",IF(ISNUMBER(S464),(R464+S464)/2,R464))</f>
        <v/>
      </c>
      <c r="AO464" s="19">
        <f>IF(AND(ISNUMBER(L464),ISNUMBER(AN464),AN464&gt;0),L464/AN464,"")</f>
        <v/>
      </c>
      <c r="AP464" s="19">
        <f>IF(AND(ISNUMBER(AO464),ISNUMBER({ROIC})),AO464-{ROIC},"")</f>
        <v/>
      </c>
      <c r="AQ464" s="17">
        <f>IF(AND(ISNUMBER(AE464),ISNUMBER(N464)),AE464+N464,"")</f>
        <v/>
      </c>
      <c r="AR464" s="20">
        <f>IF(AND(ISNUMBER(AH464),ISNUMBER(T464),ISNUMBER(AQ464),AQ464&gt;0),(AH464-T464)/AQ464,"")</f>
        <v/>
      </c>
      <c r="AS464" s="20">
        <f>IF(AND(ISNUMBER(AE464),ISNUMBER(I464),I464&lt;&gt;0,AE464&gt;0),AE464/I464,"")</f>
        <v/>
      </c>
      <c r="AT464" s="17">
        <f>IF(AND(ISNUMBER(Y464),ISNUMBER(AA464)),Y464-IF(ISNUMBER(T464),T464,0)-(AA464-IF(ISNUMBER(V464),V464,0)),"")</f>
        <v/>
      </c>
      <c r="AU464" s="17">
        <f>IF(AND(ISNUMBER(Z464),ISNUMBER(AB464)),Z464-IF(ISNUMBER(U464),U464,0)-(AB464-IF(ISNUMBER(W464),W464,0)),"")</f>
        <v/>
      </c>
      <c r="AV464" s="17">
        <f>IF(AND(ISNUMBER(AT464),ISNUMBER(AU464)),AT464-AU464,"")</f>
        <v/>
      </c>
      <c r="AW464" s="17">
        <f>IF(AND(ISNUMBER(L464),ISNUMBER(M464),ISNUMBER(AF464)),L464-M464*(1-AF464),IF(ISNUMBER(L464),L464,""))</f>
        <v/>
      </c>
      <c r="AX464" s="17">
        <f>IF(E464="금융","",IF(AND(ISNUMBER(AW464),ISNUMBER(N464),ISNUMBER(O464),ISNUMBER(AV464)),AW464+N464-O464-AV464,IF(AND(ISNUMBER(P464),ISNUMBER(O464)),P464-O464-IF(ISNUMBER(Q464),Q464,0),"")))</f>
        <v/>
      </c>
      <c r="AY464" s="8">
        <f>IF(E464="금융","금융업 - 정의되지 않음",IF(AND(ISNUMBER(AW464),ISNUMBER(N464),ISNUMBER(O464),ISNUMBER(AV464)),"영업순이익+감가상각-설비투자-운전자본증감",IF(AND(ISNUMBER(P464),ISNUMBER(O464)),IF(ISNUMBER(Q464),"영업현금흐름-설비투자-주식보상비용","영업현금흐름-설비투자(주식보상비용 미태깅)"),"산출불가")))</f>
        <v/>
      </c>
      <c r="AZ464" s="19">
        <f>IF(AND(ISNUMBER(AX464),ISNUMBER(G464),G464&lt;&gt;0),AX464/G464,"")</f>
        <v/>
      </c>
      <c r="BA464" s="19">
        <f>IF(AND(ISNUMBER(AE464),ISNUMBER(G464),G464&lt;&gt;0),AE464/G464,"")</f>
        <v/>
      </c>
    </row>
    <row r="465">
      <c r="A465" s="8" t="inlineStr">
        <is>
          <t>RTX</t>
        </is>
      </c>
      <c r="B465" s="8" t="inlineStr">
        <is>
          <t>RTX Corp</t>
        </is>
      </c>
      <c r="C465" s="8" t="n">
        <v>2024</v>
      </c>
      <c r="D465" s="8" t="inlineStr">
        <is>
          <t>2024-12-31</t>
        </is>
      </c>
      <c r="E465" s="8" t="inlineStr">
        <is>
          <t>일반</t>
        </is>
      </c>
      <c r="F465" s="8" t="inlineStr">
        <is>
          <t>0000101829-26-000006</t>
        </is>
      </c>
      <c r="G465" s="15" t="n">
        <v>80.738</v>
      </c>
      <c r="H465" s="15" t="n">
        <v>6.194</v>
      </c>
      <c r="I465" s="15" t="n">
        <v>1.862</v>
      </c>
      <c r="J465" s="15" t="n">
        <v>1.181</v>
      </c>
      <c r="K465" s="15" t="n">
        <v>6.538</v>
      </c>
      <c r="L465" s="15" t="n">
        <v>4.774</v>
      </c>
      <c r="M465" s="15" t="n"/>
      <c r="N465" s="15" t="n">
        <v>4.364</v>
      </c>
      <c r="O465" s="15" t="n">
        <v>2.625</v>
      </c>
      <c r="P465" s="15" t="n">
        <v>7.159</v>
      </c>
      <c r="Q465" s="15" t="n">
        <v>0.437</v>
      </c>
      <c r="R465" s="15" t="n">
        <v>60.156</v>
      </c>
      <c r="S465" s="15" t="n">
        <v>59.798</v>
      </c>
      <c r="T465" s="15" t="n">
        <v>6.364</v>
      </c>
      <c r="U465" s="15" t="n">
        <v>7.332</v>
      </c>
      <c r="V465" s="15" t="n">
        <v>0.183</v>
      </c>
      <c r="W465" s="15" t="n">
        <v>0.189</v>
      </c>
      <c r="X465" s="15" t="n">
        <v>38.726</v>
      </c>
      <c r="Y465" s="15" t="n">
        <v>51.133</v>
      </c>
      <c r="Z465" s="15" t="n">
        <v>48.417</v>
      </c>
      <c r="AA465" s="15" t="n">
        <v>51.499</v>
      </c>
      <c r="AB465" s="15" t="n">
        <v>46.761</v>
      </c>
      <c r="AC465" s="15" t="n">
        <v>95.01000000000001</v>
      </c>
      <c r="AD465" s="16" t="n">
        <v>1343.6</v>
      </c>
      <c r="AE465" s="17">
        <f>IF(ISNUMBER(K465),K465,IF(AND(ISNUMBER(H465),ISNUMBER(I465)),H465+I465,IF(ISNUMBER(H465),H465,"")))</f>
        <v/>
      </c>
      <c r="AF465" s="18">
        <f>IF(OR(NOT(ISNUMBER(J465)),NOT(ISNUMBER(H465)),H465&lt;=0),기준표!$B$8,MIN(MAX(J465/H465,기준표!$B$6),기준표!$B$7))</f>
        <v/>
      </c>
      <c r="AG465" s="17">
        <f>IF(ISNUMBER(AE465),AE465*(1-AF465),"")</f>
        <v/>
      </c>
      <c r="AH465" s="17">
        <f>IF(AND(NOT(ISNUMBER(V465)),NOT(ISNUMBER(X465))),"",IF(ISNUMBER(V465),V465,0)+IF(ISNUMBER(X465),X465,0))</f>
        <v/>
      </c>
      <c r="AI465" s="17">
        <f>IF(E465="금융","",IF(AND(ISNUMBER(R465),ISNUMBER(AH465),ISNUMBER(T465)),R465+AH465-T465,""))</f>
        <v/>
      </c>
      <c r="AJ465" s="17">
        <f>IF(E465="금융","",IF(NOT(ISNUMBER(AI465)),"",IF(ISNUMBER(AC465),(AI465+AC465)/2,AI465)))</f>
        <v/>
      </c>
      <c r="AK465" s="19">
        <f>IF(AND(ISNUMBER(AG465),ISNUMBER(AJ465),AJ465&gt;0),AG465/AJ465,"")</f>
        <v/>
      </c>
      <c r="AL465" s="17">
        <f>IF(E465="금융","",IF(AND(ISNUMBER(R465),ISNUMBER(AH465)),R465+AH465,""))</f>
        <v/>
      </c>
      <c r="AM465" s="19">
        <f>IF(OR(NOT(ISNUMBER(AG465)),NOT(ISNUMBER(AL465)),AL465&lt;=0),"",IF(AND(ISNUMBER(G465),AL465&lt;0.1*G465),"",AG465/AL465))</f>
        <v/>
      </c>
      <c r="AN465" s="17">
        <f>IF(NOT(ISNUMBER(R465)),"",IF(ISNUMBER(S465),(R465+S465)/2,R465))</f>
        <v/>
      </c>
      <c r="AO465" s="19">
        <f>IF(AND(ISNUMBER(L465),ISNUMBER(AN465),AN465&gt;0),L465/AN465,"")</f>
        <v/>
      </c>
      <c r="AP465" s="19">
        <f>IF(AND(ISNUMBER(AO465),ISNUMBER({ROIC})),AO465-{ROIC},"")</f>
        <v/>
      </c>
      <c r="AQ465" s="17">
        <f>IF(AND(ISNUMBER(AE465),ISNUMBER(N465)),AE465+N465,"")</f>
        <v/>
      </c>
      <c r="AR465" s="20">
        <f>IF(AND(ISNUMBER(AH465),ISNUMBER(T465),ISNUMBER(AQ465),AQ465&gt;0),(AH465-T465)/AQ465,"")</f>
        <v/>
      </c>
      <c r="AS465" s="20">
        <f>IF(AND(ISNUMBER(AE465),ISNUMBER(I465),I465&lt;&gt;0,AE465&gt;0),AE465/I465,"")</f>
        <v/>
      </c>
      <c r="AT465" s="17">
        <f>IF(AND(ISNUMBER(Y465),ISNUMBER(AA465)),Y465-IF(ISNUMBER(T465),T465,0)-(AA465-IF(ISNUMBER(V465),V465,0)),"")</f>
        <v/>
      </c>
      <c r="AU465" s="17">
        <f>IF(AND(ISNUMBER(Z465),ISNUMBER(AB465)),Z465-IF(ISNUMBER(U465),U465,0)-(AB465-IF(ISNUMBER(W465),W465,0)),"")</f>
        <v/>
      </c>
      <c r="AV465" s="17">
        <f>IF(AND(ISNUMBER(AT465),ISNUMBER(AU465)),AT465-AU465,"")</f>
        <v/>
      </c>
      <c r="AW465" s="17">
        <f>IF(AND(ISNUMBER(L465),ISNUMBER(M465),ISNUMBER(AF465)),L465-M465*(1-AF465),IF(ISNUMBER(L465),L465,""))</f>
        <v/>
      </c>
      <c r="AX465" s="17">
        <f>IF(E465="금융","",IF(AND(ISNUMBER(AW465),ISNUMBER(N465),ISNUMBER(O465),ISNUMBER(AV465)),AW465+N465-O465-AV465,IF(AND(ISNUMBER(P465),ISNUMBER(O465)),P465-O465-IF(ISNUMBER(Q465),Q465,0),"")))</f>
        <v/>
      </c>
      <c r="AY465" s="8">
        <f>IF(E465="금융","금융업 - 정의되지 않음",IF(AND(ISNUMBER(AW465),ISNUMBER(N465),ISNUMBER(O465),ISNUMBER(AV465)),"영업순이익+감가상각-설비투자-운전자본증감",IF(AND(ISNUMBER(P465),ISNUMBER(O465)),IF(ISNUMBER(Q465),"영업현금흐름-설비투자-주식보상비용","영업현금흐름-설비투자(주식보상비용 미태깅)"),"산출불가")))</f>
        <v/>
      </c>
      <c r="AZ465" s="19">
        <f>IF(AND(ISNUMBER(AX465),ISNUMBER(G465),G465&lt;&gt;0),AX465/G465,"")</f>
        <v/>
      </c>
      <c r="BA465" s="19">
        <f>IF(AND(ISNUMBER(AE465),ISNUMBER(G465),G465&lt;&gt;0),AE465/G465,"")</f>
        <v/>
      </c>
    </row>
    <row r="466">
      <c r="A466" s="8" t="inlineStr">
        <is>
          <t>RTX</t>
        </is>
      </c>
      <c r="B466" s="8" t="inlineStr">
        <is>
          <t>RTX Corp</t>
        </is>
      </c>
      <c r="C466" s="8" t="n">
        <v>2025</v>
      </c>
      <c r="D466" s="8" t="inlineStr">
        <is>
          <t>2025-12-31</t>
        </is>
      </c>
      <c r="E466" s="8" t="inlineStr">
        <is>
          <t>일반</t>
        </is>
      </c>
      <c r="F466" s="8" t="inlineStr">
        <is>
          <t>0000101829-26-000006</t>
        </is>
      </c>
      <c r="G466" s="15" t="n">
        <v>88.60299999999999</v>
      </c>
      <c r="H466" s="15" t="n">
        <v>8.733000000000001</v>
      </c>
      <c r="I466" s="15" t="n"/>
      <c r="J466" s="15" t="n">
        <v>1.664</v>
      </c>
      <c r="K466" s="15" t="n">
        <v>9.300000000000001</v>
      </c>
      <c r="L466" s="15" t="n">
        <v>6.732</v>
      </c>
      <c r="M466" s="15" t="n"/>
      <c r="N466" s="15" t="n">
        <v>4.378</v>
      </c>
      <c r="O466" s="15" t="n">
        <v>2.627</v>
      </c>
      <c r="P466" s="15" t="n">
        <v>10.567</v>
      </c>
      <c r="Q466" s="15" t="n">
        <v>0.519</v>
      </c>
      <c r="R466" s="15" t="n">
        <v>65.245</v>
      </c>
      <c r="S466" s="15" t="n">
        <v>60.156</v>
      </c>
      <c r="T466" s="15" t="n">
        <v>8.185</v>
      </c>
      <c r="U466" s="15" t="n">
        <v>6.364</v>
      </c>
      <c r="V466" s="15" t="n">
        <v>0.204</v>
      </c>
      <c r="W466" s="15" t="n">
        <v>0.183</v>
      </c>
      <c r="X466" s="15" t="n">
        <v>34.288</v>
      </c>
      <c r="Y466" s="15" t="n">
        <v>60.332</v>
      </c>
      <c r="Z466" s="15" t="n">
        <v>51.133</v>
      </c>
      <c r="AA466" s="15" t="n">
        <v>58.784</v>
      </c>
      <c r="AB466" s="15" t="n">
        <v>51.499</v>
      </c>
      <c r="AC466" s="15" t="n">
        <v>92.70099999999999</v>
      </c>
      <c r="AD466" s="16" t="n">
        <v>1356.4</v>
      </c>
      <c r="AE466" s="17">
        <f>IF(ISNUMBER(K466),K466,IF(AND(ISNUMBER(H466),ISNUMBER(I466)),H466+I466,IF(ISNUMBER(H466),H466,"")))</f>
        <v/>
      </c>
      <c r="AF466" s="18">
        <f>IF(OR(NOT(ISNUMBER(J466)),NOT(ISNUMBER(H466)),H466&lt;=0),기준표!$B$8,MIN(MAX(J466/H466,기준표!$B$6),기준표!$B$7))</f>
        <v/>
      </c>
      <c r="AG466" s="17">
        <f>IF(ISNUMBER(AE466),AE466*(1-AF466),"")</f>
        <v/>
      </c>
      <c r="AH466" s="17">
        <f>IF(AND(NOT(ISNUMBER(V466)),NOT(ISNUMBER(X466))),"",IF(ISNUMBER(V466),V466,0)+IF(ISNUMBER(X466),X466,0))</f>
        <v/>
      </c>
      <c r="AI466" s="17">
        <f>IF(E466="금융","",IF(AND(ISNUMBER(R466),ISNUMBER(AH466),ISNUMBER(T466)),R466+AH466-T466,""))</f>
        <v/>
      </c>
      <c r="AJ466" s="17">
        <f>IF(E466="금융","",IF(NOT(ISNUMBER(AI466)),"",IF(ISNUMBER(AC466),(AI466+AC466)/2,AI466)))</f>
        <v/>
      </c>
      <c r="AK466" s="19">
        <f>IF(AND(ISNUMBER(AG466),ISNUMBER(AJ466),AJ466&gt;0),AG466/AJ466,"")</f>
        <v/>
      </c>
      <c r="AL466" s="17">
        <f>IF(E466="금융","",IF(AND(ISNUMBER(R466),ISNUMBER(AH466)),R466+AH466,""))</f>
        <v/>
      </c>
      <c r="AM466" s="19">
        <f>IF(OR(NOT(ISNUMBER(AG466)),NOT(ISNUMBER(AL466)),AL466&lt;=0),"",IF(AND(ISNUMBER(G466),AL466&lt;0.1*G466),"",AG466/AL466))</f>
        <v/>
      </c>
      <c r="AN466" s="17">
        <f>IF(NOT(ISNUMBER(R466)),"",IF(ISNUMBER(S466),(R466+S466)/2,R466))</f>
        <v/>
      </c>
      <c r="AO466" s="19">
        <f>IF(AND(ISNUMBER(L466),ISNUMBER(AN466),AN466&gt;0),L466/AN466,"")</f>
        <v/>
      </c>
      <c r="AP466" s="19">
        <f>IF(AND(ISNUMBER(AO466),ISNUMBER({ROIC})),AO466-{ROIC},"")</f>
        <v/>
      </c>
      <c r="AQ466" s="17">
        <f>IF(AND(ISNUMBER(AE466),ISNUMBER(N466)),AE466+N466,"")</f>
        <v/>
      </c>
      <c r="AR466" s="20">
        <f>IF(AND(ISNUMBER(AH466),ISNUMBER(T466),ISNUMBER(AQ466),AQ466&gt;0),(AH466-T466)/AQ466,"")</f>
        <v/>
      </c>
      <c r="AS466" s="20">
        <f>IF(AND(ISNUMBER(AE466),ISNUMBER(I466),I466&lt;&gt;0,AE466&gt;0),AE466/I466,"")</f>
        <v/>
      </c>
      <c r="AT466" s="17">
        <f>IF(AND(ISNUMBER(Y466),ISNUMBER(AA466)),Y466-IF(ISNUMBER(T466),T466,0)-(AA466-IF(ISNUMBER(V466),V466,0)),"")</f>
        <v/>
      </c>
      <c r="AU466" s="17">
        <f>IF(AND(ISNUMBER(Z466),ISNUMBER(AB466)),Z466-IF(ISNUMBER(U466),U466,0)-(AB466-IF(ISNUMBER(W466),W466,0)),"")</f>
        <v/>
      </c>
      <c r="AV466" s="17">
        <f>IF(AND(ISNUMBER(AT466),ISNUMBER(AU466)),AT466-AU466,"")</f>
        <v/>
      </c>
      <c r="AW466" s="17">
        <f>IF(AND(ISNUMBER(L466),ISNUMBER(M466),ISNUMBER(AF466)),L466-M466*(1-AF466),IF(ISNUMBER(L466),L466,""))</f>
        <v/>
      </c>
      <c r="AX466" s="17">
        <f>IF(E466="금융","",IF(AND(ISNUMBER(AW466),ISNUMBER(N466),ISNUMBER(O466),ISNUMBER(AV466)),AW466+N466-O466-AV466,IF(AND(ISNUMBER(P466),ISNUMBER(O466)),P466-O466-IF(ISNUMBER(Q466),Q466,0),"")))</f>
        <v/>
      </c>
      <c r="AY466" s="8">
        <f>IF(E466="금융","금융업 - 정의되지 않음",IF(AND(ISNUMBER(AW466),ISNUMBER(N466),ISNUMBER(O466),ISNUMBER(AV466)),"영업순이익+감가상각-설비투자-운전자본증감",IF(AND(ISNUMBER(P466),ISNUMBER(O466)),IF(ISNUMBER(Q466),"영업현금흐름-설비투자-주식보상비용","영업현금흐름-설비투자(주식보상비용 미태깅)"),"산출불가")))</f>
        <v/>
      </c>
      <c r="AZ466" s="19">
        <f>IF(AND(ISNUMBER(AX466),ISNUMBER(G466),G466&lt;&gt;0),AX466/G466,"")</f>
        <v/>
      </c>
      <c r="BA466" s="19">
        <f>IF(AND(ISNUMBER(AE466),ISNUMBER(G466),G466&lt;&gt;0),AE466/G466,"")</f>
        <v/>
      </c>
    </row>
    <row r="467">
      <c r="A467" s="8" t="inlineStr">
        <is>
          <t>PANW</t>
        </is>
      </c>
      <c r="B467" s="8" t="inlineStr">
        <is>
          <t>Palo Alto Networks Inc</t>
        </is>
      </c>
      <c r="C467" s="8" t="n">
        <v>2014</v>
      </c>
      <c r="D467" s="8" t="inlineStr">
        <is>
          <t>2014-07-31</t>
        </is>
      </c>
      <c r="E467" s="8" t="inlineStr">
        <is>
          <t>일반</t>
        </is>
      </c>
      <c r="F467" s="8" t="inlineStr">
        <is>
          <t>0001327567-16-000064</t>
        </is>
      </c>
      <c r="G467" s="15" t="n"/>
      <c r="H467" s="15" t="n">
        <v>-0.2222</v>
      </c>
      <c r="I467" s="15" t="n">
        <v>0.0018</v>
      </c>
      <c r="J467" s="15" t="n">
        <v>0.0043</v>
      </c>
      <c r="K467" s="15" t="n">
        <v>-0.2153</v>
      </c>
      <c r="L467" s="15" t="n">
        <v>-0.2265</v>
      </c>
      <c r="M467" s="15" t="n"/>
      <c r="N467" s="15" t="n">
        <v>0.0194</v>
      </c>
      <c r="O467" s="15" t="n">
        <v>0.0361</v>
      </c>
      <c r="P467" s="15" t="n">
        <v>0.08840000000000001</v>
      </c>
      <c r="Q467" s="15" t="n">
        <v>0.0998</v>
      </c>
      <c r="R467" s="15" t="n">
        <v>0.468583</v>
      </c>
      <c r="S467" s="15" t="n"/>
      <c r="T467" s="15" t="n">
        <v>0.6538</v>
      </c>
      <c r="U467" s="15" t="n"/>
      <c r="V467" s="15" t="n">
        <v>0</v>
      </c>
      <c r="W467" s="15" t="n"/>
      <c r="X467" s="15" t="n">
        <v>0.466875</v>
      </c>
      <c r="Y467" s="15" t="n">
        <v>0.958326</v>
      </c>
      <c r="Z467" s="15" t="n"/>
      <c r="AA467" s="15" t="n">
        <v>0.348171</v>
      </c>
      <c r="AB467" s="15" t="n"/>
      <c r="AC467" s="15" t="n"/>
      <c r="AD467" s="16" t="n">
        <v>477.114</v>
      </c>
      <c r="AE467" s="17">
        <f>IF(ISNUMBER(K467),K467,IF(AND(ISNUMBER(H467),ISNUMBER(I467)),H467+I467,IF(ISNUMBER(H467),H467,"")))</f>
        <v/>
      </c>
      <c r="AF467" s="18">
        <f>IF(OR(NOT(ISNUMBER(J467)),NOT(ISNUMBER(H467)),H467&lt;=0),기준표!$B$8,MIN(MAX(J467/H467,기준표!$B$6),기준표!$B$7))</f>
        <v/>
      </c>
      <c r="AG467" s="17">
        <f>IF(ISNUMBER(AE467),AE467*(1-AF467),"")</f>
        <v/>
      </c>
      <c r="AH467" s="17">
        <f>IF(AND(NOT(ISNUMBER(V467)),NOT(ISNUMBER(X467))),"",IF(ISNUMBER(V467),V467,0)+IF(ISNUMBER(X467),X467,0))</f>
        <v/>
      </c>
      <c r="AI467" s="17">
        <f>IF(E467="금융","",IF(AND(ISNUMBER(R467),ISNUMBER(AH467),ISNUMBER(T467)),R467+AH467-T467,""))</f>
        <v/>
      </c>
      <c r="AJ467" s="17">
        <f>IF(E467="금융","",IF(NOT(ISNUMBER(AI467)),"",IF(ISNUMBER(AC467),(AI467+AC467)/2,AI467)))</f>
        <v/>
      </c>
      <c r="AK467" s="19">
        <f>IF(AND(ISNUMBER(AG467),ISNUMBER(AJ467),AJ467&gt;0),AG467/AJ467,"")</f>
        <v/>
      </c>
      <c r="AL467" s="17">
        <f>IF(E467="금융","",IF(AND(ISNUMBER(R467),ISNUMBER(AH467)),R467+AH467,""))</f>
        <v/>
      </c>
      <c r="AM467" s="19">
        <f>IF(OR(NOT(ISNUMBER(AG467)),NOT(ISNUMBER(AL467)),AL467&lt;=0),"",IF(AND(ISNUMBER(G467),AL467&lt;0.1*G467),"",AG467/AL467))</f>
        <v/>
      </c>
      <c r="AN467" s="17">
        <f>IF(NOT(ISNUMBER(R467)),"",IF(ISNUMBER(S467),(R467+S467)/2,R467))</f>
        <v/>
      </c>
      <c r="AO467" s="19">
        <f>IF(AND(ISNUMBER(L467),ISNUMBER(AN467),AN467&gt;0),L467/AN467,"")</f>
        <v/>
      </c>
      <c r="AP467" s="19">
        <f>IF(AND(ISNUMBER(AO467),ISNUMBER({ROIC})),AO467-{ROIC},"")</f>
        <v/>
      </c>
      <c r="AQ467" s="17">
        <f>IF(AND(ISNUMBER(AE467),ISNUMBER(N467)),AE467+N467,"")</f>
        <v/>
      </c>
      <c r="AR467" s="20">
        <f>IF(AND(ISNUMBER(AH467),ISNUMBER(T467),ISNUMBER(AQ467),AQ467&gt;0),(AH467-T467)/AQ467,"")</f>
        <v/>
      </c>
      <c r="AS467" s="20">
        <f>IF(AND(ISNUMBER(AE467),ISNUMBER(I467),I467&lt;&gt;0,AE467&gt;0),AE467/I467,"")</f>
        <v/>
      </c>
      <c r="AT467" s="17">
        <f>IF(AND(ISNUMBER(Y467),ISNUMBER(AA467)),Y467-IF(ISNUMBER(T467),T467,0)-(AA467-IF(ISNUMBER(V467),V467,0)),"")</f>
        <v/>
      </c>
      <c r="AU467" s="17">
        <f>IF(AND(ISNUMBER(Z467),ISNUMBER(AB467)),Z467-IF(ISNUMBER(U467),U467,0)-(AB467-IF(ISNUMBER(W467),W467,0)),"")</f>
        <v/>
      </c>
      <c r="AV467" s="17">
        <f>IF(AND(ISNUMBER(AT467),ISNUMBER(AU467)),AT467-AU467,"")</f>
        <v/>
      </c>
      <c r="AW467" s="17">
        <f>IF(AND(ISNUMBER(L467),ISNUMBER(M467),ISNUMBER(AF467)),L467-M467*(1-AF467),IF(ISNUMBER(L467),L467,""))</f>
        <v/>
      </c>
      <c r="AX467" s="17">
        <f>IF(E467="금융","",IF(AND(ISNUMBER(AW467),ISNUMBER(N467),ISNUMBER(O467),ISNUMBER(AV467)),AW467+N467-O467-AV467,IF(AND(ISNUMBER(P467),ISNUMBER(O467)),P467-O467-IF(ISNUMBER(Q467),Q467,0),"")))</f>
        <v/>
      </c>
      <c r="AY467" s="8">
        <f>IF(E467="금융","금융업 - 정의되지 않음",IF(AND(ISNUMBER(AW467),ISNUMBER(N467),ISNUMBER(O467),ISNUMBER(AV467)),"영업순이익+감가상각-설비투자-운전자본증감",IF(AND(ISNUMBER(P467),ISNUMBER(O467)),IF(ISNUMBER(Q467),"영업현금흐름-설비투자-주식보상비용","영업현금흐름-설비투자(주식보상비용 미태깅)"),"산출불가")))</f>
        <v/>
      </c>
      <c r="AZ467" s="19">
        <f>IF(AND(ISNUMBER(AX467),ISNUMBER(G467),G467&lt;&gt;0),AX467/G467,"")</f>
        <v/>
      </c>
      <c r="BA467" s="19">
        <f>IF(AND(ISNUMBER(AE467),ISNUMBER(G467),G467&lt;&gt;0),AE467/G467,"")</f>
        <v/>
      </c>
    </row>
    <row r="468">
      <c r="A468" s="8" t="inlineStr">
        <is>
          <t>PANW</t>
        </is>
      </c>
      <c r="B468" s="8" t="inlineStr">
        <is>
          <t>Palo Alto Networks Inc</t>
        </is>
      </c>
      <c r="C468" s="8" t="n">
        <v>2015</v>
      </c>
      <c r="D468" s="8" t="inlineStr">
        <is>
          <t>2015-07-31</t>
        </is>
      </c>
      <c r="E468" s="8" t="inlineStr">
        <is>
          <t>일반</t>
        </is>
      </c>
      <c r="F468" s="8" t="inlineStr">
        <is>
          <t>0001327567-17-000027</t>
        </is>
      </c>
      <c r="G468" s="15" t="n"/>
      <c r="H468" s="15" t="n">
        <v>-0.1219</v>
      </c>
      <c r="I468" s="15" t="n">
        <v>0.0223</v>
      </c>
      <c r="J468" s="15" t="n">
        <v>0.0094</v>
      </c>
      <c r="K468" s="15" t="n">
        <v>-0.0998</v>
      </c>
      <c r="L468" s="15" t="n">
        <v>-0.1313</v>
      </c>
      <c r="M468" s="15" t="n"/>
      <c r="N468" s="15" t="n">
        <v>0.0289</v>
      </c>
      <c r="O468" s="15" t="n">
        <v>0.0338</v>
      </c>
      <c r="P468" s="15" t="n">
        <v>0.3528</v>
      </c>
      <c r="Q468" s="15" t="n">
        <v>0.2213</v>
      </c>
      <c r="R468" s="15" t="n">
        <v>0.4879</v>
      </c>
      <c r="S468" s="15" t="n">
        <v>0.468583</v>
      </c>
      <c r="T468" s="15" t="n">
        <v>0.3758</v>
      </c>
      <c r="U468" s="15" t="n">
        <v>0.6538</v>
      </c>
      <c r="V468" s="15" t="n">
        <v>0.4871</v>
      </c>
      <c r="W468" s="15" t="n">
        <v>0</v>
      </c>
      <c r="X468" s="15" t="n">
        <v>0.4871</v>
      </c>
      <c r="Y468" s="15" t="n">
        <v>1.074</v>
      </c>
      <c r="Z468" s="15" t="n">
        <v>0.958326</v>
      </c>
      <c r="AA468" s="15" t="n">
        <v>1.0322</v>
      </c>
      <c r="AB468" s="15" t="n">
        <v>0.348171</v>
      </c>
      <c r="AC468" s="15" t="n">
        <v>0.281658</v>
      </c>
      <c r="AD468" s="16" t="n">
        <v>508.8</v>
      </c>
      <c r="AE468" s="17">
        <f>IF(ISNUMBER(K468),K468,IF(AND(ISNUMBER(H468),ISNUMBER(I468)),H468+I468,IF(ISNUMBER(H468),H468,"")))</f>
        <v/>
      </c>
      <c r="AF468" s="18">
        <f>IF(OR(NOT(ISNUMBER(J468)),NOT(ISNUMBER(H468)),H468&lt;=0),기준표!$B$8,MIN(MAX(J468/H468,기준표!$B$6),기준표!$B$7))</f>
        <v/>
      </c>
      <c r="AG468" s="17">
        <f>IF(ISNUMBER(AE468),AE468*(1-AF468),"")</f>
        <v/>
      </c>
      <c r="AH468" s="17">
        <f>IF(AND(NOT(ISNUMBER(V468)),NOT(ISNUMBER(X468))),"",IF(ISNUMBER(V468),V468,0)+IF(ISNUMBER(X468),X468,0))</f>
        <v/>
      </c>
      <c r="AI468" s="17">
        <f>IF(E468="금융","",IF(AND(ISNUMBER(R468),ISNUMBER(AH468),ISNUMBER(T468)),R468+AH468-T468,""))</f>
        <v/>
      </c>
      <c r="AJ468" s="17">
        <f>IF(E468="금융","",IF(NOT(ISNUMBER(AI468)),"",IF(ISNUMBER(AC468),(AI468+AC468)/2,AI468)))</f>
        <v/>
      </c>
      <c r="AK468" s="19">
        <f>IF(AND(ISNUMBER(AG468),ISNUMBER(AJ468),AJ468&gt;0),AG468/AJ468,"")</f>
        <v/>
      </c>
      <c r="AL468" s="17">
        <f>IF(E468="금융","",IF(AND(ISNUMBER(R468),ISNUMBER(AH468)),R468+AH468,""))</f>
        <v/>
      </c>
      <c r="AM468" s="19">
        <f>IF(OR(NOT(ISNUMBER(AG468)),NOT(ISNUMBER(AL468)),AL468&lt;=0),"",IF(AND(ISNUMBER(G468),AL468&lt;0.1*G468),"",AG468/AL468))</f>
        <v/>
      </c>
      <c r="AN468" s="17">
        <f>IF(NOT(ISNUMBER(R468)),"",IF(ISNUMBER(S468),(R468+S468)/2,R468))</f>
        <v/>
      </c>
      <c r="AO468" s="19">
        <f>IF(AND(ISNUMBER(L468),ISNUMBER(AN468),AN468&gt;0),L468/AN468,"")</f>
        <v/>
      </c>
      <c r="AP468" s="19">
        <f>IF(AND(ISNUMBER(AO468),ISNUMBER({ROIC})),AO468-{ROIC},"")</f>
        <v/>
      </c>
      <c r="AQ468" s="17">
        <f>IF(AND(ISNUMBER(AE468),ISNUMBER(N468)),AE468+N468,"")</f>
        <v/>
      </c>
      <c r="AR468" s="20">
        <f>IF(AND(ISNUMBER(AH468),ISNUMBER(T468),ISNUMBER(AQ468),AQ468&gt;0),(AH468-T468)/AQ468,"")</f>
        <v/>
      </c>
      <c r="AS468" s="20">
        <f>IF(AND(ISNUMBER(AE468),ISNUMBER(I468),I468&lt;&gt;0,AE468&gt;0),AE468/I468,"")</f>
        <v/>
      </c>
      <c r="AT468" s="17">
        <f>IF(AND(ISNUMBER(Y468),ISNUMBER(AA468)),Y468-IF(ISNUMBER(T468),T468,0)-(AA468-IF(ISNUMBER(V468),V468,0)),"")</f>
        <v/>
      </c>
      <c r="AU468" s="17">
        <f>IF(AND(ISNUMBER(Z468),ISNUMBER(AB468)),Z468-IF(ISNUMBER(U468),U468,0)-(AB468-IF(ISNUMBER(W468),W468,0)),"")</f>
        <v/>
      </c>
      <c r="AV468" s="17">
        <f>IF(AND(ISNUMBER(AT468),ISNUMBER(AU468)),AT468-AU468,"")</f>
        <v/>
      </c>
      <c r="AW468" s="17">
        <f>IF(AND(ISNUMBER(L468),ISNUMBER(M468),ISNUMBER(AF468)),L468-M468*(1-AF468),IF(ISNUMBER(L468),L468,""))</f>
        <v/>
      </c>
      <c r="AX468" s="17">
        <f>IF(E468="금융","",IF(AND(ISNUMBER(AW468),ISNUMBER(N468),ISNUMBER(O468),ISNUMBER(AV468)),AW468+N468-O468-AV468,IF(AND(ISNUMBER(P468),ISNUMBER(O468)),P468-O468-IF(ISNUMBER(Q468),Q468,0),"")))</f>
        <v/>
      </c>
      <c r="AY468" s="8">
        <f>IF(E468="금융","금융업 - 정의되지 않음",IF(AND(ISNUMBER(AW468),ISNUMBER(N468),ISNUMBER(O468),ISNUMBER(AV468)),"영업순이익+감가상각-설비투자-운전자본증감",IF(AND(ISNUMBER(P468),ISNUMBER(O468)),IF(ISNUMBER(Q468),"영업현금흐름-설비투자-주식보상비용","영업현금흐름-설비투자(주식보상비용 미태깅)"),"산출불가")))</f>
        <v/>
      </c>
      <c r="AZ468" s="19">
        <f>IF(AND(ISNUMBER(AX468),ISNUMBER(G468),G468&lt;&gt;0),AX468/G468,"")</f>
        <v/>
      </c>
      <c r="BA468" s="19">
        <f>IF(AND(ISNUMBER(AE468),ISNUMBER(G468),G468&lt;&gt;0),AE468/G468,"")</f>
        <v/>
      </c>
    </row>
    <row r="469">
      <c r="A469" s="8" t="inlineStr">
        <is>
          <t>PANW</t>
        </is>
      </c>
      <c r="B469" s="8" t="inlineStr">
        <is>
          <t>Palo Alto Networks Inc</t>
        </is>
      </c>
      <c r="C469" s="8" t="n">
        <v>2016</v>
      </c>
      <c r="D469" s="8" t="inlineStr">
        <is>
          <t>2016-07-31</t>
        </is>
      </c>
      <c r="E469" s="8" t="inlineStr">
        <is>
          <t>일반</t>
        </is>
      </c>
      <c r="F469" s="8" t="inlineStr">
        <is>
          <t>0001327567-18-000024</t>
        </is>
      </c>
      <c r="G469" s="15" t="n"/>
      <c r="H469" s="15" t="n">
        <v>-0.1723</v>
      </c>
      <c r="I469" s="15" t="n">
        <v>0.0234</v>
      </c>
      <c r="J469" s="15" t="n">
        <v>0.0204</v>
      </c>
      <c r="K469" s="15" t="n">
        <v>-0.1573</v>
      </c>
      <c r="L469" s="15" t="n">
        <v>-0.1927</v>
      </c>
      <c r="M469" s="15" t="n"/>
      <c r="N469" s="15" t="n">
        <v>0.0428</v>
      </c>
      <c r="O469" s="15" t="n">
        <v>0.0725</v>
      </c>
      <c r="P469" s="15" t="n">
        <v>0.6586</v>
      </c>
      <c r="Q469" s="15" t="n">
        <v>0.3928</v>
      </c>
      <c r="R469" s="15" t="n">
        <v>0.8949</v>
      </c>
      <c r="S469" s="15" t="n">
        <v>0.4879</v>
      </c>
      <c r="T469" s="15" t="n">
        <v>0.7344000000000001</v>
      </c>
      <c r="U469" s="15" t="n">
        <v>0.3758</v>
      </c>
      <c r="V469" s="15" t="n">
        <v>0</v>
      </c>
      <c r="W469" s="15" t="n">
        <v>0.4871</v>
      </c>
      <c r="X469" s="15" t="n">
        <v>0.5002</v>
      </c>
      <c r="Y469" s="15" t="n">
        <v>1.774</v>
      </c>
      <c r="Z469" s="15" t="n">
        <v>1.074</v>
      </c>
      <c r="AA469" s="15" t="n">
        <v>0.8468</v>
      </c>
      <c r="AB469" s="15" t="n">
        <v>1.0322</v>
      </c>
      <c r="AC469" s="15" t="n">
        <v>1.0863</v>
      </c>
      <c r="AD469" s="16" t="n">
        <v>543</v>
      </c>
      <c r="AE469" s="17">
        <f>IF(ISNUMBER(K469),K469,IF(AND(ISNUMBER(H469),ISNUMBER(I469)),H469+I469,IF(ISNUMBER(H469),H469,"")))</f>
        <v/>
      </c>
      <c r="AF469" s="18">
        <f>IF(OR(NOT(ISNUMBER(J469)),NOT(ISNUMBER(H469)),H469&lt;=0),기준표!$B$8,MIN(MAX(J469/H469,기준표!$B$6),기준표!$B$7))</f>
        <v/>
      </c>
      <c r="AG469" s="17">
        <f>IF(ISNUMBER(AE469),AE469*(1-AF469),"")</f>
        <v/>
      </c>
      <c r="AH469" s="17">
        <f>IF(AND(NOT(ISNUMBER(V469)),NOT(ISNUMBER(X469))),"",IF(ISNUMBER(V469),V469,0)+IF(ISNUMBER(X469),X469,0))</f>
        <v/>
      </c>
      <c r="AI469" s="17">
        <f>IF(E469="금융","",IF(AND(ISNUMBER(R469),ISNUMBER(AH469),ISNUMBER(T469)),R469+AH469-T469,""))</f>
        <v/>
      </c>
      <c r="AJ469" s="17">
        <f>IF(E469="금융","",IF(NOT(ISNUMBER(AI469)),"",IF(ISNUMBER(AC469),(AI469+AC469)/2,AI469)))</f>
        <v/>
      </c>
      <c r="AK469" s="19">
        <f>IF(AND(ISNUMBER(AG469),ISNUMBER(AJ469),AJ469&gt;0),AG469/AJ469,"")</f>
        <v/>
      </c>
      <c r="AL469" s="17">
        <f>IF(E469="금융","",IF(AND(ISNUMBER(R469),ISNUMBER(AH469)),R469+AH469,""))</f>
        <v/>
      </c>
      <c r="AM469" s="19">
        <f>IF(OR(NOT(ISNUMBER(AG469)),NOT(ISNUMBER(AL469)),AL469&lt;=0),"",IF(AND(ISNUMBER(G469),AL469&lt;0.1*G469),"",AG469/AL469))</f>
        <v/>
      </c>
      <c r="AN469" s="17">
        <f>IF(NOT(ISNUMBER(R469)),"",IF(ISNUMBER(S469),(R469+S469)/2,R469))</f>
        <v/>
      </c>
      <c r="AO469" s="19">
        <f>IF(AND(ISNUMBER(L469),ISNUMBER(AN469),AN469&gt;0),L469/AN469,"")</f>
        <v/>
      </c>
      <c r="AP469" s="19">
        <f>IF(AND(ISNUMBER(AO469),ISNUMBER({ROIC})),AO469-{ROIC},"")</f>
        <v/>
      </c>
      <c r="AQ469" s="17">
        <f>IF(AND(ISNUMBER(AE469),ISNUMBER(N469)),AE469+N469,"")</f>
        <v/>
      </c>
      <c r="AR469" s="20">
        <f>IF(AND(ISNUMBER(AH469),ISNUMBER(T469),ISNUMBER(AQ469),AQ469&gt;0),(AH469-T469)/AQ469,"")</f>
        <v/>
      </c>
      <c r="AS469" s="20">
        <f>IF(AND(ISNUMBER(AE469),ISNUMBER(I469),I469&lt;&gt;0,AE469&gt;0),AE469/I469,"")</f>
        <v/>
      </c>
      <c r="AT469" s="17">
        <f>IF(AND(ISNUMBER(Y469),ISNUMBER(AA469)),Y469-IF(ISNUMBER(T469),T469,0)-(AA469-IF(ISNUMBER(V469),V469,0)),"")</f>
        <v/>
      </c>
      <c r="AU469" s="17">
        <f>IF(AND(ISNUMBER(Z469),ISNUMBER(AB469)),Z469-IF(ISNUMBER(U469),U469,0)-(AB469-IF(ISNUMBER(W469),W469,0)),"")</f>
        <v/>
      </c>
      <c r="AV469" s="17">
        <f>IF(AND(ISNUMBER(AT469),ISNUMBER(AU469)),AT469-AU469,"")</f>
        <v/>
      </c>
      <c r="AW469" s="17">
        <f>IF(AND(ISNUMBER(L469),ISNUMBER(M469),ISNUMBER(AF469)),L469-M469*(1-AF469),IF(ISNUMBER(L469),L469,""))</f>
        <v/>
      </c>
      <c r="AX469" s="17">
        <f>IF(E469="금융","",IF(AND(ISNUMBER(AW469),ISNUMBER(N469),ISNUMBER(O469),ISNUMBER(AV469)),AW469+N469-O469-AV469,IF(AND(ISNUMBER(P469),ISNUMBER(O469)),P469-O469-IF(ISNUMBER(Q469),Q469,0),"")))</f>
        <v/>
      </c>
      <c r="AY469" s="8">
        <f>IF(E469="금융","금융업 - 정의되지 않음",IF(AND(ISNUMBER(AW469),ISNUMBER(N469),ISNUMBER(O469),ISNUMBER(AV469)),"영업순이익+감가상각-설비투자-운전자본증감",IF(AND(ISNUMBER(P469),ISNUMBER(O469)),IF(ISNUMBER(Q469),"영업현금흐름-설비투자-주식보상비용","영업현금흐름-설비투자(주식보상비용 미태깅)"),"산출불가")))</f>
        <v/>
      </c>
      <c r="AZ469" s="19">
        <f>IF(AND(ISNUMBER(AX469),ISNUMBER(G469),G469&lt;&gt;0),AX469/G469,"")</f>
        <v/>
      </c>
      <c r="BA469" s="19">
        <f>IF(AND(ISNUMBER(AE469),ISNUMBER(G469),G469&lt;&gt;0),AE469/G469,"")</f>
        <v/>
      </c>
    </row>
    <row r="470">
      <c r="A470" s="8" t="inlineStr">
        <is>
          <t>PANW</t>
        </is>
      </c>
      <c r="B470" s="8" t="inlineStr">
        <is>
          <t>Palo Alto Networks Inc</t>
        </is>
      </c>
      <c r="C470" s="8" t="n">
        <v>2017</v>
      </c>
      <c r="D470" s="8" t="inlineStr">
        <is>
          <t>2017-07-31</t>
        </is>
      </c>
      <c r="E470" s="8" t="inlineStr">
        <is>
          <t>일반</t>
        </is>
      </c>
      <c r="F470" s="8" t="inlineStr">
        <is>
          <t>0001327567-19-000032</t>
        </is>
      </c>
      <c r="G470" s="15" t="n">
        <v>1.7551</v>
      </c>
      <c r="H470" s="15" t="n">
        <v>-0.1801</v>
      </c>
      <c r="I470" s="15" t="n">
        <v>0.0245</v>
      </c>
      <c r="J470" s="15" t="n">
        <v>0.0229</v>
      </c>
      <c r="K470" s="15" t="n">
        <v>-0.1658</v>
      </c>
      <c r="L470" s="15" t="n">
        <v>-0.203</v>
      </c>
      <c r="M470" s="15" t="n"/>
      <c r="N470" s="15" t="n">
        <v>0.0598</v>
      </c>
      <c r="O470" s="15" t="n">
        <v>0.1634</v>
      </c>
      <c r="P470" s="15" t="n">
        <v>0.8688</v>
      </c>
      <c r="Q470" s="15" t="n">
        <v>0.4745</v>
      </c>
      <c r="R470" s="15" t="n">
        <v>0.7596000000000001</v>
      </c>
      <c r="S470" s="15" t="n">
        <v>0.8949</v>
      </c>
      <c r="T470" s="15" t="n">
        <v>0.7443</v>
      </c>
      <c r="U470" s="15" t="n">
        <v>0.7344000000000001</v>
      </c>
      <c r="V470" s="15" t="n">
        <v>0</v>
      </c>
      <c r="W470" s="15" t="n">
        <v>0</v>
      </c>
      <c r="X470" s="15" t="n">
        <v>0.5247000000000001</v>
      </c>
      <c r="Y470" s="15" t="n">
        <v>1.9763</v>
      </c>
      <c r="Z470" s="15" t="n">
        <v>1.774</v>
      </c>
      <c r="AA470" s="15" t="n">
        <v>1.2013</v>
      </c>
      <c r="AB470" s="15" t="n">
        <v>0.8468</v>
      </c>
      <c r="AC470" s="15" t="n">
        <v>0.6607</v>
      </c>
      <c r="AD470" s="16" t="n">
        <v>549</v>
      </c>
      <c r="AE470" s="17">
        <f>IF(ISNUMBER(K470),K470,IF(AND(ISNUMBER(H470),ISNUMBER(I470)),H470+I470,IF(ISNUMBER(H470),H470,"")))</f>
        <v/>
      </c>
      <c r="AF470" s="18">
        <f>IF(OR(NOT(ISNUMBER(J470)),NOT(ISNUMBER(H470)),H470&lt;=0),기준표!$B$8,MIN(MAX(J470/H470,기준표!$B$6),기준표!$B$7))</f>
        <v/>
      </c>
      <c r="AG470" s="17">
        <f>IF(ISNUMBER(AE470),AE470*(1-AF470),"")</f>
        <v/>
      </c>
      <c r="AH470" s="17">
        <f>IF(AND(NOT(ISNUMBER(V470)),NOT(ISNUMBER(X470))),"",IF(ISNUMBER(V470),V470,0)+IF(ISNUMBER(X470),X470,0))</f>
        <v/>
      </c>
      <c r="AI470" s="17">
        <f>IF(E470="금융","",IF(AND(ISNUMBER(R470),ISNUMBER(AH470),ISNUMBER(T470)),R470+AH470-T470,""))</f>
        <v/>
      </c>
      <c r="AJ470" s="17">
        <f>IF(E470="금융","",IF(NOT(ISNUMBER(AI470)),"",IF(ISNUMBER(AC470),(AI470+AC470)/2,AI470)))</f>
        <v/>
      </c>
      <c r="AK470" s="19">
        <f>IF(AND(ISNUMBER(AG470),ISNUMBER(AJ470),AJ470&gt;0),AG470/AJ470,"")</f>
        <v/>
      </c>
      <c r="AL470" s="17">
        <f>IF(E470="금융","",IF(AND(ISNUMBER(R470),ISNUMBER(AH470)),R470+AH470,""))</f>
        <v/>
      </c>
      <c r="AM470" s="19">
        <f>IF(OR(NOT(ISNUMBER(AG470)),NOT(ISNUMBER(AL470)),AL470&lt;=0),"",IF(AND(ISNUMBER(G470),AL470&lt;0.1*G470),"",AG470/AL470))</f>
        <v/>
      </c>
      <c r="AN470" s="17">
        <f>IF(NOT(ISNUMBER(R470)),"",IF(ISNUMBER(S470),(R470+S470)/2,R470))</f>
        <v/>
      </c>
      <c r="AO470" s="19">
        <f>IF(AND(ISNUMBER(L470),ISNUMBER(AN470),AN470&gt;0),L470/AN470,"")</f>
        <v/>
      </c>
      <c r="AP470" s="19">
        <f>IF(AND(ISNUMBER(AO470),ISNUMBER({ROIC})),AO470-{ROIC},"")</f>
        <v/>
      </c>
      <c r="AQ470" s="17">
        <f>IF(AND(ISNUMBER(AE470),ISNUMBER(N470)),AE470+N470,"")</f>
        <v/>
      </c>
      <c r="AR470" s="20">
        <f>IF(AND(ISNUMBER(AH470),ISNUMBER(T470),ISNUMBER(AQ470),AQ470&gt;0),(AH470-T470)/AQ470,"")</f>
        <v/>
      </c>
      <c r="AS470" s="20">
        <f>IF(AND(ISNUMBER(AE470),ISNUMBER(I470),I470&lt;&gt;0,AE470&gt;0),AE470/I470,"")</f>
        <v/>
      </c>
      <c r="AT470" s="17">
        <f>IF(AND(ISNUMBER(Y470),ISNUMBER(AA470)),Y470-IF(ISNUMBER(T470),T470,0)-(AA470-IF(ISNUMBER(V470),V470,0)),"")</f>
        <v/>
      </c>
      <c r="AU470" s="17">
        <f>IF(AND(ISNUMBER(Z470),ISNUMBER(AB470)),Z470-IF(ISNUMBER(U470),U470,0)-(AB470-IF(ISNUMBER(W470),W470,0)),"")</f>
        <v/>
      </c>
      <c r="AV470" s="17">
        <f>IF(AND(ISNUMBER(AT470),ISNUMBER(AU470)),AT470-AU470,"")</f>
        <v/>
      </c>
      <c r="AW470" s="17">
        <f>IF(AND(ISNUMBER(L470),ISNUMBER(M470),ISNUMBER(AF470)),L470-M470*(1-AF470),IF(ISNUMBER(L470),L470,""))</f>
        <v/>
      </c>
      <c r="AX470" s="17">
        <f>IF(E470="금융","",IF(AND(ISNUMBER(AW470),ISNUMBER(N470),ISNUMBER(O470),ISNUMBER(AV470)),AW470+N470-O470-AV470,IF(AND(ISNUMBER(P470),ISNUMBER(O470)),P470-O470-IF(ISNUMBER(Q470),Q470,0),"")))</f>
        <v/>
      </c>
      <c r="AY470" s="8">
        <f>IF(E470="금융","금융업 - 정의되지 않음",IF(AND(ISNUMBER(AW470),ISNUMBER(N470),ISNUMBER(O470),ISNUMBER(AV470)),"영업순이익+감가상각-설비투자-운전자본증감",IF(AND(ISNUMBER(P470),ISNUMBER(O470)),IF(ISNUMBER(Q470),"영업현금흐름-설비투자-주식보상비용","영업현금흐름-설비투자(주식보상비용 미태깅)"),"산출불가")))</f>
        <v/>
      </c>
      <c r="AZ470" s="19">
        <f>IF(AND(ISNUMBER(AX470),ISNUMBER(G470),G470&lt;&gt;0),AX470/G470,"")</f>
        <v/>
      </c>
      <c r="BA470" s="19">
        <f>IF(AND(ISNUMBER(AE470),ISNUMBER(G470),G470&lt;&gt;0),AE470/G470,"")</f>
        <v/>
      </c>
    </row>
    <row r="471">
      <c r="A471" s="8" t="inlineStr">
        <is>
          <t>PANW</t>
        </is>
      </c>
      <c r="B471" s="8" t="inlineStr">
        <is>
          <t>Palo Alto Networks Inc</t>
        </is>
      </c>
      <c r="C471" s="8" t="n">
        <v>2018</v>
      </c>
      <c r="D471" s="8" t="inlineStr">
        <is>
          <t>2018-07-31</t>
        </is>
      </c>
      <c r="E471" s="8" t="inlineStr">
        <is>
          <t>일반</t>
        </is>
      </c>
      <c r="F471" s="8" t="inlineStr">
        <is>
          <t>0001327567-20-000032</t>
        </is>
      </c>
      <c r="G471" s="15" t="n">
        <v>2.2736</v>
      </c>
      <c r="H471" s="15" t="n">
        <v>-0.1053</v>
      </c>
      <c r="I471" s="15" t="n">
        <v>0.0295</v>
      </c>
      <c r="J471" s="15" t="n">
        <v>0.0169</v>
      </c>
      <c r="K471" s="15" t="n">
        <v>-0.1042</v>
      </c>
      <c r="L471" s="15" t="n">
        <v>-0.1222</v>
      </c>
      <c r="M471" s="15" t="n"/>
      <c r="N471" s="15" t="n">
        <v>0.0964</v>
      </c>
      <c r="O471" s="15" t="n">
        <v>0.112</v>
      </c>
      <c r="P471" s="15" t="n">
        <v>1.0381</v>
      </c>
      <c r="Q471" s="15" t="n">
        <v>0.4967</v>
      </c>
      <c r="R471" s="15" t="n">
        <v>1.1603</v>
      </c>
      <c r="S471" s="15" t="n">
        <v>0.7596000000000001</v>
      </c>
      <c r="T471" s="15" t="n">
        <v>3.4034</v>
      </c>
      <c r="U471" s="15" t="n">
        <v>0.7443</v>
      </c>
      <c r="V471" s="15" t="n">
        <v>0.5504</v>
      </c>
      <c r="W471" s="15" t="n">
        <v>0</v>
      </c>
      <c r="X471" s="15" t="n">
        <v>1.9201</v>
      </c>
      <c r="Y471" s="15" t="n">
        <v>4.1385</v>
      </c>
      <c r="Z471" s="15" t="n">
        <v>1.9763</v>
      </c>
      <c r="AA471" s="15" t="n">
        <v>2.1017</v>
      </c>
      <c r="AB471" s="15" t="n">
        <v>1.2013</v>
      </c>
      <c r="AC471" s="15" t="n">
        <v>0.54</v>
      </c>
      <c r="AD471" s="16" t="n">
        <v>561.6</v>
      </c>
      <c r="AE471" s="17">
        <f>IF(ISNUMBER(K471),K471,IF(AND(ISNUMBER(H471),ISNUMBER(I471)),H471+I471,IF(ISNUMBER(H471),H471,"")))</f>
        <v/>
      </c>
      <c r="AF471" s="18">
        <f>IF(OR(NOT(ISNUMBER(J471)),NOT(ISNUMBER(H471)),H471&lt;=0),기준표!$B$8,MIN(MAX(J471/H471,기준표!$B$6),기준표!$B$7))</f>
        <v/>
      </c>
      <c r="AG471" s="17">
        <f>IF(ISNUMBER(AE471),AE471*(1-AF471),"")</f>
        <v/>
      </c>
      <c r="AH471" s="17">
        <f>IF(AND(NOT(ISNUMBER(V471)),NOT(ISNUMBER(X471))),"",IF(ISNUMBER(V471),V471,0)+IF(ISNUMBER(X471),X471,0))</f>
        <v/>
      </c>
      <c r="AI471" s="17">
        <f>IF(E471="금융","",IF(AND(ISNUMBER(R471),ISNUMBER(AH471),ISNUMBER(T471)),R471+AH471-T471,""))</f>
        <v/>
      </c>
      <c r="AJ471" s="17">
        <f>IF(E471="금융","",IF(NOT(ISNUMBER(AI471)),"",IF(ISNUMBER(AC471),(AI471+AC471)/2,AI471)))</f>
        <v/>
      </c>
      <c r="AK471" s="19">
        <f>IF(AND(ISNUMBER(AG471),ISNUMBER(AJ471),AJ471&gt;0),AG471/AJ471,"")</f>
        <v/>
      </c>
      <c r="AL471" s="17">
        <f>IF(E471="금융","",IF(AND(ISNUMBER(R471),ISNUMBER(AH471)),R471+AH471,""))</f>
        <v/>
      </c>
      <c r="AM471" s="19">
        <f>IF(OR(NOT(ISNUMBER(AG471)),NOT(ISNUMBER(AL471)),AL471&lt;=0),"",IF(AND(ISNUMBER(G471),AL471&lt;0.1*G471),"",AG471/AL471))</f>
        <v/>
      </c>
      <c r="AN471" s="17">
        <f>IF(NOT(ISNUMBER(R471)),"",IF(ISNUMBER(S471),(R471+S471)/2,R471))</f>
        <v/>
      </c>
      <c r="AO471" s="19">
        <f>IF(AND(ISNUMBER(L471),ISNUMBER(AN471),AN471&gt;0),L471/AN471,"")</f>
        <v/>
      </c>
      <c r="AP471" s="19">
        <f>IF(AND(ISNUMBER(AO471),ISNUMBER({ROIC})),AO471-{ROIC},"")</f>
        <v/>
      </c>
      <c r="AQ471" s="17">
        <f>IF(AND(ISNUMBER(AE471),ISNUMBER(N471)),AE471+N471,"")</f>
        <v/>
      </c>
      <c r="AR471" s="20">
        <f>IF(AND(ISNUMBER(AH471),ISNUMBER(T471),ISNUMBER(AQ471),AQ471&gt;0),(AH471-T471)/AQ471,"")</f>
        <v/>
      </c>
      <c r="AS471" s="20">
        <f>IF(AND(ISNUMBER(AE471),ISNUMBER(I471),I471&lt;&gt;0,AE471&gt;0),AE471/I471,"")</f>
        <v/>
      </c>
      <c r="AT471" s="17">
        <f>IF(AND(ISNUMBER(Y471),ISNUMBER(AA471)),Y471-IF(ISNUMBER(T471),T471,0)-(AA471-IF(ISNUMBER(V471),V471,0)),"")</f>
        <v/>
      </c>
      <c r="AU471" s="17">
        <f>IF(AND(ISNUMBER(Z471),ISNUMBER(AB471)),Z471-IF(ISNUMBER(U471),U471,0)-(AB471-IF(ISNUMBER(W471),W471,0)),"")</f>
        <v/>
      </c>
      <c r="AV471" s="17">
        <f>IF(AND(ISNUMBER(AT471),ISNUMBER(AU471)),AT471-AU471,"")</f>
        <v/>
      </c>
      <c r="AW471" s="17">
        <f>IF(AND(ISNUMBER(L471),ISNUMBER(M471),ISNUMBER(AF471)),L471-M471*(1-AF471),IF(ISNUMBER(L471),L471,""))</f>
        <v/>
      </c>
      <c r="AX471" s="17">
        <f>IF(E471="금융","",IF(AND(ISNUMBER(AW471),ISNUMBER(N471),ISNUMBER(O471),ISNUMBER(AV471)),AW471+N471-O471-AV471,IF(AND(ISNUMBER(P471),ISNUMBER(O471)),P471-O471-IF(ISNUMBER(Q471),Q471,0),"")))</f>
        <v/>
      </c>
      <c r="AY471" s="8">
        <f>IF(E471="금융","금융업 - 정의되지 않음",IF(AND(ISNUMBER(AW471),ISNUMBER(N471),ISNUMBER(O471),ISNUMBER(AV471)),"영업순이익+감가상각-설비투자-운전자본증감",IF(AND(ISNUMBER(P471),ISNUMBER(O471)),IF(ISNUMBER(Q471),"영업현금흐름-설비투자-주식보상비용","영업현금흐름-설비투자(주식보상비용 미태깅)"),"산출불가")))</f>
        <v/>
      </c>
      <c r="AZ471" s="19">
        <f>IF(AND(ISNUMBER(AX471),ISNUMBER(G471),G471&lt;&gt;0),AX471/G471,"")</f>
        <v/>
      </c>
      <c r="BA471" s="19">
        <f>IF(AND(ISNUMBER(AE471),ISNUMBER(G471),G471&lt;&gt;0),AE471/G471,"")</f>
        <v/>
      </c>
    </row>
    <row r="472">
      <c r="A472" s="8" t="inlineStr">
        <is>
          <t>PANW</t>
        </is>
      </c>
      <c r="B472" s="8" t="inlineStr">
        <is>
          <t>Palo Alto Networks Inc</t>
        </is>
      </c>
      <c r="C472" s="8" t="n">
        <v>2019</v>
      </c>
      <c r="D472" s="8" t="inlineStr">
        <is>
          <t>2019-07-31</t>
        </is>
      </c>
      <c r="E472" s="8" t="inlineStr">
        <is>
          <t>일반</t>
        </is>
      </c>
      <c r="F472" s="8" t="inlineStr">
        <is>
          <t>0001327567-21-000029</t>
        </is>
      </c>
      <c r="G472" s="15" t="n">
        <v>2.8996</v>
      </c>
      <c r="H472" s="15" t="n">
        <v>-0.0746</v>
      </c>
      <c r="I472" s="15" t="n">
        <v>0.0829</v>
      </c>
      <c r="J472" s="15" t="n">
        <v>0.0073</v>
      </c>
      <c r="K472" s="15" t="n">
        <v>-0.0541</v>
      </c>
      <c r="L472" s="15" t="n">
        <v>-0.0819</v>
      </c>
      <c r="M472" s="15" t="n"/>
      <c r="N472" s="15" t="n">
        <v>0.1538</v>
      </c>
      <c r="O472" s="15" t="n">
        <v>0.1312</v>
      </c>
      <c r="P472" s="15" t="n">
        <v>1.0556</v>
      </c>
      <c r="Q472" s="15" t="n">
        <v>0.5677</v>
      </c>
      <c r="R472" s="15" t="n">
        <v>1.5863</v>
      </c>
      <c r="S472" s="15" t="n">
        <v>1.1603</v>
      </c>
      <c r="T472" s="15" t="n">
        <v>2.8031</v>
      </c>
      <c r="U472" s="15" t="n">
        <v>3.4034</v>
      </c>
      <c r="V472" s="15" t="n">
        <v>0</v>
      </c>
      <c r="W472" s="15" t="n">
        <v>0.5504</v>
      </c>
      <c r="X472" s="15" t="n">
        <v>1.43</v>
      </c>
      <c r="Y472" s="15" t="n">
        <v>3.6648</v>
      </c>
      <c r="Z472" s="15" t="n">
        <v>4.1385</v>
      </c>
      <c r="AA472" s="15" t="n">
        <v>2.0533</v>
      </c>
      <c r="AB472" s="15" t="n">
        <v>2.1017</v>
      </c>
      <c r="AC472" s="15" t="n">
        <v>0.2274</v>
      </c>
      <c r="AD472" s="16" t="n">
        <v>580.8</v>
      </c>
      <c r="AE472" s="17">
        <f>IF(ISNUMBER(K472),K472,IF(AND(ISNUMBER(H472),ISNUMBER(I472)),H472+I472,IF(ISNUMBER(H472),H472,"")))</f>
        <v/>
      </c>
      <c r="AF472" s="18">
        <f>IF(OR(NOT(ISNUMBER(J472)),NOT(ISNUMBER(H472)),H472&lt;=0),기준표!$B$8,MIN(MAX(J472/H472,기준표!$B$6),기준표!$B$7))</f>
        <v/>
      </c>
      <c r="AG472" s="17">
        <f>IF(ISNUMBER(AE472),AE472*(1-AF472),"")</f>
        <v/>
      </c>
      <c r="AH472" s="17">
        <f>IF(AND(NOT(ISNUMBER(V472)),NOT(ISNUMBER(X472))),"",IF(ISNUMBER(V472),V472,0)+IF(ISNUMBER(X472),X472,0))</f>
        <v/>
      </c>
      <c r="AI472" s="17">
        <f>IF(E472="금융","",IF(AND(ISNUMBER(R472),ISNUMBER(AH472),ISNUMBER(T472)),R472+AH472-T472,""))</f>
        <v/>
      </c>
      <c r="AJ472" s="17">
        <f>IF(E472="금융","",IF(NOT(ISNUMBER(AI472)),"",IF(ISNUMBER(AC472),(AI472+AC472)/2,AI472)))</f>
        <v/>
      </c>
      <c r="AK472" s="19">
        <f>IF(AND(ISNUMBER(AG472),ISNUMBER(AJ472),AJ472&gt;0),AG472/AJ472,"")</f>
        <v/>
      </c>
      <c r="AL472" s="17">
        <f>IF(E472="금융","",IF(AND(ISNUMBER(R472),ISNUMBER(AH472)),R472+AH472,""))</f>
        <v/>
      </c>
      <c r="AM472" s="19">
        <f>IF(OR(NOT(ISNUMBER(AG472)),NOT(ISNUMBER(AL472)),AL472&lt;=0),"",IF(AND(ISNUMBER(G472),AL472&lt;0.1*G472),"",AG472/AL472))</f>
        <v/>
      </c>
      <c r="AN472" s="17">
        <f>IF(NOT(ISNUMBER(R472)),"",IF(ISNUMBER(S472),(R472+S472)/2,R472))</f>
        <v/>
      </c>
      <c r="AO472" s="19">
        <f>IF(AND(ISNUMBER(L472),ISNUMBER(AN472),AN472&gt;0),L472/AN472,"")</f>
        <v/>
      </c>
      <c r="AP472" s="19">
        <f>IF(AND(ISNUMBER(AO472),ISNUMBER({ROIC})),AO472-{ROIC},"")</f>
        <v/>
      </c>
      <c r="AQ472" s="17">
        <f>IF(AND(ISNUMBER(AE472),ISNUMBER(N472)),AE472+N472,"")</f>
        <v/>
      </c>
      <c r="AR472" s="20">
        <f>IF(AND(ISNUMBER(AH472),ISNUMBER(T472),ISNUMBER(AQ472),AQ472&gt;0),(AH472-T472)/AQ472,"")</f>
        <v/>
      </c>
      <c r="AS472" s="20">
        <f>IF(AND(ISNUMBER(AE472),ISNUMBER(I472),I472&lt;&gt;0,AE472&gt;0),AE472/I472,"")</f>
        <v/>
      </c>
      <c r="AT472" s="17">
        <f>IF(AND(ISNUMBER(Y472),ISNUMBER(AA472)),Y472-IF(ISNUMBER(T472),T472,0)-(AA472-IF(ISNUMBER(V472),V472,0)),"")</f>
        <v/>
      </c>
      <c r="AU472" s="17">
        <f>IF(AND(ISNUMBER(Z472),ISNUMBER(AB472)),Z472-IF(ISNUMBER(U472),U472,0)-(AB472-IF(ISNUMBER(W472),W472,0)),"")</f>
        <v/>
      </c>
      <c r="AV472" s="17">
        <f>IF(AND(ISNUMBER(AT472),ISNUMBER(AU472)),AT472-AU472,"")</f>
        <v/>
      </c>
      <c r="AW472" s="17">
        <f>IF(AND(ISNUMBER(L472),ISNUMBER(M472),ISNUMBER(AF472)),L472-M472*(1-AF472),IF(ISNUMBER(L472),L472,""))</f>
        <v/>
      </c>
      <c r="AX472" s="17">
        <f>IF(E472="금융","",IF(AND(ISNUMBER(AW472),ISNUMBER(N472),ISNUMBER(O472),ISNUMBER(AV472)),AW472+N472-O472-AV472,IF(AND(ISNUMBER(P472),ISNUMBER(O472)),P472-O472-IF(ISNUMBER(Q472),Q472,0),"")))</f>
        <v/>
      </c>
      <c r="AY472" s="8">
        <f>IF(E472="금융","금융업 - 정의되지 않음",IF(AND(ISNUMBER(AW472),ISNUMBER(N472),ISNUMBER(O472),ISNUMBER(AV472)),"영업순이익+감가상각-설비투자-운전자본증감",IF(AND(ISNUMBER(P472),ISNUMBER(O472)),IF(ISNUMBER(Q472),"영업현금흐름-설비투자-주식보상비용","영업현금흐름-설비투자(주식보상비용 미태깅)"),"산출불가")))</f>
        <v/>
      </c>
      <c r="AZ472" s="19">
        <f>IF(AND(ISNUMBER(AX472),ISNUMBER(G472),G472&lt;&gt;0),AX472/G472,"")</f>
        <v/>
      </c>
      <c r="BA472" s="19">
        <f>IF(AND(ISNUMBER(AE472),ISNUMBER(G472),G472&lt;&gt;0),AE472/G472,"")</f>
        <v/>
      </c>
    </row>
    <row r="473">
      <c r="A473" s="8" t="inlineStr">
        <is>
          <t>PANW</t>
        </is>
      </c>
      <c r="B473" s="8" t="inlineStr">
        <is>
          <t>Palo Alto Networks Inc</t>
        </is>
      </c>
      <c r="C473" s="8" t="n">
        <v>2020</v>
      </c>
      <c r="D473" s="8" t="inlineStr">
        <is>
          <t>2020-07-31</t>
        </is>
      </c>
      <c r="E473" s="8" t="inlineStr">
        <is>
          <t>일반</t>
        </is>
      </c>
      <c r="F473" s="8" t="inlineStr">
        <is>
          <t>0001327567-22-000028</t>
        </is>
      </c>
      <c r="G473" s="15" t="n">
        <v>3.4084</v>
      </c>
      <c r="H473" s="15" t="n">
        <v>-0.2318</v>
      </c>
      <c r="I473" s="15" t="n">
        <v>0.0877</v>
      </c>
      <c r="J473" s="15" t="n">
        <v>0.0352</v>
      </c>
      <c r="K473" s="15" t="n">
        <v>-0.179</v>
      </c>
      <c r="L473" s="15" t="n">
        <v>-0.267</v>
      </c>
      <c r="M473" s="15" t="n"/>
      <c r="N473" s="15" t="n">
        <v>0.2061</v>
      </c>
      <c r="O473" s="15" t="n">
        <v>0.2144</v>
      </c>
      <c r="P473" s="15" t="n">
        <v>1.0357</v>
      </c>
      <c r="Q473" s="15" t="n">
        <v>0.6584</v>
      </c>
      <c r="R473" s="15" t="n">
        <v>1.1018</v>
      </c>
      <c r="S473" s="15" t="n">
        <v>1.5863</v>
      </c>
      <c r="T473" s="15" t="n">
        <v>3.7478</v>
      </c>
      <c r="U473" s="15" t="n">
        <v>2.8031</v>
      </c>
      <c r="V473" s="15" t="n">
        <v>0</v>
      </c>
      <c r="W473" s="15" t="n">
        <v>0</v>
      </c>
      <c r="X473" s="15" t="n">
        <v>3.0841</v>
      </c>
      <c r="Y473" s="15" t="n">
        <v>5.1292</v>
      </c>
      <c r="Z473" s="15" t="n">
        <v>3.6648</v>
      </c>
      <c r="AA473" s="15" t="n">
        <v>2.6917</v>
      </c>
      <c r="AB473" s="15" t="n">
        <v>2.0533</v>
      </c>
      <c r="AC473" s="15" t="n">
        <v>0.2132</v>
      </c>
      <c r="AD473" s="16" t="n">
        <v>577.8</v>
      </c>
      <c r="AE473" s="17">
        <f>IF(ISNUMBER(K473),K473,IF(AND(ISNUMBER(H473),ISNUMBER(I473)),H473+I473,IF(ISNUMBER(H473),H473,"")))</f>
        <v/>
      </c>
      <c r="AF473" s="18">
        <f>IF(OR(NOT(ISNUMBER(J473)),NOT(ISNUMBER(H473)),H473&lt;=0),기준표!$B$8,MIN(MAX(J473/H473,기준표!$B$6),기준표!$B$7))</f>
        <v/>
      </c>
      <c r="AG473" s="17">
        <f>IF(ISNUMBER(AE473),AE473*(1-AF473),"")</f>
        <v/>
      </c>
      <c r="AH473" s="17">
        <f>IF(AND(NOT(ISNUMBER(V473)),NOT(ISNUMBER(X473))),"",IF(ISNUMBER(V473),V473,0)+IF(ISNUMBER(X473),X473,0))</f>
        <v/>
      </c>
      <c r="AI473" s="17">
        <f>IF(E473="금융","",IF(AND(ISNUMBER(R473),ISNUMBER(AH473),ISNUMBER(T473)),R473+AH473-T473,""))</f>
        <v/>
      </c>
      <c r="AJ473" s="17">
        <f>IF(E473="금융","",IF(NOT(ISNUMBER(AI473)),"",IF(ISNUMBER(AC473),(AI473+AC473)/2,AI473)))</f>
        <v/>
      </c>
      <c r="AK473" s="19">
        <f>IF(AND(ISNUMBER(AG473),ISNUMBER(AJ473),AJ473&gt;0),AG473/AJ473,"")</f>
        <v/>
      </c>
      <c r="AL473" s="17">
        <f>IF(E473="금융","",IF(AND(ISNUMBER(R473),ISNUMBER(AH473)),R473+AH473,""))</f>
        <v/>
      </c>
      <c r="AM473" s="19">
        <f>IF(OR(NOT(ISNUMBER(AG473)),NOT(ISNUMBER(AL473)),AL473&lt;=0),"",IF(AND(ISNUMBER(G473),AL473&lt;0.1*G473),"",AG473/AL473))</f>
        <v/>
      </c>
      <c r="AN473" s="17">
        <f>IF(NOT(ISNUMBER(R473)),"",IF(ISNUMBER(S473),(R473+S473)/2,R473))</f>
        <v/>
      </c>
      <c r="AO473" s="19">
        <f>IF(AND(ISNUMBER(L473),ISNUMBER(AN473),AN473&gt;0),L473/AN473,"")</f>
        <v/>
      </c>
      <c r="AP473" s="19">
        <f>IF(AND(ISNUMBER(AO473),ISNUMBER({ROIC})),AO473-{ROIC},"")</f>
        <v/>
      </c>
      <c r="AQ473" s="17">
        <f>IF(AND(ISNUMBER(AE473),ISNUMBER(N473)),AE473+N473,"")</f>
        <v/>
      </c>
      <c r="AR473" s="20">
        <f>IF(AND(ISNUMBER(AH473),ISNUMBER(T473),ISNUMBER(AQ473),AQ473&gt;0),(AH473-T473)/AQ473,"")</f>
        <v/>
      </c>
      <c r="AS473" s="20">
        <f>IF(AND(ISNUMBER(AE473),ISNUMBER(I473),I473&lt;&gt;0,AE473&gt;0),AE473/I473,"")</f>
        <v/>
      </c>
      <c r="AT473" s="17">
        <f>IF(AND(ISNUMBER(Y473),ISNUMBER(AA473)),Y473-IF(ISNUMBER(T473),T473,0)-(AA473-IF(ISNUMBER(V473),V473,0)),"")</f>
        <v/>
      </c>
      <c r="AU473" s="17">
        <f>IF(AND(ISNUMBER(Z473),ISNUMBER(AB473)),Z473-IF(ISNUMBER(U473),U473,0)-(AB473-IF(ISNUMBER(W473),W473,0)),"")</f>
        <v/>
      </c>
      <c r="AV473" s="17">
        <f>IF(AND(ISNUMBER(AT473),ISNUMBER(AU473)),AT473-AU473,"")</f>
        <v/>
      </c>
      <c r="AW473" s="17">
        <f>IF(AND(ISNUMBER(L473),ISNUMBER(M473),ISNUMBER(AF473)),L473-M473*(1-AF473),IF(ISNUMBER(L473),L473,""))</f>
        <v/>
      </c>
      <c r="AX473" s="17">
        <f>IF(E473="금융","",IF(AND(ISNUMBER(AW473),ISNUMBER(N473),ISNUMBER(O473),ISNUMBER(AV473)),AW473+N473-O473-AV473,IF(AND(ISNUMBER(P473),ISNUMBER(O473)),P473-O473-IF(ISNUMBER(Q473),Q473,0),"")))</f>
        <v/>
      </c>
      <c r="AY473" s="8">
        <f>IF(E473="금융","금융업 - 정의되지 않음",IF(AND(ISNUMBER(AW473),ISNUMBER(N473),ISNUMBER(O473),ISNUMBER(AV473)),"영업순이익+감가상각-설비투자-운전자본증감",IF(AND(ISNUMBER(P473),ISNUMBER(O473)),IF(ISNUMBER(Q473),"영업현금흐름-설비투자-주식보상비용","영업현금흐름-설비투자(주식보상비용 미태깅)"),"산출불가")))</f>
        <v/>
      </c>
      <c r="AZ473" s="19">
        <f>IF(AND(ISNUMBER(AX473),ISNUMBER(G473),G473&lt;&gt;0),AX473/G473,"")</f>
        <v/>
      </c>
      <c r="BA473" s="19">
        <f>IF(AND(ISNUMBER(AE473),ISNUMBER(G473),G473&lt;&gt;0),AE473/G473,"")</f>
        <v/>
      </c>
    </row>
    <row r="474">
      <c r="A474" s="8" t="inlineStr">
        <is>
          <t>PANW</t>
        </is>
      </c>
      <c r="B474" s="8" t="inlineStr">
        <is>
          <t>Palo Alto Networks Inc</t>
        </is>
      </c>
      <c r="C474" s="8" t="n">
        <v>2021</v>
      </c>
      <c r="D474" s="8" t="inlineStr">
        <is>
          <t>2021-07-31</t>
        </is>
      </c>
      <c r="E474" s="8" t="inlineStr">
        <is>
          <t>일반</t>
        </is>
      </c>
      <c r="F474" s="8" t="inlineStr">
        <is>
          <t>0001327567-23-000024</t>
        </is>
      </c>
      <c r="G474" s="15" t="n">
        <v>4.2561</v>
      </c>
      <c r="H474" s="15" t="n">
        <v>-0.465</v>
      </c>
      <c r="I474" s="15" t="n">
        <v>0.1631</v>
      </c>
      <c r="J474" s="15" t="n">
        <v>0.0339</v>
      </c>
      <c r="K474" s="15" t="n">
        <v>-0.3041</v>
      </c>
      <c r="L474" s="15" t="n">
        <v>-0.4989</v>
      </c>
      <c r="M474" s="15" t="n"/>
      <c r="N474" s="15" t="n">
        <v>0.2604</v>
      </c>
      <c r="O474" s="15" t="n">
        <v>0.116</v>
      </c>
      <c r="P474" s="15" t="n">
        <v>1.503</v>
      </c>
      <c r="Q474" s="15" t="n">
        <v>0.8945</v>
      </c>
      <c r="R474" s="15" t="n">
        <v>0.6345</v>
      </c>
      <c r="S474" s="15" t="n">
        <v>1.1018</v>
      </c>
      <c r="T474" s="15" t="n">
        <v>2.9011</v>
      </c>
      <c r="U474" s="15" t="n">
        <v>3.7478</v>
      </c>
      <c r="V474" s="15" t="n">
        <v>1.5579</v>
      </c>
      <c r="W474" s="15" t="n">
        <v>0</v>
      </c>
      <c r="X474" s="15" t="n">
        <v>3.226</v>
      </c>
      <c r="Y474" s="15" t="n">
        <v>4.6473</v>
      </c>
      <c r="Z474" s="15" t="n">
        <v>5.1292</v>
      </c>
      <c r="AA474" s="15" t="n">
        <v>5.1167</v>
      </c>
      <c r="AB474" s="15" t="n">
        <v>2.6917</v>
      </c>
      <c r="AC474" s="15" t="n">
        <v>0.4381</v>
      </c>
      <c r="AD474" s="16" t="n">
        <v>583.8</v>
      </c>
      <c r="AE474" s="17">
        <f>IF(ISNUMBER(K474),K474,IF(AND(ISNUMBER(H474),ISNUMBER(I474)),H474+I474,IF(ISNUMBER(H474),H474,"")))</f>
        <v/>
      </c>
      <c r="AF474" s="18">
        <f>IF(OR(NOT(ISNUMBER(J474)),NOT(ISNUMBER(H474)),H474&lt;=0),기준표!$B$8,MIN(MAX(J474/H474,기준표!$B$6),기준표!$B$7))</f>
        <v/>
      </c>
      <c r="AG474" s="17">
        <f>IF(ISNUMBER(AE474),AE474*(1-AF474),"")</f>
        <v/>
      </c>
      <c r="AH474" s="17">
        <f>IF(AND(NOT(ISNUMBER(V474)),NOT(ISNUMBER(X474))),"",IF(ISNUMBER(V474),V474,0)+IF(ISNUMBER(X474),X474,0))</f>
        <v/>
      </c>
      <c r="AI474" s="17">
        <f>IF(E474="금융","",IF(AND(ISNUMBER(R474),ISNUMBER(AH474),ISNUMBER(T474)),R474+AH474-T474,""))</f>
        <v/>
      </c>
      <c r="AJ474" s="17">
        <f>IF(E474="금융","",IF(NOT(ISNUMBER(AI474)),"",IF(ISNUMBER(AC474),(AI474+AC474)/2,AI474)))</f>
        <v/>
      </c>
      <c r="AK474" s="19">
        <f>IF(AND(ISNUMBER(AG474),ISNUMBER(AJ474),AJ474&gt;0),AG474/AJ474,"")</f>
        <v/>
      </c>
      <c r="AL474" s="17">
        <f>IF(E474="금융","",IF(AND(ISNUMBER(R474),ISNUMBER(AH474)),R474+AH474,""))</f>
        <v/>
      </c>
      <c r="AM474" s="19">
        <f>IF(OR(NOT(ISNUMBER(AG474)),NOT(ISNUMBER(AL474)),AL474&lt;=0),"",IF(AND(ISNUMBER(G474),AL474&lt;0.1*G474),"",AG474/AL474))</f>
        <v/>
      </c>
      <c r="AN474" s="17">
        <f>IF(NOT(ISNUMBER(R474)),"",IF(ISNUMBER(S474),(R474+S474)/2,R474))</f>
        <v/>
      </c>
      <c r="AO474" s="19">
        <f>IF(AND(ISNUMBER(L474),ISNUMBER(AN474),AN474&gt;0),L474/AN474,"")</f>
        <v/>
      </c>
      <c r="AP474" s="19">
        <f>IF(AND(ISNUMBER(AO474),ISNUMBER({ROIC})),AO474-{ROIC},"")</f>
        <v/>
      </c>
      <c r="AQ474" s="17">
        <f>IF(AND(ISNUMBER(AE474),ISNUMBER(N474)),AE474+N474,"")</f>
        <v/>
      </c>
      <c r="AR474" s="20">
        <f>IF(AND(ISNUMBER(AH474),ISNUMBER(T474),ISNUMBER(AQ474),AQ474&gt;0),(AH474-T474)/AQ474,"")</f>
        <v/>
      </c>
      <c r="AS474" s="20">
        <f>IF(AND(ISNUMBER(AE474),ISNUMBER(I474),I474&lt;&gt;0,AE474&gt;0),AE474/I474,"")</f>
        <v/>
      </c>
      <c r="AT474" s="17">
        <f>IF(AND(ISNUMBER(Y474),ISNUMBER(AA474)),Y474-IF(ISNUMBER(T474),T474,0)-(AA474-IF(ISNUMBER(V474),V474,0)),"")</f>
        <v/>
      </c>
      <c r="AU474" s="17">
        <f>IF(AND(ISNUMBER(Z474),ISNUMBER(AB474)),Z474-IF(ISNUMBER(U474),U474,0)-(AB474-IF(ISNUMBER(W474),W474,0)),"")</f>
        <v/>
      </c>
      <c r="AV474" s="17">
        <f>IF(AND(ISNUMBER(AT474),ISNUMBER(AU474)),AT474-AU474,"")</f>
        <v/>
      </c>
      <c r="AW474" s="17">
        <f>IF(AND(ISNUMBER(L474),ISNUMBER(M474),ISNUMBER(AF474)),L474-M474*(1-AF474),IF(ISNUMBER(L474),L474,""))</f>
        <v/>
      </c>
      <c r="AX474" s="17">
        <f>IF(E474="금융","",IF(AND(ISNUMBER(AW474),ISNUMBER(N474),ISNUMBER(O474),ISNUMBER(AV474)),AW474+N474-O474-AV474,IF(AND(ISNUMBER(P474),ISNUMBER(O474)),P474-O474-IF(ISNUMBER(Q474),Q474,0),"")))</f>
        <v/>
      </c>
      <c r="AY474" s="8">
        <f>IF(E474="금융","금융업 - 정의되지 않음",IF(AND(ISNUMBER(AW474),ISNUMBER(N474),ISNUMBER(O474),ISNUMBER(AV474)),"영업순이익+감가상각-설비투자-운전자본증감",IF(AND(ISNUMBER(P474),ISNUMBER(O474)),IF(ISNUMBER(Q474),"영업현금흐름-설비투자-주식보상비용","영업현금흐름-설비투자(주식보상비용 미태깅)"),"산출불가")))</f>
        <v/>
      </c>
      <c r="AZ474" s="19">
        <f>IF(AND(ISNUMBER(AX474),ISNUMBER(G474),G474&lt;&gt;0),AX474/G474,"")</f>
        <v/>
      </c>
      <c r="BA474" s="19">
        <f>IF(AND(ISNUMBER(AE474),ISNUMBER(G474),G474&lt;&gt;0),AE474/G474,"")</f>
        <v/>
      </c>
    </row>
    <row r="475">
      <c r="A475" s="8" t="inlineStr">
        <is>
          <t>PANW</t>
        </is>
      </c>
      <c r="B475" s="8" t="inlineStr">
        <is>
          <t>Palo Alto Networks Inc</t>
        </is>
      </c>
      <c r="C475" s="8" t="n">
        <v>2022</v>
      </c>
      <c r="D475" s="8" t="inlineStr">
        <is>
          <t>2022-07-31</t>
        </is>
      </c>
      <c r="E475" s="8" t="inlineStr">
        <is>
          <t>일반</t>
        </is>
      </c>
      <c r="F475" s="8" t="inlineStr">
        <is>
          <t>0001327567-24-000029</t>
        </is>
      </c>
      <c r="G475" s="15" t="n">
        <v>5.5015</v>
      </c>
      <c r="H475" s="15" t="n">
        <v>-0.2072</v>
      </c>
      <c r="I475" s="15" t="n">
        <v>0.0274</v>
      </c>
      <c r="J475" s="15" t="n">
        <v>0.0598</v>
      </c>
      <c r="K475" s="15" t="n">
        <v>-0.1888</v>
      </c>
      <c r="L475" s="15" t="n">
        <v>-0.267</v>
      </c>
      <c r="M475" s="15" t="n"/>
      <c r="N475" s="15" t="n">
        <v>0.2826</v>
      </c>
      <c r="O475" s="15" t="n">
        <v>0.1928</v>
      </c>
      <c r="P475" s="15" t="n">
        <v>1.9847</v>
      </c>
      <c r="Q475" s="15" t="n">
        <v>1.0111</v>
      </c>
      <c r="R475" s="15" t="n">
        <v>0.21</v>
      </c>
      <c r="S475" s="15" t="n">
        <v>0.6345</v>
      </c>
      <c r="T475" s="15" t="n">
        <v>3.6345</v>
      </c>
      <c r="U475" s="15" t="n">
        <v>2.9011</v>
      </c>
      <c r="V475" s="15" t="n">
        <v>3.6768</v>
      </c>
      <c r="W475" s="15" t="n">
        <v>1.5579</v>
      </c>
      <c r="X475" s="15" t="n">
        <v>3.6768</v>
      </c>
      <c r="Y475" s="15" t="n">
        <v>6.4149</v>
      </c>
      <c r="Z475" s="15" t="n">
        <v>4.6473</v>
      </c>
      <c r="AA475" s="15" t="n">
        <v>8.3063</v>
      </c>
      <c r="AB475" s="15" t="n">
        <v>5.1167</v>
      </c>
      <c r="AC475" s="15" t="n">
        <v>2.5173</v>
      </c>
      <c r="AD475" s="16" t="n">
        <v>597.6</v>
      </c>
      <c r="AE475" s="17">
        <f>IF(ISNUMBER(K475),K475,IF(AND(ISNUMBER(H475),ISNUMBER(I475)),H475+I475,IF(ISNUMBER(H475),H475,"")))</f>
        <v/>
      </c>
      <c r="AF475" s="18">
        <f>IF(OR(NOT(ISNUMBER(J475)),NOT(ISNUMBER(H475)),H475&lt;=0),기준표!$B$8,MIN(MAX(J475/H475,기준표!$B$6),기준표!$B$7))</f>
        <v/>
      </c>
      <c r="AG475" s="17">
        <f>IF(ISNUMBER(AE475),AE475*(1-AF475),"")</f>
        <v/>
      </c>
      <c r="AH475" s="17">
        <f>IF(AND(NOT(ISNUMBER(V475)),NOT(ISNUMBER(X475))),"",IF(ISNUMBER(V475),V475,0)+IF(ISNUMBER(X475),X475,0))</f>
        <v/>
      </c>
      <c r="AI475" s="17">
        <f>IF(E475="금융","",IF(AND(ISNUMBER(R475),ISNUMBER(AH475),ISNUMBER(T475)),R475+AH475-T475,""))</f>
        <v/>
      </c>
      <c r="AJ475" s="17">
        <f>IF(E475="금융","",IF(NOT(ISNUMBER(AI475)),"",IF(ISNUMBER(AC475),(AI475+AC475)/2,AI475)))</f>
        <v/>
      </c>
      <c r="AK475" s="19">
        <f>IF(AND(ISNUMBER(AG475),ISNUMBER(AJ475),AJ475&gt;0),AG475/AJ475,"")</f>
        <v/>
      </c>
      <c r="AL475" s="17">
        <f>IF(E475="금융","",IF(AND(ISNUMBER(R475),ISNUMBER(AH475)),R475+AH475,""))</f>
        <v/>
      </c>
      <c r="AM475" s="19">
        <f>IF(OR(NOT(ISNUMBER(AG475)),NOT(ISNUMBER(AL475)),AL475&lt;=0),"",IF(AND(ISNUMBER(G475),AL475&lt;0.1*G475),"",AG475/AL475))</f>
        <v/>
      </c>
      <c r="AN475" s="17">
        <f>IF(NOT(ISNUMBER(R475)),"",IF(ISNUMBER(S475),(R475+S475)/2,R475))</f>
        <v/>
      </c>
      <c r="AO475" s="19">
        <f>IF(AND(ISNUMBER(L475),ISNUMBER(AN475),AN475&gt;0),L475/AN475,"")</f>
        <v/>
      </c>
      <c r="AP475" s="19">
        <f>IF(AND(ISNUMBER(AO475),ISNUMBER({ROIC})),AO475-{ROIC},"")</f>
        <v/>
      </c>
      <c r="AQ475" s="17">
        <f>IF(AND(ISNUMBER(AE475),ISNUMBER(N475)),AE475+N475,"")</f>
        <v/>
      </c>
      <c r="AR475" s="20">
        <f>IF(AND(ISNUMBER(AH475),ISNUMBER(T475),ISNUMBER(AQ475),AQ475&gt;0),(AH475-T475)/AQ475,"")</f>
        <v/>
      </c>
      <c r="AS475" s="20">
        <f>IF(AND(ISNUMBER(AE475),ISNUMBER(I475),I475&lt;&gt;0,AE475&gt;0),AE475/I475,"")</f>
        <v/>
      </c>
      <c r="AT475" s="17">
        <f>IF(AND(ISNUMBER(Y475),ISNUMBER(AA475)),Y475-IF(ISNUMBER(T475),T475,0)-(AA475-IF(ISNUMBER(V475),V475,0)),"")</f>
        <v/>
      </c>
      <c r="AU475" s="17">
        <f>IF(AND(ISNUMBER(Z475),ISNUMBER(AB475)),Z475-IF(ISNUMBER(U475),U475,0)-(AB475-IF(ISNUMBER(W475),W475,0)),"")</f>
        <v/>
      </c>
      <c r="AV475" s="17">
        <f>IF(AND(ISNUMBER(AT475),ISNUMBER(AU475)),AT475-AU475,"")</f>
        <v/>
      </c>
      <c r="AW475" s="17">
        <f>IF(AND(ISNUMBER(L475),ISNUMBER(M475),ISNUMBER(AF475)),L475-M475*(1-AF475),IF(ISNUMBER(L475),L475,""))</f>
        <v/>
      </c>
      <c r="AX475" s="17">
        <f>IF(E475="금융","",IF(AND(ISNUMBER(AW475),ISNUMBER(N475),ISNUMBER(O475),ISNUMBER(AV475)),AW475+N475-O475-AV475,IF(AND(ISNUMBER(P475),ISNUMBER(O475)),P475-O475-IF(ISNUMBER(Q475),Q475,0),"")))</f>
        <v/>
      </c>
      <c r="AY475" s="8">
        <f>IF(E475="금융","금융업 - 정의되지 않음",IF(AND(ISNUMBER(AW475),ISNUMBER(N475),ISNUMBER(O475),ISNUMBER(AV475)),"영업순이익+감가상각-설비투자-운전자본증감",IF(AND(ISNUMBER(P475),ISNUMBER(O475)),IF(ISNUMBER(Q475),"영업현금흐름-설비투자-주식보상비용","영업현금흐름-설비투자(주식보상비용 미태깅)"),"산출불가")))</f>
        <v/>
      </c>
      <c r="AZ475" s="19">
        <f>IF(AND(ISNUMBER(AX475),ISNUMBER(G475),G475&lt;&gt;0),AX475/G475,"")</f>
        <v/>
      </c>
      <c r="BA475" s="19">
        <f>IF(AND(ISNUMBER(AE475),ISNUMBER(G475),G475&lt;&gt;0),AE475/G475,"")</f>
        <v/>
      </c>
    </row>
    <row r="476">
      <c r="A476" s="8" t="inlineStr">
        <is>
          <t>PANW</t>
        </is>
      </c>
      <c r="B476" s="8" t="inlineStr">
        <is>
          <t>Palo Alto Networks Inc</t>
        </is>
      </c>
      <c r="C476" s="8" t="n">
        <v>2023</v>
      </c>
      <c r="D476" s="8" t="inlineStr">
        <is>
          <t>2023-07-31</t>
        </is>
      </c>
      <c r="E476" s="8" t="inlineStr">
        <is>
          <t>일반</t>
        </is>
      </c>
      <c r="F476" s="8" t="inlineStr">
        <is>
          <t>0001327567-25-000027</t>
        </is>
      </c>
      <c r="G476" s="15" t="n">
        <v>6.8927</v>
      </c>
      <c r="H476" s="15" t="n">
        <v>0.5663</v>
      </c>
      <c r="I476" s="15" t="n">
        <v>0.0258</v>
      </c>
      <c r="J476" s="15" t="n">
        <v>0.1266</v>
      </c>
      <c r="K476" s="15" t="n">
        <v>0.3873</v>
      </c>
      <c r="L476" s="15" t="n">
        <v>0.4397</v>
      </c>
      <c r="M476" s="15" t="n"/>
      <c r="N476" s="15" t="n">
        <v>0.2822</v>
      </c>
      <c r="O476" s="15" t="n">
        <v>0.1463</v>
      </c>
      <c r="P476" s="15" t="n">
        <v>2.7775</v>
      </c>
      <c r="Q476" s="15" t="n">
        <v>1.0745</v>
      </c>
      <c r="R476" s="15" t="n">
        <v>1.7484</v>
      </c>
      <c r="S476" s="15" t="n">
        <v>0.21</v>
      </c>
      <c r="T476" s="15" t="n">
        <v>2.39</v>
      </c>
      <c r="U476" s="15" t="n">
        <v>3.6345</v>
      </c>
      <c r="V476" s="15" t="n">
        <v>1.9915</v>
      </c>
      <c r="W476" s="15" t="n">
        <v>3.6768</v>
      </c>
      <c r="X476" s="15" t="n">
        <v>1.9915</v>
      </c>
      <c r="Y476" s="15" t="n">
        <v>6.048</v>
      </c>
      <c r="Z476" s="15" t="n">
        <v>6.4149</v>
      </c>
      <c r="AA476" s="15" t="n">
        <v>7.7375</v>
      </c>
      <c r="AB476" s="15" t="n">
        <v>8.3063</v>
      </c>
      <c r="AC476" s="15" t="n">
        <v>3.9291</v>
      </c>
      <c r="AD476" s="16" t="n">
        <v>616.6</v>
      </c>
      <c r="AE476" s="17">
        <f>IF(ISNUMBER(K476),K476,IF(AND(ISNUMBER(H476),ISNUMBER(I476)),H476+I476,IF(ISNUMBER(H476),H476,"")))</f>
        <v/>
      </c>
      <c r="AF476" s="18">
        <f>IF(OR(NOT(ISNUMBER(J476)),NOT(ISNUMBER(H476)),H476&lt;=0),기준표!$B$8,MIN(MAX(J476/H476,기준표!$B$6),기준표!$B$7))</f>
        <v/>
      </c>
      <c r="AG476" s="17">
        <f>IF(ISNUMBER(AE476),AE476*(1-AF476),"")</f>
        <v/>
      </c>
      <c r="AH476" s="17">
        <f>IF(AND(NOT(ISNUMBER(V476)),NOT(ISNUMBER(X476))),"",IF(ISNUMBER(V476),V476,0)+IF(ISNUMBER(X476),X476,0))</f>
        <v/>
      </c>
      <c r="AI476" s="17">
        <f>IF(E476="금융","",IF(AND(ISNUMBER(R476),ISNUMBER(AH476),ISNUMBER(T476)),R476+AH476-T476,""))</f>
        <v/>
      </c>
      <c r="AJ476" s="17">
        <f>IF(E476="금융","",IF(NOT(ISNUMBER(AI476)),"",IF(ISNUMBER(AC476),(AI476+AC476)/2,AI476)))</f>
        <v/>
      </c>
      <c r="AK476" s="19">
        <f>IF(AND(ISNUMBER(AG476),ISNUMBER(AJ476),AJ476&gt;0),AG476/AJ476,"")</f>
        <v/>
      </c>
      <c r="AL476" s="17">
        <f>IF(E476="금융","",IF(AND(ISNUMBER(R476),ISNUMBER(AH476)),R476+AH476,""))</f>
        <v/>
      </c>
      <c r="AM476" s="19">
        <f>IF(OR(NOT(ISNUMBER(AG476)),NOT(ISNUMBER(AL476)),AL476&lt;=0),"",IF(AND(ISNUMBER(G476),AL476&lt;0.1*G476),"",AG476/AL476))</f>
        <v/>
      </c>
      <c r="AN476" s="17">
        <f>IF(NOT(ISNUMBER(R476)),"",IF(ISNUMBER(S476),(R476+S476)/2,R476))</f>
        <v/>
      </c>
      <c r="AO476" s="19">
        <f>IF(AND(ISNUMBER(L476),ISNUMBER(AN476),AN476&gt;0),L476/AN476,"")</f>
        <v/>
      </c>
      <c r="AP476" s="19">
        <f>IF(AND(ISNUMBER(AO476),ISNUMBER({ROIC})),AO476-{ROIC},"")</f>
        <v/>
      </c>
      <c r="AQ476" s="17">
        <f>IF(AND(ISNUMBER(AE476),ISNUMBER(N476)),AE476+N476,"")</f>
        <v/>
      </c>
      <c r="AR476" s="20">
        <f>IF(AND(ISNUMBER(AH476),ISNUMBER(T476),ISNUMBER(AQ476),AQ476&gt;0),(AH476-T476)/AQ476,"")</f>
        <v/>
      </c>
      <c r="AS476" s="20">
        <f>IF(AND(ISNUMBER(AE476),ISNUMBER(I476),I476&lt;&gt;0,AE476&gt;0),AE476/I476,"")</f>
        <v/>
      </c>
      <c r="AT476" s="17">
        <f>IF(AND(ISNUMBER(Y476),ISNUMBER(AA476)),Y476-IF(ISNUMBER(T476),T476,0)-(AA476-IF(ISNUMBER(V476),V476,0)),"")</f>
        <v/>
      </c>
      <c r="AU476" s="17">
        <f>IF(AND(ISNUMBER(Z476),ISNUMBER(AB476)),Z476-IF(ISNUMBER(U476),U476,0)-(AB476-IF(ISNUMBER(W476),W476,0)),"")</f>
        <v/>
      </c>
      <c r="AV476" s="17">
        <f>IF(AND(ISNUMBER(AT476),ISNUMBER(AU476)),AT476-AU476,"")</f>
        <v/>
      </c>
      <c r="AW476" s="17">
        <f>IF(AND(ISNUMBER(L476),ISNUMBER(M476),ISNUMBER(AF476)),L476-M476*(1-AF476),IF(ISNUMBER(L476),L476,""))</f>
        <v/>
      </c>
      <c r="AX476" s="17">
        <f>IF(E476="금융","",IF(AND(ISNUMBER(AW476),ISNUMBER(N476),ISNUMBER(O476),ISNUMBER(AV476)),AW476+N476-O476-AV476,IF(AND(ISNUMBER(P476),ISNUMBER(O476)),P476-O476-IF(ISNUMBER(Q476),Q476,0),"")))</f>
        <v/>
      </c>
      <c r="AY476" s="8">
        <f>IF(E476="금융","금융업 - 정의되지 않음",IF(AND(ISNUMBER(AW476),ISNUMBER(N476),ISNUMBER(O476),ISNUMBER(AV476)),"영업순이익+감가상각-설비투자-운전자본증감",IF(AND(ISNUMBER(P476),ISNUMBER(O476)),IF(ISNUMBER(Q476),"영업현금흐름-설비투자-주식보상비용","영업현금흐름-설비투자(주식보상비용 미태깅)"),"산출불가")))</f>
        <v/>
      </c>
      <c r="AZ476" s="19">
        <f>IF(AND(ISNUMBER(AX476),ISNUMBER(G476),G476&lt;&gt;0),AX476/G476,"")</f>
        <v/>
      </c>
      <c r="BA476" s="19">
        <f>IF(AND(ISNUMBER(AE476),ISNUMBER(G476),G476&lt;&gt;0),AE476/G476,"")</f>
        <v/>
      </c>
    </row>
    <row r="477">
      <c r="A477" s="8" t="inlineStr">
        <is>
          <t>PANW</t>
        </is>
      </c>
      <c r="B477" s="8" t="inlineStr">
        <is>
          <t>Palo Alto Networks Inc</t>
        </is>
      </c>
      <c r="C477" s="8" t="n">
        <v>2024</v>
      </c>
      <c r="D477" s="8" t="inlineStr">
        <is>
          <t>2024-07-31</t>
        </is>
      </c>
      <c r="E477" s="8" t="inlineStr">
        <is>
          <t>일반</t>
        </is>
      </c>
      <c r="F477" s="8" t="inlineStr">
        <is>
          <t>0001327567-25-000027</t>
        </is>
      </c>
      <c r="G477" s="15" t="n">
        <v>8.0275</v>
      </c>
      <c r="H477" s="15" t="n">
        <v>0.9883</v>
      </c>
      <c r="I477" s="15" t="n">
        <v>0.0083</v>
      </c>
      <c r="J477" s="15" t="n">
        <v>-1.5893</v>
      </c>
      <c r="K477" s="15" t="n">
        <v>0.6839</v>
      </c>
      <c r="L477" s="15" t="n">
        <v>2.5776</v>
      </c>
      <c r="M477" s="15" t="n"/>
      <c r="N477" s="15" t="n">
        <v>0.2833</v>
      </c>
      <c r="O477" s="15" t="n">
        <v>0.1568</v>
      </c>
      <c r="P477" s="15" t="n">
        <v>3.2576</v>
      </c>
      <c r="Q477" s="15" t="n">
        <v>1.0754</v>
      </c>
      <c r="R477" s="15" t="n">
        <v>5.1697</v>
      </c>
      <c r="S477" s="15" t="n">
        <v>1.7484</v>
      </c>
      <c r="T477" s="15" t="n">
        <v>2.5788</v>
      </c>
      <c r="U477" s="15" t="n">
        <v>2.39</v>
      </c>
      <c r="V477" s="15" t="n">
        <v>0.9639</v>
      </c>
      <c r="W477" s="15" t="n">
        <v>1.9915</v>
      </c>
      <c r="X477" s="15" t="n"/>
      <c r="Y477" s="15" t="n">
        <v>6.8497</v>
      </c>
      <c r="Z477" s="15" t="n">
        <v>6.048</v>
      </c>
      <c r="AA477" s="15" t="n">
        <v>7.6827</v>
      </c>
      <c r="AB477" s="15" t="n">
        <v>7.7375</v>
      </c>
      <c r="AC477" s="15" t="n">
        <v>3.3414</v>
      </c>
      <c r="AD477" s="16" t="n">
        <v>650.2</v>
      </c>
      <c r="AE477" s="17">
        <f>IF(ISNUMBER(K477),K477,IF(AND(ISNUMBER(H477),ISNUMBER(I477)),H477+I477,IF(ISNUMBER(H477),H477,"")))</f>
        <v/>
      </c>
      <c r="AF477" s="18">
        <f>IF(OR(NOT(ISNUMBER(J477)),NOT(ISNUMBER(H477)),H477&lt;=0),기준표!$B$8,MIN(MAX(J477/H477,기준표!$B$6),기준표!$B$7))</f>
        <v/>
      </c>
      <c r="AG477" s="17">
        <f>IF(ISNUMBER(AE477),AE477*(1-AF477),"")</f>
        <v/>
      </c>
      <c r="AH477" s="17">
        <f>IF(AND(NOT(ISNUMBER(V477)),NOT(ISNUMBER(X477))),"",IF(ISNUMBER(V477),V477,0)+IF(ISNUMBER(X477),X477,0))</f>
        <v/>
      </c>
      <c r="AI477" s="17">
        <f>IF(E477="금융","",IF(AND(ISNUMBER(R477),ISNUMBER(AH477),ISNUMBER(T477)),R477+AH477-T477,""))</f>
        <v/>
      </c>
      <c r="AJ477" s="17">
        <f>IF(E477="금융","",IF(NOT(ISNUMBER(AI477)),"",IF(ISNUMBER(AC477),(AI477+AC477)/2,AI477)))</f>
        <v/>
      </c>
      <c r="AK477" s="19">
        <f>IF(AND(ISNUMBER(AG477),ISNUMBER(AJ477),AJ477&gt;0),AG477/AJ477,"")</f>
        <v/>
      </c>
      <c r="AL477" s="17">
        <f>IF(E477="금융","",IF(AND(ISNUMBER(R477),ISNUMBER(AH477)),R477+AH477,""))</f>
        <v/>
      </c>
      <c r="AM477" s="19">
        <f>IF(OR(NOT(ISNUMBER(AG477)),NOT(ISNUMBER(AL477)),AL477&lt;=0),"",IF(AND(ISNUMBER(G477),AL477&lt;0.1*G477),"",AG477/AL477))</f>
        <v/>
      </c>
      <c r="AN477" s="17">
        <f>IF(NOT(ISNUMBER(R477)),"",IF(ISNUMBER(S477),(R477+S477)/2,R477))</f>
        <v/>
      </c>
      <c r="AO477" s="19">
        <f>IF(AND(ISNUMBER(L477),ISNUMBER(AN477),AN477&gt;0),L477/AN477,"")</f>
        <v/>
      </c>
      <c r="AP477" s="19">
        <f>IF(AND(ISNUMBER(AO477),ISNUMBER({ROIC})),AO477-{ROIC},"")</f>
        <v/>
      </c>
      <c r="AQ477" s="17">
        <f>IF(AND(ISNUMBER(AE477),ISNUMBER(N477)),AE477+N477,"")</f>
        <v/>
      </c>
      <c r="AR477" s="20">
        <f>IF(AND(ISNUMBER(AH477),ISNUMBER(T477),ISNUMBER(AQ477),AQ477&gt;0),(AH477-T477)/AQ477,"")</f>
        <v/>
      </c>
      <c r="AS477" s="20">
        <f>IF(AND(ISNUMBER(AE477),ISNUMBER(I477),I477&lt;&gt;0,AE477&gt;0),AE477/I477,"")</f>
        <v/>
      </c>
      <c r="AT477" s="17">
        <f>IF(AND(ISNUMBER(Y477),ISNUMBER(AA477)),Y477-IF(ISNUMBER(T477),T477,0)-(AA477-IF(ISNUMBER(V477),V477,0)),"")</f>
        <v/>
      </c>
      <c r="AU477" s="17">
        <f>IF(AND(ISNUMBER(Z477),ISNUMBER(AB477)),Z477-IF(ISNUMBER(U477),U477,0)-(AB477-IF(ISNUMBER(W477),W477,0)),"")</f>
        <v/>
      </c>
      <c r="AV477" s="17">
        <f>IF(AND(ISNUMBER(AT477),ISNUMBER(AU477)),AT477-AU477,"")</f>
        <v/>
      </c>
      <c r="AW477" s="17">
        <f>IF(AND(ISNUMBER(L477),ISNUMBER(M477),ISNUMBER(AF477)),L477-M477*(1-AF477),IF(ISNUMBER(L477),L477,""))</f>
        <v/>
      </c>
      <c r="AX477" s="17">
        <f>IF(E477="금융","",IF(AND(ISNUMBER(AW477),ISNUMBER(N477),ISNUMBER(O477),ISNUMBER(AV477)),AW477+N477-O477-AV477,IF(AND(ISNUMBER(P477),ISNUMBER(O477)),P477-O477-IF(ISNUMBER(Q477),Q477,0),"")))</f>
        <v/>
      </c>
      <c r="AY477" s="8">
        <f>IF(E477="금융","금융업 - 정의되지 않음",IF(AND(ISNUMBER(AW477),ISNUMBER(N477),ISNUMBER(O477),ISNUMBER(AV477)),"영업순이익+감가상각-설비투자-운전자본증감",IF(AND(ISNUMBER(P477),ISNUMBER(O477)),IF(ISNUMBER(Q477),"영업현금흐름-설비투자-주식보상비용","영업현금흐름-설비투자(주식보상비용 미태깅)"),"산출불가")))</f>
        <v/>
      </c>
      <c r="AZ477" s="19">
        <f>IF(AND(ISNUMBER(AX477),ISNUMBER(G477),G477&lt;&gt;0),AX477/G477,"")</f>
        <v/>
      </c>
      <c r="BA477" s="19">
        <f>IF(AND(ISNUMBER(AE477),ISNUMBER(G477),G477&lt;&gt;0),AE477/G477,"")</f>
        <v/>
      </c>
    </row>
    <row r="478">
      <c r="A478" s="8" t="inlineStr">
        <is>
          <t>PANW</t>
        </is>
      </c>
      <c r="B478" s="8" t="inlineStr">
        <is>
          <t>Palo Alto Networks Inc</t>
        </is>
      </c>
      <c r="C478" s="8" t="n">
        <v>2025</v>
      </c>
      <c r="D478" s="8" t="inlineStr">
        <is>
          <t>2025-07-31</t>
        </is>
      </c>
      <c r="E478" s="8" t="inlineStr">
        <is>
          <t>일반</t>
        </is>
      </c>
      <c r="F478" s="8" t="inlineStr">
        <is>
          <t>0001327567-25-000027</t>
        </is>
      </c>
      <c r="G478" s="15" t="n">
        <v>9.221500000000001</v>
      </c>
      <c r="H478" s="15" t="n">
        <v>1.5957</v>
      </c>
      <c r="I478" s="15" t="n">
        <v>0.003</v>
      </c>
      <c r="J478" s="15" t="n">
        <v>0.4618</v>
      </c>
      <c r="K478" s="15" t="n">
        <v>1.2429</v>
      </c>
      <c r="L478" s="15" t="n">
        <v>1.1339</v>
      </c>
      <c r="M478" s="15" t="n"/>
      <c r="N478" s="15" t="n">
        <v>0.3434</v>
      </c>
      <c r="O478" s="15" t="n">
        <v>0.2462</v>
      </c>
      <c r="P478" s="15" t="n">
        <v>3.716</v>
      </c>
      <c r="Q478" s="15" t="n">
        <v>1.2951</v>
      </c>
      <c r="R478" s="15" t="n">
        <v>7.8244</v>
      </c>
      <c r="S478" s="15" t="n">
        <v>5.1697</v>
      </c>
      <c r="T478" s="15" t="n">
        <v>2.9032</v>
      </c>
      <c r="U478" s="15" t="n">
        <v>2.5788</v>
      </c>
      <c r="V478" s="15" t="n">
        <v>0</v>
      </c>
      <c r="W478" s="15" t="n">
        <v>0.9639</v>
      </c>
      <c r="X478" s="15" t="n"/>
      <c r="Y478" s="15" t="n">
        <v>7.5228</v>
      </c>
      <c r="Z478" s="15" t="n">
        <v>6.8497</v>
      </c>
      <c r="AA478" s="15" t="n">
        <v>7.988</v>
      </c>
      <c r="AB478" s="15" t="n">
        <v>7.6827</v>
      </c>
      <c r="AC478" s="15" t="n">
        <v>3.5548</v>
      </c>
      <c r="AD478" s="16" t="n">
        <v>667.9</v>
      </c>
      <c r="AE478" s="17">
        <f>IF(ISNUMBER(K478),K478,IF(AND(ISNUMBER(H478),ISNUMBER(I478)),H478+I478,IF(ISNUMBER(H478),H478,"")))</f>
        <v/>
      </c>
      <c r="AF478" s="18">
        <f>IF(OR(NOT(ISNUMBER(J478)),NOT(ISNUMBER(H478)),H478&lt;=0),기준표!$B$8,MIN(MAX(J478/H478,기준표!$B$6),기준표!$B$7))</f>
        <v/>
      </c>
      <c r="AG478" s="17">
        <f>IF(ISNUMBER(AE478),AE478*(1-AF478),"")</f>
        <v/>
      </c>
      <c r="AH478" s="17">
        <f>IF(AND(NOT(ISNUMBER(V478)),NOT(ISNUMBER(X478))),"",IF(ISNUMBER(V478),V478,0)+IF(ISNUMBER(X478),X478,0))</f>
        <v/>
      </c>
      <c r="AI478" s="17">
        <f>IF(E478="금융","",IF(AND(ISNUMBER(R478),ISNUMBER(AH478),ISNUMBER(T478)),R478+AH478-T478,""))</f>
        <v/>
      </c>
      <c r="AJ478" s="17">
        <f>IF(E478="금융","",IF(NOT(ISNUMBER(AI478)),"",IF(ISNUMBER(AC478),(AI478+AC478)/2,AI478)))</f>
        <v/>
      </c>
      <c r="AK478" s="19">
        <f>IF(AND(ISNUMBER(AG478),ISNUMBER(AJ478),AJ478&gt;0),AG478/AJ478,"")</f>
        <v/>
      </c>
      <c r="AL478" s="17">
        <f>IF(E478="금융","",IF(AND(ISNUMBER(R478),ISNUMBER(AH478)),R478+AH478,""))</f>
        <v/>
      </c>
      <c r="AM478" s="19">
        <f>IF(OR(NOT(ISNUMBER(AG478)),NOT(ISNUMBER(AL478)),AL478&lt;=0),"",IF(AND(ISNUMBER(G478),AL478&lt;0.1*G478),"",AG478/AL478))</f>
        <v/>
      </c>
      <c r="AN478" s="17">
        <f>IF(NOT(ISNUMBER(R478)),"",IF(ISNUMBER(S478),(R478+S478)/2,R478))</f>
        <v/>
      </c>
      <c r="AO478" s="19">
        <f>IF(AND(ISNUMBER(L478),ISNUMBER(AN478),AN478&gt;0),L478/AN478,"")</f>
        <v/>
      </c>
      <c r="AP478" s="19">
        <f>IF(AND(ISNUMBER(AO478),ISNUMBER({ROIC})),AO478-{ROIC},"")</f>
        <v/>
      </c>
      <c r="AQ478" s="17">
        <f>IF(AND(ISNUMBER(AE478),ISNUMBER(N478)),AE478+N478,"")</f>
        <v/>
      </c>
      <c r="AR478" s="20">
        <f>IF(AND(ISNUMBER(AH478),ISNUMBER(T478),ISNUMBER(AQ478),AQ478&gt;0),(AH478-T478)/AQ478,"")</f>
        <v/>
      </c>
      <c r="AS478" s="20">
        <f>IF(AND(ISNUMBER(AE478),ISNUMBER(I478),I478&lt;&gt;0,AE478&gt;0),AE478/I478,"")</f>
        <v/>
      </c>
      <c r="AT478" s="17">
        <f>IF(AND(ISNUMBER(Y478),ISNUMBER(AA478)),Y478-IF(ISNUMBER(T478),T478,0)-(AA478-IF(ISNUMBER(V478),V478,0)),"")</f>
        <v/>
      </c>
      <c r="AU478" s="17">
        <f>IF(AND(ISNUMBER(Z478),ISNUMBER(AB478)),Z478-IF(ISNUMBER(U478),U478,0)-(AB478-IF(ISNUMBER(W478),W478,0)),"")</f>
        <v/>
      </c>
      <c r="AV478" s="17">
        <f>IF(AND(ISNUMBER(AT478),ISNUMBER(AU478)),AT478-AU478,"")</f>
        <v/>
      </c>
      <c r="AW478" s="17">
        <f>IF(AND(ISNUMBER(L478),ISNUMBER(M478),ISNUMBER(AF478)),L478-M478*(1-AF478),IF(ISNUMBER(L478),L478,""))</f>
        <v/>
      </c>
      <c r="AX478" s="17">
        <f>IF(E478="금융","",IF(AND(ISNUMBER(AW478),ISNUMBER(N478),ISNUMBER(O478),ISNUMBER(AV478)),AW478+N478-O478-AV478,IF(AND(ISNUMBER(P478),ISNUMBER(O478)),P478-O478-IF(ISNUMBER(Q478),Q478,0),"")))</f>
        <v/>
      </c>
      <c r="AY478" s="8">
        <f>IF(E478="금융","금융업 - 정의되지 않음",IF(AND(ISNUMBER(AW478),ISNUMBER(N478),ISNUMBER(O478),ISNUMBER(AV478)),"영업순이익+감가상각-설비투자-운전자본증감",IF(AND(ISNUMBER(P478),ISNUMBER(O478)),IF(ISNUMBER(Q478),"영업현금흐름-설비투자-주식보상비용","영업현금흐름-설비투자(주식보상비용 미태깅)"),"산출불가")))</f>
        <v/>
      </c>
      <c r="AZ478" s="19">
        <f>IF(AND(ISNUMBER(AX478),ISNUMBER(G478),G478&lt;&gt;0),AX478/G478,"")</f>
        <v/>
      </c>
      <c r="BA478" s="19">
        <f>IF(AND(ISNUMBER(AE478),ISNUMBER(G478),G478&lt;&gt;0),AE478/G478,"")</f>
        <v/>
      </c>
    </row>
    <row r="479">
      <c r="A479" s="8" t="inlineStr">
        <is>
          <t>PM</t>
        </is>
      </c>
      <c r="B479" s="8" t="inlineStr">
        <is>
          <t>Philip Morris International Inc.</t>
        </is>
      </c>
      <c r="C479" s="8" t="n">
        <v>2014</v>
      </c>
      <c r="D479" s="8" t="inlineStr">
        <is>
          <t>2014-12-31</t>
        </is>
      </c>
      <c r="E479" s="8" t="inlineStr">
        <is>
          <t>일반</t>
        </is>
      </c>
      <c r="F479" s="8" t="inlineStr">
        <is>
          <t>0001413329-17-000014</t>
        </is>
      </c>
      <c r="G479" s="15" t="n"/>
      <c r="H479" s="15" t="n">
        <v>10.65</v>
      </c>
      <c r="I479" s="15" t="n"/>
      <c r="J479" s="15" t="n">
        <v>3.097</v>
      </c>
      <c r="K479" s="15" t="n">
        <v>11.702</v>
      </c>
      <c r="L479" s="15" t="n">
        <v>7.493</v>
      </c>
      <c r="M479" s="15" t="n"/>
      <c r="N479" s="15" t="n">
        <v>0.796</v>
      </c>
      <c r="O479" s="15" t="n">
        <v>1.153</v>
      </c>
      <c r="P479" s="15" t="n">
        <v>7.739</v>
      </c>
      <c r="Q479" s="15" t="n"/>
      <c r="R479" s="15" t="n">
        <v>-12.629</v>
      </c>
      <c r="S479" s="15" t="n"/>
      <c r="T479" s="15" t="n">
        <v>1.682</v>
      </c>
      <c r="U479" s="15" t="n"/>
      <c r="V479" s="15" t="n">
        <v>1.208</v>
      </c>
      <c r="W479" s="15" t="n"/>
      <c r="X479" s="15" t="n">
        <v>26.929</v>
      </c>
      <c r="Y479" s="15" t="n">
        <v>15.484</v>
      </c>
      <c r="Z479" s="15" t="n"/>
      <c r="AA479" s="15" t="n">
        <v>15.112</v>
      </c>
      <c r="AB479" s="15" t="n"/>
      <c r="AC479" s="15" t="n"/>
      <c r="AD479" s="16" t="n"/>
      <c r="AE479" s="17">
        <f>IF(ISNUMBER(K479),K479,IF(AND(ISNUMBER(H479),ISNUMBER(I479)),H479+I479,IF(ISNUMBER(H479),H479,"")))</f>
        <v/>
      </c>
      <c r="AF479" s="18">
        <f>IF(OR(NOT(ISNUMBER(J479)),NOT(ISNUMBER(H479)),H479&lt;=0),기준표!$B$8,MIN(MAX(J479/H479,기준표!$B$6),기준표!$B$7))</f>
        <v/>
      </c>
      <c r="AG479" s="17">
        <f>IF(ISNUMBER(AE479),AE479*(1-AF479),"")</f>
        <v/>
      </c>
      <c r="AH479" s="17">
        <f>IF(AND(NOT(ISNUMBER(V479)),NOT(ISNUMBER(X479))),"",IF(ISNUMBER(V479),V479,0)+IF(ISNUMBER(X479),X479,0))</f>
        <v/>
      </c>
      <c r="AI479" s="17">
        <f>IF(E479="금융","",IF(AND(ISNUMBER(R479),ISNUMBER(AH479),ISNUMBER(T479)),R479+AH479-T479,""))</f>
        <v/>
      </c>
      <c r="AJ479" s="17">
        <f>IF(E479="금융","",IF(NOT(ISNUMBER(AI479)),"",IF(ISNUMBER(AC479),(AI479+AC479)/2,AI479)))</f>
        <v/>
      </c>
      <c r="AK479" s="19">
        <f>IF(AND(ISNUMBER(AG479),ISNUMBER(AJ479),AJ479&gt;0),AG479/AJ479,"")</f>
        <v/>
      </c>
      <c r="AL479" s="17">
        <f>IF(E479="금융","",IF(AND(ISNUMBER(R479),ISNUMBER(AH479)),R479+AH479,""))</f>
        <v/>
      </c>
      <c r="AM479" s="19">
        <f>IF(OR(NOT(ISNUMBER(AG479)),NOT(ISNUMBER(AL479)),AL479&lt;=0),"",IF(AND(ISNUMBER(G479),AL479&lt;0.1*G479),"",AG479/AL479))</f>
        <v/>
      </c>
      <c r="AN479" s="17">
        <f>IF(NOT(ISNUMBER(R479)),"",IF(ISNUMBER(S479),(R479+S479)/2,R479))</f>
        <v/>
      </c>
      <c r="AO479" s="19">
        <f>IF(AND(ISNUMBER(L479),ISNUMBER(AN479),AN479&gt;0),L479/AN479,"")</f>
        <v/>
      </c>
      <c r="AP479" s="19">
        <f>IF(AND(ISNUMBER(AO479),ISNUMBER({ROIC})),AO479-{ROIC},"")</f>
        <v/>
      </c>
      <c r="AQ479" s="17">
        <f>IF(AND(ISNUMBER(AE479),ISNUMBER(N479)),AE479+N479,"")</f>
        <v/>
      </c>
      <c r="AR479" s="20">
        <f>IF(AND(ISNUMBER(AH479),ISNUMBER(T479),ISNUMBER(AQ479),AQ479&gt;0),(AH479-T479)/AQ479,"")</f>
        <v/>
      </c>
      <c r="AS479" s="20">
        <f>IF(AND(ISNUMBER(AE479),ISNUMBER(I479),I479&lt;&gt;0,AE479&gt;0),AE479/I479,"")</f>
        <v/>
      </c>
      <c r="AT479" s="17">
        <f>IF(AND(ISNUMBER(Y479),ISNUMBER(AA479)),Y479-IF(ISNUMBER(T479),T479,0)-(AA479-IF(ISNUMBER(V479),V479,0)),"")</f>
        <v/>
      </c>
      <c r="AU479" s="17">
        <f>IF(AND(ISNUMBER(Z479),ISNUMBER(AB479)),Z479-IF(ISNUMBER(U479),U479,0)-(AB479-IF(ISNUMBER(W479),W479,0)),"")</f>
        <v/>
      </c>
      <c r="AV479" s="17">
        <f>IF(AND(ISNUMBER(AT479),ISNUMBER(AU479)),AT479-AU479,"")</f>
        <v/>
      </c>
      <c r="AW479" s="17">
        <f>IF(AND(ISNUMBER(L479),ISNUMBER(M479),ISNUMBER(AF479)),L479-M479*(1-AF479),IF(ISNUMBER(L479),L479,""))</f>
        <v/>
      </c>
      <c r="AX479" s="17">
        <f>IF(E479="금융","",IF(AND(ISNUMBER(AW479),ISNUMBER(N479),ISNUMBER(O479),ISNUMBER(AV479)),AW479+N479-O479-AV479,IF(AND(ISNUMBER(P479),ISNUMBER(O479)),P479-O479-IF(ISNUMBER(Q479),Q479,0),"")))</f>
        <v/>
      </c>
      <c r="AY479" s="8">
        <f>IF(E479="금융","금융업 - 정의되지 않음",IF(AND(ISNUMBER(AW479),ISNUMBER(N479),ISNUMBER(O479),ISNUMBER(AV479)),"영업순이익+감가상각-설비투자-운전자본증감",IF(AND(ISNUMBER(P479),ISNUMBER(O479)),IF(ISNUMBER(Q479),"영업현금흐름-설비투자-주식보상비용","영업현금흐름-설비투자(주식보상비용 미태깅)"),"산출불가")))</f>
        <v/>
      </c>
      <c r="AZ479" s="19">
        <f>IF(AND(ISNUMBER(AX479),ISNUMBER(G479),G479&lt;&gt;0),AX479/G479,"")</f>
        <v/>
      </c>
      <c r="BA479" s="19">
        <f>IF(AND(ISNUMBER(AE479),ISNUMBER(G479),G479&lt;&gt;0),AE479/G479,"")</f>
        <v/>
      </c>
    </row>
    <row r="480">
      <c r="A480" s="8" t="inlineStr">
        <is>
          <t>PM</t>
        </is>
      </c>
      <c r="B480" s="8" t="inlineStr">
        <is>
          <t>Philip Morris International Inc.</t>
        </is>
      </c>
      <c r="C480" s="8" t="n">
        <v>2015</v>
      </c>
      <c r="D480" s="8" t="inlineStr">
        <is>
          <t>2015-12-31</t>
        </is>
      </c>
      <c r="E480" s="8" t="inlineStr">
        <is>
          <t>일반</t>
        </is>
      </c>
      <c r="F480" s="8" t="inlineStr">
        <is>
          <t>0001413329-18-000007</t>
        </is>
      </c>
      <c r="G480" s="15" t="n"/>
      <c r="H480" s="15" t="n">
        <v>9.615</v>
      </c>
      <c r="I480" s="15" t="n"/>
      <c r="J480" s="15" t="n">
        <v>2.688</v>
      </c>
      <c r="K480" s="15" t="n">
        <v>10.623</v>
      </c>
      <c r="L480" s="15" t="n">
        <v>6.873</v>
      </c>
      <c r="M480" s="15" t="n"/>
      <c r="N480" s="15" t="n">
        <v>0.672</v>
      </c>
      <c r="O480" s="15" t="n">
        <v>0.96</v>
      </c>
      <c r="P480" s="15" t="n">
        <v>7.865</v>
      </c>
      <c r="Q480" s="15" t="n"/>
      <c r="R480" s="15" t="n">
        <v>-13.244</v>
      </c>
      <c r="S480" s="15" t="n">
        <v>-12.629</v>
      </c>
      <c r="T480" s="15" t="n">
        <v>3.417</v>
      </c>
      <c r="U480" s="15" t="n">
        <v>1.682</v>
      </c>
      <c r="V480" s="15" t="n">
        <v>0.825</v>
      </c>
      <c r="W480" s="15" t="n">
        <v>1.208</v>
      </c>
      <c r="X480" s="15" t="n">
        <v>25.25</v>
      </c>
      <c r="Y480" s="15" t="n">
        <v>15.804</v>
      </c>
      <c r="Z480" s="15" t="n">
        <v>15.484</v>
      </c>
      <c r="AA480" s="15" t="n">
        <v>15.386</v>
      </c>
      <c r="AB480" s="15" t="n">
        <v>15.112</v>
      </c>
      <c r="AC480" s="15" t="n">
        <v>13.826</v>
      </c>
      <c r="AD480" s="16" t="n">
        <v>1549</v>
      </c>
      <c r="AE480" s="17">
        <f>IF(ISNUMBER(K480),K480,IF(AND(ISNUMBER(H480),ISNUMBER(I480)),H480+I480,IF(ISNUMBER(H480),H480,"")))</f>
        <v/>
      </c>
      <c r="AF480" s="18">
        <f>IF(OR(NOT(ISNUMBER(J480)),NOT(ISNUMBER(H480)),H480&lt;=0),기준표!$B$8,MIN(MAX(J480/H480,기준표!$B$6),기준표!$B$7))</f>
        <v/>
      </c>
      <c r="AG480" s="17">
        <f>IF(ISNUMBER(AE480),AE480*(1-AF480),"")</f>
        <v/>
      </c>
      <c r="AH480" s="17">
        <f>IF(AND(NOT(ISNUMBER(V480)),NOT(ISNUMBER(X480))),"",IF(ISNUMBER(V480),V480,0)+IF(ISNUMBER(X480),X480,0))</f>
        <v/>
      </c>
      <c r="AI480" s="17">
        <f>IF(E480="금융","",IF(AND(ISNUMBER(R480),ISNUMBER(AH480),ISNUMBER(T480)),R480+AH480-T480,""))</f>
        <v/>
      </c>
      <c r="AJ480" s="17">
        <f>IF(E480="금융","",IF(NOT(ISNUMBER(AI480)),"",IF(ISNUMBER(AC480),(AI480+AC480)/2,AI480)))</f>
        <v/>
      </c>
      <c r="AK480" s="19">
        <f>IF(AND(ISNUMBER(AG480),ISNUMBER(AJ480),AJ480&gt;0),AG480/AJ480,"")</f>
        <v/>
      </c>
      <c r="AL480" s="17">
        <f>IF(E480="금융","",IF(AND(ISNUMBER(R480),ISNUMBER(AH480)),R480+AH480,""))</f>
        <v/>
      </c>
      <c r="AM480" s="19">
        <f>IF(OR(NOT(ISNUMBER(AG480)),NOT(ISNUMBER(AL480)),AL480&lt;=0),"",IF(AND(ISNUMBER(G480),AL480&lt;0.1*G480),"",AG480/AL480))</f>
        <v/>
      </c>
      <c r="AN480" s="17">
        <f>IF(NOT(ISNUMBER(R480)),"",IF(ISNUMBER(S480),(R480+S480)/2,R480))</f>
        <v/>
      </c>
      <c r="AO480" s="19">
        <f>IF(AND(ISNUMBER(L480),ISNUMBER(AN480),AN480&gt;0),L480/AN480,"")</f>
        <v/>
      </c>
      <c r="AP480" s="19">
        <f>IF(AND(ISNUMBER(AO480),ISNUMBER({ROIC})),AO480-{ROIC},"")</f>
        <v/>
      </c>
      <c r="AQ480" s="17">
        <f>IF(AND(ISNUMBER(AE480),ISNUMBER(N480)),AE480+N480,"")</f>
        <v/>
      </c>
      <c r="AR480" s="20">
        <f>IF(AND(ISNUMBER(AH480),ISNUMBER(T480),ISNUMBER(AQ480),AQ480&gt;0),(AH480-T480)/AQ480,"")</f>
        <v/>
      </c>
      <c r="AS480" s="20">
        <f>IF(AND(ISNUMBER(AE480),ISNUMBER(I480),I480&lt;&gt;0,AE480&gt;0),AE480/I480,"")</f>
        <v/>
      </c>
      <c r="AT480" s="17">
        <f>IF(AND(ISNUMBER(Y480),ISNUMBER(AA480)),Y480-IF(ISNUMBER(T480),T480,0)-(AA480-IF(ISNUMBER(V480),V480,0)),"")</f>
        <v/>
      </c>
      <c r="AU480" s="17">
        <f>IF(AND(ISNUMBER(Z480),ISNUMBER(AB480)),Z480-IF(ISNUMBER(U480),U480,0)-(AB480-IF(ISNUMBER(W480),W480,0)),"")</f>
        <v/>
      </c>
      <c r="AV480" s="17">
        <f>IF(AND(ISNUMBER(AT480),ISNUMBER(AU480)),AT480-AU480,"")</f>
        <v/>
      </c>
      <c r="AW480" s="17">
        <f>IF(AND(ISNUMBER(L480),ISNUMBER(M480),ISNUMBER(AF480)),L480-M480*(1-AF480),IF(ISNUMBER(L480),L480,""))</f>
        <v/>
      </c>
      <c r="AX480" s="17">
        <f>IF(E480="금융","",IF(AND(ISNUMBER(AW480),ISNUMBER(N480),ISNUMBER(O480),ISNUMBER(AV480)),AW480+N480-O480-AV480,IF(AND(ISNUMBER(P480),ISNUMBER(O480)),P480-O480-IF(ISNUMBER(Q480),Q480,0),"")))</f>
        <v/>
      </c>
      <c r="AY480" s="8">
        <f>IF(E480="금융","금융업 - 정의되지 않음",IF(AND(ISNUMBER(AW480),ISNUMBER(N480),ISNUMBER(O480),ISNUMBER(AV480)),"영업순이익+감가상각-설비투자-운전자본증감",IF(AND(ISNUMBER(P480),ISNUMBER(O480)),IF(ISNUMBER(Q480),"영업현금흐름-설비투자-주식보상비용","영업현금흐름-설비투자(주식보상비용 미태깅)"),"산출불가")))</f>
        <v/>
      </c>
      <c r="AZ480" s="19">
        <f>IF(AND(ISNUMBER(AX480),ISNUMBER(G480),G480&lt;&gt;0),AX480/G480,"")</f>
        <v/>
      </c>
      <c r="BA480" s="19">
        <f>IF(AND(ISNUMBER(AE480),ISNUMBER(G480),G480&lt;&gt;0),AE480/G480,"")</f>
        <v/>
      </c>
    </row>
    <row r="481">
      <c r="A481" s="8" t="inlineStr">
        <is>
          <t>PM</t>
        </is>
      </c>
      <c r="B481" s="8" t="inlineStr">
        <is>
          <t>Philip Morris International Inc.</t>
        </is>
      </c>
      <c r="C481" s="8" t="n">
        <v>2016</v>
      </c>
      <c r="D481" s="8" t="inlineStr">
        <is>
          <t>2016-12-31</t>
        </is>
      </c>
      <c r="E481" s="8" t="inlineStr">
        <is>
          <t>일반</t>
        </is>
      </c>
      <c r="F481" s="8" t="inlineStr">
        <is>
          <t>0001413329-19-000007</t>
        </is>
      </c>
      <c r="G481" s="15" t="n">
        <v>26.685</v>
      </c>
      <c r="H481" s="15" t="n">
        <v>9.923999999999999</v>
      </c>
      <c r="I481" s="15" t="n"/>
      <c r="J481" s="15" t="n">
        <v>2.768</v>
      </c>
      <c r="K481" s="15" t="n">
        <v>10.903</v>
      </c>
      <c r="L481" s="15" t="n">
        <v>6.967</v>
      </c>
      <c r="M481" s="15" t="n"/>
      <c r="N481" s="15" t="n">
        <v>0.669</v>
      </c>
      <c r="O481" s="15" t="n">
        <v>1.172</v>
      </c>
      <c r="P481" s="15" t="n">
        <v>8.077</v>
      </c>
      <c r="Q481" s="15" t="n"/>
      <c r="R481" s="15" t="n">
        <v>-12.688</v>
      </c>
      <c r="S481" s="15" t="n">
        <v>-13.244</v>
      </c>
      <c r="T481" s="15" t="n">
        <v>4.239</v>
      </c>
      <c r="U481" s="15" t="n">
        <v>3.417</v>
      </c>
      <c r="V481" s="15" t="n">
        <v>0.643</v>
      </c>
      <c r="W481" s="15" t="n">
        <v>0.825</v>
      </c>
      <c r="X481" s="15" t="n">
        <v>25.851</v>
      </c>
      <c r="Y481" s="15" t="n">
        <v>17.608</v>
      </c>
      <c r="Z481" s="15" t="n">
        <v>15.804</v>
      </c>
      <c r="AA481" s="15" t="n">
        <v>16.467</v>
      </c>
      <c r="AB481" s="15" t="n">
        <v>15.386</v>
      </c>
      <c r="AC481" s="15" t="n">
        <v>9.414</v>
      </c>
      <c r="AD481" s="16" t="n">
        <v>1551</v>
      </c>
      <c r="AE481" s="17">
        <f>IF(ISNUMBER(K481),K481,IF(AND(ISNUMBER(H481),ISNUMBER(I481)),H481+I481,IF(ISNUMBER(H481),H481,"")))</f>
        <v/>
      </c>
      <c r="AF481" s="18">
        <f>IF(OR(NOT(ISNUMBER(J481)),NOT(ISNUMBER(H481)),H481&lt;=0),기준표!$B$8,MIN(MAX(J481/H481,기준표!$B$6),기준표!$B$7))</f>
        <v/>
      </c>
      <c r="AG481" s="17">
        <f>IF(ISNUMBER(AE481),AE481*(1-AF481),"")</f>
        <v/>
      </c>
      <c r="AH481" s="17">
        <f>IF(AND(NOT(ISNUMBER(V481)),NOT(ISNUMBER(X481))),"",IF(ISNUMBER(V481),V481,0)+IF(ISNUMBER(X481),X481,0))</f>
        <v/>
      </c>
      <c r="AI481" s="17">
        <f>IF(E481="금융","",IF(AND(ISNUMBER(R481),ISNUMBER(AH481),ISNUMBER(T481)),R481+AH481-T481,""))</f>
        <v/>
      </c>
      <c r="AJ481" s="17">
        <f>IF(E481="금융","",IF(NOT(ISNUMBER(AI481)),"",IF(ISNUMBER(AC481),(AI481+AC481)/2,AI481)))</f>
        <v/>
      </c>
      <c r="AK481" s="19">
        <f>IF(AND(ISNUMBER(AG481),ISNUMBER(AJ481),AJ481&gt;0),AG481/AJ481,"")</f>
        <v/>
      </c>
      <c r="AL481" s="17">
        <f>IF(E481="금융","",IF(AND(ISNUMBER(R481),ISNUMBER(AH481)),R481+AH481,""))</f>
        <v/>
      </c>
      <c r="AM481" s="19">
        <f>IF(OR(NOT(ISNUMBER(AG481)),NOT(ISNUMBER(AL481)),AL481&lt;=0),"",IF(AND(ISNUMBER(G481),AL481&lt;0.1*G481),"",AG481/AL481))</f>
        <v/>
      </c>
      <c r="AN481" s="17">
        <f>IF(NOT(ISNUMBER(R481)),"",IF(ISNUMBER(S481),(R481+S481)/2,R481))</f>
        <v/>
      </c>
      <c r="AO481" s="19">
        <f>IF(AND(ISNUMBER(L481),ISNUMBER(AN481),AN481&gt;0),L481/AN481,"")</f>
        <v/>
      </c>
      <c r="AP481" s="19">
        <f>IF(AND(ISNUMBER(AO481),ISNUMBER({ROIC})),AO481-{ROIC},"")</f>
        <v/>
      </c>
      <c r="AQ481" s="17">
        <f>IF(AND(ISNUMBER(AE481),ISNUMBER(N481)),AE481+N481,"")</f>
        <v/>
      </c>
      <c r="AR481" s="20">
        <f>IF(AND(ISNUMBER(AH481),ISNUMBER(T481),ISNUMBER(AQ481),AQ481&gt;0),(AH481-T481)/AQ481,"")</f>
        <v/>
      </c>
      <c r="AS481" s="20">
        <f>IF(AND(ISNUMBER(AE481),ISNUMBER(I481),I481&lt;&gt;0,AE481&gt;0),AE481/I481,"")</f>
        <v/>
      </c>
      <c r="AT481" s="17">
        <f>IF(AND(ISNUMBER(Y481),ISNUMBER(AA481)),Y481-IF(ISNUMBER(T481),T481,0)-(AA481-IF(ISNUMBER(V481),V481,0)),"")</f>
        <v/>
      </c>
      <c r="AU481" s="17">
        <f>IF(AND(ISNUMBER(Z481),ISNUMBER(AB481)),Z481-IF(ISNUMBER(U481),U481,0)-(AB481-IF(ISNUMBER(W481),W481,0)),"")</f>
        <v/>
      </c>
      <c r="AV481" s="17">
        <f>IF(AND(ISNUMBER(AT481),ISNUMBER(AU481)),AT481-AU481,"")</f>
        <v/>
      </c>
      <c r="AW481" s="17">
        <f>IF(AND(ISNUMBER(L481),ISNUMBER(M481),ISNUMBER(AF481)),L481-M481*(1-AF481),IF(ISNUMBER(L481),L481,""))</f>
        <v/>
      </c>
      <c r="AX481" s="17">
        <f>IF(E481="금융","",IF(AND(ISNUMBER(AW481),ISNUMBER(N481),ISNUMBER(O481),ISNUMBER(AV481)),AW481+N481-O481-AV481,IF(AND(ISNUMBER(P481),ISNUMBER(O481)),P481-O481-IF(ISNUMBER(Q481),Q481,0),"")))</f>
        <v/>
      </c>
      <c r="AY481" s="8">
        <f>IF(E481="금융","금융업 - 정의되지 않음",IF(AND(ISNUMBER(AW481),ISNUMBER(N481),ISNUMBER(O481),ISNUMBER(AV481)),"영업순이익+감가상각-설비투자-운전자본증감",IF(AND(ISNUMBER(P481),ISNUMBER(O481)),IF(ISNUMBER(Q481),"영업현금흐름-설비투자-주식보상비용","영업현금흐름-설비투자(주식보상비용 미태깅)"),"산출불가")))</f>
        <v/>
      </c>
      <c r="AZ481" s="19">
        <f>IF(AND(ISNUMBER(AX481),ISNUMBER(G481),G481&lt;&gt;0),AX481/G481,"")</f>
        <v/>
      </c>
      <c r="BA481" s="19">
        <f>IF(AND(ISNUMBER(AE481),ISNUMBER(G481),G481&lt;&gt;0),AE481/G481,"")</f>
        <v/>
      </c>
    </row>
    <row r="482">
      <c r="A482" s="8" t="inlineStr">
        <is>
          <t>PM</t>
        </is>
      </c>
      <c r="B482" s="8" t="inlineStr">
        <is>
          <t>Philip Morris International Inc.</t>
        </is>
      </c>
      <c r="C482" s="8" t="n">
        <v>2017</v>
      </c>
      <c r="D482" s="8" t="inlineStr">
        <is>
          <t>2017-12-31</t>
        </is>
      </c>
      <c r="E482" s="8" t="inlineStr">
        <is>
          <t>일반</t>
        </is>
      </c>
      <c r="F482" s="8" t="inlineStr">
        <is>
          <t>0001413329-20-000007</t>
        </is>
      </c>
      <c r="G482" s="15" t="n">
        <v>28.748</v>
      </c>
      <c r="H482" s="15" t="n">
        <v>10.589</v>
      </c>
      <c r="I482" s="15" t="n"/>
      <c r="J482" s="15" t="n">
        <v>4.307</v>
      </c>
      <c r="K482" s="15" t="n">
        <v>11.581</v>
      </c>
      <c r="L482" s="15" t="n">
        <v>6.035</v>
      </c>
      <c r="M482" s="15" t="n"/>
      <c r="N482" s="15" t="n">
        <v>0.787</v>
      </c>
      <c r="O482" s="15" t="n">
        <v>1.548</v>
      </c>
      <c r="P482" s="15" t="n">
        <v>8.912000000000001</v>
      </c>
      <c r="Q482" s="15" t="n"/>
      <c r="R482" s="15" t="n">
        <v>-12.086</v>
      </c>
      <c r="S482" s="15" t="n">
        <v>-12.688</v>
      </c>
      <c r="T482" s="15" t="n">
        <v>8.446999999999999</v>
      </c>
      <c r="U482" s="15" t="n">
        <v>4.239</v>
      </c>
      <c r="V482" s="15" t="n">
        <v>0.499</v>
      </c>
      <c r="W482" s="15" t="n">
        <v>0.643</v>
      </c>
      <c r="X482" s="15" t="n">
        <v>31.334</v>
      </c>
      <c r="Y482" s="15" t="n">
        <v>21.594</v>
      </c>
      <c r="Z482" s="15" t="n">
        <v>17.608</v>
      </c>
      <c r="AA482" s="15" t="n">
        <v>15.962</v>
      </c>
      <c r="AB482" s="15" t="n">
        <v>16.467</v>
      </c>
      <c r="AC482" s="15" t="n">
        <v>9.567</v>
      </c>
      <c r="AD482" s="16" t="n">
        <v>1553</v>
      </c>
      <c r="AE482" s="17">
        <f>IF(ISNUMBER(K482),K482,IF(AND(ISNUMBER(H482),ISNUMBER(I482)),H482+I482,IF(ISNUMBER(H482),H482,"")))</f>
        <v/>
      </c>
      <c r="AF482" s="18">
        <f>IF(OR(NOT(ISNUMBER(J482)),NOT(ISNUMBER(H482)),H482&lt;=0),기준표!$B$8,MIN(MAX(J482/H482,기준표!$B$6),기준표!$B$7))</f>
        <v/>
      </c>
      <c r="AG482" s="17">
        <f>IF(ISNUMBER(AE482),AE482*(1-AF482),"")</f>
        <v/>
      </c>
      <c r="AH482" s="17">
        <f>IF(AND(NOT(ISNUMBER(V482)),NOT(ISNUMBER(X482))),"",IF(ISNUMBER(V482),V482,0)+IF(ISNUMBER(X482),X482,0))</f>
        <v/>
      </c>
      <c r="AI482" s="17">
        <f>IF(E482="금융","",IF(AND(ISNUMBER(R482),ISNUMBER(AH482),ISNUMBER(T482)),R482+AH482-T482,""))</f>
        <v/>
      </c>
      <c r="AJ482" s="17">
        <f>IF(E482="금융","",IF(NOT(ISNUMBER(AI482)),"",IF(ISNUMBER(AC482),(AI482+AC482)/2,AI482)))</f>
        <v/>
      </c>
      <c r="AK482" s="19">
        <f>IF(AND(ISNUMBER(AG482),ISNUMBER(AJ482),AJ482&gt;0),AG482/AJ482,"")</f>
        <v/>
      </c>
      <c r="AL482" s="17">
        <f>IF(E482="금융","",IF(AND(ISNUMBER(R482),ISNUMBER(AH482)),R482+AH482,""))</f>
        <v/>
      </c>
      <c r="AM482" s="19">
        <f>IF(OR(NOT(ISNUMBER(AG482)),NOT(ISNUMBER(AL482)),AL482&lt;=0),"",IF(AND(ISNUMBER(G482),AL482&lt;0.1*G482),"",AG482/AL482))</f>
        <v/>
      </c>
      <c r="AN482" s="17">
        <f>IF(NOT(ISNUMBER(R482)),"",IF(ISNUMBER(S482),(R482+S482)/2,R482))</f>
        <v/>
      </c>
      <c r="AO482" s="19">
        <f>IF(AND(ISNUMBER(L482),ISNUMBER(AN482),AN482&gt;0),L482/AN482,"")</f>
        <v/>
      </c>
      <c r="AP482" s="19">
        <f>IF(AND(ISNUMBER(AO482),ISNUMBER({ROIC})),AO482-{ROIC},"")</f>
        <v/>
      </c>
      <c r="AQ482" s="17">
        <f>IF(AND(ISNUMBER(AE482),ISNUMBER(N482)),AE482+N482,"")</f>
        <v/>
      </c>
      <c r="AR482" s="20">
        <f>IF(AND(ISNUMBER(AH482),ISNUMBER(T482),ISNUMBER(AQ482),AQ482&gt;0),(AH482-T482)/AQ482,"")</f>
        <v/>
      </c>
      <c r="AS482" s="20">
        <f>IF(AND(ISNUMBER(AE482),ISNUMBER(I482),I482&lt;&gt;0,AE482&gt;0),AE482/I482,"")</f>
        <v/>
      </c>
      <c r="AT482" s="17">
        <f>IF(AND(ISNUMBER(Y482),ISNUMBER(AA482)),Y482-IF(ISNUMBER(T482),T482,0)-(AA482-IF(ISNUMBER(V482),V482,0)),"")</f>
        <v/>
      </c>
      <c r="AU482" s="17">
        <f>IF(AND(ISNUMBER(Z482),ISNUMBER(AB482)),Z482-IF(ISNUMBER(U482),U482,0)-(AB482-IF(ISNUMBER(W482),W482,0)),"")</f>
        <v/>
      </c>
      <c r="AV482" s="17">
        <f>IF(AND(ISNUMBER(AT482),ISNUMBER(AU482)),AT482-AU482,"")</f>
        <v/>
      </c>
      <c r="AW482" s="17">
        <f>IF(AND(ISNUMBER(L482),ISNUMBER(M482),ISNUMBER(AF482)),L482-M482*(1-AF482),IF(ISNUMBER(L482),L482,""))</f>
        <v/>
      </c>
      <c r="AX482" s="17">
        <f>IF(E482="금융","",IF(AND(ISNUMBER(AW482),ISNUMBER(N482),ISNUMBER(O482),ISNUMBER(AV482)),AW482+N482-O482-AV482,IF(AND(ISNUMBER(P482),ISNUMBER(O482)),P482-O482-IF(ISNUMBER(Q482),Q482,0),"")))</f>
        <v/>
      </c>
      <c r="AY482" s="8">
        <f>IF(E482="금융","금융업 - 정의되지 않음",IF(AND(ISNUMBER(AW482),ISNUMBER(N482),ISNUMBER(O482),ISNUMBER(AV482)),"영업순이익+감가상각-설비투자-운전자본증감",IF(AND(ISNUMBER(P482),ISNUMBER(O482)),IF(ISNUMBER(Q482),"영업현금흐름-설비투자-주식보상비용","영업현금흐름-설비투자(주식보상비용 미태깅)"),"산출불가")))</f>
        <v/>
      </c>
      <c r="AZ482" s="19">
        <f>IF(AND(ISNUMBER(AX482),ISNUMBER(G482),G482&lt;&gt;0),AX482/G482,"")</f>
        <v/>
      </c>
      <c r="BA482" s="19">
        <f>IF(AND(ISNUMBER(AE482),ISNUMBER(G482),G482&lt;&gt;0),AE482/G482,"")</f>
        <v/>
      </c>
    </row>
    <row r="483">
      <c r="A483" s="8" t="inlineStr">
        <is>
          <t>PM</t>
        </is>
      </c>
      <c r="B483" s="8" t="inlineStr">
        <is>
          <t>Philip Morris International Inc.</t>
        </is>
      </c>
      <c r="C483" s="8" t="n">
        <v>2018</v>
      </c>
      <c r="D483" s="8" t="inlineStr">
        <is>
          <t>2018-12-31</t>
        </is>
      </c>
      <c r="E483" s="8" t="inlineStr">
        <is>
          <t>일반</t>
        </is>
      </c>
      <c r="F483" s="8" t="inlineStr">
        <is>
          <t>0001413329-21-000007</t>
        </is>
      </c>
      <c r="G483" s="15" t="n">
        <v>29.625</v>
      </c>
      <c r="H483" s="15" t="n">
        <v>10.671</v>
      </c>
      <c r="I483" s="15" t="n"/>
      <c r="J483" s="15" t="n">
        <v>2.445</v>
      </c>
      <c r="K483" s="15" t="n">
        <v>11.377</v>
      </c>
      <c r="L483" s="15" t="n">
        <v>7.911</v>
      </c>
      <c r="M483" s="15" t="n"/>
      <c r="N483" s="15" t="n">
        <v>0.907</v>
      </c>
      <c r="O483" s="15" t="n">
        <v>1.436</v>
      </c>
      <c r="P483" s="15" t="n">
        <v>9.478</v>
      </c>
      <c r="Q483" s="15" t="n"/>
      <c r="R483" s="15" t="n">
        <v>-12.459</v>
      </c>
      <c r="S483" s="15" t="n">
        <v>-12.086</v>
      </c>
      <c r="T483" s="15" t="n">
        <v>6.593</v>
      </c>
      <c r="U483" s="15" t="n">
        <v>8.446999999999999</v>
      </c>
      <c r="V483" s="15" t="n">
        <v>0.73</v>
      </c>
      <c r="W483" s="15" t="n">
        <v>0.499</v>
      </c>
      <c r="X483" s="15" t="n">
        <v>26.975</v>
      </c>
      <c r="Y483" s="15" t="n">
        <v>19.442</v>
      </c>
      <c r="Z483" s="15" t="n">
        <v>21.594</v>
      </c>
      <c r="AA483" s="15" t="n">
        <v>17.191</v>
      </c>
      <c r="AB483" s="15" t="n">
        <v>15.962</v>
      </c>
      <c r="AC483" s="15" t="n">
        <v>11.3</v>
      </c>
      <c r="AD483" s="16" t="n">
        <v>1555</v>
      </c>
      <c r="AE483" s="17">
        <f>IF(ISNUMBER(K483),K483,IF(AND(ISNUMBER(H483),ISNUMBER(I483)),H483+I483,IF(ISNUMBER(H483),H483,"")))</f>
        <v/>
      </c>
      <c r="AF483" s="18">
        <f>IF(OR(NOT(ISNUMBER(J483)),NOT(ISNUMBER(H483)),H483&lt;=0),기준표!$B$8,MIN(MAX(J483/H483,기준표!$B$6),기준표!$B$7))</f>
        <v/>
      </c>
      <c r="AG483" s="17">
        <f>IF(ISNUMBER(AE483),AE483*(1-AF483),"")</f>
        <v/>
      </c>
      <c r="AH483" s="17">
        <f>IF(AND(NOT(ISNUMBER(V483)),NOT(ISNUMBER(X483))),"",IF(ISNUMBER(V483),V483,0)+IF(ISNUMBER(X483),X483,0))</f>
        <v/>
      </c>
      <c r="AI483" s="17">
        <f>IF(E483="금융","",IF(AND(ISNUMBER(R483),ISNUMBER(AH483),ISNUMBER(T483)),R483+AH483-T483,""))</f>
        <v/>
      </c>
      <c r="AJ483" s="17">
        <f>IF(E483="금융","",IF(NOT(ISNUMBER(AI483)),"",IF(ISNUMBER(AC483),(AI483+AC483)/2,AI483)))</f>
        <v/>
      </c>
      <c r="AK483" s="19">
        <f>IF(AND(ISNUMBER(AG483),ISNUMBER(AJ483),AJ483&gt;0),AG483/AJ483,"")</f>
        <v/>
      </c>
      <c r="AL483" s="17">
        <f>IF(E483="금융","",IF(AND(ISNUMBER(R483),ISNUMBER(AH483)),R483+AH483,""))</f>
        <v/>
      </c>
      <c r="AM483" s="19">
        <f>IF(OR(NOT(ISNUMBER(AG483)),NOT(ISNUMBER(AL483)),AL483&lt;=0),"",IF(AND(ISNUMBER(G483),AL483&lt;0.1*G483),"",AG483/AL483))</f>
        <v/>
      </c>
      <c r="AN483" s="17">
        <f>IF(NOT(ISNUMBER(R483)),"",IF(ISNUMBER(S483),(R483+S483)/2,R483))</f>
        <v/>
      </c>
      <c r="AO483" s="19">
        <f>IF(AND(ISNUMBER(L483),ISNUMBER(AN483),AN483&gt;0),L483/AN483,"")</f>
        <v/>
      </c>
      <c r="AP483" s="19">
        <f>IF(AND(ISNUMBER(AO483),ISNUMBER({ROIC})),AO483-{ROIC},"")</f>
        <v/>
      </c>
      <c r="AQ483" s="17">
        <f>IF(AND(ISNUMBER(AE483),ISNUMBER(N483)),AE483+N483,"")</f>
        <v/>
      </c>
      <c r="AR483" s="20">
        <f>IF(AND(ISNUMBER(AH483),ISNUMBER(T483),ISNUMBER(AQ483),AQ483&gt;0),(AH483-T483)/AQ483,"")</f>
        <v/>
      </c>
      <c r="AS483" s="20">
        <f>IF(AND(ISNUMBER(AE483),ISNUMBER(I483),I483&lt;&gt;0,AE483&gt;0),AE483/I483,"")</f>
        <v/>
      </c>
      <c r="AT483" s="17">
        <f>IF(AND(ISNUMBER(Y483),ISNUMBER(AA483)),Y483-IF(ISNUMBER(T483),T483,0)-(AA483-IF(ISNUMBER(V483),V483,0)),"")</f>
        <v/>
      </c>
      <c r="AU483" s="17">
        <f>IF(AND(ISNUMBER(Z483),ISNUMBER(AB483)),Z483-IF(ISNUMBER(U483),U483,0)-(AB483-IF(ISNUMBER(W483),W483,0)),"")</f>
        <v/>
      </c>
      <c r="AV483" s="17">
        <f>IF(AND(ISNUMBER(AT483),ISNUMBER(AU483)),AT483-AU483,"")</f>
        <v/>
      </c>
      <c r="AW483" s="17">
        <f>IF(AND(ISNUMBER(L483),ISNUMBER(M483),ISNUMBER(AF483)),L483-M483*(1-AF483),IF(ISNUMBER(L483),L483,""))</f>
        <v/>
      </c>
      <c r="AX483" s="17">
        <f>IF(E483="금융","",IF(AND(ISNUMBER(AW483),ISNUMBER(N483),ISNUMBER(O483),ISNUMBER(AV483)),AW483+N483-O483-AV483,IF(AND(ISNUMBER(P483),ISNUMBER(O483)),P483-O483-IF(ISNUMBER(Q483),Q483,0),"")))</f>
        <v/>
      </c>
      <c r="AY483" s="8">
        <f>IF(E483="금융","금융업 - 정의되지 않음",IF(AND(ISNUMBER(AW483),ISNUMBER(N483),ISNUMBER(O483),ISNUMBER(AV483)),"영업순이익+감가상각-설비투자-운전자본증감",IF(AND(ISNUMBER(P483),ISNUMBER(O483)),IF(ISNUMBER(Q483),"영업현금흐름-설비투자-주식보상비용","영업현금흐름-설비투자(주식보상비용 미태깅)"),"산출불가")))</f>
        <v/>
      </c>
      <c r="AZ483" s="19">
        <f>IF(AND(ISNUMBER(AX483),ISNUMBER(G483),G483&lt;&gt;0),AX483/G483,"")</f>
        <v/>
      </c>
      <c r="BA483" s="19">
        <f>IF(AND(ISNUMBER(AE483),ISNUMBER(G483),G483&lt;&gt;0),AE483/G483,"")</f>
        <v/>
      </c>
    </row>
    <row r="484">
      <c r="A484" s="8" t="inlineStr">
        <is>
          <t>PM</t>
        </is>
      </c>
      <c r="B484" s="8" t="inlineStr">
        <is>
          <t>Philip Morris International Inc.</t>
        </is>
      </c>
      <c r="C484" s="8" t="n">
        <v>2019</v>
      </c>
      <c r="D484" s="8" t="inlineStr">
        <is>
          <t>2019-12-31</t>
        </is>
      </c>
      <c r="E484" s="8" t="inlineStr">
        <is>
          <t>일반</t>
        </is>
      </c>
      <c r="F484" s="8" t="inlineStr">
        <is>
          <t>0001413329-22-000011</t>
        </is>
      </c>
      <c r="G484" s="15" t="n">
        <v>29.805</v>
      </c>
      <c r="H484" s="15" t="n">
        <v>9.872</v>
      </c>
      <c r="I484" s="15" t="n"/>
      <c r="J484" s="15" t="n">
        <v>2.293</v>
      </c>
      <c r="K484" s="15" t="n">
        <v>10.531</v>
      </c>
      <c r="L484" s="15" t="n">
        <v>7.185</v>
      </c>
      <c r="M484" s="15" t="n"/>
      <c r="N484" s="15" t="n">
        <v>0.898</v>
      </c>
      <c r="O484" s="15" t="n">
        <v>0.852</v>
      </c>
      <c r="P484" s="15" t="n">
        <v>10.09</v>
      </c>
      <c r="Q484" s="15" t="n"/>
      <c r="R484" s="15" t="n">
        <v>-11.577</v>
      </c>
      <c r="S484" s="15" t="n">
        <v>-12.459</v>
      </c>
      <c r="T484" s="15" t="n">
        <v>6.861</v>
      </c>
      <c r="U484" s="15" t="n">
        <v>6.593</v>
      </c>
      <c r="V484" s="15" t="n">
        <v>0.338</v>
      </c>
      <c r="W484" s="15" t="n">
        <v>0.73</v>
      </c>
      <c r="X484" s="15" t="n">
        <v>26.656</v>
      </c>
      <c r="Y484" s="15" t="n">
        <v>20.514</v>
      </c>
      <c r="Z484" s="15" t="n">
        <v>19.442</v>
      </c>
      <c r="AA484" s="15" t="n">
        <v>18.833</v>
      </c>
      <c r="AB484" s="15" t="n">
        <v>17.191</v>
      </c>
      <c r="AC484" s="15" t="n">
        <v>8.653</v>
      </c>
      <c r="AD484" s="16" t="n">
        <v>1556</v>
      </c>
      <c r="AE484" s="17">
        <f>IF(ISNUMBER(K484),K484,IF(AND(ISNUMBER(H484),ISNUMBER(I484)),H484+I484,IF(ISNUMBER(H484),H484,"")))</f>
        <v/>
      </c>
      <c r="AF484" s="18">
        <f>IF(OR(NOT(ISNUMBER(J484)),NOT(ISNUMBER(H484)),H484&lt;=0),기준표!$B$8,MIN(MAX(J484/H484,기준표!$B$6),기준표!$B$7))</f>
        <v/>
      </c>
      <c r="AG484" s="17">
        <f>IF(ISNUMBER(AE484),AE484*(1-AF484),"")</f>
        <v/>
      </c>
      <c r="AH484" s="17">
        <f>IF(AND(NOT(ISNUMBER(V484)),NOT(ISNUMBER(X484))),"",IF(ISNUMBER(V484),V484,0)+IF(ISNUMBER(X484),X484,0))</f>
        <v/>
      </c>
      <c r="AI484" s="17">
        <f>IF(E484="금융","",IF(AND(ISNUMBER(R484),ISNUMBER(AH484),ISNUMBER(T484)),R484+AH484-T484,""))</f>
        <v/>
      </c>
      <c r="AJ484" s="17">
        <f>IF(E484="금융","",IF(NOT(ISNUMBER(AI484)),"",IF(ISNUMBER(AC484),(AI484+AC484)/2,AI484)))</f>
        <v/>
      </c>
      <c r="AK484" s="19">
        <f>IF(AND(ISNUMBER(AG484),ISNUMBER(AJ484),AJ484&gt;0),AG484/AJ484,"")</f>
        <v/>
      </c>
      <c r="AL484" s="17">
        <f>IF(E484="금융","",IF(AND(ISNUMBER(R484),ISNUMBER(AH484)),R484+AH484,""))</f>
        <v/>
      </c>
      <c r="AM484" s="19">
        <f>IF(OR(NOT(ISNUMBER(AG484)),NOT(ISNUMBER(AL484)),AL484&lt;=0),"",IF(AND(ISNUMBER(G484),AL484&lt;0.1*G484),"",AG484/AL484))</f>
        <v/>
      </c>
      <c r="AN484" s="17">
        <f>IF(NOT(ISNUMBER(R484)),"",IF(ISNUMBER(S484),(R484+S484)/2,R484))</f>
        <v/>
      </c>
      <c r="AO484" s="19">
        <f>IF(AND(ISNUMBER(L484),ISNUMBER(AN484),AN484&gt;0),L484/AN484,"")</f>
        <v/>
      </c>
      <c r="AP484" s="19">
        <f>IF(AND(ISNUMBER(AO484),ISNUMBER({ROIC})),AO484-{ROIC},"")</f>
        <v/>
      </c>
      <c r="AQ484" s="17">
        <f>IF(AND(ISNUMBER(AE484),ISNUMBER(N484)),AE484+N484,"")</f>
        <v/>
      </c>
      <c r="AR484" s="20">
        <f>IF(AND(ISNUMBER(AH484),ISNUMBER(T484),ISNUMBER(AQ484),AQ484&gt;0),(AH484-T484)/AQ484,"")</f>
        <v/>
      </c>
      <c r="AS484" s="20">
        <f>IF(AND(ISNUMBER(AE484),ISNUMBER(I484),I484&lt;&gt;0,AE484&gt;0),AE484/I484,"")</f>
        <v/>
      </c>
      <c r="AT484" s="17">
        <f>IF(AND(ISNUMBER(Y484),ISNUMBER(AA484)),Y484-IF(ISNUMBER(T484),T484,0)-(AA484-IF(ISNUMBER(V484),V484,0)),"")</f>
        <v/>
      </c>
      <c r="AU484" s="17">
        <f>IF(AND(ISNUMBER(Z484),ISNUMBER(AB484)),Z484-IF(ISNUMBER(U484),U484,0)-(AB484-IF(ISNUMBER(W484),W484,0)),"")</f>
        <v/>
      </c>
      <c r="AV484" s="17">
        <f>IF(AND(ISNUMBER(AT484),ISNUMBER(AU484)),AT484-AU484,"")</f>
        <v/>
      </c>
      <c r="AW484" s="17">
        <f>IF(AND(ISNUMBER(L484),ISNUMBER(M484),ISNUMBER(AF484)),L484-M484*(1-AF484),IF(ISNUMBER(L484),L484,""))</f>
        <v/>
      </c>
      <c r="AX484" s="17">
        <f>IF(E484="금융","",IF(AND(ISNUMBER(AW484),ISNUMBER(N484),ISNUMBER(O484),ISNUMBER(AV484)),AW484+N484-O484-AV484,IF(AND(ISNUMBER(P484),ISNUMBER(O484)),P484-O484-IF(ISNUMBER(Q484),Q484,0),"")))</f>
        <v/>
      </c>
      <c r="AY484" s="8">
        <f>IF(E484="금융","금융업 - 정의되지 않음",IF(AND(ISNUMBER(AW484),ISNUMBER(N484),ISNUMBER(O484),ISNUMBER(AV484)),"영업순이익+감가상각-설비투자-운전자본증감",IF(AND(ISNUMBER(P484),ISNUMBER(O484)),IF(ISNUMBER(Q484),"영업현금흐름-설비투자-주식보상비용","영업현금흐름-설비투자(주식보상비용 미태깅)"),"산출불가")))</f>
        <v/>
      </c>
      <c r="AZ484" s="19">
        <f>IF(AND(ISNUMBER(AX484),ISNUMBER(G484),G484&lt;&gt;0),AX484/G484,"")</f>
        <v/>
      </c>
      <c r="BA484" s="19">
        <f>IF(AND(ISNUMBER(AE484),ISNUMBER(G484),G484&lt;&gt;0),AE484/G484,"")</f>
        <v/>
      </c>
    </row>
    <row r="485">
      <c r="A485" s="8" t="inlineStr">
        <is>
          <t>PM</t>
        </is>
      </c>
      <c r="B485" s="8" t="inlineStr">
        <is>
          <t>Philip Morris International Inc.</t>
        </is>
      </c>
      <c r="C485" s="8" t="n">
        <v>2020</v>
      </c>
      <c r="D485" s="8" t="inlineStr">
        <is>
          <t>2020-12-31</t>
        </is>
      </c>
      <c r="E485" s="8" t="inlineStr">
        <is>
          <t>일반</t>
        </is>
      </c>
      <c r="F485" s="8" t="inlineStr">
        <is>
          <t>0001413329-23-000025</t>
        </is>
      </c>
      <c r="G485" s="15" t="n">
        <v>28.694</v>
      </c>
      <c r="H485" s="15" t="n">
        <v>10.953</v>
      </c>
      <c r="I485" s="15" t="n"/>
      <c r="J485" s="15" t="n">
        <v>2.377</v>
      </c>
      <c r="K485" s="15" t="n">
        <v>11.668</v>
      </c>
      <c r="L485" s="15" t="n">
        <v>8.055999999999999</v>
      </c>
      <c r="M485" s="15" t="n"/>
      <c r="N485" s="15" t="n">
        <v>0.908</v>
      </c>
      <c r="O485" s="15" t="n">
        <v>0.602</v>
      </c>
      <c r="P485" s="15" t="n">
        <v>9.811999999999999</v>
      </c>
      <c r="Q485" s="15" t="n"/>
      <c r="R485" s="15" t="n">
        <v>-12.567</v>
      </c>
      <c r="S485" s="15" t="n">
        <v>-11.577</v>
      </c>
      <c r="T485" s="15" t="n">
        <v>7.28</v>
      </c>
      <c r="U485" s="15" t="n">
        <v>6.861</v>
      </c>
      <c r="V485" s="15" t="n">
        <v>0.244</v>
      </c>
      <c r="W485" s="15" t="n">
        <v>0.338</v>
      </c>
      <c r="X485" s="15" t="n">
        <v>28.168</v>
      </c>
      <c r="Y485" s="15" t="n">
        <v>21.492</v>
      </c>
      <c r="Z485" s="15" t="n">
        <v>20.514</v>
      </c>
      <c r="AA485" s="15" t="n">
        <v>19.615</v>
      </c>
      <c r="AB485" s="15" t="n">
        <v>18.833</v>
      </c>
      <c r="AC485" s="15" t="n">
        <v>8.555999999999999</v>
      </c>
      <c r="AD485" s="16" t="n">
        <v>1558</v>
      </c>
      <c r="AE485" s="17">
        <f>IF(ISNUMBER(K485),K485,IF(AND(ISNUMBER(H485),ISNUMBER(I485)),H485+I485,IF(ISNUMBER(H485),H485,"")))</f>
        <v/>
      </c>
      <c r="AF485" s="18">
        <f>IF(OR(NOT(ISNUMBER(J485)),NOT(ISNUMBER(H485)),H485&lt;=0),기준표!$B$8,MIN(MAX(J485/H485,기준표!$B$6),기준표!$B$7))</f>
        <v/>
      </c>
      <c r="AG485" s="17">
        <f>IF(ISNUMBER(AE485),AE485*(1-AF485),"")</f>
        <v/>
      </c>
      <c r="AH485" s="17">
        <f>IF(AND(NOT(ISNUMBER(V485)),NOT(ISNUMBER(X485))),"",IF(ISNUMBER(V485),V485,0)+IF(ISNUMBER(X485),X485,0))</f>
        <v/>
      </c>
      <c r="AI485" s="17">
        <f>IF(E485="금융","",IF(AND(ISNUMBER(R485),ISNUMBER(AH485),ISNUMBER(T485)),R485+AH485-T485,""))</f>
        <v/>
      </c>
      <c r="AJ485" s="17">
        <f>IF(E485="금융","",IF(NOT(ISNUMBER(AI485)),"",IF(ISNUMBER(AC485),(AI485+AC485)/2,AI485)))</f>
        <v/>
      </c>
      <c r="AK485" s="19">
        <f>IF(AND(ISNUMBER(AG485),ISNUMBER(AJ485),AJ485&gt;0),AG485/AJ485,"")</f>
        <v/>
      </c>
      <c r="AL485" s="17">
        <f>IF(E485="금융","",IF(AND(ISNUMBER(R485),ISNUMBER(AH485)),R485+AH485,""))</f>
        <v/>
      </c>
      <c r="AM485" s="19">
        <f>IF(OR(NOT(ISNUMBER(AG485)),NOT(ISNUMBER(AL485)),AL485&lt;=0),"",IF(AND(ISNUMBER(G485),AL485&lt;0.1*G485),"",AG485/AL485))</f>
        <v/>
      </c>
      <c r="AN485" s="17">
        <f>IF(NOT(ISNUMBER(R485)),"",IF(ISNUMBER(S485),(R485+S485)/2,R485))</f>
        <v/>
      </c>
      <c r="AO485" s="19">
        <f>IF(AND(ISNUMBER(L485),ISNUMBER(AN485),AN485&gt;0),L485/AN485,"")</f>
        <v/>
      </c>
      <c r="AP485" s="19">
        <f>IF(AND(ISNUMBER(AO485),ISNUMBER({ROIC})),AO485-{ROIC},"")</f>
        <v/>
      </c>
      <c r="AQ485" s="17">
        <f>IF(AND(ISNUMBER(AE485),ISNUMBER(N485)),AE485+N485,"")</f>
        <v/>
      </c>
      <c r="AR485" s="20">
        <f>IF(AND(ISNUMBER(AH485),ISNUMBER(T485),ISNUMBER(AQ485),AQ485&gt;0),(AH485-T485)/AQ485,"")</f>
        <v/>
      </c>
      <c r="AS485" s="20">
        <f>IF(AND(ISNUMBER(AE485),ISNUMBER(I485),I485&lt;&gt;0,AE485&gt;0),AE485/I485,"")</f>
        <v/>
      </c>
      <c r="AT485" s="17">
        <f>IF(AND(ISNUMBER(Y485),ISNUMBER(AA485)),Y485-IF(ISNUMBER(T485),T485,0)-(AA485-IF(ISNUMBER(V485),V485,0)),"")</f>
        <v/>
      </c>
      <c r="AU485" s="17">
        <f>IF(AND(ISNUMBER(Z485),ISNUMBER(AB485)),Z485-IF(ISNUMBER(U485),U485,0)-(AB485-IF(ISNUMBER(W485),W485,0)),"")</f>
        <v/>
      </c>
      <c r="AV485" s="17">
        <f>IF(AND(ISNUMBER(AT485),ISNUMBER(AU485)),AT485-AU485,"")</f>
        <v/>
      </c>
      <c r="AW485" s="17">
        <f>IF(AND(ISNUMBER(L485),ISNUMBER(M485),ISNUMBER(AF485)),L485-M485*(1-AF485),IF(ISNUMBER(L485),L485,""))</f>
        <v/>
      </c>
      <c r="AX485" s="17">
        <f>IF(E485="금융","",IF(AND(ISNUMBER(AW485),ISNUMBER(N485),ISNUMBER(O485),ISNUMBER(AV485)),AW485+N485-O485-AV485,IF(AND(ISNUMBER(P485),ISNUMBER(O485)),P485-O485-IF(ISNUMBER(Q485),Q485,0),"")))</f>
        <v/>
      </c>
      <c r="AY485" s="8">
        <f>IF(E485="금융","금융업 - 정의되지 않음",IF(AND(ISNUMBER(AW485),ISNUMBER(N485),ISNUMBER(O485),ISNUMBER(AV485)),"영업순이익+감가상각-설비투자-운전자본증감",IF(AND(ISNUMBER(P485),ISNUMBER(O485)),IF(ISNUMBER(Q485),"영업현금흐름-설비투자-주식보상비용","영업현금흐름-설비투자(주식보상비용 미태깅)"),"산출불가")))</f>
        <v/>
      </c>
      <c r="AZ485" s="19">
        <f>IF(AND(ISNUMBER(AX485),ISNUMBER(G485),G485&lt;&gt;0),AX485/G485,"")</f>
        <v/>
      </c>
      <c r="BA485" s="19">
        <f>IF(AND(ISNUMBER(AE485),ISNUMBER(G485),G485&lt;&gt;0),AE485/G485,"")</f>
        <v/>
      </c>
    </row>
    <row r="486">
      <c r="A486" s="8" t="inlineStr">
        <is>
          <t>PM</t>
        </is>
      </c>
      <c r="B486" s="8" t="inlineStr">
        <is>
          <t>Philip Morris International Inc.</t>
        </is>
      </c>
      <c r="C486" s="8" t="n">
        <v>2021</v>
      </c>
      <c r="D486" s="8" t="inlineStr">
        <is>
          <t>2021-12-31</t>
        </is>
      </c>
      <c r="E486" s="8" t="inlineStr">
        <is>
          <t>일반</t>
        </is>
      </c>
      <c r="F486" s="8" t="inlineStr">
        <is>
          <t>0001413329-24-000013</t>
        </is>
      </c>
      <c r="G486" s="15" t="n">
        <v>31.405</v>
      </c>
      <c r="H486" s="15" t="n">
        <v>12.232</v>
      </c>
      <c r="I486" s="15" t="n"/>
      <c r="J486" s="15" t="n">
        <v>2.671</v>
      </c>
      <c r="K486" s="15" t="n">
        <v>12.975</v>
      </c>
      <c r="L486" s="15" t="n">
        <v>9.109</v>
      </c>
      <c r="M486" s="15" t="n"/>
      <c r="N486" s="15" t="n">
        <v>0.902</v>
      </c>
      <c r="O486" s="15" t="n">
        <v>0.748</v>
      </c>
      <c r="P486" s="15" t="n">
        <v>11.967</v>
      </c>
      <c r="Q486" s="15" t="n"/>
      <c r="R486" s="15" t="n">
        <v>-10.106</v>
      </c>
      <c r="S486" s="15" t="n">
        <v>-12.567</v>
      </c>
      <c r="T486" s="15" t="n">
        <v>4.496</v>
      </c>
      <c r="U486" s="15" t="n">
        <v>7.28</v>
      </c>
      <c r="V486" s="15" t="n">
        <v>0.225</v>
      </c>
      <c r="W486" s="15" t="n">
        <v>0.244</v>
      </c>
      <c r="X486" s="15" t="n">
        <v>24.783</v>
      </c>
      <c r="Y486" s="15" t="n">
        <v>17.717</v>
      </c>
      <c r="Z486" s="15" t="n">
        <v>21.492</v>
      </c>
      <c r="AA486" s="15" t="n">
        <v>19.255</v>
      </c>
      <c r="AB486" s="15" t="n">
        <v>19.615</v>
      </c>
      <c r="AC486" s="15" t="n">
        <v>8.565</v>
      </c>
      <c r="AD486" s="16" t="n">
        <v>1559</v>
      </c>
      <c r="AE486" s="17">
        <f>IF(ISNUMBER(K486),K486,IF(AND(ISNUMBER(H486),ISNUMBER(I486)),H486+I486,IF(ISNUMBER(H486),H486,"")))</f>
        <v/>
      </c>
      <c r="AF486" s="18">
        <f>IF(OR(NOT(ISNUMBER(J486)),NOT(ISNUMBER(H486)),H486&lt;=0),기준표!$B$8,MIN(MAX(J486/H486,기준표!$B$6),기준표!$B$7))</f>
        <v/>
      </c>
      <c r="AG486" s="17">
        <f>IF(ISNUMBER(AE486),AE486*(1-AF486),"")</f>
        <v/>
      </c>
      <c r="AH486" s="17">
        <f>IF(AND(NOT(ISNUMBER(V486)),NOT(ISNUMBER(X486))),"",IF(ISNUMBER(V486),V486,0)+IF(ISNUMBER(X486),X486,0))</f>
        <v/>
      </c>
      <c r="AI486" s="17">
        <f>IF(E486="금융","",IF(AND(ISNUMBER(R486),ISNUMBER(AH486),ISNUMBER(T486)),R486+AH486-T486,""))</f>
        <v/>
      </c>
      <c r="AJ486" s="17">
        <f>IF(E486="금융","",IF(NOT(ISNUMBER(AI486)),"",IF(ISNUMBER(AC486),(AI486+AC486)/2,AI486)))</f>
        <v/>
      </c>
      <c r="AK486" s="19">
        <f>IF(AND(ISNUMBER(AG486),ISNUMBER(AJ486),AJ486&gt;0),AG486/AJ486,"")</f>
        <v/>
      </c>
      <c r="AL486" s="17">
        <f>IF(E486="금융","",IF(AND(ISNUMBER(R486),ISNUMBER(AH486)),R486+AH486,""))</f>
        <v/>
      </c>
      <c r="AM486" s="19">
        <f>IF(OR(NOT(ISNUMBER(AG486)),NOT(ISNUMBER(AL486)),AL486&lt;=0),"",IF(AND(ISNUMBER(G486),AL486&lt;0.1*G486),"",AG486/AL486))</f>
        <v/>
      </c>
      <c r="AN486" s="17">
        <f>IF(NOT(ISNUMBER(R486)),"",IF(ISNUMBER(S486),(R486+S486)/2,R486))</f>
        <v/>
      </c>
      <c r="AO486" s="19">
        <f>IF(AND(ISNUMBER(L486),ISNUMBER(AN486),AN486&gt;0),L486/AN486,"")</f>
        <v/>
      </c>
      <c r="AP486" s="19">
        <f>IF(AND(ISNUMBER(AO486),ISNUMBER({ROIC})),AO486-{ROIC},"")</f>
        <v/>
      </c>
      <c r="AQ486" s="17">
        <f>IF(AND(ISNUMBER(AE486),ISNUMBER(N486)),AE486+N486,"")</f>
        <v/>
      </c>
      <c r="AR486" s="20">
        <f>IF(AND(ISNUMBER(AH486),ISNUMBER(T486),ISNUMBER(AQ486),AQ486&gt;0),(AH486-T486)/AQ486,"")</f>
        <v/>
      </c>
      <c r="AS486" s="20">
        <f>IF(AND(ISNUMBER(AE486),ISNUMBER(I486),I486&lt;&gt;0,AE486&gt;0),AE486/I486,"")</f>
        <v/>
      </c>
      <c r="AT486" s="17">
        <f>IF(AND(ISNUMBER(Y486),ISNUMBER(AA486)),Y486-IF(ISNUMBER(T486),T486,0)-(AA486-IF(ISNUMBER(V486),V486,0)),"")</f>
        <v/>
      </c>
      <c r="AU486" s="17">
        <f>IF(AND(ISNUMBER(Z486),ISNUMBER(AB486)),Z486-IF(ISNUMBER(U486),U486,0)-(AB486-IF(ISNUMBER(W486),W486,0)),"")</f>
        <v/>
      </c>
      <c r="AV486" s="17">
        <f>IF(AND(ISNUMBER(AT486),ISNUMBER(AU486)),AT486-AU486,"")</f>
        <v/>
      </c>
      <c r="AW486" s="17">
        <f>IF(AND(ISNUMBER(L486),ISNUMBER(M486),ISNUMBER(AF486)),L486-M486*(1-AF486),IF(ISNUMBER(L486),L486,""))</f>
        <v/>
      </c>
      <c r="AX486" s="17">
        <f>IF(E486="금융","",IF(AND(ISNUMBER(AW486),ISNUMBER(N486),ISNUMBER(O486),ISNUMBER(AV486)),AW486+N486-O486-AV486,IF(AND(ISNUMBER(P486),ISNUMBER(O486)),P486-O486-IF(ISNUMBER(Q486),Q486,0),"")))</f>
        <v/>
      </c>
      <c r="AY486" s="8">
        <f>IF(E486="금융","금융업 - 정의되지 않음",IF(AND(ISNUMBER(AW486),ISNUMBER(N486),ISNUMBER(O486),ISNUMBER(AV486)),"영업순이익+감가상각-설비투자-운전자본증감",IF(AND(ISNUMBER(P486),ISNUMBER(O486)),IF(ISNUMBER(Q486),"영업현금흐름-설비투자-주식보상비용","영업현금흐름-설비투자(주식보상비용 미태깅)"),"산출불가")))</f>
        <v/>
      </c>
      <c r="AZ486" s="19">
        <f>IF(AND(ISNUMBER(AX486),ISNUMBER(G486),G486&lt;&gt;0),AX486/G486,"")</f>
        <v/>
      </c>
      <c r="BA486" s="19">
        <f>IF(AND(ISNUMBER(AE486),ISNUMBER(G486),G486&lt;&gt;0),AE486/G486,"")</f>
        <v/>
      </c>
    </row>
    <row r="487">
      <c r="A487" s="8" t="inlineStr">
        <is>
          <t>PM</t>
        </is>
      </c>
      <c r="B487" s="8" t="inlineStr">
        <is>
          <t>Philip Morris International Inc.</t>
        </is>
      </c>
      <c r="C487" s="8" t="n">
        <v>2022</v>
      </c>
      <c r="D487" s="8" t="inlineStr">
        <is>
          <t>2022-12-31</t>
        </is>
      </c>
      <c r="E487" s="8" t="inlineStr">
        <is>
          <t>일반</t>
        </is>
      </c>
      <c r="F487" s="8" t="inlineStr">
        <is>
          <t>0001413329-25-000013</t>
        </is>
      </c>
      <c r="G487" s="15" t="n">
        <v>31.762</v>
      </c>
      <c r="H487" s="15" t="n">
        <v>11.634</v>
      </c>
      <c r="I487" s="15" t="n">
        <v>0.768</v>
      </c>
      <c r="J487" s="15" t="n">
        <v>2.244</v>
      </c>
      <c r="K487" s="15" t="n">
        <v>12.246</v>
      </c>
      <c r="L487" s="15" t="n">
        <v>9.048</v>
      </c>
      <c r="M487" s="15" t="n"/>
      <c r="N487" s="15" t="n">
        <v>0.918</v>
      </c>
      <c r="O487" s="15" t="n">
        <v>1.077</v>
      </c>
      <c r="P487" s="15" t="n">
        <v>10.803</v>
      </c>
      <c r="Q487" s="15" t="n"/>
      <c r="R487" s="15" t="n">
        <v>-8.957000000000001</v>
      </c>
      <c r="S487" s="15" t="n">
        <v>-10.106</v>
      </c>
      <c r="T487" s="15" t="n">
        <v>3.207</v>
      </c>
      <c r="U487" s="15" t="n">
        <v>4.496</v>
      </c>
      <c r="V487" s="15" t="n">
        <v>5.637</v>
      </c>
      <c r="W487" s="15" t="n">
        <v>0.225</v>
      </c>
      <c r="X487" s="15" t="n">
        <v>34.875</v>
      </c>
      <c r="Y487" s="15" t="n">
        <v>19.619</v>
      </c>
      <c r="Z487" s="15" t="n">
        <v>17.717</v>
      </c>
      <c r="AA487" s="15" t="n">
        <v>27.336</v>
      </c>
      <c r="AB487" s="15" t="n">
        <v>19.255</v>
      </c>
      <c r="AC487" s="15" t="n">
        <v>10.406</v>
      </c>
      <c r="AD487" s="16" t="n">
        <v>1552</v>
      </c>
      <c r="AE487" s="17">
        <f>IF(ISNUMBER(K487),K487,IF(AND(ISNUMBER(H487),ISNUMBER(I487)),H487+I487,IF(ISNUMBER(H487),H487,"")))</f>
        <v/>
      </c>
      <c r="AF487" s="18">
        <f>IF(OR(NOT(ISNUMBER(J487)),NOT(ISNUMBER(H487)),H487&lt;=0),기준표!$B$8,MIN(MAX(J487/H487,기준표!$B$6),기준표!$B$7))</f>
        <v/>
      </c>
      <c r="AG487" s="17">
        <f>IF(ISNUMBER(AE487),AE487*(1-AF487),"")</f>
        <v/>
      </c>
      <c r="AH487" s="17">
        <f>IF(AND(NOT(ISNUMBER(V487)),NOT(ISNUMBER(X487))),"",IF(ISNUMBER(V487),V487,0)+IF(ISNUMBER(X487),X487,0))</f>
        <v/>
      </c>
      <c r="AI487" s="17">
        <f>IF(E487="금융","",IF(AND(ISNUMBER(R487),ISNUMBER(AH487),ISNUMBER(T487)),R487+AH487-T487,""))</f>
        <v/>
      </c>
      <c r="AJ487" s="17">
        <f>IF(E487="금융","",IF(NOT(ISNUMBER(AI487)),"",IF(ISNUMBER(AC487),(AI487+AC487)/2,AI487)))</f>
        <v/>
      </c>
      <c r="AK487" s="19">
        <f>IF(AND(ISNUMBER(AG487),ISNUMBER(AJ487),AJ487&gt;0),AG487/AJ487,"")</f>
        <v/>
      </c>
      <c r="AL487" s="17">
        <f>IF(E487="금융","",IF(AND(ISNUMBER(R487),ISNUMBER(AH487)),R487+AH487,""))</f>
        <v/>
      </c>
      <c r="AM487" s="19">
        <f>IF(OR(NOT(ISNUMBER(AG487)),NOT(ISNUMBER(AL487)),AL487&lt;=0),"",IF(AND(ISNUMBER(G487),AL487&lt;0.1*G487),"",AG487/AL487))</f>
        <v/>
      </c>
      <c r="AN487" s="17">
        <f>IF(NOT(ISNUMBER(R487)),"",IF(ISNUMBER(S487),(R487+S487)/2,R487))</f>
        <v/>
      </c>
      <c r="AO487" s="19">
        <f>IF(AND(ISNUMBER(L487),ISNUMBER(AN487),AN487&gt;0),L487/AN487,"")</f>
        <v/>
      </c>
      <c r="AP487" s="19">
        <f>IF(AND(ISNUMBER(AO487),ISNUMBER({ROIC})),AO487-{ROIC},"")</f>
        <v/>
      </c>
      <c r="AQ487" s="17">
        <f>IF(AND(ISNUMBER(AE487),ISNUMBER(N487)),AE487+N487,"")</f>
        <v/>
      </c>
      <c r="AR487" s="20">
        <f>IF(AND(ISNUMBER(AH487),ISNUMBER(T487),ISNUMBER(AQ487),AQ487&gt;0),(AH487-T487)/AQ487,"")</f>
        <v/>
      </c>
      <c r="AS487" s="20">
        <f>IF(AND(ISNUMBER(AE487),ISNUMBER(I487),I487&lt;&gt;0,AE487&gt;0),AE487/I487,"")</f>
        <v/>
      </c>
      <c r="AT487" s="17">
        <f>IF(AND(ISNUMBER(Y487),ISNUMBER(AA487)),Y487-IF(ISNUMBER(T487),T487,0)-(AA487-IF(ISNUMBER(V487),V487,0)),"")</f>
        <v/>
      </c>
      <c r="AU487" s="17">
        <f>IF(AND(ISNUMBER(Z487),ISNUMBER(AB487)),Z487-IF(ISNUMBER(U487),U487,0)-(AB487-IF(ISNUMBER(W487),W487,0)),"")</f>
        <v/>
      </c>
      <c r="AV487" s="17">
        <f>IF(AND(ISNUMBER(AT487),ISNUMBER(AU487)),AT487-AU487,"")</f>
        <v/>
      </c>
      <c r="AW487" s="17">
        <f>IF(AND(ISNUMBER(L487),ISNUMBER(M487),ISNUMBER(AF487)),L487-M487*(1-AF487),IF(ISNUMBER(L487),L487,""))</f>
        <v/>
      </c>
      <c r="AX487" s="17">
        <f>IF(E487="금융","",IF(AND(ISNUMBER(AW487),ISNUMBER(N487),ISNUMBER(O487),ISNUMBER(AV487)),AW487+N487-O487-AV487,IF(AND(ISNUMBER(P487),ISNUMBER(O487)),P487-O487-IF(ISNUMBER(Q487),Q487,0),"")))</f>
        <v/>
      </c>
      <c r="AY487" s="8">
        <f>IF(E487="금융","금융업 - 정의되지 않음",IF(AND(ISNUMBER(AW487),ISNUMBER(N487),ISNUMBER(O487),ISNUMBER(AV487)),"영업순이익+감가상각-설비투자-운전자본증감",IF(AND(ISNUMBER(P487),ISNUMBER(O487)),IF(ISNUMBER(Q487),"영업현금흐름-설비투자-주식보상비용","영업현금흐름-설비투자(주식보상비용 미태깅)"),"산출불가")))</f>
        <v/>
      </c>
      <c r="AZ487" s="19">
        <f>IF(AND(ISNUMBER(AX487),ISNUMBER(G487),G487&lt;&gt;0),AX487/G487,"")</f>
        <v/>
      </c>
      <c r="BA487" s="19">
        <f>IF(AND(ISNUMBER(AE487),ISNUMBER(G487),G487&lt;&gt;0),AE487/G487,"")</f>
        <v/>
      </c>
    </row>
    <row r="488">
      <c r="A488" s="8" t="inlineStr">
        <is>
          <t>PM</t>
        </is>
      </c>
      <c r="B488" s="8" t="inlineStr">
        <is>
          <t>Philip Morris International Inc.</t>
        </is>
      </c>
      <c r="C488" s="8" t="n">
        <v>2023</v>
      </c>
      <c r="D488" s="8" t="inlineStr">
        <is>
          <t>2023-12-31</t>
        </is>
      </c>
      <c r="E488" s="8" t="inlineStr">
        <is>
          <t>일반</t>
        </is>
      </c>
      <c r="F488" s="8" t="inlineStr">
        <is>
          <t>0001628280-26-005939</t>
        </is>
      </c>
      <c r="G488" s="15" t="n">
        <v>35.174</v>
      </c>
      <c r="H488" s="15" t="n">
        <v>10.45</v>
      </c>
      <c r="I488" s="15" t="n">
        <v>1.526</v>
      </c>
      <c r="J488" s="15" t="n">
        <v>2.339</v>
      </c>
      <c r="K488" s="15" t="n">
        <v>11.556</v>
      </c>
      <c r="L488" s="15" t="n">
        <v>7.813</v>
      </c>
      <c r="M488" s="15" t="n"/>
      <c r="N488" s="15" t="n">
        <v>0.901</v>
      </c>
      <c r="O488" s="15" t="n">
        <v>1.321</v>
      </c>
      <c r="P488" s="15" t="n">
        <v>9.204000000000001</v>
      </c>
      <c r="Q488" s="15" t="n"/>
      <c r="R488" s="15" t="n">
        <v>-11.225</v>
      </c>
      <c r="S488" s="15" t="n">
        <v>-8.957000000000001</v>
      </c>
      <c r="T488" s="15" t="n">
        <v>3.06</v>
      </c>
      <c r="U488" s="15" t="n">
        <v>3.207</v>
      </c>
      <c r="V488" s="15" t="n">
        <v>1.968</v>
      </c>
      <c r="W488" s="15" t="n">
        <v>5.637</v>
      </c>
      <c r="X488" s="15" t="n">
        <v>41.243</v>
      </c>
      <c r="Y488" s="15" t="n">
        <v>19.755</v>
      </c>
      <c r="Z488" s="15" t="n">
        <v>19.619</v>
      </c>
      <c r="AA488" s="15" t="n">
        <v>26.383</v>
      </c>
      <c r="AB488" s="15" t="n">
        <v>27.336</v>
      </c>
      <c r="AC488" s="15" t="n">
        <v>28.348</v>
      </c>
      <c r="AD488" s="16" t="n">
        <v>1553</v>
      </c>
      <c r="AE488" s="17">
        <f>IF(ISNUMBER(K488),K488,IF(AND(ISNUMBER(H488),ISNUMBER(I488)),H488+I488,IF(ISNUMBER(H488),H488,"")))</f>
        <v/>
      </c>
      <c r="AF488" s="18">
        <f>IF(OR(NOT(ISNUMBER(J488)),NOT(ISNUMBER(H488)),H488&lt;=0),기준표!$B$8,MIN(MAX(J488/H488,기준표!$B$6),기준표!$B$7))</f>
        <v/>
      </c>
      <c r="AG488" s="17">
        <f>IF(ISNUMBER(AE488),AE488*(1-AF488),"")</f>
        <v/>
      </c>
      <c r="AH488" s="17">
        <f>IF(AND(NOT(ISNUMBER(V488)),NOT(ISNUMBER(X488))),"",IF(ISNUMBER(V488),V488,0)+IF(ISNUMBER(X488),X488,0))</f>
        <v/>
      </c>
      <c r="AI488" s="17">
        <f>IF(E488="금융","",IF(AND(ISNUMBER(R488),ISNUMBER(AH488),ISNUMBER(T488)),R488+AH488-T488,""))</f>
        <v/>
      </c>
      <c r="AJ488" s="17">
        <f>IF(E488="금융","",IF(NOT(ISNUMBER(AI488)),"",IF(ISNUMBER(AC488),(AI488+AC488)/2,AI488)))</f>
        <v/>
      </c>
      <c r="AK488" s="19">
        <f>IF(AND(ISNUMBER(AG488),ISNUMBER(AJ488),AJ488&gt;0),AG488/AJ488,"")</f>
        <v/>
      </c>
      <c r="AL488" s="17">
        <f>IF(E488="금융","",IF(AND(ISNUMBER(R488),ISNUMBER(AH488)),R488+AH488,""))</f>
        <v/>
      </c>
      <c r="AM488" s="19">
        <f>IF(OR(NOT(ISNUMBER(AG488)),NOT(ISNUMBER(AL488)),AL488&lt;=0),"",IF(AND(ISNUMBER(G488),AL488&lt;0.1*G488),"",AG488/AL488))</f>
        <v/>
      </c>
      <c r="AN488" s="17">
        <f>IF(NOT(ISNUMBER(R488)),"",IF(ISNUMBER(S488),(R488+S488)/2,R488))</f>
        <v/>
      </c>
      <c r="AO488" s="19">
        <f>IF(AND(ISNUMBER(L488),ISNUMBER(AN488),AN488&gt;0),L488/AN488,"")</f>
        <v/>
      </c>
      <c r="AP488" s="19">
        <f>IF(AND(ISNUMBER(AO488),ISNUMBER({ROIC})),AO488-{ROIC},"")</f>
        <v/>
      </c>
      <c r="AQ488" s="17">
        <f>IF(AND(ISNUMBER(AE488),ISNUMBER(N488)),AE488+N488,"")</f>
        <v/>
      </c>
      <c r="AR488" s="20">
        <f>IF(AND(ISNUMBER(AH488),ISNUMBER(T488),ISNUMBER(AQ488),AQ488&gt;0),(AH488-T488)/AQ488,"")</f>
        <v/>
      </c>
      <c r="AS488" s="20">
        <f>IF(AND(ISNUMBER(AE488),ISNUMBER(I488),I488&lt;&gt;0,AE488&gt;0),AE488/I488,"")</f>
        <v/>
      </c>
      <c r="AT488" s="17">
        <f>IF(AND(ISNUMBER(Y488),ISNUMBER(AA488)),Y488-IF(ISNUMBER(T488),T488,0)-(AA488-IF(ISNUMBER(V488),V488,0)),"")</f>
        <v/>
      </c>
      <c r="AU488" s="17">
        <f>IF(AND(ISNUMBER(Z488),ISNUMBER(AB488)),Z488-IF(ISNUMBER(U488),U488,0)-(AB488-IF(ISNUMBER(W488),W488,0)),"")</f>
        <v/>
      </c>
      <c r="AV488" s="17">
        <f>IF(AND(ISNUMBER(AT488),ISNUMBER(AU488)),AT488-AU488,"")</f>
        <v/>
      </c>
      <c r="AW488" s="17">
        <f>IF(AND(ISNUMBER(L488),ISNUMBER(M488),ISNUMBER(AF488)),L488-M488*(1-AF488),IF(ISNUMBER(L488),L488,""))</f>
        <v/>
      </c>
      <c r="AX488" s="17">
        <f>IF(E488="금융","",IF(AND(ISNUMBER(AW488),ISNUMBER(N488),ISNUMBER(O488),ISNUMBER(AV488)),AW488+N488-O488-AV488,IF(AND(ISNUMBER(P488),ISNUMBER(O488)),P488-O488-IF(ISNUMBER(Q488),Q488,0),"")))</f>
        <v/>
      </c>
      <c r="AY488" s="8">
        <f>IF(E488="금융","금융업 - 정의되지 않음",IF(AND(ISNUMBER(AW488),ISNUMBER(N488),ISNUMBER(O488),ISNUMBER(AV488)),"영업순이익+감가상각-설비투자-운전자본증감",IF(AND(ISNUMBER(P488),ISNUMBER(O488)),IF(ISNUMBER(Q488),"영업현금흐름-설비투자-주식보상비용","영업현금흐름-설비투자(주식보상비용 미태깅)"),"산출불가")))</f>
        <v/>
      </c>
      <c r="AZ488" s="19">
        <f>IF(AND(ISNUMBER(AX488),ISNUMBER(G488),G488&lt;&gt;0),AX488/G488,"")</f>
        <v/>
      </c>
      <c r="BA488" s="19">
        <f>IF(AND(ISNUMBER(AE488),ISNUMBER(G488),G488&lt;&gt;0),AE488/G488,"")</f>
        <v/>
      </c>
    </row>
    <row r="489">
      <c r="A489" s="8" t="inlineStr">
        <is>
          <t>PM</t>
        </is>
      </c>
      <c r="B489" s="8" t="inlineStr">
        <is>
          <t>Philip Morris International Inc.</t>
        </is>
      </c>
      <c r="C489" s="8" t="n">
        <v>2024</v>
      </c>
      <c r="D489" s="8" t="inlineStr">
        <is>
          <t>2024-12-31</t>
        </is>
      </c>
      <c r="E489" s="8" t="inlineStr">
        <is>
          <t>일반</t>
        </is>
      </c>
      <c r="F489" s="8" t="inlineStr">
        <is>
          <t>0001628280-26-005939</t>
        </is>
      </c>
      <c r="G489" s="15" t="n">
        <v>37.878</v>
      </c>
      <c r="H489" s="15" t="n">
        <v>12.199</v>
      </c>
      <c r="I489" s="15" t="n">
        <v>1.763</v>
      </c>
      <c r="J489" s="15" t="n">
        <v>3.017</v>
      </c>
      <c r="K489" s="15" t="n">
        <v>13.402</v>
      </c>
      <c r="L489" s="15" t="n">
        <v>7.057</v>
      </c>
      <c r="M489" s="15" t="n"/>
      <c r="N489" s="15" t="n">
        <v>0.952</v>
      </c>
      <c r="O489" s="15" t="n">
        <v>1.444</v>
      </c>
      <c r="P489" s="15" t="n">
        <v>12.217</v>
      </c>
      <c r="Q489" s="15" t="n"/>
      <c r="R489" s="15" t="n">
        <v>-11.75</v>
      </c>
      <c r="S489" s="15" t="n">
        <v>-11.225</v>
      </c>
      <c r="T489" s="15" t="n">
        <v>4.216</v>
      </c>
      <c r="U489" s="15" t="n">
        <v>3.06</v>
      </c>
      <c r="V489" s="15" t="n">
        <v>0.137</v>
      </c>
      <c r="W489" s="15" t="n">
        <v>1.968</v>
      </c>
      <c r="X489" s="15" t="n">
        <v>42.166</v>
      </c>
      <c r="Y489" s="15" t="n">
        <v>20.17</v>
      </c>
      <c r="Z489" s="15" t="n">
        <v>19.755</v>
      </c>
      <c r="AA489" s="15" t="n">
        <v>22.915</v>
      </c>
      <c r="AB489" s="15" t="n">
        <v>26.383</v>
      </c>
      <c r="AC489" s="15" t="n">
        <v>28.926</v>
      </c>
      <c r="AD489" s="16" t="n">
        <v>1556</v>
      </c>
      <c r="AE489" s="17">
        <f>IF(ISNUMBER(K489),K489,IF(AND(ISNUMBER(H489),ISNUMBER(I489)),H489+I489,IF(ISNUMBER(H489),H489,"")))</f>
        <v/>
      </c>
      <c r="AF489" s="18">
        <f>IF(OR(NOT(ISNUMBER(J489)),NOT(ISNUMBER(H489)),H489&lt;=0),기준표!$B$8,MIN(MAX(J489/H489,기준표!$B$6),기준표!$B$7))</f>
        <v/>
      </c>
      <c r="AG489" s="17">
        <f>IF(ISNUMBER(AE489),AE489*(1-AF489),"")</f>
        <v/>
      </c>
      <c r="AH489" s="17">
        <f>IF(AND(NOT(ISNUMBER(V489)),NOT(ISNUMBER(X489))),"",IF(ISNUMBER(V489),V489,0)+IF(ISNUMBER(X489),X489,0))</f>
        <v/>
      </c>
      <c r="AI489" s="17">
        <f>IF(E489="금융","",IF(AND(ISNUMBER(R489),ISNUMBER(AH489),ISNUMBER(T489)),R489+AH489-T489,""))</f>
        <v/>
      </c>
      <c r="AJ489" s="17">
        <f>IF(E489="금융","",IF(NOT(ISNUMBER(AI489)),"",IF(ISNUMBER(AC489),(AI489+AC489)/2,AI489)))</f>
        <v/>
      </c>
      <c r="AK489" s="19">
        <f>IF(AND(ISNUMBER(AG489),ISNUMBER(AJ489),AJ489&gt;0),AG489/AJ489,"")</f>
        <v/>
      </c>
      <c r="AL489" s="17">
        <f>IF(E489="금융","",IF(AND(ISNUMBER(R489),ISNUMBER(AH489)),R489+AH489,""))</f>
        <v/>
      </c>
      <c r="AM489" s="19">
        <f>IF(OR(NOT(ISNUMBER(AG489)),NOT(ISNUMBER(AL489)),AL489&lt;=0),"",IF(AND(ISNUMBER(G489),AL489&lt;0.1*G489),"",AG489/AL489))</f>
        <v/>
      </c>
      <c r="AN489" s="17">
        <f>IF(NOT(ISNUMBER(R489)),"",IF(ISNUMBER(S489),(R489+S489)/2,R489))</f>
        <v/>
      </c>
      <c r="AO489" s="19">
        <f>IF(AND(ISNUMBER(L489),ISNUMBER(AN489),AN489&gt;0),L489/AN489,"")</f>
        <v/>
      </c>
      <c r="AP489" s="19">
        <f>IF(AND(ISNUMBER(AO489),ISNUMBER({ROIC})),AO489-{ROIC},"")</f>
        <v/>
      </c>
      <c r="AQ489" s="17">
        <f>IF(AND(ISNUMBER(AE489),ISNUMBER(N489)),AE489+N489,"")</f>
        <v/>
      </c>
      <c r="AR489" s="20">
        <f>IF(AND(ISNUMBER(AH489),ISNUMBER(T489),ISNUMBER(AQ489),AQ489&gt;0),(AH489-T489)/AQ489,"")</f>
        <v/>
      </c>
      <c r="AS489" s="20">
        <f>IF(AND(ISNUMBER(AE489),ISNUMBER(I489),I489&lt;&gt;0,AE489&gt;0),AE489/I489,"")</f>
        <v/>
      </c>
      <c r="AT489" s="17">
        <f>IF(AND(ISNUMBER(Y489),ISNUMBER(AA489)),Y489-IF(ISNUMBER(T489),T489,0)-(AA489-IF(ISNUMBER(V489),V489,0)),"")</f>
        <v/>
      </c>
      <c r="AU489" s="17">
        <f>IF(AND(ISNUMBER(Z489),ISNUMBER(AB489)),Z489-IF(ISNUMBER(U489),U489,0)-(AB489-IF(ISNUMBER(W489),W489,0)),"")</f>
        <v/>
      </c>
      <c r="AV489" s="17">
        <f>IF(AND(ISNUMBER(AT489),ISNUMBER(AU489)),AT489-AU489,"")</f>
        <v/>
      </c>
      <c r="AW489" s="17">
        <f>IF(AND(ISNUMBER(L489),ISNUMBER(M489),ISNUMBER(AF489)),L489-M489*(1-AF489),IF(ISNUMBER(L489),L489,""))</f>
        <v/>
      </c>
      <c r="AX489" s="17">
        <f>IF(E489="금융","",IF(AND(ISNUMBER(AW489),ISNUMBER(N489),ISNUMBER(O489),ISNUMBER(AV489)),AW489+N489-O489-AV489,IF(AND(ISNUMBER(P489),ISNUMBER(O489)),P489-O489-IF(ISNUMBER(Q489),Q489,0),"")))</f>
        <v/>
      </c>
      <c r="AY489" s="8">
        <f>IF(E489="금융","금융업 - 정의되지 않음",IF(AND(ISNUMBER(AW489),ISNUMBER(N489),ISNUMBER(O489),ISNUMBER(AV489)),"영업순이익+감가상각-설비투자-운전자본증감",IF(AND(ISNUMBER(P489),ISNUMBER(O489)),IF(ISNUMBER(Q489),"영업현금흐름-설비투자-주식보상비용","영업현금흐름-설비투자(주식보상비용 미태깅)"),"산출불가")))</f>
        <v/>
      </c>
      <c r="AZ489" s="19">
        <f>IF(AND(ISNUMBER(AX489),ISNUMBER(G489),G489&lt;&gt;0),AX489/G489,"")</f>
        <v/>
      </c>
      <c r="BA489" s="19">
        <f>IF(AND(ISNUMBER(AE489),ISNUMBER(G489),G489&lt;&gt;0),AE489/G489,"")</f>
        <v/>
      </c>
    </row>
    <row r="490">
      <c r="A490" s="8" t="inlineStr">
        <is>
          <t>PM</t>
        </is>
      </c>
      <c r="B490" s="8" t="inlineStr">
        <is>
          <t>Philip Morris International Inc.</t>
        </is>
      </c>
      <c r="C490" s="8" t="n">
        <v>2025</v>
      </c>
      <c r="D490" s="8" t="inlineStr">
        <is>
          <t>2025-12-31</t>
        </is>
      </c>
      <c r="E490" s="8" t="inlineStr">
        <is>
          <t>일반</t>
        </is>
      </c>
      <c r="F490" s="8" t="inlineStr">
        <is>
          <t>0001628280-26-005939</t>
        </is>
      </c>
      <c r="G490" s="15" t="n">
        <v>40.648</v>
      </c>
      <c r="H490" s="15" t="n">
        <v>13.88</v>
      </c>
      <c r="I490" s="15" t="n">
        <v>1.587</v>
      </c>
      <c r="J490" s="15" t="n">
        <v>2.737</v>
      </c>
      <c r="K490" s="15" t="n">
        <v>14.892</v>
      </c>
      <c r="L490" s="15" t="n">
        <v>11.348</v>
      </c>
      <c r="M490" s="15" t="n"/>
      <c r="N490" s="15" t="n">
        <v>0.993</v>
      </c>
      <c r="O490" s="15" t="n">
        <v>1.569</v>
      </c>
      <c r="P490" s="15" t="n">
        <v>12.233</v>
      </c>
      <c r="Q490" s="15" t="n"/>
      <c r="R490" s="15" t="n">
        <v>-9.994</v>
      </c>
      <c r="S490" s="15" t="n">
        <v>-11.75</v>
      </c>
      <c r="T490" s="15" t="n">
        <v>4.872</v>
      </c>
      <c r="U490" s="15" t="n">
        <v>4.216</v>
      </c>
      <c r="V490" s="15" t="n">
        <v>0.168</v>
      </c>
      <c r="W490" s="15" t="n">
        <v>0.137</v>
      </c>
      <c r="X490" s="15" t="n">
        <v>45.134</v>
      </c>
      <c r="Y490" s="15" t="n">
        <v>24.363</v>
      </c>
      <c r="Z490" s="15" t="n">
        <v>20.17</v>
      </c>
      <c r="AA490" s="15" t="n">
        <v>25.427</v>
      </c>
      <c r="AB490" s="15" t="n">
        <v>22.915</v>
      </c>
      <c r="AC490" s="15" t="n">
        <v>26.337</v>
      </c>
      <c r="AD490" s="16" t="n">
        <v>1558</v>
      </c>
      <c r="AE490" s="17">
        <f>IF(ISNUMBER(K490),K490,IF(AND(ISNUMBER(H490),ISNUMBER(I490)),H490+I490,IF(ISNUMBER(H490),H490,"")))</f>
        <v/>
      </c>
      <c r="AF490" s="18">
        <f>IF(OR(NOT(ISNUMBER(J490)),NOT(ISNUMBER(H490)),H490&lt;=0),기준표!$B$8,MIN(MAX(J490/H490,기준표!$B$6),기준표!$B$7))</f>
        <v/>
      </c>
      <c r="AG490" s="17">
        <f>IF(ISNUMBER(AE490),AE490*(1-AF490),"")</f>
        <v/>
      </c>
      <c r="AH490" s="17">
        <f>IF(AND(NOT(ISNUMBER(V490)),NOT(ISNUMBER(X490))),"",IF(ISNUMBER(V490),V490,0)+IF(ISNUMBER(X490),X490,0))</f>
        <v/>
      </c>
      <c r="AI490" s="17">
        <f>IF(E490="금융","",IF(AND(ISNUMBER(R490),ISNUMBER(AH490),ISNUMBER(T490)),R490+AH490-T490,""))</f>
        <v/>
      </c>
      <c r="AJ490" s="17">
        <f>IF(E490="금융","",IF(NOT(ISNUMBER(AI490)),"",IF(ISNUMBER(AC490),(AI490+AC490)/2,AI490)))</f>
        <v/>
      </c>
      <c r="AK490" s="19">
        <f>IF(AND(ISNUMBER(AG490),ISNUMBER(AJ490),AJ490&gt;0),AG490/AJ490,"")</f>
        <v/>
      </c>
      <c r="AL490" s="17">
        <f>IF(E490="금융","",IF(AND(ISNUMBER(R490),ISNUMBER(AH490)),R490+AH490,""))</f>
        <v/>
      </c>
      <c r="AM490" s="19">
        <f>IF(OR(NOT(ISNUMBER(AG490)),NOT(ISNUMBER(AL490)),AL490&lt;=0),"",IF(AND(ISNUMBER(G490),AL490&lt;0.1*G490),"",AG490/AL490))</f>
        <v/>
      </c>
      <c r="AN490" s="17">
        <f>IF(NOT(ISNUMBER(R490)),"",IF(ISNUMBER(S490),(R490+S490)/2,R490))</f>
        <v/>
      </c>
      <c r="AO490" s="19">
        <f>IF(AND(ISNUMBER(L490),ISNUMBER(AN490),AN490&gt;0),L490/AN490,"")</f>
        <v/>
      </c>
      <c r="AP490" s="19">
        <f>IF(AND(ISNUMBER(AO490),ISNUMBER({ROIC})),AO490-{ROIC},"")</f>
        <v/>
      </c>
      <c r="AQ490" s="17">
        <f>IF(AND(ISNUMBER(AE490),ISNUMBER(N490)),AE490+N490,"")</f>
        <v/>
      </c>
      <c r="AR490" s="20">
        <f>IF(AND(ISNUMBER(AH490),ISNUMBER(T490),ISNUMBER(AQ490),AQ490&gt;0),(AH490-T490)/AQ490,"")</f>
        <v/>
      </c>
      <c r="AS490" s="20">
        <f>IF(AND(ISNUMBER(AE490),ISNUMBER(I490),I490&lt;&gt;0,AE490&gt;0),AE490/I490,"")</f>
        <v/>
      </c>
      <c r="AT490" s="17">
        <f>IF(AND(ISNUMBER(Y490),ISNUMBER(AA490)),Y490-IF(ISNUMBER(T490),T490,0)-(AA490-IF(ISNUMBER(V490),V490,0)),"")</f>
        <v/>
      </c>
      <c r="AU490" s="17">
        <f>IF(AND(ISNUMBER(Z490),ISNUMBER(AB490)),Z490-IF(ISNUMBER(U490),U490,0)-(AB490-IF(ISNUMBER(W490),W490,0)),"")</f>
        <v/>
      </c>
      <c r="AV490" s="17">
        <f>IF(AND(ISNUMBER(AT490),ISNUMBER(AU490)),AT490-AU490,"")</f>
        <v/>
      </c>
      <c r="AW490" s="17">
        <f>IF(AND(ISNUMBER(L490),ISNUMBER(M490),ISNUMBER(AF490)),L490-M490*(1-AF490),IF(ISNUMBER(L490),L490,""))</f>
        <v/>
      </c>
      <c r="AX490" s="17">
        <f>IF(E490="금융","",IF(AND(ISNUMBER(AW490),ISNUMBER(N490),ISNUMBER(O490),ISNUMBER(AV490)),AW490+N490-O490-AV490,IF(AND(ISNUMBER(P490),ISNUMBER(O490)),P490-O490-IF(ISNUMBER(Q490),Q490,0),"")))</f>
        <v/>
      </c>
      <c r="AY490" s="8">
        <f>IF(E490="금융","금융업 - 정의되지 않음",IF(AND(ISNUMBER(AW490),ISNUMBER(N490),ISNUMBER(O490),ISNUMBER(AV490)),"영업순이익+감가상각-설비투자-운전자본증감",IF(AND(ISNUMBER(P490),ISNUMBER(O490)),IF(ISNUMBER(Q490),"영업현금흐름-설비투자-주식보상비용","영업현금흐름-설비투자(주식보상비용 미태깅)"),"산출불가")))</f>
        <v/>
      </c>
      <c r="AZ490" s="19">
        <f>IF(AND(ISNUMBER(AX490),ISNUMBER(G490),G490&lt;&gt;0),AX490/G490,"")</f>
        <v/>
      </c>
      <c r="BA490" s="19">
        <f>IF(AND(ISNUMBER(AE490),ISNUMBER(G490),G490&lt;&gt;0),AE490/G490,"")</f>
        <v/>
      </c>
    </row>
    <row r="491">
      <c r="A491" s="8" t="inlineStr">
        <is>
          <t>DELL</t>
        </is>
      </c>
      <c r="B491" s="8" t="inlineStr">
        <is>
          <t>Dell Technologies Inc.</t>
        </is>
      </c>
      <c r="C491" s="8" t="n">
        <v>2014</v>
      </c>
      <c r="D491" s="8" t="inlineStr">
        <is>
          <t>2015-01-30</t>
        </is>
      </c>
      <c r="E491" s="8" t="inlineStr">
        <is>
          <t>일반</t>
        </is>
      </c>
      <c r="F491" s="8" t="inlineStr">
        <is>
          <t>0001571996-17-000004</t>
        </is>
      </c>
      <c r="G491" s="15" t="n"/>
      <c r="H491" s="15" t="n">
        <v>-1.215</v>
      </c>
      <c r="I491" s="15" t="n"/>
      <c r="J491" s="15" t="n">
        <v>-0.107</v>
      </c>
      <c r="K491" s="15" t="n">
        <v>-0.316</v>
      </c>
      <c r="L491" s="15" t="n">
        <v>-1.221</v>
      </c>
      <c r="M491" s="15" t="n">
        <v>-0.029</v>
      </c>
      <c r="N491" s="15" t="n">
        <v>2.977</v>
      </c>
      <c r="O491" s="15" t="n">
        <v>0.478</v>
      </c>
      <c r="P491" s="15" t="n">
        <v>2.551</v>
      </c>
      <c r="Q491" s="15" t="n">
        <v>0.07199999999999999</v>
      </c>
      <c r="R491" s="15" t="n"/>
      <c r="S491" s="15" t="n"/>
      <c r="T491" s="15" t="n">
        <v>5.398</v>
      </c>
      <c r="U491" s="15" t="n"/>
      <c r="V491" s="15" t="n"/>
      <c r="W491" s="15" t="n"/>
      <c r="X491" s="15" t="n"/>
      <c r="Y491" s="15" t="n"/>
      <c r="Z491" s="15" t="n"/>
      <c r="AA491" s="15" t="n"/>
      <c r="AB491" s="15" t="n"/>
      <c r="AC491" s="15" t="n"/>
      <c r="AD491" s="16" t="n"/>
      <c r="AE491" s="17">
        <f>IF(ISNUMBER(K491),K491,IF(AND(ISNUMBER(H491),ISNUMBER(I491)),H491+I491,IF(ISNUMBER(H491),H491,"")))</f>
        <v/>
      </c>
      <c r="AF491" s="18">
        <f>IF(OR(NOT(ISNUMBER(J491)),NOT(ISNUMBER(H491)),H491&lt;=0),기준표!$B$8,MIN(MAX(J491/H491,기준표!$B$6),기준표!$B$7))</f>
        <v/>
      </c>
      <c r="AG491" s="17">
        <f>IF(ISNUMBER(AE491),AE491*(1-AF491),"")</f>
        <v/>
      </c>
      <c r="AH491" s="17">
        <f>IF(AND(NOT(ISNUMBER(V491)),NOT(ISNUMBER(X491))),"",IF(ISNUMBER(V491),V491,0)+IF(ISNUMBER(X491),X491,0))</f>
        <v/>
      </c>
      <c r="AI491" s="17">
        <f>IF(E491="금융","",IF(AND(ISNUMBER(R491),ISNUMBER(AH491),ISNUMBER(T491)),R491+AH491-T491,""))</f>
        <v/>
      </c>
      <c r="AJ491" s="17">
        <f>IF(E491="금융","",IF(NOT(ISNUMBER(AI491)),"",IF(ISNUMBER(AC491),(AI491+AC491)/2,AI491)))</f>
        <v/>
      </c>
      <c r="AK491" s="19">
        <f>IF(AND(ISNUMBER(AG491),ISNUMBER(AJ491),AJ491&gt;0),AG491/AJ491,"")</f>
        <v/>
      </c>
      <c r="AL491" s="17">
        <f>IF(E491="금융","",IF(AND(ISNUMBER(R491),ISNUMBER(AH491)),R491+AH491,""))</f>
        <v/>
      </c>
      <c r="AM491" s="19">
        <f>IF(OR(NOT(ISNUMBER(AG491)),NOT(ISNUMBER(AL491)),AL491&lt;=0),"",IF(AND(ISNUMBER(G491),AL491&lt;0.1*G491),"",AG491/AL491))</f>
        <v/>
      </c>
      <c r="AN491" s="17">
        <f>IF(NOT(ISNUMBER(R491)),"",IF(ISNUMBER(S491),(R491+S491)/2,R491))</f>
        <v/>
      </c>
      <c r="AO491" s="19">
        <f>IF(AND(ISNUMBER(L491),ISNUMBER(AN491),AN491&gt;0),L491/AN491,"")</f>
        <v/>
      </c>
      <c r="AP491" s="19">
        <f>IF(AND(ISNUMBER(AO491),ISNUMBER({ROIC})),AO491-{ROIC},"")</f>
        <v/>
      </c>
      <c r="AQ491" s="17">
        <f>IF(AND(ISNUMBER(AE491),ISNUMBER(N491)),AE491+N491,"")</f>
        <v/>
      </c>
      <c r="AR491" s="20">
        <f>IF(AND(ISNUMBER(AH491),ISNUMBER(T491),ISNUMBER(AQ491),AQ491&gt;0),(AH491-T491)/AQ491,"")</f>
        <v/>
      </c>
      <c r="AS491" s="20">
        <f>IF(AND(ISNUMBER(AE491),ISNUMBER(I491),I491&lt;&gt;0,AE491&gt;0),AE491/I491,"")</f>
        <v/>
      </c>
      <c r="AT491" s="17">
        <f>IF(AND(ISNUMBER(Y491),ISNUMBER(AA491)),Y491-IF(ISNUMBER(T491),T491,0)-(AA491-IF(ISNUMBER(V491),V491,0)),"")</f>
        <v/>
      </c>
      <c r="AU491" s="17">
        <f>IF(AND(ISNUMBER(Z491),ISNUMBER(AB491)),Z491-IF(ISNUMBER(U491),U491,0)-(AB491-IF(ISNUMBER(W491),W491,0)),"")</f>
        <v/>
      </c>
      <c r="AV491" s="17">
        <f>IF(AND(ISNUMBER(AT491),ISNUMBER(AU491)),AT491-AU491,"")</f>
        <v/>
      </c>
      <c r="AW491" s="17">
        <f>IF(AND(ISNUMBER(L491),ISNUMBER(M491),ISNUMBER(AF491)),L491-M491*(1-AF491),IF(ISNUMBER(L491),L491,""))</f>
        <v/>
      </c>
      <c r="AX491" s="17">
        <f>IF(E491="금융","",IF(AND(ISNUMBER(AW491),ISNUMBER(N491),ISNUMBER(O491),ISNUMBER(AV491)),AW491+N491-O491-AV491,IF(AND(ISNUMBER(P491),ISNUMBER(O491)),P491-O491-IF(ISNUMBER(Q491),Q491,0),"")))</f>
        <v/>
      </c>
      <c r="AY491" s="8">
        <f>IF(E491="금융","금융업 - 정의되지 않음",IF(AND(ISNUMBER(AW491),ISNUMBER(N491),ISNUMBER(O491),ISNUMBER(AV491)),"영업순이익+감가상각-설비투자-운전자본증감",IF(AND(ISNUMBER(P491),ISNUMBER(O491)),IF(ISNUMBER(Q491),"영업현금흐름-설비투자-주식보상비용","영업현금흐름-설비투자(주식보상비용 미태깅)"),"산출불가")))</f>
        <v/>
      </c>
      <c r="AZ491" s="19">
        <f>IF(AND(ISNUMBER(AX491),ISNUMBER(G491),G491&lt;&gt;0),AX491/G491,"")</f>
        <v/>
      </c>
      <c r="BA491" s="19">
        <f>IF(AND(ISNUMBER(AE491),ISNUMBER(G491),G491&lt;&gt;0),AE491/G491,"")</f>
        <v/>
      </c>
    </row>
    <row r="492">
      <c r="A492" s="8" t="inlineStr">
        <is>
          <t>DELL</t>
        </is>
      </c>
      <c r="B492" s="8" t="inlineStr">
        <is>
          <t>Dell Technologies Inc.</t>
        </is>
      </c>
      <c r="C492" s="8" t="n">
        <v>2015</v>
      </c>
      <c r="D492" s="8" t="inlineStr">
        <is>
          <t>2016-01-29</t>
        </is>
      </c>
      <c r="E492" s="8" t="inlineStr">
        <is>
          <t>일반</t>
        </is>
      </c>
      <c r="F492" s="8" t="inlineStr">
        <is>
          <t>0001571996-18-000004</t>
        </is>
      </c>
      <c r="G492" s="15" t="n"/>
      <c r="H492" s="15" t="n">
        <v>-1.286</v>
      </c>
      <c r="I492" s="15" t="n"/>
      <c r="J492" s="15" t="n">
        <v>-0.118</v>
      </c>
      <c r="K492" s="15" t="n">
        <v>-0.514</v>
      </c>
      <c r="L492" s="15" t="n">
        <v>-1.104</v>
      </c>
      <c r="M492" s="15" t="n">
        <v>-0.002</v>
      </c>
      <c r="N492" s="15" t="n">
        <v>2.872</v>
      </c>
      <c r="O492" s="15" t="n">
        <v>0.482</v>
      </c>
      <c r="P492" s="15" t="n">
        <v>2.162</v>
      </c>
      <c r="Q492" s="15" t="n">
        <v>0.07199999999999999</v>
      </c>
      <c r="R492" s="15" t="n">
        <v>1.466</v>
      </c>
      <c r="S492" s="15" t="n"/>
      <c r="T492" s="15" t="n">
        <v>6.322</v>
      </c>
      <c r="U492" s="15" t="n">
        <v>5.398</v>
      </c>
      <c r="V492" s="15" t="n">
        <v>2.981</v>
      </c>
      <c r="W492" s="15" t="n"/>
      <c r="X492" s="15" t="n">
        <v>10.65</v>
      </c>
      <c r="Y492" s="15" t="n">
        <v>23.573</v>
      </c>
      <c r="Z492" s="15" t="n"/>
      <c r="AA492" s="15" t="n">
        <v>25.31</v>
      </c>
      <c r="AB492" s="15" t="n"/>
      <c r="AC492" s="15" t="n"/>
      <c r="AD492" s="16" t="n">
        <v>405</v>
      </c>
      <c r="AE492" s="17">
        <f>IF(ISNUMBER(K492),K492,IF(AND(ISNUMBER(H492),ISNUMBER(I492)),H492+I492,IF(ISNUMBER(H492),H492,"")))</f>
        <v/>
      </c>
      <c r="AF492" s="18">
        <f>IF(OR(NOT(ISNUMBER(J492)),NOT(ISNUMBER(H492)),H492&lt;=0),기준표!$B$8,MIN(MAX(J492/H492,기준표!$B$6),기준표!$B$7))</f>
        <v/>
      </c>
      <c r="AG492" s="17">
        <f>IF(ISNUMBER(AE492),AE492*(1-AF492),"")</f>
        <v/>
      </c>
      <c r="AH492" s="17">
        <f>IF(AND(NOT(ISNUMBER(V492)),NOT(ISNUMBER(X492))),"",IF(ISNUMBER(V492),V492,0)+IF(ISNUMBER(X492),X492,0))</f>
        <v/>
      </c>
      <c r="AI492" s="17">
        <f>IF(E492="금융","",IF(AND(ISNUMBER(R492),ISNUMBER(AH492),ISNUMBER(T492)),R492+AH492-T492,""))</f>
        <v/>
      </c>
      <c r="AJ492" s="17">
        <f>IF(E492="금융","",IF(NOT(ISNUMBER(AI492)),"",IF(ISNUMBER(AC492),(AI492+AC492)/2,AI492)))</f>
        <v/>
      </c>
      <c r="AK492" s="19">
        <f>IF(AND(ISNUMBER(AG492),ISNUMBER(AJ492),AJ492&gt;0),AG492/AJ492,"")</f>
        <v/>
      </c>
      <c r="AL492" s="17">
        <f>IF(E492="금융","",IF(AND(ISNUMBER(R492),ISNUMBER(AH492)),R492+AH492,""))</f>
        <v/>
      </c>
      <c r="AM492" s="19">
        <f>IF(OR(NOT(ISNUMBER(AG492)),NOT(ISNUMBER(AL492)),AL492&lt;=0),"",IF(AND(ISNUMBER(G492),AL492&lt;0.1*G492),"",AG492/AL492))</f>
        <v/>
      </c>
      <c r="AN492" s="17">
        <f>IF(NOT(ISNUMBER(R492)),"",IF(ISNUMBER(S492),(R492+S492)/2,R492))</f>
        <v/>
      </c>
      <c r="AO492" s="19">
        <f>IF(AND(ISNUMBER(L492),ISNUMBER(AN492),AN492&gt;0),L492/AN492,"")</f>
        <v/>
      </c>
      <c r="AP492" s="19">
        <f>IF(AND(ISNUMBER(AO492),ISNUMBER({ROIC})),AO492-{ROIC},"")</f>
        <v/>
      </c>
      <c r="AQ492" s="17">
        <f>IF(AND(ISNUMBER(AE492),ISNUMBER(N492)),AE492+N492,"")</f>
        <v/>
      </c>
      <c r="AR492" s="20">
        <f>IF(AND(ISNUMBER(AH492),ISNUMBER(T492),ISNUMBER(AQ492),AQ492&gt;0),(AH492-T492)/AQ492,"")</f>
        <v/>
      </c>
      <c r="AS492" s="20">
        <f>IF(AND(ISNUMBER(AE492),ISNUMBER(I492),I492&lt;&gt;0,AE492&gt;0),AE492/I492,"")</f>
        <v/>
      </c>
      <c r="AT492" s="17">
        <f>IF(AND(ISNUMBER(Y492),ISNUMBER(AA492)),Y492-IF(ISNUMBER(T492),T492,0)-(AA492-IF(ISNUMBER(V492),V492,0)),"")</f>
        <v/>
      </c>
      <c r="AU492" s="17">
        <f>IF(AND(ISNUMBER(Z492),ISNUMBER(AB492)),Z492-IF(ISNUMBER(U492),U492,0)-(AB492-IF(ISNUMBER(W492),W492,0)),"")</f>
        <v/>
      </c>
      <c r="AV492" s="17">
        <f>IF(AND(ISNUMBER(AT492),ISNUMBER(AU492)),AT492-AU492,"")</f>
        <v/>
      </c>
      <c r="AW492" s="17">
        <f>IF(AND(ISNUMBER(L492),ISNUMBER(M492),ISNUMBER(AF492)),L492-M492*(1-AF492),IF(ISNUMBER(L492),L492,""))</f>
        <v/>
      </c>
      <c r="AX492" s="17">
        <f>IF(E492="금융","",IF(AND(ISNUMBER(AW492),ISNUMBER(N492),ISNUMBER(O492),ISNUMBER(AV492)),AW492+N492-O492-AV492,IF(AND(ISNUMBER(P492),ISNUMBER(O492)),P492-O492-IF(ISNUMBER(Q492),Q492,0),"")))</f>
        <v/>
      </c>
      <c r="AY492" s="8">
        <f>IF(E492="금융","금융업 - 정의되지 않음",IF(AND(ISNUMBER(AW492),ISNUMBER(N492),ISNUMBER(O492),ISNUMBER(AV492)),"영업순이익+감가상각-설비투자-운전자본증감",IF(AND(ISNUMBER(P492),ISNUMBER(O492)),IF(ISNUMBER(Q492),"영업현금흐름-설비투자-주식보상비용","영업현금흐름-설비투자(주식보상비용 미태깅)"),"산출불가")))</f>
        <v/>
      </c>
      <c r="AZ492" s="19">
        <f>IF(AND(ISNUMBER(AX492),ISNUMBER(G492),G492&lt;&gt;0),AX492/G492,"")</f>
        <v/>
      </c>
      <c r="BA492" s="19">
        <f>IF(AND(ISNUMBER(AE492),ISNUMBER(G492),G492&lt;&gt;0),AE492/G492,"")</f>
        <v/>
      </c>
    </row>
    <row r="493">
      <c r="A493" s="8" t="inlineStr">
        <is>
          <t>DELL</t>
        </is>
      </c>
      <c r="B493" s="8" t="inlineStr">
        <is>
          <t>Dell Technologies Inc.</t>
        </is>
      </c>
      <c r="C493" s="8" t="n">
        <v>2016</v>
      </c>
      <c r="D493" s="8" t="inlineStr">
        <is>
          <t>2017-02-03</t>
        </is>
      </c>
      <c r="E493" s="8" t="inlineStr">
        <is>
          <t>일반</t>
        </is>
      </c>
      <c r="F493" s="8" t="inlineStr">
        <is>
          <t>0001571996-19-000008</t>
        </is>
      </c>
      <c r="G493" s="15" t="n">
        <v>62.164</v>
      </c>
      <c r="H493" s="15" t="n">
        <v>-4.494</v>
      </c>
      <c r="I493" s="15" t="n"/>
      <c r="J493" s="15" t="n">
        <v>-1.42</v>
      </c>
      <c r="K493" s="15" t="n">
        <v>-2.39</v>
      </c>
      <c r="L493" s="15" t="n">
        <v>-1.167</v>
      </c>
      <c r="M493" s="15" t="n">
        <v>0.004</v>
      </c>
      <c r="N493" s="15" t="n">
        <v>4.938</v>
      </c>
      <c r="O493" s="15" t="n">
        <v>0.699</v>
      </c>
      <c r="P493" s="15" t="n">
        <v>2.367</v>
      </c>
      <c r="Q493" s="15" t="n">
        <v>0.398</v>
      </c>
      <c r="R493" s="15" t="n">
        <v>13.243</v>
      </c>
      <c r="S493" s="15" t="n">
        <v>1.466</v>
      </c>
      <c r="T493" s="15" t="n">
        <v>9.474</v>
      </c>
      <c r="U493" s="15" t="n">
        <v>6.322</v>
      </c>
      <c r="V493" s="15" t="n">
        <v>6.329</v>
      </c>
      <c r="W493" s="15" t="n">
        <v>2.981</v>
      </c>
      <c r="X493" s="15" t="n">
        <v>43.061</v>
      </c>
      <c r="Y493" s="15" t="n">
        <v>30.773</v>
      </c>
      <c r="Z493" s="15" t="n">
        <v>23.573</v>
      </c>
      <c r="AA493" s="15" t="n">
        <v>38.135</v>
      </c>
      <c r="AB493" s="15" t="n">
        <v>25.31</v>
      </c>
      <c r="AC493" s="15" t="n">
        <v>8.775</v>
      </c>
      <c r="AD493" s="16" t="n">
        <v>778</v>
      </c>
      <c r="AE493" s="17">
        <f>IF(ISNUMBER(K493),K493,IF(AND(ISNUMBER(H493),ISNUMBER(I493)),H493+I493,IF(ISNUMBER(H493),H493,"")))</f>
        <v/>
      </c>
      <c r="AF493" s="18">
        <f>IF(OR(NOT(ISNUMBER(J493)),NOT(ISNUMBER(H493)),H493&lt;=0),기준표!$B$8,MIN(MAX(J493/H493,기준표!$B$6),기준표!$B$7))</f>
        <v/>
      </c>
      <c r="AG493" s="17">
        <f>IF(ISNUMBER(AE493),AE493*(1-AF493),"")</f>
        <v/>
      </c>
      <c r="AH493" s="17">
        <f>IF(AND(NOT(ISNUMBER(V493)),NOT(ISNUMBER(X493))),"",IF(ISNUMBER(V493),V493,0)+IF(ISNUMBER(X493),X493,0))</f>
        <v/>
      </c>
      <c r="AI493" s="17">
        <f>IF(E493="금융","",IF(AND(ISNUMBER(R493),ISNUMBER(AH493),ISNUMBER(T493)),R493+AH493-T493,""))</f>
        <v/>
      </c>
      <c r="AJ493" s="17">
        <f>IF(E493="금융","",IF(NOT(ISNUMBER(AI493)),"",IF(ISNUMBER(AC493),(AI493+AC493)/2,AI493)))</f>
        <v/>
      </c>
      <c r="AK493" s="19">
        <f>IF(AND(ISNUMBER(AG493),ISNUMBER(AJ493),AJ493&gt;0),AG493/AJ493,"")</f>
        <v/>
      </c>
      <c r="AL493" s="17">
        <f>IF(E493="금융","",IF(AND(ISNUMBER(R493),ISNUMBER(AH493)),R493+AH493,""))</f>
        <v/>
      </c>
      <c r="AM493" s="19">
        <f>IF(OR(NOT(ISNUMBER(AG493)),NOT(ISNUMBER(AL493)),AL493&lt;=0),"",IF(AND(ISNUMBER(G493),AL493&lt;0.1*G493),"",AG493/AL493))</f>
        <v/>
      </c>
      <c r="AN493" s="17">
        <f>IF(NOT(ISNUMBER(R493)),"",IF(ISNUMBER(S493),(R493+S493)/2,R493))</f>
        <v/>
      </c>
      <c r="AO493" s="19">
        <f>IF(AND(ISNUMBER(L493),ISNUMBER(AN493),AN493&gt;0),L493/AN493,"")</f>
        <v/>
      </c>
      <c r="AP493" s="19">
        <f>IF(AND(ISNUMBER(AO493),ISNUMBER({ROIC})),AO493-{ROIC},"")</f>
        <v/>
      </c>
      <c r="AQ493" s="17">
        <f>IF(AND(ISNUMBER(AE493),ISNUMBER(N493)),AE493+N493,"")</f>
        <v/>
      </c>
      <c r="AR493" s="20">
        <f>IF(AND(ISNUMBER(AH493),ISNUMBER(T493),ISNUMBER(AQ493),AQ493&gt;0),(AH493-T493)/AQ493,"")</f>
        <v/>
      </c>
      <c r="AS493" s="20">
        <f>IF(AND(ISNUMBER(AE493),ISNUMBER(I493),I493&lt;&gt;0,AE493&gt;0),AE493/I493,"")</f>
        <v/>
      </c>
      <c r="AT493" s="17">
        <f>IF(AND(ISNUMBER(Y493),ISNUMBER(AA493)),Y493-IF(ISNUMBER(T493),T493,0)-(AA493-IF(ISNUMBER(V493),V493,0)),"")</f>
        <v/>
      </c>
      <c r="AU493" s="17">
        <f>IF(AND(ISNUMBER(Z493),ISNUMBER(AB493)),Z493-IF(ISNUMBER(U493),U493,0)-(AB493-IF(ISNUMBER(W493),W493,0)),"")</f>
        <v/>
      </c>
      <c r="AV493" s="17">
        <f>IF(AND(ISNUMBER(AT493),ISNUMBER(AU493)),AT493-AU493,"")</f>
        <v/>
      </c>
      <c r="AW493" s="17">
        <f>IF(AND(ISNUMBER(L493),ISNUMBER(M493),ISNUMBER(AF493)),L493-M493*(1-AF493),IF(ISNUMBER(L493),L493,""))</f>
        <v/>
      </c>
      <c r="AX493" s="17">
        <f>IF(E493="금융","",IF(AND(ISNUMBER(AW493),ISNUMBER(N493),ISNUMBER(O493),ISNUMBER(AV493)),AW493+N493-O493-AV493,IF(AND(ISNUMBER(P493),ISNUMBER(O493)),P493-O493-IF(ISNUMBER(Q493),Q493,0),"")))</f>
        <v/>
      </c>
      <c r="AY493" s="8">
        <f>IF(E493="금융","금융업 - 정의되지 않음",IF(AND(ISNUMBER(AW493),ISNUMBER(N493),ISNUMBER(O493),ISNUMBER(AV493)),"영업순이익+감가상각-설비투자-운전자본증감",IF(AND(ISNUMBER(P493),ISNUMBER(O493)),IF(ISNUMBER(Q493),"영업현금흐름-설비투자-주식보상비용","영업현금흐름-설비투자(주식보상비용 미태깅)"),"산출불가")))</f>
        <v/>
      </c>
      <c r="AZ493" s="19">
        <f>IF(AND(ISNUMBER(AX493),ISNUMBER(G493),G493&lt;&gt;0),AX493/G493,"")</f>
        <v/>
      </c>
      <c r="BA493" s="19">
        <f>IF(AND(ISNUMBER(AE493),ISNUMBER(G493),G493&lt;&gt;0),AE493/G493,"")</f>
        <v/>
      </c>
    </row>
    <row r="494">
      <c r="A494" s="8" t="inlineStr">
        <is>
          <t>DELL</t>
        </is>
      </c>
      <c r="B494" s="8" t="inlineStr">
        <is>
          <t>Dell Technologies Inc.</t>
        </is>
      </c>
      <c r="C494" s="8" t="n">
        <v>2017</v>
      </c>
      <c r="D494" s="8" t="inlineStr">
        <is>
          <t>2018-02-02</t>
        </is>
      </c>
      <c r="E494" s="8" t="inlineStr">
        <is>
          <t>일반</t>
        </is>
      </c>
      <c r="F494" s="8" t="inlineStr">
        <is>
          <t>0001571996-20-000017</t>
        </is>
      </c>
      <c r="G494" s="15" t="n">
        <v>79.04000000000001</v>
      </c>
      <c r="H494" s="15" t="n">
        <v>-4.769</v>
      </c>
      <c r="I494" s="15" t="n"/>
      <c r="J494" s="15" t="n">
        <v>-1.843</v>
      </c>
      <c r="K494" s="15" t="n">
        <v>-2.416</v>
      </c>
      <c r="L494" s="15" t="n">
        <v>-2.849</v>
      </c>
      <c r="M494" s="15" t="n">
        <v>0.07199999999999999</v>
      </c>
      <c r="N494" s="15" t="n">
        <v>8.634</v>
      </c>
      <c r="O494" s="15" t="n">
        <v>1.212</v>
      </c>
      <c r="P494" s="15" t="n">
        <v>6.843</v>
      </c>
      <c r="Q494" s="15" t="n">
        <v>0.835</v>
      </c>
      <c r="R494" s="15" t="n">
        <v>11.719</v>
      </c>
      <c r="S494" s="15" t="n">
        <v>13.243</v>
      </c>
      <c r="T494" s="15" t="n">
        <v>16.129</v>
      </c>
      <c r="U494" s="15" t="n">
        <v>9.474</v>
      </c>
      <c r="V494" s="15" t="n">
        <v>7.873</v>
      </c>
      <c r="W494" s="15" t="n">
        <v>6.329</v>
      </c>
      <c r="X494" s="15" t="n">
        <v>43.998</v>
      </c>
      <c r="Y494" s="15" t="n">
        <v>40.328</v>
      </c>
      <c r="Z494" s="15" t="n">
        <v>30.773</v>
      </c>
      <c r="AA494" s="15" t="n">
        <v>45.839</v>
      </c>
      <c r="AB494" s="15" t="n">
        <v>38.135</v>
      </c>
      <c r="AC494" s="15" t="n">
        <v>53.159</v>
      </c>
      <c r="AD494" s="16" t="n">
        <v>769</v>
      </c>
      <c r="AE494" s="17">
        <f>IF(ISNUMBER(K494),K494,IF(AND(ISNUMBER(H494),ISNUMBER(I494)),H494+I494,IF(ISNUMBER(H494),H494,"")))</f>
        <v/>
      </c>
      <c r="AF494" s="18">
        <f>IF(OR(NOT(ISNUMBER(J494)),NOT(ISNUMBER(H494)),H494&lt;=0),기준표!$B$8,MIN(MAX(J494/H494,기준표!$B$6),기준표!$B$7))</f>
        <v/>
      </c>
      <c r="AG494" s="17">
        <f>IF(ISNUMBER(AE494),AE494*(1-AF494),"")</f>
        <v/>
      </c>
      <c r="AH494" s="17">
        <f>IF(AND(NOT(ISNUMBER(V494)),NOT(ISNUMBER(X494))),"",IF(ISNUMBER(V494),V494,0)+IF(ISNUMBER(X494),X494,0))</f>
        <v/>
      </c>
      <c r="AI494" s="17">
        <f>IF(E494="금융","",IF(AND(ISNUMBER(R494),ISNUMBER(AH494),ISNUMBER(T494)),R494+AH494-T494,""))</f>
        <v/>
      </c>
      <c r="AJ494" s="17">
        <f>IF(E494="금융","",IF(NOT(ISNUMBER(AI494)),"",IF(ISNUMBER(AC494),(AI494+AC494)/2,AI494)))</f>
        <v/>
      </c>
      <c r="AK494" s="19">
        <f>IF(AND(ISNUMBER(AG494),ISNUMBER(AJ494),AJ494&gt;0),AG494/AJ494,"")</f>
        <v/>
      </c>
      <c r="AL494" s="17">
        <f>IF(E494="금융","",IF(AND(ISNUMBER(R494),ISNUMBER(AH494)),R494+AH494,""))</f>
        <v/>
      </c>
      <c r="AM494" s="19">
        <f>IF(OR(NOT(ISNUMBER(AG494)),NOT(ISNUMBER(AL494)),AL494&lt;=0),"",IF(AND(ISNUMBER(G494),AL494&lt;0.1*G494),"",AG494/AL494))</f>
        <v/>
      </c>
      <c r="AN494" s="17">
        <f>IF(NOT(ISNUMBER(R494)),"",IF(ISNUMBER(S494),(R494+S494)/2,R494))</f>
        <v/>
      </c>
      <c r="AO494" s="19">
        <f>IF(AND(ISNUMBER(L494),ISNUMBER(AN494),AN494&gt;0),L494/AN494,"")</f>
        <v/>
      </c>
      <c r="AP494" s="19">
        <f>IF(AND(ISNUMBER(AO494),ISNUMBER({ROIC})),AO494-{ROIC},"")</f>
        <v/>
      </c>
      <c r="AQ494" s="17">
        <f>IF(AND(ISNUMBER(AE494),ISNUMBER(N494)),AE494+N494,"")</f>
        <v/>
      </c>
      <c r="AR494" s="20">
        <f>IF(AND(ISNUMBER(AH494),ISNUMBER(T494),ISNUMBER(AQ494),AQ494&gt;0),(AH494-T494)/AQ494,"")</f>
        <v/>
      </c>
      <c r="AS494" s="20">
        <f>IF(AND(ISNUMBER(AE494),ISNUMBER(I494),I494&lt;&gt;0,AE494&gt;0),AE494/I494,"")</f>
        <v/>
      </c>
      <c r="AT494" s="17">
        <f>IF(AND(ISNUMBER(Y494),ISNUMBER(AA494)),Y494-IF(ISNUMBER(T494),T494,0)-(AA494-IF(ISNUMBER(V494),V494,0)),"")</f>
        <v/>
      </c>
      <c r="AU494" s="17">
        <f>IF(AND(ISNUMBER(Z494),ISNUMBER(AB494)),Z494-IF(ISNUMBER(U494),U494,0)-(AB494-IF(ISNUMBER(W494),W494,0)),"")</f>
        <v/>
      </c>
      <c r="AV494" s="17">
        <f>IF(AND(ISNUMBER(AT494),ISNUMBER(AU494)),AT494-AU494,"")</f>
        <v/>
      </c>
      <c r="AW494" s="17">
        <f>IF(AND(ISNUMBER(L494),ISNUMBER(M494),ISNUMBER(AF494)),L494-M494*(1-AF494),IF(ISNUMBER(L494),L494,""))</f>
        <v/>
      </c>
      <c r="AX494" s="17">
        <f>IF(E494="금융","",IF(AND(ISNUMBER(AW494),ISNUMBER(N494),ISNUMBER(O494),ISNUMBER(AV494)),AW494+N494-O494-AV494,IF(AND(ISNUMBER(P494),ISNUMBER(O494)),P494-O494-IF(ISNUMBER(Q494),Q494,0),"")))</f>
        <v/>
      </c>
      <c r="AY494" s="8">
        <f>IF(E494="금융","금융업 - 정의되지 않음",IF(AND(ISNUMBER(AW494),ISNUMBER(N494),ISNUMBER(O494),ISNUMBER(AV494)),"영업순이익+감가상각-설비투자-운전자본증감",IF(AND(ISNUMBER(P494),ISNUMBER(O494)),IF(ISNUMBER(Q494),"영업현금흐름-설비투자-주식보상비용","영업현금흐름-설비투자(주식보상비용 미태깅)"),"산출불가")))</f>
        <v/>
      </c>
      <c r="AZ494" s="19">
        <f>IF(AND(ISNUMBER(AX494),ISNUMBER(G494),G494&lt;&gt;0),AX494/G494,"")</f>
        <v/>
      </c>
      <c r="BA494" s="19">
        <f>IF(AND(ISNUMBER(AE494),ISNUMBER(G494),G494&lt;&gt;0),AE494/G494,"")</f>
        <v/>
      </c>
    </row>
    <row r="495">
      <c r="A495" s="8" t="inlineStr">
        <is>
          <t>DELL</t>
        </is>
      </c>
      <c r="B495" s="8" t="inlineStr">
        <is>
          <t>Dell Technologies Inc.</t>
        </is>
      </c>
      <c r="C495" s="8" t="n">
        <v>2018</v>
      </c>
      <c r="D495" s="8" t="inlineStr">
        <is>
          <t>2019-02-01</t>
        </is>
      </c>
      <c r="E495" s="8" t="inlineStr">
        <is>
          <t>일반</t>
        </is>
      </c>
      <c r="F495" s="8" t="inlineStr">
        <is>
          <t>0001571996-21-000007</t>
        </is>
      </c>
      <c r="G495" s="15" t="n">
        <v>90.621</v>
      </c>
      <c r="H495" s="15" t="n">
        <v>-2.361</v>
      </c>
      <c r="I495" s="15" t="n"/>
      <c r="J495" s="15" t="n">
        <v>-0.18</v>
      </c>
      <c r="K495" s="15" t="n">
        <v>-0.191</v>
      </c>
      <c r="L495" s="15" t="n">
        <v>-2.31</v>
      </c>
      <c r="M495" s="15" t="n">
        <v>0.342</v>
      </c>
      <c r="N495" s="15" t="n">
        <v>7.746</v>
      </c>
      <c r="O495" s="15" t="n">
        <v>1.497</v>
      </c>
      <c r="P495" s="15" t="n">
        <v>6.991</v>
      </c>
      <c r="Q495" s="15" t="n">
        <v>0.918</v>
      </c>
      <c r="R495" s="15" t="n">
        <v>-5.765</v>
      </c>
      <c r="S495" s="15" t="n">
        <v>11.719</v>
      </c>
      <c r="T495" s="15" t="n">
        <v>9.676</v>
      </c>
      <c r="U495" s="15" t="n">
        <v>16.129</v>
      </c>
      <c r="V495" s="15" t="n">
        <v>4.32</v>
      </c>
      <c r="W495" s="15" t="n">
        <v>7.873</v>
      </c>
      <c r="X495" s="15" t="n">
        <v>49.201</v>
      </c>
      <c r="Y495" s="15" t="n">
        <v>36.138</v>
      </c>
      <c r="Z495" s="15" t="n">
        <v>40.328</v>
      </c>
      <c r="AA495" s="15" t="n">
        <v>44.972</v>
      </c>
      <c r="AB495" s="15" t="n">
        <v>45.839</v>
      </c>
      <c r="AC495" s="15" t="n">
        <v>47.461</v>
      </c>
      <c r="AD495" s="16" t="n">
        <v>719</v>
      </c>
      <c r="AE495" s="17">
        <f>IF(ISNUMBER(K495),K495,IF(AND(ISNUMBER(H495),ISNUMBER(I495)),H495+I495,IF(ISNUMBER(H495),H495,"")))</f>
        <v/>
      </c>
      <c r="AF495" s="18">
        <f>IF(OR(NOT(ISNUMBER(J495)),NOT(ISNUMBER(H495)),H495&lt;=0),기준표!$B$8,MIN(MAX(J495/H495,기준표!$B$6),기준표!$B$7))</f>
        <v/>
      </c>
      <c r="AG495" s="17">
        <f>IF(ISNUMBER(AE495),AE495*(1-AF495),"")</f>
        <v/>
      </c>
      <c r="AH495" s="17">
        <f>IF(AND(NOT(ISNUMBER(V495)),NOT(ISNUMBER(X495))),"",IF(ISNUMBER(V495),V495,0)+IF(ISNUMBER(X495),X495,0))</f>
        <v/>
      </c>
      <c r="AI495" s="17">
        <f>IF(E495="금융","",IF(AND(ISNUMBER(R495),ISNUMBER(AH495),ISNUMBER(T495)),R495+AH495-T495,""))</f>
        <v/>
      </c>
      <c r="AJ495" s="17">
        <f>IF(E495="금융","",IF(NOT(ISNUMBER(AI495)),"",IF(ISNUMBER(AC495),(AI495+AC495)/2,AI495)))</f>
        <v/>
      </c>
      <c r="AK495" s="19">
        <f>IF(AND(ISNUMBER(AG495),ISNUMBER(AJ495),AJ495&gt;0),AG495/AJ495,"")</f>
        <v/>
      </c>
      <c r="AL495" s="17">
        <f>IF(E495="금융","",IF(AND(ISNUMBER(R495),ISNUMBER(AH495)),R495+AH495,""))</f>
        <v/>
      </c>
      <c r="AM495" s="19">
        <f>IF(OR(NOT(ISNUMBER(AG495)),NOT(ISNUMBER(AL495)),AL495&lt;=0),"",IF(AND(ISNUMBER(G495),AL495&lt;0.1*G495),"",AG495/AL495))</f>
        <v/>
      </c>
      <c r="AN495" s="17">
        <f>IF(NOT(ISNUMBER(R495)),"",IF(ISNUMBER(S495),(R495+S495)/2,R495))</f>
        <v/>
      </c>
      <c r="AO495" s="19">
        <f>IF(AND(ISNUMBER(L495),ISNUMBER(AN495),AN495&gt;0),L495/AN495,"")</f>
        <v/>
      </c>
      <c r="AP495" s="19">
        <f>IF(AND(ISNUMBER(AO495),ISNUMBER({ROIC})),AO495-{ROIC},"")</f>
        <v/>
      </c>
      <c r="AQ495" s="17">
        <f>IF(AND(ISNUMBER(AE495),ISNUMBER(N495)),AE495+N495,"")</f>
        <v/>
      </c>
      <c r="AR495" s="20">
        <f>IF(AND(ISNUMBER(AH495),ISNUMBER(T495),ISNUMBER(AQ495),AQ495&gt;0),(AH495-T495)/AQ495,"")</f>
        <v/>
      </c>
      <c r="AS495" s="20">
        <f>IF(AND(ISNUMBER(AE495),ISNUMBER(I495),I495&lt;&gt;0,AE495&gt;0),AE495/I495,"")</f>
        <v/>
      </c>
      <c r="AT495" s="17">
        <f>IF(AND(ISNUMBER(Y495),ISNUMBER(AA495)),Y495-IF(ISNUMBER(T495),T495,0)-(AA495-IF(ISNUMBER(V495),V495,0)),"")</f>
        <v/>
      </c>
      <c r="AU495" s="17">
        <f>IF(AND(ISNUMBER(Z495),ISNUMBER(AB495)),Z495-IF(ISNUMBER(U495),U495,0)-(AB495-IF(ISNUMBER(W495),W495,0)),"")</f>
        <v/>
      </c>
      <c r="AV495" s="17">
        <f>IF(AND(ISNUMBER(AT495),ISNUMBER(AU495)),AT495-AU495,"")</f>
        <v/>
      </c>
      <c r="AW495" s="17">
        <f>IF(AND(ISNUMBER(L495),ISNUMBER(M495),ISNUMBER(AF495)),L495-M495*(1-AF495),IF(ISNUMBER(L495),L495,""))</f>
        <v/>
      </c>
      <c r="AX495" s="17">
        <f>IF(E495="금융","",IF(AND(ISNUMBER(AW495),ISNUMBER(N495),ISNUMBER(O495),ISNUMBER(AV495)),AW495+N495-O495-AV495,IF(AND(ISNUMBER(P495),ISNUMBER(O495)),P495-O495-IF(ISNUMBER(Q495),Q495,0),"")))</f>
        <v/>
      </c>
      <c r="AY495" s="8">
        <f>IF(E495="금융","금융업 - 정의되지 않음",IF(AND(ISNUMBER(AW495),ISNUMBER(N495),ISNUMBER(O495),ISNUMBER(AV495)),"영업순이익+감가상각-설비투자-운전자본증감",IF(AND(ISNUMBER(P495),ISNUMBER(O495)),IF(ISNUMBER(Q495),"영업현금흐름-설비투자-주식보상비용","영업현금흐름-설비투자(주식보상비용 미태깅)"),"산출불가")))</f>
        <v/>
      </c>
      <c r="AZ495" s="19">
        <f>IF(AND(ISNUMBER(AX495),ISNUMBER(G495),G495&lt;&gt;0),AX495/G495,"")</f>
        <v/>
      </c>
      <c r="BA495" s="19">
        <f>IF(AND(ISNUMBER(AE495),ISNUMBER(G495),G495&lt;&gt;0),AE495/G495,"")</f>
        <v/>
      </c>
    </row>
    <row r="496">
      <c r="A496" s="8" t="inlineStr">
        <is>
          <t>DELL</t>
        </is>
      </c>
      <c r="B496" s="8" t="inlineStr">
        <is>
          <t>Dell Technologies Inc.</t>
        </is>
      </c>
      <c r="C496" s="8" t="n">
        <v>2019</v>
      </c>
      <c r="D496" s="8" t="inlineStr">
        <is>
          <t>2020-01-31</t>
        </is>
      </c>
      <c r="E496" s="8" t="inlineStr">
        <is>
          <t>일반</t>
        </is>
      </c>
      <c r="F496" s="8" t="inlineStr">
        <is>
          <t>0001571996-22-000009</t>
        </is>
      </c>
      <c r="G496" s="15" t="n">
        <v>84.815</v>
      </c>
      <c r="H496" s="15" t="n">
        <v>-0.051</v>
      </c>
      <c r="I496" s="15" t="n"/>
      <c r="J496" s="15" t="n">
        <v>-0.572</v>
      </c>
      <c r="K496" s="15" t="n">
        <v>2.366</v>
      </c>
      <c r="L496" s="15" t="n">
        <v>4.616</v>
      </c>
      <c r="M496" s="15" t="n">
        <v>0.158</v>
      </c>
      <c r="N496" s="15" t="n">
        <v>6.143</v>
      </c>
      <c r="O496" s="15" t="n">
        <v>2.576</v>
      </c>
      <c r="P496" s="15" t="n">
        <v>9.291</v>
      </c>
      <c r="Q496" s="15" t="n">
        <v>1.262</v>
      </c>
      <c r="R496" s="15" t="n">
        <v>-1.574</v>
      </c>
      <c r="S496" s="15" t="n">
        <v>-5.765</v>
      </c>
      <c r="T496" s="15" t="n">
        <v>9.302</v>
      </c>
      <c r="U496" s="15" t="n">
        <v>9.676</v>
      </c>
      <c r="V496" s="15" t="n">
        <v>7.737</v>
      </c>
      <c r="W496" s="15" t="n">
        <v>4.32</v>
      </c>
      <c r="X496" s="15" t="n">
        <v>44.319</v>
      </c>
      <c r="Y496" s="15" t="n">
        <v>36.868</v>
      </c>
      <c r="Z496" s="15" t="n">
        <v>36.138</v>
      </c>
      <c r="AA496" s="15" t="n">
        <v>52.456</v>
      </c>
      <c r="AB496" s="15" t="n">
        <v>44.972</v>
      </c>
      <c r="AC496" s="15" t="n">
        <v>38.08</v>
      </c>
      <c r="AD496" s="16" t="n">
        <v>743</v>
      </c>
      <c r="AE496" s="17">
        <f>IF(ISNUMBER(K496),K496,IF(AND(ISNUMBER(H496),ISNUMBER(I496)),H496+I496,IF(ISNUMBER(H496),H496,"")))</f>
        <v/>
      </c>
      <c r="AF496" s="18">
        <f>IF(OR(NOT(ISNUMBER(J496)),NOT(ISNUMBER(H496)),H496&lt;=0),기준표!$B$8,MIN(MAX(J496/H496,기준표!$B$6),기준표!$B$7))</f>
        <v/>
      </c>
      <c r="AG496" s="17">
        <f>IF(ISNUMBER(AE496),AE496*(1-AF496),"")</f>
        <v/>
      </c>
      <c r="AH496" s="17">
        <f>IF(AND(NOT(ISNUMBER(V496)),NOT(ISNUMBER(X496))),"",IF(ISNUMBER(V496),V496,0)+IF(ISNUMBER(X496),X496,0))</f>
        <v/>
      </c>
      <c r="AI496" s="17">
        <f>IF(E496="금융","",IF(AND(ISNUMBER(R496),ISNUMBER(AH496),ISNUMBER(T496)),R496+AH496-T496,""))</f>
        <v/>
      </c>
      <c r="AJ496" s="17">
        <f>IF(E496="금융","",IF(NOT(ISNUMBER(AI496)),"",IF(ISNUMBER(AC496),(AI496+AC496)/2,AI496)))</f>
        <v/>
      </c>
      <c r="AK496" s="19">
        <f>IF(AND(ISNUMBER(AG496),ISNUMBER(AJ496),AJ496&gt;0),AG496/AJ496,"")</f>
        <v/>
      </c>
      <c r="AL496" s="17">
        <f>IF(E496="금융","",IF(AND(ISNUMBER(R496),ISNUMBER(AH496)),R496+AH496,""))</f>
        <v/>
      </c>
      <c r="AM496" s="19">
        <f>IF(OR(NOT(ISNUMBER(AG496)),NOT(ISNUMBER(AL496)),AL496&lt;=0),"",IF(AND(ISNUMBER(G496),AL496&lt;0.1*G496),"",AG496/AL496))</f>
        <v/>
      </c>
      <c r="AN496" s="17">
        <f>IF(NOT(ISNUMBER(R496)),"",IF(ISNUMBER(S496),(R496+S496)/2,R496))</f>
        <v/>
      </c>
      <c r="AO496" s="19">
        <f>IF(AND(ISNUMBER(L496),ISNUMBER(AN496),AN496&gt;0),L496/AN496,"")</f>
        <v/>
      </c>
      <c r="AP496" s="19">
        <f>IF(AND(ISNUMBER(AO496),ISNUMBER({ROIC})),AO496-{ROIC},"")</f>
        <v/>
      </c>
      <c r="AQ496" s="17">
        <f>IF(AND(ISNUMBER(AE496),ISNUMBER(N496)),AE496+N496,"")</f>
        <v/>
      </c>
      <c r="AR496" s="20">
        <f>IF(AND(ISNUMBER(AH496),ISNUMBER(T496),ISNUMBER(AQ496),AQ496&gt;0),(AH496-T496)/AQ496,"")</f>
        <v/>
      </c>
      <c r="AS496" s="20">
        <f>IF(AND(ISNUMBER(AE496),ISNUMBER(I496),I496&lt;&gt;0,AE496&gt;0),AE496/I496,"")</f>
        <v/>
      </c>
      <c r="AT496" s="17">
        <f>IF(AND(ISNUMBER(Y496),ISNUMBER(AA496)),Y496-IF(ISNUMBER(T496),T496,0)-(AA496-IF(ISNUMBER(V496),V496,0)),"")</f>
        <v/>
      </c>
      <c r="AU496" s="17">
        <f>IF(AND(ISNUMBER(Z496),ISNUMBER(AB496)),Z496-IF(ISNUMBER(U496),U496,0)-(AB496-IF(ISNUMBER(W496),W496,0)),"")</f>
        <v/>
      </c>
      <c r="AV496" s="17">
        <f>IF(AND(ISNUMBER(AT496),ISNUMBER(AU496)),AT496-AU496,"")</f>
        <v/>
      </c>
      <c r="AW496" s="17">
        <f>IF(AND(ISNUMBER(L496),ISNUMBER(M496),ISNUMBER(AF496)),L496-M496*(1-AF496),IF(ISNUMBER(L496),L496,""))</f>
        <v/>
      </c>
      <c r="AX496" s="17">
        <f>IF(E496="금융","",IF(AND(ISNUMBER(AW496),ISNUMBER(N496),ISNUMBER(O496),ISNUMBER(AV496)),AW496+N496-O496-AV496,IF(AND(ISNUMBER(P496),ISNUMBER(O496)),P496-O496-IF(ISNUMBER(Q496),Q496,0),"")))</f>
        <v/>
      </c>
      <c r="AY496" s="8">
        <f>IF(E496="금융","금융업 - 정의되지 않음",IF(AND(ISNUMBER(AW496),ISNUMBER(N496),ISNUMBER(O496),ISNUMBER(AV496)),"영업순이익+감가상각-설비투자-운전자본증감",IF(AND(ISNUMBER(P496),ISNUMBER(O496)),IF(ISNUMBER(Q496),"영업현금흐름-설비투자-주식보상비용","영업현금흐름-설비투자(주식보상비용 미태깅)"),"산출불가")))</f>
        <v/>
      </c>
      <c r="AZ496" s="19">
        <f>IF(AND(ISNUMBER(AX496),ISNUMBER(G496),G496&lt;&gt;0),AX496/G496,"")</f>
        <v/>
      </c>
      <c r="BA496" s="19">
        <f>IF(AND(ISNUMBER(AE496),ISNUMBER(G496),G496&lt;&gt;0),AE496/G496,"")</f>
        <v/>
      </c>
    </row>
    <row r="497">
      <c r="A497" s="8" t="inlineStr">
        <is>
          <t>DELL</t>
        </is>
      </c>
      <c r="B497" s="8" t="inlineStr">
        <is>
          <t>Dell Technologies Inc.</t>
        </is>
      </c>
      <c r="C497" s="8" t="n">
        <v>2020</v>
      </c>
      <c r="D497" s="8" t="inlineStr">
        <is>
          <t>2021-01-29</t>
        </is>
      </c>
      <c r="E497" s="8" t="inlineStr">
        <is>
          <t>일반</t>
        </is>
      </c>
      <c r="F497" s="8" t="inlineStr">
        <is>
          <t>0001571996-23-000007</t>
        </is>
      </c>
      <c r="G497" s="15" t="n">
        <v>86.67</v>
      </c>
      <c r="H497" s="15" t="n">
        <v>2.346</v>
      </c>
      <c r="I497" s="15" t="n"/>
      <c r="J497" s="15" t="n">
        <v>0.101</v>
      </c>
      <c r="K497" s="15" t="n">
        <v>3.685</v>
      </c>
      <c r="L497" s="15" t="n">
        <v>3.25</v>
      </c>
      <c r="M497" s="15" t="n">
        <v>0.425</v>
      </c>
      <c r="N497" s="15" t="n">
        <v>5.39</v>
      </c>
      <c r="O497" s="15" t="n">
        <v>2.082</v>
      </c>
      <c r="P497" s="15" t="n">
        <v>11.407</v>
      </c>
      <c r="Q497" s="15" t="n">
        <v>1.609</v>
      </c>
      <c r="R497" s="15" t="n">
        <v>2.479</v>
      </c>
      <c r="S497" s="15" t="n">
        <v>-1.574</v>
      </c>
      <c r="T497" s="15" t="n">
        <v>9.507999999999999</v>
      </c>
      <c r="U497" s="15" t="n">
        <v>9.302</v>
      </c>
      <c r="V497" s="15" t="n">
        <v>6.357</v>
      </c>
      <c r="W497" s="15" t="n">
        <v>7.737</v>
      </c>
      <c r="X497" s="15" t="n">
        <v>32.865</v>
      </c>
      <c r="Y497" s="15" t="n">
        <v>43.567</v>
      </c>
      <c r="Z497" s="15" t="n">
        <v>36.868</v>
      </c>
      <c r="AA497" s="15" t="n">
        <v>54.132</v>
      </c>
      <c r="AB497" s="15" t="n">
        <v>52.456</v>
      </c>
      <c r="AC497" s="15" t="n">
        <v>41.18</v>
      </c>
      <c r="AD497" s="16" t="n">
        <v>753</v>
      </c>
      <c r="AE497" s="17">
        <f>IF(ISNUMBER(K497),K497,IF(AND(ISNUMBER(H497),ISNUMBER(I497)),H497+I497,IF(ISNUMBER(H497),H497,"")))</f>
        <v/>
      </c>
      <c r="AF497" s="18">
        <f>IF(OR(NOT(ISNUMBER(J497)),NOT(ISNUMBER(H497)),H497&lt;=0),기준표!$B$8,MIN(MAX(J497/H497,기준표!$B$6),기준표!$B$7))</f>
        <v/>
      </c>
      <c r="AG497" s="17">
        <f>IF(ISNUMBER(AE497),AE497*(1-AF497),"")</f>
        <v/>
      </c>
      <c r="AH497" s="17">
        <f>IF(AND(NOT(ISNUMBER(V497)),NOT(ISNUMBER(X497))),"",IF(ISNUMBER(V497),V497,0)+IF(ISNUMBER(X497),X497,0))</f>
        <v/>
      </c>
      <c r="AI497" s="17">
        <f>IF(E497="금융","",IF(AND(ISNUMBER(R497),ISNUMBER(AH497),ISNUMBER(T497)),R497+AH497-T497,""))</f>
        <v/>
      </c>
      <c r="AJ497" s="17">
        <f>IF(E497="금융","",IF(NOT(ISNUMBER(AI497)),"",IF(ISNUMBER(AC497),(AI497+AC497)/2,AI497)))</f>
        <v/>
      </c>
      <c r="AK497" s="19">
        <f>IF(AND(ISNUMBER(AG497),ISNUMBER(AJ497),AJ497&gt;0),AG497/AJ497,"")</f>
        <v/>
      </c>
      <c r="AL497" s="17">
        <f>IF(E497="금융","",IF(AND(ISNUMBER(R497),ISNUMBER(AH497)),R497+AH497,""))</f>
        <v/>
      </c>
      <c r="AM497" s="19">
        <f>IF(OR(NOT(ISNUMBER(AG497)),NOT(ISNUMBER(AL497)),AL497&lt;=0),"",IF(AND(ISNUMBER(G497),AL497&lt;0.1*G497),"",AG497/AL497))</f>
        <v/>
      </c>
      <c r="AN497" s="17">
        <f>IF(NOT(ISNUMBER(R497)),"",IF(ISNUMBER(S497),(R497+S497)/2,R497))</f>
        <v/>
      </c>
      <c r="AO497" s="19">
        <f>IF(AND(ISNUMBER(L497),ISNUMBER(AN497),AN497&gt;0),L497/AN497,"")</f>
        <v/>
      </c>
      <c r="AP497" s="19">
        <f>IF(AND(ISNUMBER(AO497),ISNUMBER({ROIC})),AO497-{ROIC},"")</f>
        <v/>
      </c>
      <c r="AQ497" s="17">
        <f>IF(AND(ISNUMBER(AE497),ISNUMBER(N497)),AE497+N497,"")</f>
        <v/>
      </c>
      <c r="AR497" s="20">
        <f>IF(AND(ISNUMBER(AH497),ISNUMBER(T497),ISNUMBER(AQ497),AQ497&gt;0),(AH497-T497)/AQ497,"")</f>
        <v/>
      </c>
      <c r="AS497" s="20">
        <f>IF(AND(ISNUMBER(AE497),ISNUMBER(I497),I497&lt;&gt;0,AE497&gt;0),AE497/I497,"")</f>
        <v/>
      </c>
      <c r="AT497" s="17">
        <f>IF(AND(ISNUMBER(Y497),ISNUMBER(AA497)),Y497-IF(ISNUMBER(T497),T497,0)-(AA497-IF(ISNUMBER(V497),V497,0)),"")</f>
        <v/>
      </c>
      <c r="AU497" s="17">
        <f>IF(AND(ISNUMBER(Z497),ISNUMBER(AB497)),Z497-IF(ISNUMBER(U497),U497,0)-(AB497-IF(ISNUMBER(W497),W497,0)),"")</f>
        <v/>
      </c>
      <c r="AV497" s="17">
        <f>IF(AND(ISNUMBER(AT497),ISNUMBER(AU497)),AT497-AU497,"")</f>
        <v/>
      </c>
      <c r="AW497" s="17">
        <f>IF(AND(ISNUMBER(L497),ISNUMBER(M497),ISNUMBER(AF497)),L497-M497*(1-AF497),IF(ISNUMBER(L497),L497,""))</f>
        <v/>
      </c>
      <c r="AX497" s="17">
        <f>IF(E497="금융","",IF(AND(ISNUMBER(AW497),ISNUMBER(N497),ISNUMBER(O497),ISNUMBER(AV497)),AW497+N497-O497-AV497,IF(AND(ISNUMBER(P497),ISNUMBER(O497)),P497-O497-IF(ISNUMBER(Q497),Q497,0),"")))</f>
        <v/>
      </c>
      <c r="AY497" s="8">
        <f>IF(E497="금융","금융업 - 정의되지 않음",IF(AND(ISNUMBER(AW497),ISNUMBER(N497),ISNUMBER(O497),ISNUMBER(AV497)),"영업순이익+감가상각-설비투자-운전자본증감",IF(AND(ISNUMBER(P497),ISNUMBER(O497)),IF(ISNUMBER(Q497),"영업현금흐름-설비투자-주식보상비용","영업현금흐름-설비투자(주식보상비용 미태깅)"),"산출불가")))</f>
        <v/>
      </c>
      <c r="AZ497" s="19">
        <f>IF(AND(ISNUMBER(AX497),ISNUMBER(G497),G497&lt;&gt;0),AX497/G497,"")</f>
        <v/>
      </c>
      <c r="BA497" s="19">
        <f>IF(AND(ISNUMBER(AE497),ISNUMBER(G497),G497&lt;&gt;0),AE497/G497,"")</f>
        <v/>
      </c>
    </row>
    <row r="498">
      <c r="A498" s="8" t="inlineStr">
        <is>
          <t>DELL</t>
        </is>
      </c>
      <c r="B498" s="8" t="inlineStr">
        <is>
          <t>Dell Technologies Inc.</t>
        </is>
      </c>
      <c r="C498" s="8" t="n">
        <v>2021</v>
      </c>
      <c r="D498" s="8" t="inlineStr">
        <is>
          <t>2022-01-28</t>
        </is>
      </c>
      <c r="E498" s="8" t="inlineStr">
        <is>
          <t>일반</t>
        </is>
      </c>
      <c r="F498" s="8" t="inlineStr">
        <is>
          <t>0001571996-24-000036</t>
        </is>
      </c>
      <c r="G498" s="15" t="n">
        <v>101.197</v>
      </c>
      <c r="H498" s="15" t="n">
        <v>5.923</v>
      </c>
      <c r="I498" s="15" t="n"/>
      <c r="J498" s="15" t="n">
        <v>0.981</v>
      </c>
      <c r="K498" s="15" t="n">
        <v>4.659</v>
      </c>
      <c r="L498" s="15" t="n">
        <v>5.563</v>
      </c>
      <c r="M498" s="15" t="n">
        <v>0.569</v>
      </c>
      <c r="N498" s="15" t="n">
        <v>4.551</v>
      </c>
      <c r="O498" s="15" t="n">
        <v>2.796</v>
      </c>
      <c r="P498" s="15" t="n">
        <v>10.307</v>
      </c>
      <c r="Q498" s="15" t="n">
        <v>1.622</v>
      </c>
      <c r="R498" s="15" t="n">
        <v>-1.685</v>
      </c>
      <c r="S498" s="15" t="n">
        <v>2.479</v>
      </c>
      <c r="T498" s="15" t="n">
        <v>9.477</v>
      </c>
      <c r="U498" s="15" t="n">
        <v>9.507999999999999</v>
      </c>
      <c r="V498" s="15" t="n">
        <v>5.823</v>
      </c>
      <c r="W498" s="15" t="n">
        <v>6.357</v>
      </c>
      <c r="X498" s="15" t="n">
        <v>21.131</v>
      </c>
      <c r="Y498" s="15" t="n">
        <v>45.033</v>
      </c>
      <c r="Z498" s="15" t="n">
        <v>43.567</v>
      </c>
      <c r="AA498" s="15" t="n">
        <v>56.219</v>
      </c>
      <c r="AB498" s="15" t="n">
        <v>54.132</v>
      </c>
      <c r="AC498" s="15" t="n">
        <v>32.193</v>
      </c>
      <c r="AD498" s="16" t="n">
        <v>757</v>
      </c>
      <c r="AE498" s="17">
        <f>IF(ISNUMBER(K498),K498,IF(AND(ISNUMBER(H498),ISNUMBER(I498)),H498+I498,IF(ISNUMBER(H498),H498,"")))</f>
        <v/>
      </c>
      <c r="AF498" s="18">
        <f>IF(OR(NOT(ISNUMBER(J498)),NOT(ISNUMBER(H498)),H498&lt;=0),기준표!$B$8,MIN(MAX(J498/H498,기준표!$B$6),기준표!$B$7))</f>
        <v/>
      </c>
      <c r="AG498" s="17">
        <f>IF(ISNUMBER(AE498),AE498*(1-AF498),"")</f>
        <v/>
      </c>
      <c r="AH498" s="17">
        <f>IF(AND(NOT(ISNUMBER(V498)),NOT(ISNUMBER(X498))),"",IF(ISNUMBER(V498),V498,0)+IF(ISNUMBER(X498),X498,0))</f>
        <v/>
      </c>
      <c r="AI498" s="17">
        <f>IF(E498="금융","",IF(AND(ISNUMBER(R498),ISNUMBER(AH498),ISNUMBER(T498)),R498+AH498-T498,""))</f>
        <v/>
      </c>
      <c r="AJ498" s="17">
        <f>IF(E498="금융","",IF(NOT(ISNUMBER(AI498)),"",IF(ISNUMBER(AC498),(AI498+AC498)/2,AI498)))</f>
        <v/>
      </c>
      <c r="AK498" s="19">
        <f>IF(AND(ISNUMBER(AG498),ISNUMBER(AJ498),AJ498&gt;0),AG498/AJ498,"")</f>
        <v/>
      </c>
      <c r="AL498" s="17">
        <f>IF(E498="금융","",IF(AND(ISNUMBER(R498),ISNUMBER(AH498)),R498+AH498,""))</f>
        <v/>
      </c>
      <c r="AM498" s="19">
        <f>IF(OR(NOT(ISNUMBER(AG498)),NOT(ISNUMBER(AL498)),AL498&lt;=0),"",IF(AND(ISNUMBER(G498),AL498&lt;0.1*G498),"",AG498/AL498))</f>
        <v/>
      </c>
      <c r="AN498" s="17">
        <f>IF(NOT(ISNUMBER(R498)),"",IF(ISNUMBER(S498),(R498+S498)/2,R498))</f>
        <v/>
      </c>
      <c r="AO498" s="19">
        <f>IF(AND(ISNUMBER(L498),ISNUMBER(AN498),AN498&gt;0),L498/AN498,"")</f>
        <v/>
      </c>
      <c r="AP498" s="19">
        <f>IF(AND(ISNUMBER(AO498),ISNUMBER({ROIC})),AO498-{ROIC},"")</f>
        <v/>
      </c>
      <c r="AQ498" s="17">
        <f>IF(AND(ISNUMBER(AE498),ISNUMBER(N498)),AE498+N498,"")</f>
        <v/>
      </c>
      <c r="AR498" s="20">
        <f>IF(AND(ISNUMBER(AH498),ISNUMBER(T498),ISNUMBER(AQ498),AQ498&gt;0),(AH498-T498)/AQ498,"")</f>
        <v/>
      </c>
      <c r="AS498" s="20">
        <f>IF(AND(ISNUMBER(AE498),ISNUMBER(I498),I498&lt;&gt;0,AE498&gt;0),AE498/I498,"")</f>
        <v/>
      </c>
      <c r="AT498" s="17">
        <f>IF(AND(ISNUMBER(Y498),ISNUMBER(AA498)),Y498-IF(ISNUMBER(T498),T498,0)-(AA498-IF(ISNUMBER(V498),V498,0)),"")</f>
        <v/>
      </c>
      <c r="AU498" s="17">
        <f>IF(AND(ISNUMBER(Z498),ISNUMBER(AB498)),Z498-IF(ISNUMBER(U498),U498,0)-(AB498-IF(ISNUMBER(W498),W498,0)),"")</f>
        <v/>
      </c>
      <c r="AV498" s="17">
        <f>IF(AND(ISNUMBER(AT498),ISNUMBER(AU498)),AT498-AU498,"")</f>
        <v/>
      </c>
      <c r="AW498" s="17">
        <f>IF(AND(ISNUMBER(L498),ISNUMBER(M498),ISNUMBER(AF498)),L498-M498*(1-AF498),IF(ISNUMBER(L498),L498,""))</f>
        <v/>
      </c>
      <c r="AX498" s="17">
        <f>IF(E498="금융","",IF(AND(ISNUMBER(AW498),ISNUMBER(N498),ISNUMBER(O498),ISNUMBER(AV498)),AW498+N498-O498-AV498,IF(AND(ISNUMBER(P498),ISNUMBER(O498)),P498-O498-IF(ISNUMBER(Q498),Q498,0),"")))</f>
        <v/>
      </c>
      <c r="AY498" s="8">
        <f>IF(E498="금융","금융업 - 정의되지 않음",IF(AND(ISNUMBER(AW498),ISNUMBER(N498),ISNUMBER(O498),ISNUMBER(AV498)),"영업순이익+감가상각-설비투자-운전자본증감",IF(AND(ISNUMBER(P498),ISNUMBER(O498)),IF(ISNUMBER(Q498),"영업현금흐름-설비투자-주식보상비용","영업현금흐름-설비투자(주식보상비용 미태깅)"),"산출불가")))</f>
        <v/>
      </c>
      <c r="AZ498" s="19">
        <f>IF(AND(ISNUMBER(AX498),ISNUMBER(G498),G498&lt;&gt;0),AX498/G498,"")</f>
        <v/>
      </c>
      <c r="BA498" s="19">
        <f>IF(AND(ISNUMBER(AE498),ISNUMBER(G498),G498&lt;&gt;0),AE498/G498,"")</f>
        <v/>
      </c>
    </row>
    <row r="499">
      <c r="A499" s="8" t="inlineStr">
        <is>
          <t>DELL</t>
        </is>
      </c>
      <c r="B499" s="8" t="inlineStr">
        <is>
          <t>Dell Technologies Inc.</t>
        </is>
      </c>
      <c r="C499" s="8" t="n">
        <v>2022</v>
      </c>
      <c r="D499" s="8" t="inlineStr">
        <is>
          <t>2023-02-03</t>
        </is>
      </c>
      <c r="E499" s="8" t="inlineStr">
        <is>
          <t>일반</t>
        </is>
      </c>
      <c r="F499" s="8" t="inlineStr">
        <is>
          <t>0001571996-25-000034</t>
        </is>
      </c>
      <c r="G499" s="15" t="n">
        <v>102.301</v>
      </c>
      <c r="H499" s="15" t="n">
        <v>3.225</v>
      </c>
      <c r="I499" s="15" t="n">
        <v>1.222</v>
      </c>
      <c r="J499" s="15" t="n">
        <v>0.803</v>
      </c>
      <c r="K499" s="15" t="n">
        <v>5.771</v>
      </c>
      <c r="L499" s="15" t="n">
        <v>2.442</v>
      </c>
      <c r="M499" s="15" t="n">
        <v>-0.206</v>
      </c>
      <c r="N499" s="15" t="n">
        <v>3.156</v>
      </c>
      <c r="O499" s="15" t="n">
        <v>3.003</v>
      </c>
      <c r="P499" s="15" t="n">
        <v>3.565</v>
      </c>
      <c r="Q499" s="15" t="n">
        <v>0.931</v>
      </c>
      <c r="R499" s="15" t="n">
        <v>-3.122</v>
      </c>
      <c r="S499" s="15" t="n">
        <v>-1.685</v>
      </c>
      <c r="T499" s="15" t="n">
        <v>8.606999999999999</v>
      </c>
      <c r="U499" s="15" t="n">
        <v>9.477</v>
      </c>
      <c r="V499" s="15" t="n">
        <v>6.573</v>
      </c>
      <c r="W499" s="15" t="n">
        <v>5.823</v>
      </c>
      <c r="X499" s="15" t="n">
        <v>23.015</v>
      </c>
      <c r="Y499" s="15" t="n">
        <v>42.351</v>
      </c>
      <c r="Z499" s="15" t="n">
        <v>45.033</v>
      </c>
      <c r="AA499" s="15" t="n">
        <v>51.654</v>
      </c>
      <c r="AB499" s="15" t="n">
        <v>56.219</v>
      </c>
      <c r="AC499" s="15" t="n">
        <v>15.792</v>
      </c>
      <c r="AD499" s="16" t="n">
        <v>716</v>
      </c>
      <c r="AE499" s="17">
        <f>IF(ISNUMBER(K499),K499,IF(AND(ISNUMBER(H499),ISNUMBER(I499)),H499+I499,IF(ISNUMBER(H499),H499,"")))</f>
        <v/>
      </c>
      <c r="AF499" s="18">
        <f>IF(OR(NOT(ISNUMBER(J499)),NOT(ISNUMBER(H499)),H499&lt;=0),기준표!$B$8,MIN(MAX(J499/H499,기준표!$B$6),기준표!$B$7))</f>
        <v/>
      </c>
      <c r="AG499" s="17">
        <f>IF(ISNUMBER(AE499),AE499*(1-AF499),"")</f>
        <v/>
      </c>
      <c r="AH499" s="17">
        <f>IF(AND(NOT(ISNUMBER(V499)),NOT(ISNUMBER(X499))),"",IF(ISNUMBER(V499),V499,0)+IF(ISNUMBER(X499),X499,0))</f>
        <v/>
      </c>
      <c r="AI499" s="17">
        <f>IF(E499="금융","",IF(AND(ISNUMBER(R499),ISNUMBER(AH499),ISNUMBER(T499)),R499+AH499-T499,""))</f>
        <v/>
      </c>
      <c r="AJ499" s="17">
        <f>IF(E499="금융","",IF(NOT(ISNUMBER(AI499)),"",IF(ISNUMBER(AC499),(AI499+AC499)/2,AI499)))</f>
        <v/>
      </c>
      <c r="AK499" s="19">
        <f>IF(AND(ISNUMBER(AG499),ISNUMBER(AJ499),AJ499&gt;0),AG499/AJ499,"")</f>
        <v/>
      </c>
      <c r="AL499" s="17">
        <f>IF(E499="금융","",IF(AND(ISNUMBER(R499),ISNUMBER(AH499)),R499+AH499,""))</f>
        <v/>
      </c>
      <c r="AM499" s="19">
        <f>IF(OR(NOT(ISNUMBER(AG499)),NOT(ISNUMBER(AL499)),AL499&lt;=0),"",IF(AND(ISNUMBER(G499),AL499&lt;0.1*G499),"",AG499/AL499))</f>
        <v/>
      </c>
      <c r="AN499" s="17">
        <f>IF(NOT(ISNUMBER(R499)),"",IF(ISNUMBER(S499),(R499+S499)/2,R499))</f>
        <v/>
      </c>
      <c r="AO499" s="19">
        <f>IF(AND(ISNUMBER(L499),ISNUMBER(AN499),AN499&gt;0),L499/AN499,"")</f>
        <v/>
      </c>
      <c r="AP499" s="19">
        <f>IF(AND(ISNUMBER(AO499),ISNUMBER({ROIC})),AO499-{ROIC},"")</f>
        <v/>
      </c>
      <c r="AQ499" s="17">
        <f>IF(AND(ISNUMBER(AE499),ISNUMBER(N499)),AE499+N499,"")</f>
        <v/>
      </c>
      <c r="AR499" s="20">
        <f>IF(AND(ISNUMBER(AH499),ISNUMBER(T499),ISNUMBER(AQ499),AQ499&gt;0),(AH499-T499)/AQ499,"")</f>
        <v/>
      </c>
      <c r="AS499" s="20">
        <f>IF(AND(ISNUMBER(AE499),ISNUMBER(I499),I499&lt;&gt;0,AE499&gt;0),AE499/I499,"")</f>
        <v/>
      </c>
      <c r="AT499" s="17">
        <f>IF(AND(ISNUMBER(Y499),ISNUMBER(AA499)),Y499-IF(ISNUMBER(T499),T499,0)-(AA499-IF(ISNUMBER(V499),V499,0)),"")</f>
        <v/>
      </c>
      <c r="AU499" s="17">
        <f>IF(AND(ISNUMBER(Z499),ISNUMBER(AB499)),Z499-IF(ISNUMBER(U499),U499,0)-(AB499-IF(ISNUMBER(W499),W499,0)),"")</f>
        <v/>
      </c>
      <c r="AV499" s="17">
        <f>IF(AND(ISNUMBER(AT499),ISNUMBER(AU499)),AT499-AU499,"")</f>
        <v/>
      </c>
      <c r="AW499" s="17">
        <f>IF(AND(ISNUMBER(L499),ISNUMBER(M499),ISNUMBER(AF499)),L499-M499*(1-AF499),IF(ISNUMBER(L499),L499,""))</f>
        <v/>
      </c>
      <c r="AX499" s="17">
        <f>IF(E499="금융","",IF(AND(ISNUMBER(AW499),ISNUMBER(N499),ISNUMBER(O499),ISNUMBER(AV499)),AW499+N499-O499-AV499,IF(AND(ISNUMBER(P499),ISNUMBER(O499)),P499-O499-IF(ISNUMBER(Q499),Q499,0),"")))</f>
        <v/>
      </c>
      <c r="AY499" s="8">
        <f>IF(E499="금융","금융업 - 정의되지 않음",IF(AND(ISNUMBER(AW499),ISNUMBER(N499),ISNUMBER(O499),ISNUMBER(AV499)),"영업순이익+감가상각-설비투자-운전자본증감",IF(AND(ISNUMBER(P499),ISNUMBER(O499)),IF(ISNUMBER(Q499),"영업현금흐름-설비투자-주식보상비용","영업현금흐름-설비투자(주식보상비용 미태깅)"),"산출불가")))</f>
        <v/>
      </c>
      <c r="AZ499" s="19">
        <f>IF(AND(ISNUMBER(AX499),ISNUMBER(G499),G499&lt;&gt;0),AX499/G499,"")</f>
        <v/>
      </c>
      <c r="BA499" s="19">
        <f>IF(AND(ISNUMBER(AE499),ISNUMBER(G499),G499&lt;&gt;0),AE499/G499,"")</f>
        <v/>
      </c>
    </row>
    <row r="500">
      <c r="A500" s="8" t="inlineStr">
        <is>
          <t>DELL</t>
        </is>
      </c>
      <c r="B500" s="8" t="inlineStr">
        <is>
          <t>Dell Technologies Inc.</t>
        </is>
      </c>
      <c r="C500" s="8" t="n">
        <v>2023</v>
      </c>
      <c r="D500" s="8" t="inlineStr">
        <is>
          <t>2024-02-02</t>
        </is>
      </c>
      <c r="E500" s="8" t="inlineStr">
        <is>
          <t>일반</t>
        </is>
      </c>
      <c r="F500" s="8" t="inlineStr">
        <is>
          <t>0001571996-26-000008</t>
        </is>
      </c>
      <c r="G500" s="15" t="n">
        <v>88.425</v>
      </c>
      <c r="H500" s="15" t="n">
        <v>4.087</v>
      </c>
      <c r="I500" s="15" t="n">
        <v>1.501</v>
      </c>
      <c r="J500" s="15" t="n">
        <v>0.715</v>
      </c>
      <c r="K500" s="15" t="n">
        <v>5.411</v>
      </c>
      <c r="L500" s="15" t="n">
        <v>3.388</v>
      </c>
      <c r="M500" s="15" t="n">
        <v>0.047</v>
      </c>
      <c r="N500" s="15" t="n">
        <v>3.303</v>
      </c>
      <c r="O500" s="15" t="n">
        <v>2.756</v>
      </c>
      <c r="P500" s="15" t="n">
        <v>8.676</v>
      </c>
      <c r="Q500" s="15" t="n">
        <v>0.878</v>
      </c>
      <c r="R500" s="15" t="n">
        <v>-2.227</v>
      </c>
      <c r="S500" s="15" t="n">
        <v>-3.122</v>
      </c>
      <c r="T500" s="15" t="n">
        <v>7.366</v>
      </c>
      <c r="U500" s="15" t="n">
        <v>8.606999999999999</v>
      </c>
      <c r="V500" s="15" t="n">
        <v>6.982</v>
      </c>
      <c r="W500" s="15" t="n">
        <v>6.573</v>
      </c>
      <c r="X500" s="15" t="n">
        <v>19.012</v>
      </c>
      <c r="Y500" s="15" t="n">
        <v>35.984</v>
      </c>
      <c r="Z500" s="15" t="n">
        <v>42.351</v>
      </c>
      <c r="AA500" s="15" t="n">
        <v>48.354</v>
      </c>
      <c r="AB500" s="15" t="n">
        <v>51.654</v>
      </c>
      <c r="AC500" s="15" t="n">
        <v>17.859</v>
      </c>
      <c r="AD500" s="16" t="n">
        <v>705</v>
      </c>
      <c r="AE500" s="17">
        <f>IF(ISNUMBER(K500),K500,IF(AND(ISNUMBER(H500),ISNUMBER(I500)),H500+I500,IF(ISNUMBER(H500),H500,"")))</f>
        <v/>
      </c>
      <c r="AF500" s="18">
        <f>IF(OR(NOT(ISNUMBER(J500)),NOT(ISNUMBER(H500)),H500&lt;=0),기준표!$B$8,MIN(MAX(J500/H500,기준표!$B$6),기준표!$B$7))</f>
        <v/>
      </c>
      <c r="AG500" s="17">
        <f>IF(ISNUMBER(AE500),AE500*(1-AF500),"")</f>
        <v/>
      </c>
      <c r="AH500" s="17">
        <f>IF(AND(NOT(ISNUMBER(V500)),NOT(ISNUMBER(X500))),"",IF(ISNUMBER(V500),V500,0)+IF(ISNUMBER(X500),X500,0))</f>
        <v/>
      </c>
      <c r="AI500" s="17">
        <f>IF(E500="금융","",IF(AND(ISNUMBER(R500),ISNUMBER(AH500),ISNUMBER(T500)),R500+AH500-T500,""))</f>
        <v/>
      </c>
      <c r="AJ500" s="17">
        <f>IF(E500="금융","",IF(NOT(ISNUMBER(AI500)),"",IF(ISNUMBER(AC500),(AI500+AC500)/2,AI500)))</f>
        <v/>
      </c>
      <c r="AK500" s="19">
        <f>IF(AND(ISNUMBER(AG500),ISNUMBER(AJ500),AJ500&gt;0),AG500/AJ500,"")</f>
        <v/>
      </c>
      <c r="AL500" s="17">
        <f>IF(E500="금융","",IF(AND(ISNUMBER(R500),ISNUMBER(AH500)),R500+AH500,""))</f>
        <v/>
      </c>
      <c r="AM500" s="19">
        <f>IF(OR(NOT(ISNUMBER(AG500)),NOT(ISNUMBER(AL500)),AL500&lt;=0),"",IF(AND(ISNUMBER(G500),AL500&lt;0.1*G500),"",AG500/AL500))</f>
        <v/>
      </c>
      <c r="AN500" s="17">
        <f>IF(NOT(ISNUMBER(R500)),"",IF(ISNUMBER(S500),(R500+S500)/2,R500))</f>
        <v/>
      </c>
      <c r="AO500" s="19">
        <f>IF(AND(ISNUMBER(L500),ISNUMBER(AN500),AN500&gt;0),L500/AN500,"")</f>
        <v/>
      </c>
      <c r="AP500" s="19">
        <f>IF(AND(ISNUMBER(AO500),ISNUMBER({ROIC})),AO500-{ROIC},"")</f>
        <v/>
      </c>
      <c r="AQ500" s="17">
        <f>IF(AND(ISNUMBER(AE500),ISNUMBER(N500)),AE500+N500,"")</f>
        <v/>
      </c>
      <c r="AR500" s="20">
        <f>IF(AND(ISNUMBER(AH500),ISNUMBER(T500),ISNUMBER(AQ500),AQ500&gt;0),(AH500-T500)/AQ500,"")</f>
        <v/>
      </c>
      <c r="AS500" s="20">
        <f>IF(AND(ISNUMBER(AE500),ISNUMBER(I500),I500&lt;&gt;0,AE500&gt;0),AE500/I500,"")</f>
        <v/>
      </c>
      <c r="AT500" s="17">
        <f>IF(AND(ISNUMBER(Y500),ISNUMBER(AA500)),Y500-IF(ISNUMBER(T500),T500,0)-(AA500-IF(ISNUMBER(V500),V500,0)),"")</f>
        <v/>
      </c>
      <c r="AU500" s="17">
        <f>IF(AND(ISNUMBER(Z500),ISNUMBER(AB500)),Z500-IF(ISNUMBER(U500),U500,0)-(AB500-IF(ISNUMBER(W500),W500,0)),"")</f>
        <v/>
      </c>
      <c r="AV500" s="17">
        <f>IF(AND(ISNUMBER(AT500),ISNUMBER(AU500)),AT500-AU500,"")</f>
        <v/>
      </c>
      <c r="AW500" s="17">
        <f>IF(AND(ISNUMBER(L500),ISNUMBER(M500),ISNUMBER(AF500)),L500-M500*(1-AF500),IF(ISNUMBER(L500),L500,""))</f>
        <v/>
      </c>
      <c r="AX500" s="17">
        <f>IF(E500="금융","",IF(AND(ISNUMBER(AW500),ISNUMBER(N500),ISNUMBER(O500),ISNUMBER(AV500)),AW500+N500-O500-AV500,IF(AND(ISNUMBER(P500),ISNUMBER(O500)),P500-O500-IF(ISNUMBER(Q500),Q500,0),"")))</f>
        <v/>
      </c>
      <c r="AY500" s="8">
        <f>IF(E500="금융","금융업 - 정의되지 않음",IF(AND(ISNUMBER(AW500),ISNUMBER(N500),ISNUMBER(O500),ISNUMBER(AV500)),"영업순이익+감가상각-설비투자-운전자본증감",IF(AND(ISNUMBER(P500),ISNUMBER(O500)),IF(ISNUMBER(Q500),"영업현금흐름-설비투자-주식보상비용","영업현금흐름-설비투자(주식보상비용 미태깅)"),"산출불가")))</f>
        <v/>
      </c>
      <c r="AZ500" s="19">
        <f>IF(AND(ISNUMBER(AX500),ISNUMBER(G500),G500&lt;&gt;0),AX500/G500,"")</f>
        <v/>
      </c>
      <c r="BA500" s="19">
        <f>IF(AND(ISNUMBER(AE500),ISNUMBER(G500),G500&lt;&gt;0),AE500/G500,"")</f>
        <v/>
      </c>
    </row>
    <row r="501">
      <c r="A501" s="8" t="inlineStr">
        <is>
          <t>DELL</t>
        </is>
      </c>
      <c r="B501" s="8" t="inlineStr">
        <is>
          <t>Dell Technologies Inc.</t>
        </is>
      </c>
      <c r="C501" s="8" t="n">
        <v>2024</v>
      </c>
      <c r="D501" s="8" t="inlineStr">
        <is>
          <t>2025-01-31</t>
        </is>
      </c>
      <c r="E501" s="8" t="inlineStr">
        <is>
          <t>일반</t>
        </is>
      </c>
      <c r="F501" s="8" t="inlineStr">
        <is>
          <t>0001571996-26-000008</t>
        </is>
      </c>
      <c r="G501" s="15" t="n">
        <v>95.56699999999999</v>
      </c>
      <c r="H501" s="15" t="n">
        <v>5.048</v>
      </c>
      <c r="I501" s="15" t="n">
        <v>1.394</v>
      </c>
      <c r="J501" s="15" t="n">
        <v>0.472</v>
      </c>
      <c r="K501" s="15" t="n">
        <v>6.237</v>
      </c>
      <c r="L501" s="15" t="n">
        <v>4.592</v>
      </c>
      <c r="M501" s="15" t="n">
        <v>0.177</v>
      </c>
      <c r="N501" s="15" t="n">
        <v>3.123</v>
      </c>
      <c r="O501" s="15" t="n">
        <v>2.652</v>
      </c>
      <c r="P501" s="15" t="n">
        <v>4.521</v>
      </c>
      <c r="Q501" s="15" t="n">
        <v>0.785</v>
      </c>
      <c r="R501" s="15" t="n">
        <v>-1.482</v>
      </c>
      <c r="S501" s="15" t="n">
        <v>-2.227</v>
      </c>
      <c r="T501" s="15" t="n">
        <v>3.633</v>
      </c>
      <c r="U501" s="15" t="n">
        <v>7.366</v>
      </c>
      <c r="V501" s="15" t="n">
        <v>5.204</v>
      </c>
      <c r="W501" s="15" t="n">
        <v>6.982</v>
      </c>
      <c r="X501" s="15" t="n">
        <v>19.363</v>
      </c>
      <c r="Y501" s="15" t="n">
        <v>36.229</v>
      </c>
      <c r="Z501" s="15" t="n">
        <v>35.984</v>
      </c>
      <c r="AA501" s="15" t="n">
        <v>46.527</v>
      </c>
      <c r="AB501" s="15" t="n">
        <v>48.354</v>
      </c>
      <c r="AC501" s="15" t="n">
        <v>16.401</v>
      </c>
      <c r="AD501" s="16" t="n">
        <v>696</v>
      </c>
      <c r="AE501" s="17">
        <f>IF(ISNUMBER(K501),K501,IF(AND(ISNUMBER(H501),ISNUMBER(I501)),H501+I501,IF(ISNUMBER(H501),H501,"")))</f>
        <v/>
      </c>
      <c r="AF501" s="18">
        <f>IF(OR(NOT(ISNUMBER(J501)),NOT(ISNUMBER(H501)),H501&lt;=0),기준표!$B$8,MIN(MAX(J501/H501,기준표!$B$6),기준표!$B$7))</f>
        <v/>
      </c>
      <c r="AG501" s="17">
        <f>IF(ISNUMBER(AE501),AE501*(1-AF501),"")</f>
        <v/>
      </c>
      <c r="AH501" s="17">
        <f>IF(AND(NOT(ISNUMBER(V501)),NOT(ISNUMBER(X501))),"",IF(ISNUMBER(V501),V501,0)+IF(ISNUMBER(X501),X501,0))</f>
        <v/>
      </c>
      <c r="AI501" s="17">
        <f>IF(E501="금융","",IF(AND(ISNUMBER(R501),ISNUMBER(AH501),ISNUMBER(T501)),R501+AH501-T501,""))</f>
        <v/>
      </c>
      <c r="AJ501" s="17">
        <f>IF(E501="금융","",IF(NOT(ISNUMBER(AI501)),"",IF(ISNUMBER(AC501),(AI501+AC501)/2,AI501)))</f>
        <v/>
      </c>
      <c r="AK501" s="19">
        <f>IF(AND(ISNUMBER(AG501),ISNUMBER(AJ501),AJ501&gt;0),AG501/AJ501,"")</f>
        <v/>
      </c>
      <c r="AL501" s="17">
        <f>IF(E501="금융","",IF(AND(ISNUMBER(R501),ISNUMBER(AH501)),R501+AH501,""))</f>
        <v/>
      </c>
      <c r="AM501" s="19">
        <f>IF(OR(NOT(ISNUMBER(AG501)),NOT(ISNUMBER(AL501)),AL501&lt;=0),"",IF(AND(ISNUMBER(G501),AL501&lt;0.1*G501),"",AG501/AL501))</f>
        <v/>
      </c>
      <c r="AN501" s="17">
        <f>IF(NOT(ISNUMBER(R501)),"",IF(ISNUMBER(S501),(R501+S501)/2,R501))</f>
        <v/>
      </c>
      <c r="AO501" s="19">
        <f>IF(AND(ISNUMBER(L501),ISNUMBER(AN501),AN501&gt;0),L501/AN501,"")</f>
        <v/>
      </c>
      <c r="AP501" s="19">
        <f>IF(AND(ISNUMBER(AO501),ISNUMBER({ROIC})),AO501-{ROIC},"")</f>
        <v/>
      </c>
      <c r="AQ501" s="17">
        <f>IF(AND(ISNUMBER(AE501),ISNUMBER(N501)),AE501+N501,"")</f>
        <v/>
      </c>
      <c r="AR501" s="20">
        <f>IF(AND(ISNUMBER(AH501),ISNUMBER(T501),ISNUMBER(AQ501),AQ501&gt;0),(AH501-T501)/AQ501,"")</f>
        <v/>
      </c>
      <c r="AS501" s="20">
        <f>IF(AND(ISNUMBER(AE501),ISNUMBER(I501),I501&lt;&gt;0,AE501&gt;0),AE501/I501,"")</f>
        <v/>
      </c>
      <c r="AT501" s="17">
        <f>IF(AND(ISNUMBER(Y501),ISNUMBER(AA501)),Y501-IF(ISNUMBER(T501),T501,0)-(AA501-IF(ISNUMBER(V501),V501,0)),"")</f>
        <v/>
      </c>
      <c r="AU501" s="17">
        <f>IF(AND(ISNUMBER(Z501),ISNUMBER(AB501)),Z501-IF(ISNUMBER(U501),U501,0)-(AB501-IF(ISNUMBER(W501),W501,0)),"")</f>
        <v/>
      </c>
      <c r="AV501" s="17">
        <f>IF(AND(ISNUMBER(AT501),ISNUMBER(AU501)),AT501-AU501,"")</f>
        <v/>
      </c>
      <c r="AW501" s="17">
        <f>IF(AND(ISNUMBER(L501),ISNUMBER(M501),ISNUMBER(AF501)),L501-M501*(1-AF501),IF(ISNUMBER(L501),L501,""))</f>
        <v/>
      </c>
      <c r="AX501" s="17">
        <f>IF(E501="금융","",IF(AND(ISNUMBER(AW501),ISNUMBER(N501),ISNUMBER(O501),ISNUMBER(AV501)),AW501+N501-O501-AV501,IF(AND(ISNUMBER(P501),ISNUMBER(O501)),P501-O501-IF(ISNUMBER(Q501),Q501,0),"")))</f>
        <v/>
      </c>
      <c r="AY501" s="8">
        <f>IF(E501="금융","금융업 - 정의되지 않음",IF(AND(ISNUMBER(AW501),ISNUMBER(N501),ISNUMBER(O501),ISNUMBER(AV501)),"영업순이익+감가상각-설비투자-운전자본증감",IF(AND(ISNUMBER(P501),ISNUMBER(O501)),IF(ISNUMBER(Q501),"영업현금흐름-설비투자-주식보상비용","영업현금흐름-설비투자(주식보상비용 미태깅)"),"산출불가")))</f>
        <v/>
      </c>
      <c r="AZ501" s="19">
        <f>IF(AND(ISNUMBER(AX501),ISNUMBER(G501),G501&lt;&gt;0),AX501/G501,"")</f>
        <v/>
      </c>
      <c r="BA501" s="19">
        <f>IF(AND(ISNUMBER(AE501),ISNUMBER(G501),G501&lt;&gt;0),AE501/G501,"")</f>
        <v/>
      </c>
    </row>
    <row r="502">
      <c r="A502" s="8" t="inlineStr">
        <is>
          <t>DELL</t>
        </is>
      </c>
      <c r="B502" s="8" t="inlineStr">
        <is>
          <t>Dell Technologies Inc.</t>
        </is>
      </c>
      <c r="C502" s="8" t="n">
        <v>2025</v>
      </c>
      <c r="D502" s="8" t="inlineStr">
        <is>
          <t>2026-01-30</t>
        </is>
      </c>
      <c r="E502" s="8" t="inlineStr">
        <is>
          <t>일반</t>
        </is>
      </c>
      <c r="F502" s="8" t="inlineStr">
        <is>
          <t>0001571996-26-000008</t>
        </is>
      </c>
      <c r="G502" s="15" t="n">
        <v>113.538</v>
      </c>
      <c r="H502" s="15" t="n">
        <v>7.263</v>
      </c>
      <c r="I502" s="15" t="n">
        <v>1.56</v>
      </c>
      <c r="J502" s="15" t="n">
        <v>1.327</v>
      </c>
      <c r="K502" s="15" t="n">
        <v>8.148999999999999</v>
      </c>
      <c r="L502" s="15" t="n">
        <v>5.936</v>
      </c>
      <c r="M502" s="15" t="n">
        <v>0.254</v>
      </c>
      <c r="N502" s="15" t="n">
        <v>3.029</v>
      </c>
      <c r="O502" s="15" t="n">
        <v>2.633</v>
      </c>
      <c r="P502" s="15" t="n">
        <v>11.185</v>
      </c>
      <c r="Q502" s="15" t="n">
        <v>0.723</v>
      </c>
      <c r="R502" s="15" t="n">
        <v>-2.47</v>
      </c>
      <c r="S502" s="15" t="n">
        <v>-1.482</v>
      </c>
      <c r="T502" s="15" t="n">
        <v>11.528</v>
      </c>
      <c r="U502" s="15" t="n">
        <v>3.633</v>
      </c>
      <c r="V502" s="15" t="n">
        <v>7.99</v>
      </c>
      <c r="W502" s="15" t="n">
        <v>5.204</v>
      </c>
      <c r="X502" s="15" t="n">
        <v>23.513</v>
      </c>
      <c r="Y502" s="15" t="n">
        <v>57.602</v>
      </c>
      <c r="Z502" s="15" t="n">
        <v>36.229</v>
      </c>
      <c r="AA502" s="15" t="n">
        <v>63.269</v>
      </c>
      <c r="AB502" s="15" t="n">
        <v>46.527</v>
      </c>
      <c r="AC502" s="15" t="n">
        <v>19.452</v>
      </c>
      <c r="AD502" s="16" t="n">
        <v>652</v>
      </c>
      <c r="AE502" s="17">
        <f>IF(ISNUMBER(K502),K502,IF(AND(ISNUMBER(H502),ISNUMBER(I502)),H502+I502,IF(ISNUMBER(H502),H502,"")))</f>
        <v/>
      </c>
      <c r="AF502" s="18">
        <f>IF(OR(NOT(ISNUMBER(J502)),NOT(ISNUMBER(H502)),H502&lt;=0),기준표!$B$8,MIN(MAX(J502/H502,기준표!$B$6),기준표!$B$7))</f>
        <v/>
      </c>
      <c r="AG502" s="17">
        <f>IF(ISNUMBER(AE502),AE502*(1-AF502),"")</f>
        <v/>
      </c>
      <c r="AH502" s="17">
        <f>IF(AND(NOT(ISNUMBER(V502)),NOT(ISNUMBER(X502))),"",IF(ISNUMBER(V502),V502,0)+IF(ISNUMBER(X502),X502,0))</f>
        <v/>
      </c>
      <c r="AI502" s="17">
        <f>IF(E502="금융","",IF(AND(ISNUMBER(R502),ISNUMBER(AH502),ISNUMBER(T502)),R502+AH502-T502,""))</f>
        <v/>
      </c>
      <c r="AJ502" s="17">
        <f>IF(E502="금융","",IF(NOT(ISNUMBER(AI502)),"",IF(ISNUMBER(AC502),(AI502+AC502)/2,AI502)))</f>
        <v/>
      </c>
      <c r="AK502" s="19">
        <f>IF(AND(ISNUMBER(AG502),ISNUMBER(AJ502),AJ502&gt;0),AG502/AJ502,"")</f>
        <v/>
      </c>
      <c r="AL502" s="17">
        <f>IF(E502="금융","",IF(AND(ISNUMBER(R502),ISNUMBER(AH502)),R502+AH502,""))</f>
        <v/>
      </c>
      <c r="AM502" s="19">
        <f>IF(OR(NOT(ISNUMBER(AG502)),NOT(ISNUMBER(AL502)),AL502&lt;=0),"",IF(AND(ISNUMBER(G502),AL502&lt;0.1*G502),"",AG502/AL502))</f>
        <v/>
      </c>
      <c r="AN502" s="17">
        <f>IF(NOT(ISNUMBER(R502)),"",IF(ISNUMBER(S502),(R502+S502)/2,R502))</f>
        <v/>
      </c>
      <c r="AO502" s="19">
        <f>IF(AND(ISNUMBER(L502),ISNUMBER(AN502),AN502&gt;0),L502/AN502,"")</f>
        <v/>
      </c>
      <c r="AP502" s="19">
        <f>IF(AND(ISNUMBER(AO502),ISNUMBER({ROIC})),AO502-{ROIC},"")</f>
        <v/>
      </c>
      <c r="AQ502" s="17">
        <f>IF(AND(ISNUMBER(AE502),ISNUMBER(N502)),AE502+N502,"")</f>
        <v/>
      </c>
      <c r="AR502" s="20">
        <f>IF(AND(ISNUMBER(AH502),ISNUMBER(T502),ISNUMBER(AQ502),AQ502&gt;0),(AH502-T502)/AQ502,"")</f>
        <v/>
      </c>
      <c r="AS502" s="20">
        <f>IF(AND(ISNUMBER(AE502),ISNUMBER(I502),I502&lt;&gt;0,AE502&gt;0),AE502/I502,"")</f>
        <v/>
      </c>
      <c r="AT502" s="17">
        <f>IF(AND(ISNUMBER(Y502),ISNUMBER(AA502)),Y502-IF(ISNUMBER(T502),T502,0)-(AA502-IF(ISNUMBER(V502),V502,0)),"")</f>
        <v/>
      </c>
      <c r="AU502" s="17">
        <f>IF(AND(ISNUMBER(Z502),ISNUMBER(AB502)),Z502-IF(ISNUMBER(U502),U502,0)-(AB502-IF(ISNUMBER(W502),W502,0)),"")</f>
        <v/>
      </c>
      <c r="AV502" s="17">
        <f>IF(AND(ISNUMBER(AT502),ISNUMBER(AU502)),AT502-AU502,"")</f>
        <v/>
      </c>
      <c r="AW502" s="17">
        <f>IF(AND(ISNUMBER(L502),ISNUMBER(M502),ISNUMBER(AF502)),L502-M502*(1-AF502),IF(ISNUMBER(L502),L502,""))</f>
        <v/>
      </c>
      <c r="AX502" s="17">
        <f>IF(E502="금융","",IF(AND(ISNUMBER(AW502),ISNUMBER(N502),ISNUMBER(O502),ISNUMBER(AV502)),AW502+N502-O502-AV502,IF(AND(ISNUMBER(P502),ISNUMBER(O502)),P502-O502-IF(ISNUMBER(Q502),Q502,0),"")))</f>
        <v/>
      </c>
      <c r="AY502" s="8">
        <f>IF(E502="금융","금융업 - 정의되지 않음",IF(AND(ISNUMBER(AW502),ISNUMBER(N502),ISNUMBER(O502),ISNUMBER(AV502)),"영업순이익+감가상각-설비투자-운전자본증감",IF(AND(ISNUMBER(P502),ISNUMBER(O502)),IF(ISNUMBER(Q502),"영업현금흐름-설비투자-주식보상비용","영업현금흐름-설비투자(주식보상비용 미태깅)"),"산출불가")))</f>
        <v/>
      </c>
      <c r="AZ502" s="19">
        <f>IF(AND(ISNUMBER(AX502),ISNUMBER(G502),G502&lt;&gt;0),AX502/G502,"")</f>
        <v/>
      </c>
      <c r="BA502" s="19">
        <f>IF(AND(ISNUMBER(AE502),ISNUMBER(G502),G502&lt;&gt;0),AE502/G502,"")</f>
        <v/>
      </c>
    </row>
    <row r="503">
      <c r="A503" s="8" t="inlineStr">
        <is>
          <t>WFC</t>
        </is>
      </c>
      <c r="B503" s="8" t="inlineStr">
        <is>
          <t>WELLS FARGO &amp; COMPANY/MN</t>
        </is>
      </c>
      <c r="C503" s="8" t="n">
        <v>2014</v>
      </c>
      <c r="D503" s="8" t="inlineStr">
        <is>
          <t>2014-12-31</t>
        </is>
      </c>
      <c r="E503" s="8" t="inlineStr">
        <is>
          <t>금융</t>
        </is>
      </c>
      <c r="F503" s="8" t="inlineStr">
        <is>
          <t>0000072971-17-000278</t>
        </is>
      </c>
      <c r="G503" s="15" t="n"/>
      <c r="H503" s="15" t="n">
        <v>33.915</v>
      </c>
      <c r="I503" s="15" t="n">
        <v>0.382</v>
      </c>
      <c r="J503" s="15" t="n">
        <v>10.307</v>
      </c>
      <c r="K503" s="15" t="n"/>
      <c r="L503" s="15" t="n">
        <v>23.057</v>
      </c>
      <c r="M503" s="15" t="n"/>
      <c r="N503" s="15" t="n">
        <v>2.515</v>
      </c>
      <c r="O503" s="15" t="n"/>
      <c r="P503" s="15" t="n">
        <v>17.529</v>
      </c>
      <c r="Q503" s="15" t="n">
        <v>0.858</v>
      </c>
      <c r="R503" s="15" t="n">
        <v>184.394</v>
      </c>
      <c r="S503" s="15" t="n"/>
      <c r="T503" s="15" t="n"/>
      <c r="U503" s="15" t="n"/>
      <c r="V503" s="15" t="n">
        <v>63.518</v>
      </c>
      <c r="W503" s="15" t="n"/>
      <c r="X503" s="15" t="n">
        <v>183.943</v>
      </c>
      <c r="Y503" s="15" t="n"/>
      <c r="Z503" s="15" t="n"/>
      <c r="AA503" s="15" t="n"/>
      <c r="AB503" s="15" t="n"/>
      <c r="AC503" s="15" t="n"/>
      <c r="AD503" s="16" t="n">
        <v>5324.4</v>
      </c>
      <c r="AE503" s="17">
        <f>IF(ISNUMBER(K503),K503,IF(AND(ISNUMBER(H503),ISNUMBER(I503)),H503+I503,IF(ISNUMBER(H503),H503,"")))</f>
        <v/>
      </c>
      <c r="AF503" s="18">
        <f>IF(OR(NOT(ISNUMBER(J503)),NOT(ISNUMBER(H503)),H503&lt;=0),기준표!$B$8,MIN(MAX(J503/H503,기준표!$B$6),기준표!$B$7))</f>
        <v/>
      </c>
      <c r="AG503" s="17">
        <f>IF(ISNUMBER(AE503),AE503*(1-AF503),"")</f>
        <v/>
      </c>
      <c r="AH503" s="17">
        <f>IF(AND(NOT(ISNUMBER(V503)),NOT(ISNUMBER(X503))),"",IF(ISNUMBER(V503),V503,0)+IF(ISNUMBER(X503),X503,0))</f>
        <v/>
      </c>
      <c r="AI503" s="17">
        <f>IF(E503="금융","",IF(AND(ISNUMBER(R503),ISNUMBER(AH503),ISNUMBER(T503)),R503+AH503-T503,""))</f>
        <v/>
      </c>
      <c r="AJ503" s="17">
        <f>IF(E503="금융","",IF(NOT(ISNUMBER(AI503)),"",IF(ISNUMBER(AC503),(AI503+AC503)/2,AI503)))</f>
        <v/>
      </c>
      <c r="AK503" s="19">
        <f>IF(AND(ISNUMBER(AG503),ISNUMBER(AJ503),AJ503&gt;0),AG503/AJ503,"")</f>
        <v/>
      </c>
      <c r="AL503" s="17">
        <f>IF(E503="금융","",IF(AND(ISNUMBER(R503),ISNUMBER(AH503)),R503+AH503,""))</f>
        <v/>
      </c>
      <c r="AM503" s="19">
        <f>IF(OR(NOT(ISNUMBER(AG503)),NOT(ISNUMBER(AL503)),AL503&lt;=0),"",IF(AND(ISNUMBER(G503),AL503&lt;0.1*G503),"",AG503/AL503))</f>
        <v/>
      </c>
      <c r="AN503" s="17">
        <f>IF(NOT(ISNUMBER(R503)),"",IF(ISNUMBER(S503),(R503+S503)/2,R503))</f>
        <v/>
      </c>
      <c r="AO503" s="19">
        <f>IF(AND(ISNUMBER(L503),ISNUMBER(AN503),AN503&gt;0),L503/AN503,"")</f>
        <v/>
      </c>
      <c r="AP503" s="19">
        <f>IF(AND(ISNUMBER(AO503),ISNUMBER({ROIC})),AO503-{ROIC},"")</f>
        <v/>
      </c>
      <c r="AQ503" s="17">
        <f>IF(AND(ISNUMBER(AE503),ISNUMBER(N503)),AE503+N503,"")</f>
        <v/>
      </c>
      <c r="AR503" s="20">
        <f>IF(AND(ISNUMBER(AH503),ISNUMBER(T503),ISNUMBER(AQ503),AQ503&gt;0),(AH503-T503)/AQ503,"")</f>
        <v/>
      </c>
      <c r="AS503" s="20">
        <f>IF(AND(ISNUMBER(AE503),ISNUMBER(I503),I503&lt;&gt;0,AE503&gt;0),AE503/I503,"")</f>
        <v/>
      </c>
      <c r="AT503" s="17">
        <f>IF(AND(ISNUMBER(Y503),ISNUMBER(AA503)),Y503-IF(ISNUMBER(T503),T503,0)-(AA503-IF(ISNUMBER(V503),V503,0)),"")</f>
        <v/>
      </c>
      <c r="AU503" s="17">
        <f>IF(AND(ISNUMBER(Z503),ISNUMBER(AB503)),Z503-IF(ISNUMBER(U503),U503,0)-(AB503-IF(ISNUMBER(W503),W503,0)),"")</f>
        <v/>
      </c>
      <c r="AV503" s="17">
        <f>IF(AND(ISNUMBER(AT503),ISNUMBER(AU503)),AT503-AU503,"")</f>
        <v/>
      </c>
      <c r="AW503" s="17">
        <f>IF(AND(ISNUMBER(L503),ISNUMBER(M503),ISNUMBER(AF503)),L503-M503*(1-AF503),IF(ISNUMBER(L503),L503,""))</f>
        <v/>
      </c>
      <c r="AX503" s="17">
        <f>IF(E503="금융","",IF(AND(ISNUMBER(AW503),ISNUMBER(N503),ISNUMBER(O503),ISNUMBER(AV503)),AW503+N503-O503-AV503,IF(AND(ISNUMBER(P503),ISNUMBER(O503)),P503-O503-IF(ISNUMBER(Q503),Q503,0),"")))</f>
        <v/>
      </c>
      <c r="AY503" s="8">
        <f>IF(E503="금융","금융업 - 정의되지 않음",IF(AND(ISNUMBER(AW503),ISNUMBER(N503),ISNUMBER(O503),ISNUMBER(AV503)),"영업순이익+감가상각-설비투자-운전자본증감",IF(AND(ISNUMBER(P503),ISNUMBER(O503)),IF(ISNUMBER(Q503),"영업현금흐름-설비투자-주식보상비용","영업현금흐름-설비투자(주식보상비용 미태깅)"),"산출불가")))</f>
        <v/>
      </c>
      <c r="AZ503" s="19">
        <f>IF(AND(ISNUMBER(AX503),ISNUMBER(G503),G503&lt;&gt;0),AX503/G503,"")</f>
        <v/>
      </c>
      <c r="BA503" s="19">
        <f>IF(AND(ISNUMBER(AE503),ISNUMBER(G503),G503&lt;&gt;0),AE503/G503,"")</f>
        <v/>
      </c>
    </row>
    <row r="504">
      <c r="A504" s="8" t="inlineStr">
        <is>
          <t>WFC</t>
        </is>
      </c>
      <c r="B504" s="8" t="inlineStr">
        <is>
          <t>WELLS FARGO &amp; COMPANY/MN</t>
        </is>
      </c>
      <c r="C504" s="8" t="n">
        <v>2015</v>
      </c>
      <c r="D504" s="8" t="inlineStr">
        <is>
          <t>2015-12-31</t>
        </is>
      </c>
      <c r="E504" s="8" t="inlineStr">
        <is>
          <t>금융</t>
        </is>
      </c>
      <c r="F504" s="8" t="inlineStr">
        <is>
          <t>0000072971-18-000272</t>
        </is>
      </c>
      <c r="G504" s="15" t="n"/>
      <c r="H504" s="15" t="n">
        <v>33.641</v>
      </c>
      <c r="I504" s="15" t="n">
        <v>0.357</v>
      </c>
      <c r="J504" s="15" t="n">
        <v>10.365</v>
      </c>
      <c r="K504" s="15" t="n"/>
      <c r="L504" s="15" t="n">
        <v>22.894</v>
      </c>
      <c r="M504" s="15" t="n"/>
      <c r="N504" s="15" t="n">
        <v>3.288</v>
      </c>
      <c r="O504" s="15" t="n"/>
      <c r="P504" s="15" t="n">
        <v>15.904</v>
      </c>
      <c r="Q504" s="15" t="n">
        <v>0.779</v>
      </c>
      <c r="R504" s="15" t="n">
        <v>192.998</v>
      </c>
      <c r="S504" s="15" t="n">
        <v>184.394</v>
      </c>
      <c r="T504" s="15" t="n">
        <v>243.413</v>
      </c>
      <c r="U504" s="15" t="n"/>
      <c r="V504" s="15" t="n">
        <v>97.52800000000001</v>
      </c>
      <c r="W504" s="15" t="n">
        <v>63.518</v>
      </c>
      <c r="X504" s="15" t="n">
        <v>199.536</v>
      </c>
      <c r="Y504" s="15" t="n"/>
      <c r="Z504" s="15" t="n"/>
      <c r="AA504" s="15" t="n"/>
      <c r="AB504" s="15" t="n"/>
      <c r="AC504" s="15" t="n"/>
      <c r="AD504" s="16" t="n">
        <v>5209.8</v>
      </c>
      <c r="AE504" s="17">
        <f>IF(ISNUMBER(K504),K504,IF(AND(ISNUMBER(H504),ISNUMBER(I504)),H504+I504,IF(ISNUMBER(H504),H504,"")))</f>
        <v/>
      </c>
      <c r="AF504" s="18">
        <f>IF(OR(NOT(ISNUMBER(J504)),NOT(ISNUMBER(H504)),H504&lt;=0),기준표!$B$8,MIN(MAX(J504/H504,기준표!$B$6),기준표!$B$7))</f>
        <v/>
      </c>
      <c r="AG504" s="17">
        <f>IF(ISNUMBER(AE504),AE504*(1-AF504),"")</f>
        <v/>
      </c>
      <c r="AH504" s="17">
        <f>IF(AND(NOT(ISNUMBER(V504)),NOT(ISNUMBER(X504))),"",IF(ISNUMBER(V504),V504,0)+IF(ISNUMBER(X504),X504,0))</f>
        <v/>
      </c>
      <c r="AI504" s="17">
        <f>IF(E504="금융","",IF(AND(ISNUMBER(R504),ISNUMBER(AH504),ISNUMBER(T504)),R504+AH504-T504,""))</f>
        <v/>
      </c>
      <c r="AJ504" s="17">
        <f>IF(E504="금융","",IF(NOT(ISNUMBER(AI504)),"",IF(ISNUMBER(AC504),(AI504+AC504)/2,AI504)))</f>
        <v/>
      </c>
      <c r="AK504" s="19">
        <f>IF(AND(ISNUMBER(AG504),ISNUMBER(AJ504),AJ504&gt;0),AG504/AJ504,"")</f>
        <v/>
      </c>
      <c r="AL504" s="17">
        <f>IF(E504="금융","",IF(AND(ISNUMBER(R504),ISNUMBER(AH504)),R504+AH504,""))</f>
        <v/>
      </c>
      <c r="AM504" s="19">
        <f>IF(OR(NOT(ISNUMBER(AG504)),NOT(ISNUMBER(AL504)),AL504&lt;=0),"",IF(AND(ISNUMBER(G504),AL504&lt;0.1*G504),"",AG504/AL504))</f>
        <v/>
      </c>
      <c r="AN504" s="17">
        <f>IF(NOT(ISNUMBER(R504)),"",IF(ISNUMBER(S504),(R504+S504)/2,R504))</f>
        <v/>
      </c>
      <c r="AO504" s="19">
        <f>IF(AND(ISNUMBER(L504),ISNUMBER(AN504),AN504&gt;0),L504/AN504,"")</f>
        <v/>
      </c>
      <c r="AP504" s="19">
        <f>IF(AND(ISNUMBER(AO504),ISNUMBER({ROIC})),AO504-{ROIC},"")</f>
        <v/>
      </c>
      <c r="AQ504" s="17">
        <f>IF(AND(ISNUMBER(AE504),ISNUMBER(N504)),AE504+N504,"")</f>
        <v/>
      </c>
      <c r="AR504" s="20">
        <f>IF(AND(ISNUMBER(AH504),ISNUMBER(T504),ISNUMBER(AQ504),AQ504&gt;0),(AH504-T504)/AQ504,"")</f>
        <v/>
      </c>
      <c r="AS504" s="20">
        <f>IF(AND(ISNUMBER(AE504),ISNUMBER(I504),I504&lt;&gt;0,AE504&gt;0),AE504/I504,"")</f>
        <v/>
      </c>
      <c r="AT504" s="17">
        <f>IF(AND(ISNUMBER(Y504),ISNUMBER(AA504)),Y504-IF(ISNUMBER(T504),T504,0)-(AA504-IF(ISNUMBER(V504),V504,0)),"")</f>
        <v/>
      </c>
      <c r="AU504" s="17">
        <f>IF(AND(ISNUMBER(Z504),ISNUMBER(AB504)),Z504-IF(ISNUMBER(U504),U504,0)-(AB504-IF(ISNUMBER(W504),W504,0)),"")</f>
        <v/>
      </c>
      <c r="AV504" s="17">
        <f>IF(AND(ISNUMBER(AT504),ISNUMBER(AU504)),AT504-AU504,"")</f>
        <v/>
      </c>
      <c r="AW504" s="17">
        <f>IF(AND(ISNUMBER(L504),ISNUMBER(M504),ISNUMBER(AF504)),L504-M504*(1-AF504),IF(ISNUMBER(L504),L504,""))</f>
        <v/>
      </c>
      <c r="AX504" s="17">
        <f>IF(E504="금융","",IF(AND(ISNUMBER(AW504),ISNUMBER(N504),ISNUMBER(O504),ISNUMBER(AV504)),AW504+N504-O504-AV504,IF(AND(ISNUMBER(P504),ISNUMBER(O504)),P504-O504-IF(ISNUMBER(Q504),Q504,0),"")))</f>
        <v/>
      </c>
      <c r="AY504" s="8">
        <f>IF(E504="금융","금융업 - 정의되지 않음",IF(AND(ISNUMBER(AW504),ISNUMBER(N504),ISNUMBER(O504),ISNUMBER(AV504)),"영업순이익+감가상각-설비투자-운전자본증감",IF(AND(ISNUMBER(P504),ISNUMBER(O504)),IF(ISNUMBER(Q504),"영업현금흐름-설비투자-주식보상비용","영업현금흐름-설비투자(주식보상비용 미태깅)"),"산출불가")))</f>
        <v/>
      </c>
      <c r="AZ504" s="19">
        <f>IF(AND(ISNUMBER(AX504),ISNUMBER(G504),G504&lt;&gt;0),AX504/G504,"")</f>
        <v/>
      </c>
      <c r="BA504" s="19">
        <f>IF(AND(ISNUMBER(AE504),ISNUMBER(G504),G504&lt;&gt;0),AE504/G504,"")</f>
        <v/>
      </c>
    </row>
    <row r="505">
      <c r="A505" s="8" t="inlineStr">
        <is>
          <t>WFC</t>
        </is>
      </c>
      <c r="B505" s="8" t="inlineStr">
        <is>
          <t>WELLS FARGO &amp; COMPANY/MN</t>
        </is>
      </c>
      <c r="C505" s="8" t="n">
        <v>2016</v>
      </c>
      <c r="D505" s="8" t="inlineStr">
        <is>
          <t>2016-12-31</t>
        </is>
      </c>
      <c r="E505" s="8" t="inlineStr">
        <is>
          <t>금융</t>
        </is>
      </c>
      <c r="F505" s="8" t="inlineStr">
        <is>
          <t>0000072971-19-000227</t>
        </is>
      </c>
      <c r="G505" s="15" t="n"/>
      <c r="H505" s="15" t="n">
        <v>32.12</v>
      </c>
      <c r="I505" s="15" t="n">
        <v>0.354</v>
      </c>
      <c r="J505" s="15" t="n">
        <v>10.075</v>
      </c>
      <c r="K505" s="15" t="n"/>
      <c r="L505" s="15" t="n">
        <v>21.938</v>
      </c>
      <c r="M505" s="15" t="n"/>
      <c r="N505" s="15" t="n">
        <v>4.97</v>
      </c>
      <c r="O505" s="15" t="n"/>
      <c r="P505" s="15" t="n">
        <v>1.008</v>
      </c>
      <c r="Q505" s="15" t="n">
        <v>0.779</v>
      </c>
      <c r="R505" s="15" t="n">
        <v>199.581</v>
      </c>
      <c r="S505" s="15" t="n">
        <v>192.998</v>
      </c>
      <c r="T505" s="15" t="n">
        <v>228.552</v>
      </c>
      <c r="U505" s="15" t="n">
        <v>243.413</v>
      </c>
      <c r="V505" s="15" t="n">
        <v>96.78100000000001</v>
      </c>
      <c r="W505" s="15" t="n">
        <v>97.52800000000001</v>
      </c>
      <c r="X505" s="15" t="n">
        <v>255.077</v>
      </c>
      <c r="Y505" s="15" t="n"/>
      <c r="Z505" s="15" t="n"/>
      <c r="AA505" s="15" t="n"/>
      <c r="AB505" s="15" t="n"/>
      <c r="AC505" s="15" t="n"/>
      <c r="AD505" s="16" t="n">
        <v>5108.3</v>
      </c>
      <c r="AE505" s="17">
        <f>IF(ISNUMBER(K505),K505,IF(AND(ISNUMBER(H505),ISNUMBER(I505)),H505+I505,IF(ISNUMBER(H505),H505,"")))</f>
        <v/>
      </c>
      <c r="AF505" s="18">
        <f>IF(OR(NOT(ISNUMBER(J505)),NOT(ISNUMBER(H505)),H505&lt;=0),기준표!$B$8,MIN(MAX(J505/H505,기준표!$B$6),기준표!$B$7))</f>
        <v/>
      </c>
      <c r="AG505" s="17">
        <f>IF(ISNUMBER(AE505),AE505*(1-AF505),"")</f>
        <v/>
      </c>
      <c r="AH505" s="17">
        <f>IF(AND(NOT(ISNUMBER(V505)),NOT(ISNUMBER(X505))),"",IF(ISNUMBER(V505),V505,0)+IF(ISNUMBER(X505),X505,0))</f>
        <v/>
      </c>
      <c r="AI505" s="17">
        <f>IF(E505="금융","",IF(AND(ISNUMBER(R505),ISNUMBER(AH505),ISNUMBER(T505)),R505+AH505-T505,""))</f>
        <v/>
      </c>
      <c r="AJ505" s="17">
        <f>IF(E505="금융","",IF(NOT(ISNUMBER(AI505)),"",IF(ISNUMBER(AC505),(AI505+AC505)/2,AI505)))</f>
        <v/>
      </c>
      <c r="AK505" s="19">
        <f>IF(AND(ISNUMBER(AG505),ISNUMBER(AJ505),AJ505&gt;0),AG505/AJ505,"")</f>
        <v/>
      </c>
      <c r="AL505" s="17">
        <f>IF(E505="금융","",IF(AND(ISNUMBER(R505),ISNUMBER(AH505)),R505+AH505,""))</f>
        <v/>
      </c>
      <c r="AM505" s="19">
        <f>IF(OR(NOT(ISNUMBER(AG505)),NOT(ISNUMBER(AL505)),AL505&lt;=0),"",IF(AND(ISNUMBER(G505),AL505&lt;0.1*G505),"",AG505/AL505))</f>
        <v/>
      </c>
      <c r="AN505" s="17">
        <f>IF(NOT(ISNUMBER(R505)),"",IF(ISNUMBER(S505),(R505+S505)/2,R505))</f>
        <v/>
      </c>
      <c r="AO505" s="19">
        <f>IF(AND(ISNUMBER(L505),ISNUMBER(AN505),AN505&gt;0),L505/AN505,"")</f>
        <v/>
      </c>
      <c r="AP505" s="19">
        <f>IF(AND(ISNUMBER(AO505),ISNUMBER({ROIC})),AO505-{ROIC},"")</f>
        <v/>
      </c>
      <c r="AQ505" s="17">
        <f>IF(AND(ISNUMBER(AE505),ISNUMBER(N505)),AE505+N505,"")</f>
        <v/>
      </c>
      <c r="AR505" s="20">
        <f>IF(AND(ISNUMBER(AH505),ISNUMBER(T505),ISNUMBER(AQ505),AQ505&gt;0),(AH505-T505)/AQ505,"")</f>
        <v/>
      </c>
      <c r="AS505" s="20">
        <f>IF(AND(ISNUMBER(AE505),ISNUMBER(I505),I505&lt;&gt;0,AE505&gt;0),AE505/I505,"")</f>
        <v/>
      </c>
      <c r="AT505" s="17">
        <f>IF(AND(ISNUMBER(Y505),ISNUMBER(AA505)),Y505-IF(ISNUMBER(T505),T505,0)-(AA505-IF(ISNUMBER(V505),V505,0)),"")</f>
        <v/>
      </c>
      <c r="AU505" s="17">
        <f>IF(AND(ISNUMBER(Z505),ISNUMBER(AB505)),Z505-IF(ISNUMBER(U505),U505,0)-(AB505-IF(ISNUMBER(W505),W505,0)),"")</f>
        <v/>
      </c>
      <c r="AV505" s="17">
        <f>IF(AND(ISNUMBER(AT505),ISNUMBER(AU505)),AT505-AU505,"")</f>
        <v/>
      </c>
      <c r="AW505" s="17">
        <f>IF(AND(ISNUMBER(L505),ISNUMBER(M505),ISNUMBER(AF505)),L505-M505*(1-AF505),IF(ISNUMBER(L505),L505,""))</f>
        <v/>
      </c>
      <c r="AX505" s="17">
        <f>IF(E505="금융","",IF(AND(ISNUMBER(AW505),ISNUMBER(N505),ISNUMBER(O505),ISNUMBER(AV505)),AW505+N505-O505-AV505,IF(AND(ISNUMBER(P505),ISNUMBER(O505)),P505-O505-IF(ISNUMBER(Q505),Q505,0),"")))</f>
        <v/>
      </c>
      <c r="AY505" s="8">
        <f>IF(E505="금융","금융업 - 정의되지 않음",IF(AND(ISNUMBER(AW505),ISNUMBER(N505),ISNUMBER(O505),ISNUMBER(AV505)),"영업순이익+감가상각-설비투자-운전자본증감",IF(AND(ISNUMBER(P505),ISNUMBER(O505)),IF(ISNUMBER(Q505),"영업현금흐름-설비투자-주식보상비용","영업현금흐름-설비투자(주식보상비용 미태깅)"),"산출불가")))</f>
        <v/>
      </c>
      <c r="AZ505" s="19">
        <f>IF(AND(ISNUMBER(AX505),ISNUMBER(G505),G505&lt;&gt;0),AX505/G505,"")</f>
        <v/>
      </c>
      <c r="BA505" s="19">
        <f>IF(AND(ISNUMBER(AE505),ISNUMBER(G505),G505&lt;&gt;0),AE505/G505,"")</f>
        <v/>
      </c>
    </row>
    <row r="506">
      <c r="A506" s="8" t="inlineStr">
        <is>
          <t>WFC</t>
        </is>
      </c>
      <c r="B506" s="8" t="inlineStr">
        <is>
          <t>WELLS FARGO &amp; COMPANY/MN</t>
        </is>
      </c>
      <c r="C506" s="8" t="n">
        <v>2017</v>
      </c>
      <c r="D506" s="8" t="inlineStr">
        <is>
          <t>2017-12-31</t>
        </is>
      </c>
      <c r="E506" s="8" t="inlineStr">
        <is>
          <t>금융</t>
        </is>
      </c>
      <c r="F506" s="8" t="inlineStr">
        <is>
          <t>0000072971-20-000217</t>
        </is>
      </c>
      <c r="G506" s="15" t="n"/>
      <c r="H506" s="15" t="n">
        <v>27.377</v>
      </c>
      <c r="I506" s="15" t="n">
        <v>0.424</v>
      </c>
      <c r="J506" s="15" t="n">
        <v>4.917</v>
      </c>
      <c r="K506" s="15" t="n"/>
      <c r="L506" s="15" t="n">
        <v>22.183</v>
      </c>
      <c r="M506" s="15" t="n"/>
      <c r="N506" s="15" t="n">
        <v>5.406</v>
      </c>
      <c r="O506" s="15" t="n"/>
      <c r="P506" s="15" t="n">
        <v>18.619</v>
      </c>
      <c r="Q506" s="15" t="n">
        <v>0.849</v>
      </c>
      <c r="R506" s="15" t="n">
        <v>206.936</v>
      </c>
      <c r="S506" s="15" t="n">
        <v>199.581</v>
      </c>
      <c r="T506" s="15" t="n">
        <v>216.973</v>
      </c>
      <c r="U506" s="15" t="n">
        <v>228.552</v>
      </c>
      <c r="V506" s="15" t="n">
        <v>103.256</v>
      </c>
      <c r="W506" s="15" t="n">
        <v>96.78100000000001</v>
      </c>
      <c r="X506" s="15" t="n">
        <v>225.02</v>
      </c>
      <c r="Y506" s="15" t="n"/>
      <c r="Z506" s="15" t="n"/>
      <c r="AA506" s="15" t="n"/>
      <c r="AB506" s="15" t="n"/>
      <c r="AC506" s="15" t="n"/>
      <c r="AD506" s="16" t="n">
        <v>5017.3</v>
      </c>
      <c r="AE506" s="17">
        <f>IF(ISNUMBER(K506),K506,IF(AND(ISNUMBER(H506),ISNUMBER(I506)),H506+I506,IF(ISNUMBER(H506),H506,"")))</f>
        <v/>
      </c>
      <c r="AF506" s="18">
        <f>IF(OR(NOT(ISNUMBER(J506)),NOT(ISNUMBER(H506)),H506&lt;=0),기준표!$B$8,MIN(MAX(J506/H506,기준표!$B$6),기준표!$B$7))</f>
        <v/>
      </c>
      <c r="AG506" s="17">
        <f>IF(ISNUMBER(AE506),AE506*(1-AF506),"")</f>
        <v/>
      </c>
      <c r="AH506" s="17">
        <f>IF(AND(NOT(ISNUMBER(V506)),NOT(ISNUMBER(X506))),"",IF(ISNUMBER(V506),V506,0)+IF(ISNUMBER(X506),X506,0))</f>
        <v/>
      </c>
      <c r="AI506" s="17">
        <f>IF(E506="금융","",IF(AND(ISNUMBER(R506),ISNUMBER(AH506),ISNUMBER(T506)),R506+AH506-T506,""))</f>
        <v/>
      </c>
      <c r="AJ506" s="17">
        <f>IF(E506="금융","",IF(NOT(ISNUMBER(AI506)),"",IF(ISNUMBER(AC506),(AI506+AC506)/2,AI506)))</f>
        <v/>
      </c>
      <c r="AK506" s="19">
        <f>IF(AND(ISNUMBER(AG506),ISNUMBER(AJ506),AJ506&gt;0),AG506/AJ506,"")</f>
        <v/>
      </c>
      <c r="AL506" s="17">
        <f>IF(E506="금융","",IF(AND(ISNUMBER(R506),ISNUMBER(AH506)),R506+AH506,""))</f>
        <v/>
      </c>
      <c r="AM506" s="19">
        <f>IF(OR(NOT(ISNUMBER(AG506)),NOT(ISNUMBER(AL506)),AL506&lt;=0),"",IF(AND(ISNUMBER(G506),AL506&lt;0.1*G506),"",AG506/AL506))</f>
        <v/>
      </c>
      <c r="AN506" s="17">
        <f>IF(NOT(ISNUMBER(R506)),"",IF(ISNUMBER(S506),(R506+S506)/2,R506))</f>
        <v/>
      </c>
      <c r="AO506" s="19">
        <f>IF(AND(ISNUMBER(L506),ISNUMBER(AN506),AN506&gt;0),L506/AN506,"")</f>
        <v/>
      </c>
      <c r="AP506" s="19">
        <f>IF(AND(ISNUMBER(AO506),ISNUMBER({ROIC})),AO506-{ROIC},"")</f>
        <v/>
      </c>
      <c r="AQ506" s="17">
        <f>IF(AND(ISNUMBER(AE506),ISNUMBER(N506)),AE506+N506,"")</f>
        <v/>
      </c>
      <c r="AR506" s="20">
        <f>IF(AND(ISNUMBER(AH506),ISNUMBER(T506),ISNUMBER(AQ506),AQ506&gt;0),(AH506-T506)/AQ506,"")</f>
        <v/>
      </c>
      <c r="AS506" s="20">
        <f>IF(AND(ISNUMBER(AE506),ISNUMBER(I506),I506&lt;&gt;0,AE506&gt;0),AE506/I506,"")</f>
        <v/>
      </c>
      <c r="AT506" s="17">
        <f>IF(AND(ISNUMBER(Y506),ISNUMBER(AA506)),Y506-IF(ISNUMBER(T506),T506,0)-(AA506-IF(ISNUMBER(V506),V506,0)),"")</f>
        <v/>
      </c>
      <c r="AU506" s="17">
        <f>IF(AND(ISNUMBER(Z506),ISNUMBER(AB506)),Z506-IF(ISNUMBER(U506),U506,0)-(AB506-IF(ISNUMBER(W506),W506,0)),"")</f>
        <v/>
      </c>
      <c r="AV506" s="17">
        <f>IF(AND(ISNUMBER(AT506),ISNUMBER(AU506)),AT506-AU506,"")</f>
        <v/>
      </c>
      <c r="AW506" s="17">
        <f>IF(AND(ISNUMBER(L506),ISNUMBER(M506),ISNUMBER(AF506)),L506-M506*(1-AF506),IF(ISNUMBER(L506),L506,""))</f>
        <v/>
      </c>
      <c r="AX506" s="17">
        <f>IF(E506="금융","",IF(AND(ISNUMBER(AW506),ISNUMBER(N506),ISNUMBER(O506),ISNUMBER(AV506)),AW506+N506-O506-AV506,IF(AND(ISNUMBER(P506),ISNUMBER(O506)),P506-O506-IF(ISNUMBER(Q506),Q506,0),"")))</f>
        <v/>
      </c>
      <c r="AY506" s="8">
        <f>IF(E506="금융","금융업 - 정의되지 않음",IF(AND(ISNUMBER(AW506),ISNUMBER(N506),ISNUMBER(O506),ISNUMBER(AV506)),"영업순이익+감가상각-설비투자-운전자본증감",IF(AND(ISNUMBER(P506),ISNUMBER(O506)),IF(ISNUMBER(Q506),"영업현금흐름-설비투자-주식보상비용","영업현금흐름-설비투자(주식보상비용 미태깅)"),"산출불가")))</f>
        <v/>
      </c>
      <c r="AZ506" s="19">
        <f>IF(AND(ISNUMBER(AX506),ISNUMBER(G506),G506&lt;&gt;0),AX506/G506,"")</f>
        <v/>
      </c>
      <c r="BA506" s="19">
        <f>IF(AND(ISNUMBER(AE506),ISNUMBER(G506),G506&lt;&gt;0),AE506/G506,"")</f>
        <v/>
      </c>
    </row>
    <row r="507">
      <c r="A507" s="8" t="inlineStr">
        <is>
          <t>WFC</t>
        </is>
      </c>
      <c r="B507" s="8" t="inlineStr">
        <is>
          <t>WELLS FARGO &amp; COMPANY/MN</t>
        </is>
      </c>
      <c r="C507" s="8" t="n">
        <v>2018</v>
      </c>
      <c r="D507" s="8" t="inlineStr">
        <is>
          <t>2018-12-31</t>
        </is>
      </c>
      <c r="E507" s="8" t="inlineStr">
        <is>
          <t>금융</t>
        </is>
      </c>
      <c r="F507" s="8" t="inlineStr">
        <is>
          <t>0000072971-21-000197</t>
        </is>
      </c>
      <c r="G507" s="15" t="n">
        <v>86.408</v>
      </c>
      <c r="H507" s="15" t="n">
        <v>28.538</v>
      </c>
      <c r="I507" s="15" t="n">
        <v>0.61</v>
      </c>
      <c r="J507" s="15" t="n">
        <v>5.662</v>
      </c>
      <c r="K507" s="15" t="n"/>
      <c r="L507" s="15" t="n">
        <v>22.393</v>
      </c>
      <c r="M507" s="15" t="n"/>
      <c r="N507" s="15" t="n">
        <v>5.593</v>
      </c>
      <c r="O507" s="15" t="n"/>
      <c r="P507" s="15" t="n">
        <v>36.073</v>
      </c>
      <c r="Q507" s="15" t="n">
        <v>1.022</v>
      </c>
      <c r="R507" s="15" t="n">
        <v>196.166</v>
      </c>
      <c r="S507" s="15" t="n">
        <v>206.936</v>
      </c>
      <c r="T507" s="15" t="n">
        <v>173.287</v>
      </c>
      <c r="U507" s="15" t="n">
        <v>216.973</v>
      </c>
      <c r="V507" s="15" t="n">
        <v>105.787</v>
      </c>
      <c r="W507" s="15" t="n">
        <v>103.256</v>
      </c>
      <c r="X507" s="15" t="n">
        <v>229.044</v>
      </c>
      <c r="Y507" s="15" t="n"/>
      <c r="Z507" s="15" t="n"/>
      <c r="AA507" s="15" t="n"/>
      <c r="AB507" s="15" t="n"/>
      <c r="AC507" s="15" t="n"/>
      <c r="AD507" s="16" t="n">
        <v>4838.4</v>
      </c>
      <c r="AE507" s="17">
        <f>IF(ISNUMBER(K507),K507,IF(AND(ISNUMBER(H507),ISNUMBER(I507)),H507+I507,IF(ISNUMBER(H507),H507,"")))</f>
        <v/>
      </c>
      <c r="AF507" s="18">
        <f>IF(OR(NOT(ISNUMBER(J507)),NOT(ISNUMBER(H507)),H507&lt;=0),기준표!$B$8,MIN(MAX(J507/H507,기준표!$B$6),기준표!$B$7))</f>
        <v/>
      </c>
      <c r="AG507" s="17">
        <f>IF(ISNUMBER(AE507),AE507*(1-AF507),"")</f>
        <v/>
      </c>
      <c r="AH507" s="17">
        <f>IF(AND(NOT(ISNUMBER(V507)),NOT(ISNUMBER(X507))),"",IF(ISNUMBER(V507),V507,0)+IF(ISNUMBER(X507),X507,0))</f>
        <v/>
      </c>
      <c r="AI507" s="17">
        <f>IF(E507="금융","",IF(AND(ISNUMBER(R507),ISNUMBER(AH507),ISNUMBER(T507)),R507+AH507-T507,""))</f>
        <v/>
      </c>
      <c r="AJ507" s="17">
        <f>IF(E507="금융","",IF(NOT(ISNUMBER(AI507)),"",IF(ISNUMBER(AC507),(AI507+AC507)/2,AI507)))</f>
        <v/>
      </c>
      <c r="AK507" s="19">
        <f>IF(AND(ISNUMBER(AG507),ISNUMBER(AJ507),AJ507&gt;0),AG507/AJ507,"")</f>
        <v/>
      </c>
      <c r="AL507" s="17">
        <f>IF(E507="금융","",IF(AND(ISNUMBER(R507),ISNUMBER(AH507)),R507+AH507,""))</f>
        <v/>
      </c>
      <c r="AM507" s="19">
        <f>IF(OR(NOT(ISNUMBER(AG507)),NOT(ISNUMBER(AL507)),AL507&lt;=0),"",IF(AND(ISNUMBER(G507),AL507&lt;0.1*G507),"",AG507/AL507))</f>
        <v/>
      </c>
      <c r="AN507" s="17">
        <f>IF(NOT(ISNUMBER(R507)),"",IF(ISNUMBER(S507),(R507+S507)/2,R507))</f>
        <v/>
      </c>
      <c r="AO507" s="19">
        <f>IF(AND(ISNUMBER(L507),ISNUMBER(AN507),AN507&gt;0),L507/AN507,"")</f>
        <v/>
      </c>
      <c r="AP507" s="19">
        <f>IF(AND(ISNUMBER(AO507),ISNUMBER({ROIC})),AO507-{ROIC},"")</f>
        <v/>
      </c>
      <c r="AQ507" s="17">
        <f>IF(AND(ISNUMBER(AE507),ISNUMBER(N507)),AE507+N507,"")</f>
        <v/>
      </c>
      <c r="AR507" s="20">
        <f>IF(AND(ISNUMBER(AH507),ISNUMBER(T507),ISNUMBER(AQ507),AQ507&gt;0),(AH507-T507)/AQ507,"")</f>
        <v/>
      </c>
      <c r="AS507" s="20">
        <f>IF(AND(ISNUMBER(AE507),ISNUMBER(I507),I507&lt;&gt;0,AE507&gt;0),AE507/I507,"")</f>
        <v/>
      </c>
      <c r="AT507" s="17">
        <f>IF(AND(ISNUMBER(Y507),ISNUMBER(AA507)),Y507-IF(ISNUMBER(T507),T507,0)-(AA507-IF(ISNUMBER(V507),V507,0)),"")</f>
        <v/>
      </c>
      <c r="AU507" s="17">
        <f>IF(AND(ISNUMBER(Z507),ISNUMBER(AB507)),Z507-IF(ISNUMBER(U507),U507,0)-(AB507-IF(ISNUMBER(W507),W507,0)),"")</f>
        <v/>
      </c>
      <c r="AV507" s="17">
        <f>IF(AND(ISNUMBER(AT507),ISNUMBER(AU507)),AT507-AU507,"")</f>
        <v/>
      </c>
      <c r="AW507" s="17">
        <f>IF(AND(ISNUMBER(L507),ISNUMBER(M507),ISNUMBER(AF507)),L507-M507*(1-AF507),IF(ISNUMBER(L507),L507,""))</f>
        <v/>
      </c>
      <c r="AX507" s="17">
        <f>IF(E507="금융","",IF(AND(ISNUMBER(AW507),ISNUMBER(N507),ISNUMBER(O507),ISNUMBER(AV507)),AW507+N507-O507-AV507,IF(AND(ISNUMBER(P507),ISNUMBER(O507)),P507-O507-IF(ISNUMBER(Q507),Q507,0),"")))</f>
        <v/>
      </c>
      <c r="AY507" s="8">
        <f>IF(E507="금융","금융업 - 정의되지 않음",IF(AND(ISNUMBER(AW507),ISNUMBER(N507),ISNUMBER(O507),ISNUMBER(AV507)),"영업순이익+감가상각-설비투자-운전자본증감",IF(AND(ISNUMBER(P507),ISNUMBER(O507)),IF(ISNUMBER(Q507),"영업현금흐름-설비투자-주식보상비용","영업현금흐름-설비투자(주식보상비용 미태깅)"),"산출불가")))</f>
        <v/>
      </c>
      <c r="AZ507" s="19">
        <f>IF(AND(ISNUMBER(AX507),ISNUMBER(G507),G507&lt;&gt;0),AX507/G507,"")</f>
        <v/>
      </c>
      <c r="BA507" s="19">
        <f>IF(AND(ISNUMBER(AE507),ISNUMBER(G507),G507&lt;&gt;0),AE507/G507,"")</f>
        <v/>
      </c>
    </row>
    <row r="508">
      <c r="A508" s="8" t="inlineStr">
        <is>
          <t>WFC</t>
        </is>
      </c>
      <c r="B508" s="8" t="inlineStr">
        <is>
          <t>WELLS FARGO &amp; COMPANY/MN</t>
        </is>
      </c>
      <c r="C508" s="8" t="n">
        <v>2019</v>
      </c>
      <c r="D508" s="8" t="inlineStr">
        <is>
          <t>2019-12-31</t>
        </is>
      </c>
      <c r="E508" s="8" t="inlineStr">
        <is>
          <t>금융</t>
        </is>
      </c>
      <c r="F508" s="8" t="inlineStr">
        <is>
          <t>0000072971-22-000096</t>
        </is>
      </c>
      <c r="G508" s="15" t="n">
        <v>86.83199999999999</v>
      </c>
      <c r="H508" s="15" t="n">
        <v>25.967</v>
      </c>
      <c r="I508" s="15" t="n">
        <v>0.551</v>
      </c>
      <c r="J508" s="15" t="n">
        <v>5.761</v>
      </c>
      <c r="K508" s="15" t="n"/>
      <c r="L508" s="15" t="n">
        <v>19.715</v>
      </c>
      <c r="M508" s="15" t="n"/>
      <c r="N508" s="15" t="n">
        <v>6.573</v>
      </c>
      <c r="O508" s="15" t="n"/>
      <c r="P508" s="15" t="n">
        <v>6.73</v>
      </c>
      <c r="Q508" s="15" t="n">
        <v>1.217</v>
      </c>
      <c r="R508" s="15" t="n">
        <v>187.146</v>
      </c>
      <c r="S508" s="15" t="n">
        <v>196.166</v>
      </c>
      <c r="T508" s="15" t="n">
        <v>141.25</v>
      </c>
      <c r="U508" s="15" t="n">
        <v>173.287</v>
      </c>
      <c r="V508" s="15" t="n">
        <v>104.512</v>
      </c>
      <c r="W508" s="15" t="n">
        <v>105.787</v>
      </c>
      <c r="X508" s="15" t="n">
        <v>228.191</v>
      </c>
      <c r="Y508" s="15" t="n"/>
      <c r="Z508" s="15" t="n"/>
      <c r="AA508" s="15" t="n"/>
      <c r="AB508" s="15" t="n"/>
      <c r="AC508" s="15" t="n"/>
      <c r="AD508" s="16" t="n">
        <v>4425.4</v>
      </c>
      <c r="AE508" s="17">
        <f>IF(ISNUMBER(K508),K508,IF(AND(ISNUMBER(H508),ISNUMBER(I508)),H508+I508,IF(ISNUMBER(H508),H508,"")))</f>
        <v/>
      </c>
      <c r="AF508" s="18">
        <f>IF(OR(NOT(ISNUMBER(J508)),NOT(ISNUMBER(H508)),H508&lt;=0),기준표!$B$8,MIN(MAX(J508/H508,기준표!$B$6),기준표!$B$7))</f>
        <v/>
      </c>
      <c r="AG508" s="17">
        <f>IF(ISNUMBER(AE508),AE508*(1-AF508),"")</f>
        <v/>
      </c>
      <c r="AH508" s="17">
        <f>IF(AND(NOT(ISNUMBER(V508)),NOT(ISNUMBER(X508))),"",IF(ISNUMBER(V508),V508,0)+IF(ISNUMBER(X508),X508,0))</f>
        <v/>
      </c>
      <c r="AI508" s="17">
        <f>IF(E508="금융","",IF(AND(ISNUMBER(R508),ISNUMBER(AH508),ISNUMBER(T508)),R508+AH508-T508,""))</f>
        <v/>
      </c>
      <c r="AJ508" s="17">
        <f>IF(E508="금융","",IF(NOT(ISNUMBER(AI508)),"",IF(ISNUMBER(AC508),(AI508+AC508)/2,AI508)))</f>
        <v/>
      </c>
      <c r="AK508" s="19">
        <f>IF(AND(ISNUMBER(AG508),ISNUMBER(AJ508),AJ508&gt;0),AG508/AJ508,"")</f>
        <v/>
      </c>
      <c r="AL508" s="17">
        <f>IF(E508="금융","",IF(AND(ISNUMBER(R508),ISNUMBER(AH508)),R508+AH508,""))</f>
        <v/>
      </c>
      <c r="AM508" s="19">
        <f>IF(OR(NOT(ISNUMBER(AG508)),NOT(ISNUMBER(AL508)),AL508&lt;=0),"",IF(AND(ISNUMBER(G508),AL508&lt;0.1*G508),"",AG508/AL508))</f>
        <v/>
      </c>
      <c r="AN508" s="17">
        <f>IF(NOT(ISNUMBER(R508)),"",IF(ISNUMBER(S508),(R508+S508)/2,R508))</f>
        <v/>
      </c>
      <c r="AO508" s="19">
        <f>IF(AND(ISNUMBER(L508),ISNUMBER(AN508),AN508&gt;0),L508/AN508,"")</f>
        <v/>
      </c>
      <c r="AP508" s="19">
        <f>IF(AND(ISNUMBER(AO508),ISNUMBER({ROIC})),AO508-{ROIC},"")</f>
        <v/>
      </c>
      <c r="AQ508" s="17">
        <f>IF(AND(ISNUMBER(AE508),ISNUMBER(N508)),AE508+N508,"")</f>
        <v/>
      </c>
      <c r="AR508" s="20">
        <f>IF(AND(ISNUMBER(AH508),ISNUMBER(T508),ISNUMBER(AQ508),AQ508&gt;0),(AH508-T508)/AQ508,"")</f>
        <v/>
      </c>
      <c r="AS508" s="20">
        <f>IF(AND(ISNUMBER(AE508),ISNUMBER(I508),I508&lt;&gt;0,AE508&gt;0),AE508/I508,"")</f>
        <v/>
      </c>
      <c r="AT508" s="17">
        <f>IF(AND(ISNUMBER(Y508),ISNUMBER(AA508)),Y508-IF(ISNUMBER(T508),T508,0)-(AA508-IF(ISNUMBER(V508),V508,0)),"")</f>
        <v/>
      </c>
      <c r="AU508" s="17">
        <f>IF(AND(ISNUMBER(Z508),ISNUMBER(AB508)),Z508-IF(ISNUMBER(U508),U508,0)-(AB508-IF(ISNUMBER(W508),W508,0)),"")</f>
        <v/>
      </c>
      <c r="AV508" s="17">
        <f>IF(AND(ISNUMBER(AT508),ISNUMBER(AU508)),AT508-AU508,"")</f>
        <v/>
      </c>
      <c r="AW508" s="17">
        <f>IF(AND(ISNUMBER(L508),ISNUMBER(M508),ISNUMBER(AF508)),L508-M508*(1-AF508),IF(ISNUMBER(L508),L508,""))</f>
        <v/>
      </c>
      <c r="AX508" s="17">
        <f>IF(E508="금융","",IF(AND(ISNUMBER(AW508),ISNUMBER(N508),ISNUMBER(O508),ISNUMBER(AV508)),AW508+N508-O508-AV508,IF(AND(ISNUMBER(P508),ISNUMBER(O508)),P508-O508-IF(ISNUMBER(Q508),Q508,0),"")))</f>
        <v/>
      </c>
      <c r="AY508" s="8">
        <f>IF(E508="금융","금융업 - 정의되지 않음",IF(AND(ISNUMBER(AW508),ISNUMBER(N508),ISNUMBER(O508),ISNUMBER(AV508)),"영업순이익+감가상각-설비투자-운전자본증감",IF(AND(ISNUMBER(P508),ISNUMBER(O508)),IF(ISNUMBER(Q508),"영업현금흐름-설비투자-주식보상비용","영업현금흐름-설비투자(주식보상비용 미태깅)"),"산출불가")))</f>
        <v/>
      </c>
      <c r="AZ508" s="19">
        <f>IF(AND(ISNUMBER(AX508),ISNUMBER(G508),G508&lt;&gt;0),AX508/G508,"")</f>
        <v/>
      </c>
      <c r="BA508" s="19">
        <f>IF(AND(ISNUMBER(AE508),ISNUMBER(G508),G508&lt;&gt;0),AE508/G508,"")</f>
        <v/>
      </c>
    </row>
    <row r="509">
      <c r="A509" s="8" t="inlineStr">
        <is>
          <t>WFC</t>
        </is>
      </c>
      <c r="B509" s="8" t="inlineStr">
        <is>
          <t>WELLS FARGO &amp; COMPANY/MN</t>
        </is>
      </c>
      <c r="C509" s="8" t="n">
        <v>2020</v>
      </c>
      <c r="D509" s="8" t="inlineStr">
        <is>
          <t>2020-12-31</t>
        </is>
      </c>
      <c r="E509" s="8" t="inlineStr">
        <is>
          <t>금융</t>
        </is>
      </c>
      <c r="F509" s="8" t="inlineStr">
        <is>
          <t>0000072971-23-000071</t>
        </is>
      </c>
      <c r="G509" s="15" t="n">
        <v>74.264</v>
      </c>
      <c r="H509" s="15" t="n">
        <v>2.505</v>
      </c>
      <c r="I509" s="15" t="n">
        <v>0.438</v>
      </c>
      <c r="J509" s="15" t="n">
        <v>-1.157</v>
      </c>
      <c r="K509" s="15" t="n"/>
      <c r="L509" s="15" t="n">
        <v>3.377</v>
      </c>
      <c r="M509" s="15" t="n"/>
      <c r="N509" s="15" t="n">
        <v>8.218999999999999</v>
      </c>
      <c r="O509" s="15" t="n"/>
      <c r="P509" s="15" t="n">
        <v>2.051</v>
      </c>
      <c r="Q509" s="15" t="n">
        <v>0.622</v>
      </c>
      <c r="R509" s="15" t="n">
        <v>184.68</v>
      </c>
      <c r="S509" s="15" t="n">
        <v>187.146</v>
      </c>
      <c r="T509" s="15" t="n">
        <v>264.612</v>
      </c>
      <c r="U509" s="15" t="n">
        <v>141.25</v>
      </c>
      <c r="V509" s="15" t="n">
        <v>58.999</v>
      </c>
      <c r="W509" s="15" t="n">
        <v>104.512</v>
      </c>
      <c r="X509" s="15" t="n">
        <v>212.95</v>
      </c>
      <c r="Y509" s="15" t="n"/>
      <c r="Z509" s="15" t="n"/>
      <c r="AA509" s="15" t="n"/>
      <c r="AB509" s="15" t="n"/>
      <c r="AC509" s="15" t="n"/>
      <c r="AD509" s="16" t="n">
        <v>4134.2</v>
      </c>
      <c r="AE509" s="17">
        <f>IF(ISNUMBER(K509),K509,IF(AND(ISNUMBER(H509),ISNUMBER(I509)),H509+I509,IF(ISNUMBER(H509),H509,"")))</f>
        <v/>
      </c>
      <c r="AF509" s="18">
        <f>IF(OR(NOT(ISNUMBER(J509)),NOT(ISNUMBER(H509)),H509&lt;=0),기준표!$B$8,MIN(MAX(J509/H509,기준표!$B$6),기준표!$B$7))</f>
        <v/>
      </c>
      <c r="AG509" s="17">
        <f>IF(ISNUMBER(AE509),AE509*(1-AF509),"")</f>
        <v/>
      </c>
      <c r="AH509" s="17">
        <f>IF(AND(NOT(ISNUMBER(V509)),NOT(ISNUMBER(X509))),"",IF(ISNUMBER(V509),V509,0)+IF(ISNUMBER(X509),X509,0))</f>
        <v/>
      </c>
      <c r="AI509" s="17">
        <f>IF(E509="금융","",IF(AND(ISNUMBER(R509),ISNUMBER(AH509),ISNUMBER(T509)),R509+AH509-T509,""))</f>
        <v/>
      </c>
      <c r="AJ509" s="17">
        <f>IF(E509="금융","",IF(NOT(ISNUMBER(AI509)),"",IF(ISNUMBER(AC509),(AI509+AC509)/2,AI509)))</f>
        <v/>
      </c>
      <c r="AK509" s="19">
        <f>IF(AND(ISNUMBER(AG509),ISNUMBER(AJ509),AJ509&gt;0),AG509/AJ509,"")</f>
        <v/>
      </c>
      <c r="AL509" s="17">
        <f>IF(E509="금융","",IF(AND(ISNUMBER(R509),ISNUMBER(AH509)),R509+AH509,""))</f>
        <v/>
      </c>
      <c r="AM509" s="19">
        <f>IF(OR(NOT(ISNUMBER(AG509)),NOT(ISNUMBER(AL509)),AL509&lt;=0),"",IF(AND(ISNUMBER(G509),AL509&lt;0.1*G509),"",AG509/AL509))</f>
        <v/>
      </c>
      <c r="AN509" s="17">
        <f>IF(NOT(ISNUMBER(R509)),"",IF(ISNUMBER(S509),(R509+S509)/2,R509))</f>
        <v/>
      </c>
      <c r="AO509" s="19">
        <f>IF(AND(ISNUMBER(L509),ISNUMBER(AN509),AN509&gt;0),L509/AN509,"")</f>
        <v/>
      </c>
      <c r="AP509" s="19">
        <f>IF(AND(ISNUMBER(AO509),ISNUMBER({ROIC})),AO509-{ROIC},"")</f>
        <v/>
      </c>
      <c r="AQ509" s="17">
        <f>IF(AND(ISNUMBER(AE509),ISNUMBER(N509)),AE509+N509,"")</f>
        <v/>
      </c>
      <c r="AR509" s="20">
        <f>IF(AND(ISNUMBER(AH509),ISNUMBER(T509),ISNUMBER(AQ509),AQ509&gt;0),(AH509-T509)/AQ509,"")</f>
        <v/>
      </c>
      <c r="AS509" s="20">
        <f>IF(AND(ISNUMBER(AE509),ISNUMBER(I509),I509&lt;&gt;0,AE509&gt;0),AE509/I509,"")</f>
        <v/>
      </c>
      <c r="AT509" s="17">
        <f>IF(AND(ISNUMBER(Y509),ISNUMBER(AA509)),Y509-IF(ISNUMBER(T509),T509,0)-(AA509-IF(ISNUMBER(V509),V509,0)),"")</f>
        <v/>
      </c>
      <c r="AU509" s="17">
        <f>IF(AND(ISNUMBER(Z509),ISNUMBER(AB509)),Z509-IF(ISNUMBER(U509),U509,0)-(AB509-IF(ISNUMBER(W509),W509,0)),"")</f>
        <v/>
      </c>
      <c r="AV509" s="17">
        <f>IF(AND(ISNUMBER(AT509),ISNUMBER(AU509)),AT509-AU509,"")</f>
        <v/>
      </c>
      <c r="AW509" s="17">
        <f>IF(AND(ISNUMBER(L509),ISNUMBER(M509),ISNUMBER(AF509)),L509-M509*(1-AF509),IF(ISNUMBER(L509),L509,""))</f>
        <v/>
      </c>
      <c r="AX509" s="17">
        <f>IF(E509="금융","",IF(AND(ISNUMBER(AW509),ISNUMBER(N509),ISNUMBER(O509),ISNUMBER(AV509)),AW509+N509-O509-AV509,IF(AND(ISNUMBER(P509),ISNUMBER(O509)),P509-O509-IF(ISNUMBER(Q509),Q509,0),"")))</f>
        <v/>
      </c>
      <c r="AY509" s="8">
        <f>IF(E509="금융","금융업 - 정의되지 않음",IF(AND(ISNUMBER(AW509),ISNUMBER(N509),ISNUMBER(O509),ISNUMBER(AV509)),"영업순이익+감가상각-설비투자-운전자본증감",IF(AND(ISNUMBER(P509),ISNUMBER(O509)),IF(ISNUMBER(Q509),"영업현금흐름-설비투자-주식보상비용","영업현금흐름-설비투자(주식보상비용 미태깅)"),"산출불가")))</f>
        <v/>
      </c>
      <c r="AZ509" s="19">
        <f>IF(AND(ISNUMBER(AX509),ISNUMBER(G509),G509&lt;&gt;0),AX509/G509,"")</f>
        <v/>
      </c>
      <c r="BA509" s="19">
        <f>IF(AND(ISNUMBER(AE509),ISNUMBER(G509),G509&lt;&gt;0),AE509/G509,"")</f>
        <v/>
      </c>
    </row>
    <row r="510">
      <c r="A510" s="8" t="inlineStr">
        <is>
          <t>WFC</t>
        </is>
      </c>
      <c r="B510" s="8" t="inlineStr">
        <is>
          <t>WELLS FARGO &amp; COMPANY/MN</t>
        </is>
      </c>
      <c r="C510" s="8" t="n">
        <v>2021</v>
      </c>
      <c r="D510" s="8" t="inlineStr">
        <is>
          <t>2021-12-31</t>
        </is>
      </c>
      <c r="E510" s="8" t="inlineStr">
        <is>
          <t>금융</t>
        </is>
      </c>
      <c r="F510" s="8" t="inlineStr">
        <is>
          <t>0000072971-24-000064</t>
        </is>
      </c>
      <c r="G510" s="15" t="n">
        <v>79.166</v>
      </c>
      <c r="H510" s="15" t="n">
        <v>29.563</v>
      </c>
      <c r="I510" s="15" t="n">
        <v>0.395</v>
      </c>
      <c r="J510" s="15" t="n">
        <v>5.764</v>
      </c>
      <c r="K510" s="15" t="n"/>
      <c r="L510" s="15" t="n">
        <v>22.109</v>
      </c>
      <c r="M510" s="15" t="n"/>
      <c r="N510" s="15" t="n">
        <v>7.89</v>
      </c>
      <c r="O510" s="15" t="n"/>
      <c r="P510" s="15" t="n">
        <v>-11.525</v>
      </c>
      <c r="Q510" s="15" t="n">
        <v>1.005</v>
      </c>
      <c r="R510" s="15" t="n">
        <v>187.606</v>
      </c>
      <c r="S510" s="15" t="n">
        <v>184.68</v>
      </c>
      <c r="T510" s="15" t="n">
        <v>234.23</v>
      </c>
      <c r="U510" s="15" t="n">
        <v>264.612</v>
      </c>
      <c r="V510" s="15" t="n">
        <v>34.409</v>
      </c>
      <c r="W510" s="15" t="n">
        <v>58.999</v>
      </c>
      <c r="X510" s="15" t="n">
        <v>160.689</v>
      </c>
      <c r="Y510" s="15" t="n"/>
      <c r="Z510" s="15" t="n"/>
      <c r="AA510" s="15" t="n"/>
      <c r="AB510" s="15" t="n"/>
      <c r="AC510" s="15" t="n"/>
      <c r="AD510" s="16" t="n">
        <v>4096.2</v>
      </c>
      <c r="AE510" s="17">
        <f>IF(ISNUMBER(K510),K510,IF(AND(ISNUMBER(H510),ISNUMBER(I510)),H510+I510,IF(ISNUMBER(H510),H510,"")))</f>
        <v/>
      </c>
      <c r="AF510" s="18">
        <f>IF(OR(NOT(ISNUMBER(J510)),NOT(ISNUMBER(H510)),H510&lt;=0),기준표!$B$8,MIN(MAX(J510/H510,기준표!$B$6),기준표!$B$7))</f>
        <v/>
      </c>
      <c r="AG510" s="17">
        <f>IF(ISNUMBER(AE510),AE510*(1-AF510),"")</f>
        <v/>
      </c>
      <c r="AH510" s="17">
        <f>IF(AND(NOT(ISNUMBER(V510)),NOT(ISNUMBER(X510))),"",IF(ISNUMBER(V510),V510,0)+IF(ISNUMBER(X510),X510,0))</f>
        <v/>
      </c>
      <c r="AI510" s="17">
        <f>IF(E510="금융","",IF(AND(ISNUMBER(R510),ISNUMBER(AH510),ISNUMBER(T510)),R510+AH510-T510,""))</f>
        <v/>
      </c>
      <c r="AJ510" s="17">
        <f>IF(E510="금융","",IF(NOT(ISNUMBER(AI510)),"",IF(ISNUMBER(AC510),(AI510+AC510)/2,AI510)))</f>
        <v/>
      </c>
      <c r="AK510" s="19">
        <f>IF(AND(ISNUMBER(AG510),ISNUMBER(AJ510),AJ510&gt;0),AG510/AJ510,"")</f>
        <v/>
      </c>
      <c r="AL510" s="17">
        <f>IF(E510="금융","",IF(AND(ISNUMBER(R510),ISNUMBER(AH510)),R510+AH510,""))</f>
        <v/>
      </c>
      <c r="AM510" s="19">
        <f>IF(OR(NOT(ISNUMBER(AG510)),NOT(ISNUMBER(AL510)),AL510&lt;=0),"",IF(AND(ISNUMBER(G510),AL510&lt;0.1*G510),"",AG510/AL510))</f>
        <v/>
      </c>
      <c r="AN510" s="17">
        <f>IF(NOT(ISNUMBER(R510)),"",IF(ISNUMBER(S510),(R510+S510)/2,R510))</f>
        <v/>
      </c>
      <c r="AO510" s="19">
        <f>IF(AND(ISNUMBER(L510),ISNUMBER(AN510),AN510&gt;0),L510/AN510,"")</f>
        <v/>
      </c>
      <c r="AP510" s="19">
        <f>IF(AND(ISNUMBER(AO510),ISNUMBER({ROIC})),AO510-{ROIC},"")</f>
        <v/>
      </c>
      <c r="AQ510" s="17">
        <f>IF(AND(ISNUMBER(AE510),ISNUMBER(N510)),AE510+N510,"")</f>
        <v/>
      </c>
      <c r="AR510" s="20">
        <f>IF(AND(ISNUMBER(AH510),ISNUMBER(T510),ISNUMBER(AQ510),AQ510&gt;0),(AH510-T510)/AQ510,"")</f>
        <v/>
      </c>
      <c r="AS510" s="20">
        <f>IF(AND(ISNUMBER(AE510),ISNUMBER(I510),I510&lt;&gt;0,AE510&gt;0),AE510/I510,"")</f>
        <v/>
      </c>
      <c r="AT510" s="17">
        <f>IF(AND(ISNUMBER(Y510),ISNUMBER(AA510)),Y510-IF(ISNUMBER(T510),T510,0)-(AA510-IF(ISNUMBER(V510),V510,0)),"")</f>
        <v/>
      </c>
      <c r="AU510" s="17">
        <f>IF(AND(ISNUMBER(Z510),ISNUMBER(AB510)),Z510-IF(ISNUMBER(U510),U510,0)-(AB510-IF(ISNUMBER(W510),W510,0)),"")</f>
        <v/>
      </c>
      <c r="AV510" s="17">
        <f>IF(AND(ISNUMBER(AT510),ISNUMBER(AU510)),AT510-AU510,"")</f>
        <v/>
      </c>
      <c r="AW510" s="17">
        <f>IF(AND(ISNUMBER(L510),ISNUMBER(M510),ISNUMBER(AF510)),L510-M510*(1-AF510),IF(ISNUMBER(L510),L510,""))</f>
        <v/>
      </c>
      <c r="AX510" s="17">
        <f>IF(E510="금융","",IF(AND(ISNUMBER(AW510),ISNUMBER(N510),ISNUMBER(O510),ISNUMBER(AV510)),AW510+N510-O510-AV510,IF(AND(ISNUMBER(P510),ISNUMBER(O510)),P510-O510-IF(ISNUMBER(Q510),Q510,0),"")))</f>
        <v/>
      </c>
      <c r="AY510" s="8">
        <f>IF(E510="금융","금융업 - 정의되지 않음",IF(AND(ISNUMBER(AW510),ISNUMBER(N510),ISNUMBER(O510),ISNUMBER(AV510)),"영업순이익+감가상각-설비투자-운전자본증감",IF(AND(ISNUMBER(P510),ISNUMBER(O510)),IF(ISNUMBER(Q510),"영업현금흐름-설비투자-주식보상비용","영업현금흐름-설비투자(주식보상비용 미태깅)"),"산출불가")))</f>
        <v/>
      </c>
      <c r="AZ510" s="19">
        <f>IF(AND(ISNUMBER(AX510),ISNUMBER(G510),G510&lt;&gt;0),AX510/G510,"")</f>
        <v/>
      </c>
      <c r="BA510" s="19">
        <f>IF(AND(ISNUMBER(AE510),ISNUMBER(G510),G510&lt;&gt;0),AE510/G510,"")</f>
        <v/>
      </c>
    </row>
    <row r="511">
      <c r="A511" s="8" t="inlineStr">
        <is>
          <t>WFC</t>
        </is>
      </c>
      <c r="B511" s="8" t="inlineStr">
        <is>
          <t>WELLS FARGO &amp; COMPANY/MN</t>
        </is>
      </c>
      <c r="C511" s="8" t="n">
        <v>2022</v>
      </c>
      <c r="D511" s="8" t="inlineStr">
        <is>
          <t>2022-12-31</t>
        </is>
      </c>
      <c r="E511" s="8" t="inlineStr">
        <is>
          <t>금융</t>
        </is>
      </c>
      <c r="F511" s="8" t="inlineStr">
        <is>
          <t>0000072971-25-000066</t>
        </is>
      </c>
      <c r="G511" s="15" t="n">
        <v>74.36799999999999</v>
      </c>
      <c r="H511" s="15" t="n">
        <v>15.629</v>
      </c>
      <c r="I511" s="15" t="n">
        <v>0.638</v>
      </c>
      <c r="J511" s="15" t="n">
        <v>2.251</v>
      </c>
      <c r="K511" s="15" t="n"/>
      <c r="L511" s="15" t="n">
        <v>13.677</v>
      </c>
      <c r="M511" s="15" t="n"/>
      <c r="N511" s="15" t="n">
        <v>6.832</v>
      </c>
      <c r="O511" s="15" t="n"/>
      <c r="P511" s="15" t="n">
        <v>27.048</v>
      </c>
      <c r="Q511" s="15" t="n">
        <v>0.978</v>
      </c>
      <c r="R511" s="15" t="n">
        <v>180.227</v>
      </c>
      <c r="S511" s="15" t="n">
        <v>187.606</v>
      </c>
      <c r="T511" s="15" t="n">
        <v>159.157</v>
      </c>
      <c r="U511" s="15" t="n">
        <v>234.23</v>
      </c>
      <c r="V511" s="15" t="n">
        <v>51.145</v>
      </c>
      <c r="W511" s="15" t="n">
        <v>34.409</v>
      </c>
      <c r="X511" s="15" t="n">
        <v>174.87</v>
      </c>
      <c r="Y511" s="15" t="n"/>
      <c r="Z511" s="15" t="n"/>
      <c r="AA511" s="15" t="n"/>
      <c r="AB511" s="15" t="n"/>
      <c r="AC511" s="15" t="n"/>
      <c r="AD511" s="16" t="n">
        <v>3837</v>
      </c>
      <c r="AE511" s="17">
        <f>IF(ISNUMBER(K511),K511,IF(AND(ISNUMBER(H511),ISNUMBER(I511)),H511+I511,IF(ISNUMBER(H511),H511,"")))</f>
        <v/>
      </c>
      <c r="AF511" s="18">
        <f>IF(OR(NOT(ISNUMBER(J511)),NOT(ISNUMBER(H511)),H511&lt;=0),기준표!$B$8,MIN(MAX(J511/H511,기준표!$B$6),기준표!$B$7))</f>
        <v/>
      </c>
      <c r="AG511" s="17">
        <f>IF(ISNUMBER(AE511),AE511*(1-AF511),"")</f>
        <v/>
      </c>
      <c r="AH511" s="17">
        <f>IF(AND(NOT(ISNUMBER(V511)),NOT(ISNUMBER(X511))),"",IF(ISNUMBER(V511),V511,0)+IF(ISNUMBER(X511),X511,0))</f>
        <v/>
      </c>
      <c r="AI511" s="17">
        <f>IF(E511="금융","",IF(AND(ISNUMBER(R511),ISNUMBER(AH511),ISNUMBER(T511)),R511+AH511-T511,""))</f>
        <v/>
      </c>
      <c r="AJ511" s="17">
        <f>IF(E511="금융","",IF(NOT(ISNUMBER(AI511)),"",IF(ISNUMBER(AC511),(AI511+AC511)/2,AI511)))</f>
        <v/>
      </c>
      <c r="AK511" s="19">
        <f>IF(AND(ISNUMBER(AG511),ISNUMBER(AJ511),AJ511&gt;0),AG511/AJ511,"")</f>
        <v/>
      </c>
      <c r="AL511" s="17">
        <f>IF(E511="금융","",IF(AND(ISNUMBER(R511),ISNUMBER(AH511)),R511+AH511,""))</f>
        <v/>
      </c>
      <c r="AM511" s="19">
        <f>IF(OR(NOT(ISNUMBER(AG511)),NOT(ISNUMBER(AL511)),AL511&lt;=0),"",IF(AND(ISNUMBER(G511),AL511&lt;0.1*G511),"",AG511/AL511))</f>
        <v/>
      </c>
      <c r="AN511" s="17">
        <f>IF(NOT(ISNUMBER(R511)),"",IF(ISNUMBER(S511),(R511+S511)/2,R511))</f>
        <v/>
      </c>
      <c r="AO511" s="19">
        <f>IF(AND(ISNUMBER(L511),ISNUMBER(AN511),AN511&gt;0),L511/AN511,"")</f>
        <v/>
      </c>
      <c r="AP511" s="19">
        <f>IF(AND(ISNUMBER(AO511),ISNUMBER({ROIC})),AO511-{ROIC},"")</f>
        <v/>
      </c>
      <c r="AQ511" s="17">
        <f>IF(AND(ISNUMBER(AE511),ISNUMBER(N511)),AE511+N511,"")</f>
        <v/>
      </c>
      <c r="AR511" s="20">
        <f>IF(AND(ISNUMBER(AH511),ISNUMBER(T511),ISNUMBER(AQ511),AQ511&gt;0),(AH511-T511)/AQ511,"")</f>
        <v/>
      </c>
      <c r="AS511" s="20">
        <f>IF(AND(ISNUMBER(AE511),ISNUMBER(I511),I511&lt;&gt;0,AE511&gt;0),AE511/I511,"")</f>
        <v/>
      </c>
      <c r="AT511" s="17">
        <f>IF(AND(ISNUMBER(Y511),ISNUMBER(AA511)),Y511-IF(ISNUMBER(T511),T511,0)-(AA511-IF(ISNUMBER(V511),V511,0)),"")</f>
        <v/>
      </c>
      <c r="AU511" s="17">
        <f>IF(AND(ISNUMBER(Z511),ISNUMBER(AB511)),Z511-IF(ISNUMBER(U511),U511,0)-(AB511-IF(ISNUMBER(W511),W511,0)),"")</f>
        <v/>
      </c>
      <c r="AV511" s="17">
        <f>IF(AND(ISNUMBER(AT511),ISNUMBER(AU511)),AT511-AU511,"")</f>
        <v/>
      </c>
      <c r="AW511" s="17">
        <f>IF(AND(ISNUMBER(L511),ISNUMBER(M511),ISNUMBER(AF511)),L511-M511*(1-AF511),IF(ISNUMBER(L511),L511,""))</f>
        <v/>
      </c>
      <c r="AX511" s="17">
        <f>IF(E511="금융","",IF(AND(ISNUMBER(AW511),ISNUMBER(N511),ISNUMBER(O511),ISNUMBER(AV511)),AW511+N511-O511-AV511,IF(AND(ISNUMBER(P511),ISNUMBER(O511)),P511-O511-IF(ISNUMBER(Q511),Q511,0),"")))</f>
        <v/>
      </c>
      <c r="AY511" s="8">
        <f>IF(E511="금융","금융업 - 정의되지 않음",IF(AND(ISNUMBER(AW511),ISNUMBER(N511),ISNUMBER(O511),ISNUMBER(AV511)),"영업순이익+감가상각-설비투자-운전자본증감",IF(AND(ISNUMBER(P511),ISNUMBER(O511)),IF(ISNUMBER(Q511),"영업현금흐름-설비투자-주식보상비용","영업현금흐름-설비투자(주식보상비용 미태깅)"),"산출불가")))</f>
        <v/>
      </c>
      <c r="AZ511" s="19">
        <f>IF(AND(ISNUMBER(AX511),ISNUMBER(G511),G511&lt;&gt;0),AX511/G511,"")</f>
        <v/>
      </c>
      <c r="BA511" s="19">
        <f>IF(AND(ISNUMBER(AE511),ISNUMBER(G511),G511&lt;&gt;0),AE511/G511,"")</f>
        <v/>
      </c>
    </row>
    <row r="512">
      <c r="A512" s="8" t="inlineStr">
        <is>
          <t>WFC</t>
        </is>
      </c>
      <c r="B512" s="8" t="inlineStr">
        <is>
          <t>WELLS FARGO &amp; COMPANY/MN</t>
        </is>
      </c>
      <c r="C512" s="8" t="n">
        <v>2023</v>
      </c>
      <c r="D512" s="8" t="inlineStr">
        <is>
          <t>2023-12-31</t>
        </is>
      </c>
      <c r="E512" s="8" t="inlineStr">
        <is>
          <t>금융</t>
        </is>
      </c>
      <c r="F512" s="8" t="inlineStr">
        <is>
          <t>0000072971-26-000133</t>
        </is>
      </c>
      <c r="G512" s="15" t="n">
        <v>82.59699999999999</v>
      </c>
      <c r="H512" s="15" t="n">
        <v>21.636</v>
      </c>
      <c r="I512" s="15" t="n">
        <v>0.712</v>
      </c>
      <c r="J512" s="15" t="n">
        <v>2.607</v>
      </c>
      <c r="K512" s="15" t="n"/>
      <c r="L512" s="15" t="n">
        <v>19.142</v>
      </c>
      <c r="M512" s="15" t="n"/>
      <c r="N512" s="15" t="n">
        <v>6.271</v>
      </c>
      <c r="O512" s="15" t="n"/>
      <c r="P512" s="15" t="n">
        <v>40.358</v>
      </c>
      <c r="Q512" s="15" t="n">
        <v>1.122</v>
      </c>
      <c r="R512" s="15" t="n">
        <v>185.735</v>
      </c>
      <c r="S512" s="15" t="n">
        <v>180.227</v>
      </c>
      <c r="T512" s="15" t="n">
        <v>236.052</v>
      </c>
      <c r="U512" s="15" t="n">
        <v>159.157</v>
      </c>
      <c r="V512" s="15" t="n">
        <v>89.559</v>
      </c>
      <c r="W512" s="15" t="n">
        <v>51.145</v>
      </c>
      <c r="X512" s="15" t="n">
        <v>207.588</v>
      </c>
      <c r="Y512" s="15" t="n"/>
      <c r="Z512" s="15" t="n"/>
      <c r="AA512" s="15" t="n"/>
      <c r="AB512" s="15" t="n"/>
      <c r="AC512" s="15" t="n"/>
      <c r="AD512" s="16" t="n">
        <v>3720.4</v>
      </c>
      <c r="AE512" s="17">
        <f>IF(ISNUMBER(K512),K512,IF(AND(ISNUMBER(H512),ISNUMBER(I512)),H512+I512,IF(ISNUMBER(H512),H512,"")))</f>
        <v/>
      </c>
      <c r="AF512" s="18">
        <f>IF(OR(NOT(ISNUMBER(J512)),NOT(ISNUMBER(H512)),H512&lt;=0),기준표!$B$8,MIN(MAX(J512/H512,기준표!$B$6),기준표!$B$7))</f>
        <v/>
      </c>
      <c r="AG512" s="17">
        <f>IF(ISNUMBER(AE512),AE512*(1-AF512),"")</f>
        <v/>
      </c>
      <c r="AH512" s="17">
        <f>IF(AND(NOT(ISNUMBER(V512)),NOT(ISNUMBER(X512))),"",IF(ISNUMBER(V512),V512,0)+IF(ISNUMBER(X512),X512,0))</f>
        <v/>
      </c>
      <c r="AI512" s="17">
        <f>IF(E512="금융","",IF(AND(ISNUMBER(R512),ISNUMBER(AH512),ISNUMBER(T512)),R512+AH512-T512,""))</f>
        <v/>
      </c>
      <c r="AJ512" s="17">
        <f>IF(E512="금융","",IF(NOT(ISNUMBER(AI512)),"",IF(ISNUMBER(AC512),(AI512+AC512)/2,AI512)))</f>
        <v/>
      </c>
      <c r="AK512" s="19">
        <f>IF(AND(ISNUMBER(AG512),ISNUMBER(AJ512),AJ512&gt;0),AG512/AJ512,"")</f>
        <v/>
      </c>
      <c r="AL512" s="17">
        <f>IF(E512="금융","",IF(AND(ISNUMBER(R512),ISNUMBER(AH512)),R512+AH512,""))</f>
        <v/>
      </c>
      <c r="AM512" s="19">
        <f>IF(OR(NOT(ISNUMBER(AG512)),NOT(ISNUMBER(AL512)),AL512&lt;=0),"",IF(AND(ISNUMBER(G512),AL512&lt;0.1*G512),"",AG512/AL512))</f>
        <v/>
      </c>
      <c r="AN512" s="17">
        <f>IF(NOT(ISNUMBER(R512)),"",IF(ISNUMBER(S512),(R512+S512)/2,R512))</f>
        <v/>
      </c>
      <c r="AO512" s="19">
        <f>IF(AND(ISNUMBER(L512),ISNUMBER(AN512),AN512&gt;0),L512/AN512,"")</f>
        <v/>
      </c>
      <c r="AP512" s="19">
        <f>IF(AND(ISNUMBER(AO512),ISNUMBER({ROIC})),AO512-{ROIC},"")</f>
        <v/>
      </c>
      <c r="AQ512" s="17">
        <f>IF(AND(ISNUMBER(AE512),ISNUMBER(N512)),AE512+N512,"")</f>
        <v/>
      </c>
      <c r="AR512" s="20">
        <f>IF(AND(ISNUMBER(AH512),ISNUMBER(T512),ISNUMBER(AQ512),AQ512&gt;0),(AH512-T512)/AQ512,"")</f>
        <v/>
      </c>
      <c r="AS512" s="20">
        <f>IF(AND(ISNUMBER(AE512),ISNUMBER(I512),I512&lt;&gt;0,AE512&gt;0),AE512/I512,"")</f>
        <v/>
      </c>
      <c r="AT512" s="17">
        <f>IF(AND(ISNUMBER(Y512),ISNUMBER(AA512)),Y512-IF(ISNUMBER(T512),T512,0)-(AA512-IF(ISNUMBER(V512),V512,0)),"")</f>
        <v/>
      </c>
      <c r="AU512" s="17">
        <f>IF(AND(ISNUMBER(Z512),ISNUMBER(AB512)),Z512-IF(ISNUMBER(U512),U512,0)-(AB512-IF(ISNUMBER(W512),W512,0)),"")</f>
        <v/>
      </c>
      <c r="AV512" s="17">
        <f>IF(AND(ISNUMBER(AT512),ISNUMBER(AU512)),AT512-AU512,"")</f>
        <v/>
      </c>
      <c r="AW512" s="17">
        <f>IF(AND(ISNUMBER(L512),ISNUMBER(M512),ISNUMBER(AF512)),L512-M512*(1-AF512),IF(ISNUMBER(L512),L512,""))</f>
        <v/>
      </c>
      <c r="AX512" s="17">
        <f>IF(E512="금융","",IF(AND(ISNUMBER(AW512),ISNUMBER(N512),ISNUMBER(O512),ISNUMBER(AV512)),AW512+N512-O512-AV512,IF(AND(ISNUMBER(P512),ISNUMBER(O512)),P512-O512-IF(ISNUMBER(Q512),Q512,0),"")))</f>
        <v/>
      </c>
      <c r="AY512" s="8">
        <f>IF(E512="금융","금융업 - 정의되지 않음",IF(AND(ISNUMBER(AW512),ISNUMBER(N512),ISNUMBER(O512),ISNUMBER(AV512)),"영업순이익+감가상각-설비투자-운전자본증감",IF(AND(ISNUMBER(P512),ISNUMBER(O512)),IF(ISNUMBER(Q512),"영업현금흐름-설비투자-주식보상비용","영업현금흐름-설비투자(주식보상비용 미태깅)"),"산출불가")))</f>
        <v/>
      </c>
      <c r="AZ512" s="19">
        <f>IF(AND(ISNUMBER(AX512),ISNUMBER(G512),G512&lt;&gt;0),AX512/G512,"")</f>
        <v/>
      </c>
      <c r="BA512" s="19">
        <f>IF(AND(ISNUMBER(AE512),ISNUMBER(G512),G512&lt;&gt;0),AE512/G512,"")</f>
        <v/>
      </c>
    </row>
    <row r="513">
      <c r="A513" s="8" t="inlineStr">
        <is>
          <t>WFC</t>
        </is>
      </c>
      <c r="B513" s="8" t="inlineStr">
        <is>
          <t>WELLS FARGO &amp; COMPANY/MN</t>
        </is>
      </c>
      <c r="C513" s="8" t="n">
        <v>2024</v>
      </c>
      <c r="D513" s="8" t="inlineStr">
        <is>
          <t>2024-12-31</t>
        </is>
      </c>
      <c r="E513" s="8" t="inlineStr">
        <is>
          <t>금융</t>
        </is>
      </c>
      <c r="F513" s="8" t="inlineStr">
        <is>
          <t>0000072971-26-000133</t>
        </is>
      </c>
      <c r="G513" s="15" t="n">
        <v>82.29600000000001</v>
      </c>
      <c r="H513" s="15" t="n">
        <v>23.364</v>
      </c>
      <c r="I513" s="15" t="n">
        <v>0.77</v>
      </c>
      <c r="J513" s="15" t="n">
        <v>3.399</v>
      </c>
      <c r="K513" s="15" t="n"/>
      <c r="L513" s="15" t="n">
        <v>19.722</v>
      </c>
      <c r="M513" s="15" t="n"/>
      <c r="N513" s="15" t="n">
        <v>7.558</v>
      </c>
      <c r="O513" s="15" t="n"/>
      <c r="P513" s="15" t="n">
        <v>3.035</v>
      </c>
      <c r="Q513" s="15" t="n">
        <v>1.281</v>
      </c>
      <c r="R513" s="15" t="n">
        <v>179.12</v>
      </c>
      <c r="S513" s="15" t="n">
        <v>185.735</v>
      </c>
      <c r="T513" s="15" t="n">
        <v>201.902</v>
      </c>
      <c r="U513" s="15" t="n">
        <v>236.052</v>
      </c>
      <c r="V513" s="15" t="n">
        <v>2.704</v>
      </c>
      <c r="W513" s="15" t="n">
        <v>89.559</v>
      </c>
      <c r="X513" s="15" t="n">
        <v>173.078</v>
      </c>
      <c r="Y513" s="15" t="n"/>
      <c r="Z513" s="15" t="n"/>
      <c r="AA513" s="15" t="n"/>
      <c r="AB513" s="15" t="n"/>
      <c r="AC513" s="15" t="n"/>
      <c r="AD513" s="16" t="n">
        <v>3467.6</v>
      </c>
      <c r="AE513" s="17">
        <f>IF(ISNUMBER(K513),K513,IF(AND(ISNUMBER(H513),ISNUMBER(I513)),H513+I513,IF(ISNUMBER(H513),H513,"")))</f>
        <v/>
      </c>
      <c r="AF513" s="18">
        <f>IF(OR(NOT(ISNUMBER(J513)),NOT(ISNUMBER(H513)),H513&lt;=0),기준표!$B$8,MIN(MAX(J513/H513,기준표!$B$6),기준표!$B$7))</f>
        <v/>
      </c>
      <c r="AG513" s="17">
        <f>IF(ISNUMBER(AE513),AE513*(1-AF513),"")</f>
        <v/>
      </c>
      <c r="AH513" s="17">
        <f>IF(AND(NOT(ISNUMBER(V513)),NOT(ISNUMBER(X513))),"",IF(ISNUMBER(V513),V513,0)+IF(ISNUMBER(X513),X513,0))</f>
        <v/>
      </c>
      <c r="AI513" s="17">
        <f>IF(E513="금융","",IF(AND(ISNUMBER(R513),ISNUMBER(AH513),ISNUMBER(T513)),R513+AH513-T513,""))</f>
        <v/>
      </c>
      <c r="AJ513" s="17">
        <f>IF(E513="금융","",IF(NOT(ISNUMBER(AI513)),"",IF(ISNUMBER(AC513),(AI513+AC513)/2,AI513)))</f>
        <v/>
      </c>
      <c r="AK513" s="19">
        <f>IF(AND(ISNUMBER(AG513),ISNUMBER(AJ513),AJ513&gt;0),AG513/AJ513,"")</f>
        <v/>
      </c>
      <c r="AL513" s="17">
        <f>IF(E513="금융","",IF(AND(ISNUMBER(R513),ISNUMBER(AH513)),R513+AH513,""))</f>
        <v/>
      </c>
      <c r="AM513" s="19">
        <f>IF(OR(NOT(ISNUMBER(AG513)),NOT(ISNUMBER(AL513)),AL513&lt;=0),"",IF(AND(ISNUMBER(G513),AL513&lt;0.1*G513),"",AG513/AL513))</f>
        <v/>
      </c>
      <c r="AN513" s="17">
        <f>IF(NOT(ISNUMBER(R513)),"",IF(ISNUMBER(S513),(R513+S513)/2,R513))</f>
        <v/>
      </c>
      <c r="AO513" s="19">
        <f>IF(AND(ISNUMBER(L513),ISNUMBER(AN513),AN513&gt;0),L513/AN513,"")</f>
        <v/>
      </c>
      <c r="AP513" s="19">
        <f>IF(AND(ISNUMBER(AO513),ISNUMBER({ROIC})),AO513-{ROIC},"")</f>
        <v/>
      </c>
      <c r="AQ513" s="17">
        <f>IF(AND(ISNUMBER(AE513),ISNUMBER(N513)),AE513+N513,"")</f>
        <v/>
      </c>
      <c r="AR513" s="20">
        <f>IF(AND(ISNUMBER(AH513),ISNUMBER(T513),ISNUMBER(AQ513),AQ513&gt;0),(AH513-T513)/AQ513,"")</f>
        <v/>
      </c>
      <c r="AS513" s="20">
        <f>IF(AND(ISNUMBER(AE513),ISNUMBER(I513),I513&lt;&gt;0,AE513&gt;0),AE513/I513,"")</f>
        <v/>
      </c>
      <c r="AT513" s="17">
        <f>IF(AND(ISNUMBER(Y513),ISNUMBER(AA513)),Y513-IF(ISNUMBER(T513),T513,0)-(AA513-IF(ISNUMBER(V513),V513,0)),"")</f>
        <v/>
      </c>
      <c r="AU513" s="17">
        <f>IF(AND(ISNUMBER(Z513),ISNUMBER(AB513)),Z513-IF(ISNUMBER(U513),U513,0)-(AB513-IF(ISNUMBER(W513),W513,0)),"")</f>
        <v/>
      </c>
      <c r="AV513" s="17">
        <f>IF(AND(ISNUMBER(AT513),ISNUMBER(AU513)),AT513-AU513,"")</f>
        <v/>
      </c>
      <c r="AW513" s="17">
        <f>IF(AND(ISNUMBER(L513),ISNUMBER(M513),ISNUMBER(AF513)),L513-M513*(1-AF513),IF(ISNUMBER(L513),L513,""))</f>
        <v/>
      </c>
      <c r="AX513" s="17">
        <f>IF(E513="금융","",IF(AND(ISNUMBER(AW513),ISNUMBER(N513),ISNUMBER(O513),ISNUMBER(AV513)),AW513+N513-O513-AV513,IF(AND(ISNUMBER(P513),ISNUMBER(O513)),P513-O513-IF(ISNUMBER(Q513),Q513,0),"")))</f>
        <v/>
      </c>
      <c r="AY513" s="8">
        <f>IF(E513="금융","금융업 - 정의되지 않음",IF(AND(ISNUMBER(AW513),ISNUMBER(N513),ISNUMBER(O513),ISNUMBER(AV513)),"영업순이익+감가상각-설비투자-운전자본증감",IF(AND(ISNUMBER(P513),ISNUMBER(O513)),IF(ISNUMBER(Q513),"영업현금흐름-설비투자-주식보상비용","영업현금흐름-설비투자(주식보상비용 미태깅)"),"산출불가")))</f>
        <v/>
      </c>
      <c r="AZ513" s="19">
        <f>IF(AND(ISNUMBER(AX513),ISNUMBER(G513),G513&lt;&gt;0),AX513/G513,"")</f>
        <v/>
      </c>
      <c r="BA513" s="19">
        <f>IF(AND(ISNUMBER(AE513),ISNUMBER(G513),G513&lt;&gt;0),AE513/G513,"")</f>
        <v/>
      </c>
    </row>
    <row r="514">
      <c r="A514" s="8" t="inlineStr">
        <is>
          <t>WFC</t>
        </is>
      </c>
      <c r="B514" s="8" t="inlineStr">
        <is>
          <t>WELLS FARGO &amp; COMPANY/MN</t>
        </is>
      </c>
      <c r="C514" s="8" t="n">
        <v>2025</v>
      </c>
      <c r="D514" s="8" t="inlineStr">
        <is>
          <t>2025-12-31</t>
        </is>
      </c>
      <c r="E514" s="8" t="inlineStr">
        <is>
          <t>금융</t>
        </is>
      </c>
      <c r="F514" s="8" t="inlineStr">
        <is>
          <t>0000072971-26-000133</t>
        </is>
      </c>
      <c r="G514" s="15" t="n">
        <v>83.699</v>
      </c>
      <c r="H514" s="15" t="n">
        <v>25.199</v>
      </c>
      <c r="I514" s="15" t="n">
        <v>1.164</v>
      </c>
      <c r="J514" s="15" t="n">
        <v>3.841</v>
      </c>
      <c r="K514" s="15" t="n"/>
      <c r="L514" s="15" t="n">
        <v>21.338</v>
      </c>
      <c r="M514" s="15" t="n"/>
      <c r="N514" s="15" t="n">
        <v>7.713</v>
      </c>
      <c r="O514" s="15" t="n"/>
      <c r="P514" s="15" t="n">
        <v>-19.001</v>
      </c>
      <c r="Q514" s="15" t="n">
        <v>1.476</v>
      </c>
      <c r="R514" s="15" t="n">
        <v>181.117</v>
      </c>
      <c r="S514" s="15" t="n">
        <v>179.12</v>
      </c>
      <c r="T514" s="15" t="n">
        <v>172.593</v>
      </c>
      <c r="U514" s="15" t="n">
        <v>201.902</v>
      </c>
      <c r="V514" s="15" t="n">
        <v>18.323</v>
      </c>
      <c r="W514" s="15" t="n">
        <v>2.704</v>
      </c>
      <c r="X514" s="15" t="n">
        <v>174.712</v>
      </c>
      <c r="Y514" s="15" t="n"/>
      <c r="Z514" s="15" t="n"/>
      <c r="AA514" s="15" t="n"/>
      <c r="AB514" s="15" t="n"/>
      <c r="AC514" s="15" t="n"/>
      <c r="AD514" s="16" t="n">
        <v>3242.3</v>
      </c>
      <c r="AE514" s="17">
        <f>IF(ISNUMBER(K514),K514,IF(AND(ISNUMBER(H514),ISNUMBER(I514)),H514+I514,IF(ISNUMBER(H514),H514,"")))</f>
        <v/>
      </c>
      <c r="AF514" s="18">
        <f>IF(OR(NOT(ISNUMBER(J514)),NOT(ISNUMBER(H514)),H514&lt;=0),기준표!$B$8,MIN(MAX(J514/H514,기준표!$B$6),기준표!$B$7))</f>
        <v/>
      </c>
      <c r="AG514" s="17">
        <f>IF(ISNUMBER(AE514),AE514*(1-AF514),"")</f>
        <v/>
      </c>
      <c r="AH514" s="17">
        <f>IF(AND(NOT(ISNUMBER(V514)),NOT(ISNUMBER(X514))),"",IF(ISNUMBER(V514),V514,0)+IF(ISNUMBER(X514),X514,0))</f>
        <v/>
      </c>
      <c r="AI514" s="17">
        <f>IF(E514="금융","",IF(AND(ISNUMBER(R514),ISNUMBER(AH514),ISNUMBER(T514)),R514+AH514-T514,""))</f>
        <v/>
      </c>
      <c r="AJ514" s="17">
        <f>IF(E514="금융","",IF(NOT(ISNUMBER(AI514)),"",IF(ISNUMBER(AC514),(AI514+AC514)/2,AI514)))</f>
        <v/>
      </c>
      <c r="AK514" s="19">
        <f>IF(AND(ISNUMBER(AG514),ISNUMBER(AJ514),AJ514&gt;0),AG514/AJ514,"")</f>
        <v/>
      </c>
      <c r="AL514" s="17">
        <f>IF(E514="금융","",IF(AND(ISNUMBER(R514),ISNUMBER(AH514)),R514+AH514,""))</f>
        <v/>
      </c>
      <c r="AM514" s="19">
        <f>IF(OR(NOT(ISNUMBER(AG514)),NOT(ISNUMBER(AL514)),AL514&lt;=0),"",IF(AND(ISNUMBER(G514),AL514&lt;0.1*G514),"",AG514/AL514))</f>
        <v/>
      </c>
      <c r="AN514" s="17">
        <f>IF(NOT(ISNUMBER(R514)),"",IF(ISNUMBER(S514),(R514+S514)/2,R514))</f>
        <v/>
      </c>
      <c r="AO514" s="19">
        <f>IF(AND(ISNUMBER(L514),ISNUMBER(AN514),AN514&gt;0),L514/AN514,"")</f>
        <v/>
      </c>
      <c r="AP514" s="19">
        <f>IF(AND(ISNUMBER(AO514),ISNUMBER({ROIC})),AO514-{ROIC},"")</f>
        <v/>
      </c>
      <c r="AQ514" s="17">
        <f>IF(AND(ISNUMBER(AE514),ISNUMBER(N514)),AE514+N514,"")</f>
        <v/>
      </c>
      <c r="AR514" s="20">
        <f>IF(AND(ISNUMBER(AH514),ISNUMBER(T514),ISNUMBER(AQ514),AQ514&gt;0),(AH514-T514)/AQ514,"")</f>
        <v/>
      </c>
      <c r="AS514" s="20">
        <f>IF(AND(ISNUMBER(AE514),ISNUMBER(I514),I514&lt;&gt;0,AE514&gt;0),AE514/I514,"")</f>
        <v/>
      </c>
      <c r="AT514" s="17">
        <f>IF(AND(ISNUMBER(Y514),ISNUMBER(AA514)),Y514-IF(ISNUMBER(T514),T514,0)-(AA514-IF(ISNUMBER(V514),V514,0)),"")</f>
        <v/>
      </c>
      <c r="AU514" s="17">
        <f>IF(AND(ISNUMBER(Z514),ISNUMBER(AB514)),Z514-IF(ISNUMBER(U514),U514,0)-(AB514-IF(ISNUMBER(W514),W514,0)),"")</f>
        <v/>
      </c>
      <c r="AV514" s="17">
        <f>IF(AND(ISNUMBER(AT514),ISNUMBER(AU514)),AT514-AU514,"")</f>
        <v/>
      </c>
      <c r="AW514" s="17">
        <f>IF(AND(ISNUMBER(L514),ISNUMBER(M514),ISNUMBER(AF514)),L514-M514*(1-AF514),IF(ISNUMBER(L514),L514,""))</f>
        <v/>
      </c>
      <c r="AX514" s="17">
        <f>IF(E514="금융","",IF(AND(ISNUMBER(AW514),ISNUMBER(N514),ISNUMBER(O514),ISNUMBER(AV514)),AW514+N514-O514-AV514,IF(AND(ISNUMBER(P514),ISNUMBER(O514)),P514-O514-IF(ISNUMBER(Q514),Q514,0),"")))</f>
        <v/>
      </c>
      <c r="AY514" s="8">
        <f>IF(E514="금융","금융업 - 정의되지 않음",IF(AND(ISNUMBER(AW514),ISNUMBER(N514),ISNUMBER(O514),ISNUMBER(AV514)),"영업순이익+감가상각-설비투자-운전자본증감",IF(AND(ISNUMBER(P514),ISNUMBER(O514)),IF(ISNUMBER(Q514),"영업현금흐름-설비투자-주식보상비용","영업현금흐름-설비투자(주식보상비용 미태깅)"),"산출불가")))</f>
        <v/>
      </c>
      <c r="AZ514" s="19">
        <f>IF(AND(ISNUMBER(AX514),ISNUMBER(G514),G514&lt;&gt;0),AX514/G514,"")</f>
        <v/>
      </c>
      <c r="BA514" s="19">
        <f>IF(AND(ISNUMBER(AE514),ISNUMBER(G514),G514&lt;&gt;0),AE514/G514,"")</f>
        <v/>
      </c>
    </row>
    <row r="515">
      <c r="A515" s="8" t="inlineStr">
        <is>
          <t>GEV</t>
        </is>
      </c>
      <c r="B515" s="8" t="inlineStr">
        <is>
          <t>GE Vernova Inc.</t>
        </is>
      </c>
      <c r="C515" s="8" t="n">
        <v>2022</v>
      </c>
      <c r="D515" s="8" t="inlineStr">
        <is>
          <t>2022-12-31</t>
        </is>
      </c>
      <c r="E515" s="8" t="inlineStr">
        <is>
          <t>일반</t>
        </is>
      </c>
      <c r="F515" s="8" t="inlineStr">
        <is>
          <t>0001996810-25-000011</t>
        </is>
      </c>
      <c r="G515" s="15" t="n">
        <v>29.654</v>
      </c>
      <c r="H515" s="15" t="n">
        <v>-2.474</v>
      </c>
      <c r="I515" s="15" t="n"/>
      <c r="J515" s="15" t="n">
        <v>0.248</v>
      </c>
      <c r="K515" s="15" t="n">
        <v>-2.881</v>
      </c>
      <c r="L515" s="15" t="n">
        <v>-2.736</v>
      </c>
      <c r="M515" s="15" t="n"/>
      <c r="N515" s="15" t="n">
        <v>0.779</v>
      </c>
      <c r="O515" s="15" t="n">
        <v>0.513</v>
      </c>
      <c r="P515" s="15" t="n">
        <v>-0.114</v>
      </c>
      <c r="Q515" s="15" t="n"/>
      <c r="R515" s="15" t="n">
        <v>11.607</v>
      </c>
      <c r="S515" s="15" t="n"/>
      <c r="T515" s="15" t="n">
        <v>2.067</v>
      </c>
      <c r="U515" s="15" t="n"/>
      <c r="V515" s="15" t="n"/>
      <c r="W515" s="15" t="n"/>
      <c r="X515" s="15" t="n"/>
      <c r="Y515" s="15" t="n"/>
      <c r="Z515" s="15" t="n"/>
      <c r="AA515" s="15" t="n"/>
      <c r="AB515" s="15" t="n"/>
      <c r="AC515" s="15" t="n"/>
      <c r="AD515" s="16" t="n">
        <v>274</v>
      </c>
      <c r="AE515" s="17">
        <f>IF(ISNUMBER(K515),K515,IF(AND(ISNUMBER(H515),ISNUMBER(I515)),H515+I515,IF(ISNUMBER(H515),H515,"")))</f>
        <v/>
      </c>
      <c r="AF515" s="18">
        <f>IF(OR(NOT(ISNUMBER(J515)),NOT(ISNUMBER(H515)),H515&lt;=0),기준표!$B$8,MIN(MAX(J515/H515,기준표!$B$6),기준표!$B$7))</f>
        <v/>
      </c>
      <c r="AG515" s="17">
        <f>IF(ISNUMBER(AE515),AE515*(1-AF515),"")</f>
        <v/>
      </c>
      <c r="AH515" s="17">
        <f>IF(AND(NOT(ISNUMBER(V515)),NOT(ISNUMBER(X515))),"",IF(ISNUMBER(V515),V515,0)+IF(ISNUMBER(X515),X515,0))</f>
        <v/>
      </c>
      <c r="AI515" s="17">
        <f>IF(E515="금융","",IF(AND(ISNUMBER(R515),ISNUMBER(AH515),ISNUMBER(T515)),R515+AH515-T515,""))</f>
        <v/>
      </c>
      <c r="AJ515" s="17">
        <f>IF(E515="금융","",IF(NOT(ISNUMBER(AI515)),"",IF(ISNUMBER(AC515),(AI515+AC515)/2,AI515)))</f>
        <v/>
      </c>
      <c r="AK515" s="19">
        <f>IF(AND(ISNUMBER(AG515),ISNUMBER(AJ515),AJ515&gt;0),AG515/AJ515,"")</f>
        <v/>
      </c>
      <c r="AL515" s="17">
        <f>IF(E515="금융","",IF(AND(ISNUMBER(R515),ISNUMBER(AH515)),R515+AH515,""))</f>
        <v/>
      </c>
      <c r="AM515" s="19">
        <f>IF(OR(NOT(ISNUMBER(AG515)),NOT(ISNUMBER(AL515)),AL515&lt;=0),"",IF(AND(ISNUMBER(G515),AL515&lt;0.1*G515),"",AG515/AL515))</f>
        <v/>
      </c>
      <c r="AN515" s="17">
        <f>IF(NOT(ISNUMBER(R515)),"",IF(ISNUMBER(S515),(R515+S515)/2,R515))</f>
        <v/>
      </c>
      <c r="AO515" s="19">
        <f>IF(AND(ISNUMBER(L515),ISNUMBER(AN515),AN515&gt;0),L515/AN515,"")</f>
        <v/>
      </c>
      <c r="AP515" s="19">
        <f>IF(AND(ISNUMBER(AO515),ISNUMBER({ROIC})),AO515-{ROIC},"")</f>
        <v/>
      </c>
      <c r="AQ515" s="17">
        <f>IF(AND(ISNUMBER(AE515),ISNUMBER(N515)),AE515+N515,"")</f>
        <v/>
      </c>
      <c r="AR515" s="20">
        <f>IF(AND(ISNUMBER(AH515),ISNUMBER(T515),ISNUMBER(AQ515),AQ515&gt;0),(AH515-T515)/AQ515,"")</f>
        <v/>
      </c>
      <c r="AS515" s="20">
        <f>IF(AND(ISNUMBER(AE515),ISNUMBER(I515),I515&lt;&gt;0,AE515&gt;0),AE515/I515,"")</f>
        <v/>
      </c>
      <c r="AT515" s="17">
        <f>IF(AND(ISNUMBER(Y515),ISNUMBER(AA515)),Y515-IF(ISNUMBER(T515),T515,0)-(AA515-IF(ISNUMBER(V515),V515,0)),"")</f>
        <v/>
      </c>
      <c r="AU515" s="17">
        <f>IF(AND(ISNUMBER(Z515),ISNUMBER(AB515)),Z515-IF(ISNUMBER(U515),U515,0)-(AB515-IF(ISNUMBER(W515),W515,0)),"")</f>
        <v/>
      </c>
      <c r="AV515" s="17">
        <f>IF(AND(ISNUMBER(AT515),ISNUMBER(AU515)),AT515-AU515,"")</f>
        <v/>
      </c>
      <c r="AW515" s="17">
        <f>IF(AND(ISNUMBER(L515),ISNUMBER(M515),ISNUMBER(AF515)),L515-M515*(1-AF515),IF(ISNUMBER(L515),L515,""))</f>
        <v/>
      </c>
      <c r="AX515" s="17">
        <f>IF(E515="금융","",IF(AND(ISNUMBER(AW515),ISNUMBER(N515),ISNUMBER(O515),ISNUMBER(AV515)),AW515+N515-O515-AV515,IF(AND(ISNUMBER(P515),ISNUMBER(O515)),P515-O515-IF(ISNUMBER(Q515),Q515,0),"")))</f>
        <v/>
      </c>
      <c r="AY515" s="8">
        <f>IF(E515="금융","금융업 - 정의되지 않음",IF(AND(ISNUMBER(AW515),ISNUMBER(N515),ISNUMBER(O515),ISNUMBER(AV515)),"영업순이익+감가상각-설비투자-운전자본증감",IF(AND(ISNUMBER(P515),ISNUMBER(O515)),IF(ISNUMBER(Q515),"영업현금흐름-설비투자-주식보상비용","영업현금흐름-설비투자(주식보상비용 미태깅)"),"산출불가")))</f>
        <v/>
      </c>
      <c r="AZ515" s="19">
        <f>IF(AND(ISNUMBER(AX515),ISNUMBER(G515),G515&lt;&gt;0),AX515/G515,"")</f>
        <v/>
      </c>
      <c r="BA515" s="19">
        <f>IF(AND(ISNUMBER(AE515),ISNUMBER(G515),G515&lt;&gt;0),AE515/G515,"")</f>
        <v/>
      </c>
    </row>
    <row r="516">
      <c r="A516" s="8" t="inlineStr">
        <is>
          <t>GEV</t>
        </is>
      </c>
      <c r="B516" s="8" t="inlineStr">
        <is>
          <t>GE Vernova Inc.</t>
        </is>
      </c>
      <c r="C516" s="8" t="n">
        <v>2023</v>
      </c>
      <c r="D516" s="8" t="inlineStr">
        <is>
          <t>2023-12-31</t>
        </is>
      </c>
      <c r="E516" s="8" t="inlineStr">
        <is>
          <t>일반</t>
        </is>
      </c>
      <c r="F516" s="8" t="inlineStr">
        <is>
          <t>0001996810-26-000015</t>
        </is>
      </c>
      <c r="G516" s="15" t="n">
        <v>33.239</v>
      </c>
      <c r="H516" s="15" t="n">
        <v>-0.13</v>
      </c>
      <c r="I516" s="15" t="n"/>
      <c r="J516" s="15" t="n">
        <v>0.344</v>
      </c>
      <c r="K516" s="15" t="n">
        <v>-0.923</v>
      </c>
      <c r="L516" s="15" t="n">
        <v>-0.438</v>
      </c>
      <c r="M516" s="15" t="n"/>
      <c r="N516" s="15" t="n">
        <v>0.724</v>
      </c>
      <c r="O516" s="15" t="n">
        <v>0.744</v>
      </c>
      <c r="P516" s="15" t="n">
        <v>1.186</v>
      </c>
      <c r="Q516" s="15" t="n"/>
      <c r="R516" s="15" t="n">
        <v>8.380000000000001</v>
      </c>
      <c r="S516" s="15" t="n">
        <v>11.607</v>
      </c>
      <c r="T516" s="15" t="n">
        <v>4.2</v>
      </c>
      <c r="U516" s="15" t="n">
        <v>2.067</v>
      </c>
      <c r="V516" s="15" t="n">
        <v>0.145</v>
      </c>
      <c r="W516" s="15" t="n"/>
      <c r="X516" s="15" t="n"/>
      <c r="Y516" s="15" t="n">
        <v>27.428</v>
      </c>
      <c r="Z516" s="15" t="n"/>
      <c r="AA516" s="15" t="n">
        <v>29.306</v>
      </c>
      <c r="AB516" s="15" t="n"/>
      <c r="AC516" s="15" t="n"/>
      <c r="AD516" s="16" t="n">
        <v>274</v>
      </c>
      <c r="AE516" s="17">
        <f>IF(ISNUMBER(K516),K516,IF(AND(ISNUMBER(H516),ISNUMBER(I516)),H516+I516,IF(ISNUMBER(H516),H516,"")))</f>
        <v/>
      </c>
      <c r="AF516" s="18">
        <f>IF(OR(NOT(ISNUMBER(J516)),NOT(ISNUMBER(H516)),H516&lt;=0),기준표!$B$8,MIN(MAX(J516/H516,기준표!$B$6),기준표!$B$7))</f>
        <v/>
      </c>
      <c r="AG516" s="17">
        <f>IF(ISNUMBER(AE516),AE516*(1-AF516),"")</f>
        <v/>
      </c>
      <c r="AH516" s="17">
        <f>IF(AND(NOT(ISNUMBER(V516)),NOT(ISNUMBER(X516))),"",IF(ISNUMBER(V516),V516,0)+IF(ISNUMBER(X516),X516,0))</f>
        <v/>
      </c>
      <c r="AI516" s="17">
        <f>IF(E516="금융","",IF(AND(ISNUMBER(R516),ISNUMBER(AH516),ISNUMBER(T516)),R516+AH516-T516,""))</f>
        <v/>
      </c>
      <c r="AJ516" s="17">
        <f>IF(E516="금융","",IF(NOT(ISNUMBER(AI516)),"",IF(ISNUMBER(AC516),(AI516+AC516)/2,AI516)))</f>
        <v/>
      </c>
      <c r="AK516" s="19">
        <f>IF(AND(ISNUMBER(AG516),ISNUMBER(AJ516),AJ516&gt;0),AG516/AJ516,"")</f>
        <v/>
      </c>
      <c r="AL516" s="17">
        <f>IF(E516="금융","",IF(AND(ISNUMBER(R516),ISNUMBER(AH516)),R516+AH516,""))</f>
        <v/>
      </c>
      <c r="AM516" s="19">
        <f>IF(OR(NOT(ISNUMBER(AG516)),NOT(ISNUMBER(AL516)),AL516&lt;=0),"",IF(AND(ISNUMBER(G516),AL516&lt;0.1*G516),"",AG516/AL516))</f>
        <v/>
      </c>
      <c r="AN516" s="17">
        <f>IF(NOT(ISNUMBER(R516)),"",IF(ISNUMBER(S516),(R516+S516)/2,R516))</f>
        <v/>
      </c>
      <c r="AO516" s="19">
        <f>IF(AND(ISNUMBER(L516),ISNUMBER(AN516),AN516&gt;0),L516/AN516,"")</f>
        <v/>
      </c>
      <c r="AP516" s="19">
        <f>IF(AND(ISNUMBER(AO516),ISNUMBER({ROIC})),AO516-{ROIC},"")</f>
        <v/>
      </c>
      <c r="AQ516" s="17">
        <f>IF(AND(ISNUMBER(AE516),ISNUMBER(N516)),AE516+N516,"")</f>
        <v/>
      </c>
      <c r="AR516" s="20">
        <f>IF(AND(ISNUMBER(AH516),ISNUMBER(T516),ISNUMBER(AQ516),AQ516&gt;0),(AH516-T516)/AQ516,"")</f>
        <v/>
      </c>
      <c r="AS516" s="20">
        <f>IF(AND(ISNUMBER(AE516),ISNUMBER(I516),I516&lt;&gt;0,AE516&gt;0),AE516/I516,"")</f>
        <v/>
      </c>
      <c r="AT516" s="17">
        <f>IF(AND(ISNUMBER(Y516),ISNUMBER(AA516)),Y516-IF(ISNUMBER(T516),T516,0)-(AA516-IF(ISNUMBER(V516),V516,0)),"")</f>
        <v/>
      </c>
      <c r="AU516" s="17">
        <f>IF(AND(ISNUMBER(Z516),ISNUMBER(AB516)),Z516-IF(ISNUMBER(U516),U516,0)-(AB516-IF(ISNUMBER(W516),W516,0)),"")</f>
        <v/>
      </c>
      <c r="AV516" s="17">
        <f>IF(AND(ISNUMBER(AT516),ISNUMBER(AU516)),AT516-AU516,"")</f>
        <v/>
      </c>
      <c r="AW516" s="17">
        <f>IF(AND(ISNUMBER(L516),ISNUMBER(M516),ISNUMBER(AF516)),L516-M516*(1-AF516),IF(ISNUMBER(L516),L516,""))</f>
        <v/>
      </c>
      <c r="AX516" s="17">
        <f>IF(E516="금융","",IF(AND(ISNUMBER(AW516),ISNUMBER(N516),ISNUMBER(O516),ISNUMBER(AV516)),AW516+N516-O516-AV516,IF(AND(ISNUMBER(P516),ISNUMBER(O516)),P516-O516-IF(ISNUMBER(Q516),Q516,0),"")))</f>
        <v/>
      </c>
      <c r="AY516" s="8">
        <f>IF(E516="금융","금융업 - 정의되지 않음",IF(AND(ISNUMBER(AW516),ISNUMBER(N516),ISNUMBER(O516),ISNUMBER(AV516)),"영업순이익+감가상각-설비투자-운전자본증감",IF(AND(ISNUMBER(P516),ISNUMBER(O516)),IF(ISNUMBER(Q516),"영업현금흐름-설비투자-주식보상비용","영업현금흐름-설비투자(주식보상비용 미태깅)"),"산출불가")))</f>
        <v/>
      </c>
      <c r="AZ516" s="19">
        <f>IF(AND(ISNUMBER(AX516),ISNUMBER(G516),G516&lt;&gt;0),AX516/G516,"")</f>
        <v/>
      </c>
      <c r="BA516" s="19">
        <f>IF(AND(ISNUMBER(AE516),ISNUMBER(G516),G516&lt;&gt;0),AE516/G516,"")</f>
        <v/>
      </c>
    </row>
    <row r="517">
      <c r="A517" s="8" t="inlineStr">
        <is>
          <t>GEV</t>
        </is>
      </c>
      <c r="B517" s="8" t="inlineStr">
        <is>
          <t>GE Vernova Inc.</t>
        </is>
      </c>
      <c r="C517" s="8" t="n">
        <v>2024</v>
      </c>
      <c r="D517" s="8" t="inlineStr">
        <is>
          <t>2024-12-31</t>
        </is>
      </c>
      <c r="E517" s="8" t="inlineStr">
        <is>
          <t>일반</t>
        </is>
      </c>
      <c r="F517" s="8" t="inlineStr">
        <is>
          <t>0001996810-26-000015</t>
        </is>
      </c>
      <c r="G517" s="15" t="n">
        <v>34.935</v>
      </c>
      <c r="H517" s="15" t="n">
        <v>2.498</v>
      </c>
      <c r="I517" s="15" t="n"/>
      <c r="J517" s="15" t="n">
        <v>0.9389999999999999</v>
      </c>
      <c r="K517" s="15" t="n">
        <v>0.471</v>
      </c>
      <c r="L517" s="15" t="n">
        <v>1.552</v>
      </c>
      <c r="M517" s="15" t="n"/>
      <c r="N517" s="15" t="n">
        <v>0.895</v>
      </c>
      <c r="O517" s="15" t="n">
        <v>0.883</v>
      </c>
      <c r="P517" s="15" t="n">
        <v>2.583</v>
      </c>
      <c r="Q517" s="15" t="n">
        <v>0.155</v>
      </c>
      <c r="R517" s="15" t="n">
        <v>10.593</v>
      </c>
      <c r="S517" s="15" t="n">
        <v>8.380000000000001</v>
      </c>
      <c r="T517" s="15" t="n">
        <v>8.205</v>
      </c>
      <c r="U517" s="15" t="n">
        <v>4.2</v>
      </c>
      <c r="V517" s="15" t="n">
        <v>0.06</v>
      </c>
      <c r="W517" s="15" t="n">
        <v>0.145</v>
      </c>
      <c r="X517" s="15" t="n"/>
      <c r="Y517" s="15" t="n">
        <v>34.153</v>
      </c>
      <c r="Z517" s="15" t="n">
        <v>27.428</v>
      </c>
      <c r="AA517" s="15" t="n">
        <v>31.685</v>
      </c>
      <c r="AB517" s="15" t="n">
        <v>29.306</v>
      </c>
      <c r="AC517" s="15" t="n">
        <v>4.325</v>
      </c>
      <c r="AD517" s="16" t="n">
        <v>278</v>
      </c>
      <c r="AE517" s="17">
        <f>IF(ISNUMBER(K517),K517,IF(AND(ISNUMBER(H517),ISNUMBER(I517)),H517+I517,IF(ISNUMBER(H517),H517,"")))</f>
        <v/>
      </c>
      <c r="AF517" s="18">
        <f>IF(OR(NOT(ISNUMBER(J517)),NOT(ISNUMBER(H517)),H517&lt;=0),기준표!$B$8,MIN(MAX(J517/H517,기준표!$B$6),기준표!$B$7))</f>
        <v/>
      </c>
      <c r="AG517" s="17">
        <f>IF(ISNUMBER(AE517),AE517*(1-AF517),"")</f>
        <v/>
      </c>
      <c r="AH517" s="17">
        <f>IF(AND(NOT(ISNUMBER(V517)),NOT(ISNUMBER(X517))),"",IF(ISNUMBER(V517),V517,0)+IF(ISNUMBER(X517),X517,0))</f>
        <v/>
      </c>
      <c r="AI517" s="17">
        <f>IF(E517="금융","",IF(AND(ISNUMBER(R517),ISNUMBER(AH517),ISNUMBER(T517)),R517+AH517-T517,""))</f>
        <v/>
      </c>
      <c r="AJ517" s="17">
        <f>IF(E517="금융","",IF(NOT(ISNUMBER(AI517)),"",IF(ISNUMBER(AC517),(AI517+AC517)/2,AI517)))</f>
        <v/>
      </c>
      <c r="AK517" s="19">
        <f>IF(AND(ISNUMBER(AG517),ISNUMBER(AJ517),AJ517&gt;0),AG517/AJ517,"")</f>
        <v/>
      </c>
      <c r="AL517" s="17">
        <f>IF(E517="금융","",IF(AND(ISNUMBER(R517),ISNUMBER(AH517)),R517+AH517,""))</f>
        <v/>
      </c>
      <c r="AM517" s="19">
        <f>IF(OR(NOT(ISNUMBER(AG517)),NOT(ISNUMBER(AL517)),AL517&lt;=0),"",IF(AND(ISNUMBER(G517),AL517&lt;0.1*G517),"",AG517/AL517))</f>
        <v/>
      </c>
      <c r="AN517" s="17">
        <f>IF(NOT(ISNUMBER(R517)),"",IF(ISNUMBER(S517),(R517+S517)/2,R517))</f>
        <v/>
      </c>
      <c r="AO517" s="19">
        <f>IF(AND(ISNUMBER(L517),ISNUMBER(AN517),AN517&gt;0),L517/AN517,"")</f>
        <v/>
      </c>
      <c r="AP517" s="19">
        <f>IF(AND(ISNUMBER(AO517),ISNUMBER({ROIC})),AO517-{ROIC},"")</f>
        <v/>
      </c>
      <c r="AQ517" s="17">
        <f>IF(AND(ISNUMBER(AE517),ISNUMBER(N517)),AE517+N517,"")</f>
        <v/>
      </c>
      <c r="AR517" s="20">
        <f>IF(AND(ISNUMBER(AH517),ISNUMBER(T517),ISNUMBER(AQ517),AQ517&gt;0),(AH517-T517)/AQ517,"")</f>
        <v/>
      </c>
      <c r="AS517" s="20">
        <f>IF(AND(ISNUMBER(AE517),ISNUMBER(I517),I517&lt;&gt;0,AE517&gt;0),AE517/I517,"")</f>
        <v/>
      </c>
      <c r="AT517" s="17">
        <f>IF(AND(ISNUMBER(Y517),ISNUMBER(AA517)),Y517-IF(ISNUMBER(T517),T517,0)-(AA517-IF(ISNUMBER(V517),V517,0)),"")</f>
        <v/>
      </c>
      <c r="AU517" s="17">
        <f>IF(AND(ISNUMBER(Z517),ISNUMBER(AB517)),Z517-IF(ISNUMBER(U517),U517,0)-(AB517-IF(ISNUMBER(W517),W517,0)),"")</f>
        <v/>
      </c>
      <c r="AV517" s="17">
        <f>IF(AND(ISNUMBER(AT517),ISNUMBER(AU517)),AT517-AU517,"")</f>
        <v/>
      </c>
      <c r="AW517" s="17">
        <f>IF(AND(ISNUMBER(L517),ISNUMBER(M517),ISNUMBER(AF517)),L517-M517*(1-AF517),IF(ISNUMBER(L517),L517,""))</f>
        <v/>
      </c>
      <c r="AX517" s="17">
        <f>IF(E517="금융","",IF(AND(ISNUMBER(AW517),ISNUMBER(N517),ISNUMBER(O517),ISNUMBER(AV517)),AW517+N517-O517-AV517,IF(AND(ISNUMBER(P517),ISNUMBER(O517)),P517-O517-IF(ISNUMBER(Q517),Q517,0),"")))</f>
        <v/>
      </c>
      <c r="AY517" s="8">
        <f>IF(E517="금융","금융업 - 정의되지 않음",IF(AND(ISNUMBER(AW517),ISNUMBER(N517),ISNUMBER(O517),ISNUMBER(AV517)),"영업순이익+감가상각-설비투자-운전자본증감",IF(AND(ISNUMBER(P517),ISNUMBER(O517)),IF(ISNUMBER(Q517),"영업현금흐름-설비투자-주식보상비용","영업현금흐름-설비투자(주식보상비용 미태깅)"),"산출불가")))</f>
        <v/>
      </c>
      <c r="AZ517" s="19">
        <f>IF(AND(ISNUMBER(AX517),ISNUMBER(G517),G517&lt;&gt;0),AX517/G517,"")</f>
        <v/>
      </c>
      <c r="BA517" s="19">
        <f>IF(AND(ISNUMBER(AE517),ISNUMBER(G517),G517&lt;&gt;0),AE517/G517,"")</f>
        <v/>
      </c>
    </row>
    <row r="518">
      <c r="A518" s="8" t="inlineStr">
        <is>
          <t>GEV</t>
        </is>
      </c>
      <c r="B518" s="8" t="inlineStr">
        <is>
          <t>GE Vernova Inc.</t>
        </is>
      </c>
      <c r="C518" s="8" t="n">
        <v>2025</v>
      </c>
      <c r="D518" s="8" t="inlineStr">
        <is>
          <t>2025-12-31</t>
        </is>
      </c>
      <c r="E518" s="8" t="inlineStr">
        <is>
          <t>일반</t>
        </is>
      </c>
      <c r="F518" s="8" t="inlineStr">
        <is>
          <t>0001996810-26-000015</t>
        </is>
      </c>
      <c r="G518" s="15" t="n">
        <v>38.068</v>
      </c>
      <c r="H518" s="15" t="n">
        <v>2.828</v>
      </c>
      <c r="I518" s="15" t="n"/>
      <c r="J518" s="15" t="n">
        <v>-2.051</v>
      </c>
      <c r="K518" s="15" t="n">
        <v>1.388</v>
      </c>
      <c r="L518" s="15" t="n">
        <v>4.884</v>
      </c>
      <c r="M518" s="15" t="n"/>
      <c r="N518" s="15" t="n">
        <v>0.615</v>
      </c>
      <c r="O518" s="15" t="n">
        <v>1.277</v>
      </c>
      <c r="P518" s="15" t="n">
        <v>4.987</v>
      </c>
      <c r="Q518" s="15" t="n">
        <v>0.257</v>
      </c>
      <c r="R518" s="15" t="n">
        <v>12.296</v>
      </c>
      <c r="S518" s="15" t="n">
        <v>10.593</v>
      </c>
      <c r="T518" s="15" t="n">
        <v>8.848000000000001</v>
      </c>
      <c r="U518" s="15" t="n">
        <v>8.205</v>
      </c>
      <c r="V518" s="15" t="n">
        <v>0.063</v>
      </c>
      <c r="W518" s="15" t="n">
        <v>0.06</v>
      </c>
      <c r="X518" s="15" t="n"/>
      <c r="Y518" s="15" t="n">
        <v>40.216</v>
      </c>
      <c r="Z518" s="15" t="n">
        <v>34.153</v>
      </c>
      <c r="AA518" s="15" t="n">
        <v>40.972</v>
      </c>
      <c r="AB518" s="15" t="n">
        <v>31.685</v>
      </c>
      <c r="AC518" s="15" t="n">
        <v>2.448</v>
      </c>
      <c r="AD518" s="16" t="n">
        <v>276</v>
      </c>
      <c r="AE518" s="17">
        <f>IF(ISNUMBER(K518),K518,IF(AND(ISNUMBER(H518),ISNUMBER(I518)),H518+I518,IF(ISNUMBER(H518),H518,"")))</f>
        <v/>
      </c>
      <c r="AF518" s="18">
        <f>IF(OR(NOT(ISNUMBER(J518)),NOT(ISNUMBER(H518)),H518&lt;=0),기준표!$B$8,MIN(MAX(J518/H518,기준표!$B$6),기준표!$B$7))</f>
        <v/>
      </c>
      <c r="AG518" s="17">
        <f>IF(ISNUMBER(AE518),AE518*(1-AF518),"")</f>
        <v/>
      </c>
      <c r="AH518" s="17">
        <f>IF(AND(NOT(ISNUMBER(V518)),NOT(ISNUMBER(X518))),"",IF(ISNUMBER(V518),V518,0)+IF(ISNUMBER(X518),X518,0))</f>
        <v/>
      </c>
      <c r="AI518" s="17">
        <f>IF(E518="금융","",IF(AND(ISNUMBER(R518),ISNUMBER(AH518),ISNUMBER(T518)),R518+AH518-T518,""))</f>
        <v/>
      </c>
      <c r="AJ518" s="17">
        <f>IF(E518="금융","",IF(NOT(ISNUMBER(AI518)),"",IF(ISNUMBER(AC518),(AI518+AC518)/2,AI518)))</f>
        <v/>
      </c>
      <c r="AK518" s="19">
        <f>IF(AND(ISNUMBER(AG518),ISNUMBER(AJ518),AJ518&gt;0),AG518/AJ518,"")</f>
        <v/>
      </c>
      <c r="AL518" s="17">
        <f>IF(E518="금융","",IF(AND(ISNUMBER(R518),ISNUMBER(AH518)),R518+AH518,""))</f>
        <v/>
      </c>
      <c r="AM518" s="19">
        <f>IF(OR(NOT(ISNUMBER(AG518)),NOT(ISNUMBER(AL518)),AL518&lt;=0),"",IF(AND(ISNUMBER(G518),AL518&lt;0.1*G518),"",AG518/AL518))</f>
        <v/>
      </c>
      <c r="AN518" s="17">
        <f>IF(NOT(ISNUMBER(R518)),"",IF(ISNUMBER(S518),(R518+S518)/2,R518))</f>
        <v/>
      </c>
      <c r="AO518" s="19">
        <f>IF(AND(ISNUMBER(L518),ISNUMBER(AN518),AN518&gt;0),L518/AN518,"")</f>
        <v/>
      </c>
      <c r="AP518" s="19">
        <f>IF(AND(ISNUMBER(AO518),ISNUMBER({ROIC})),AO518-{ROIC},"")</f>
        <v/>
      </c>
      <c r="AQ518" s="17">
        <f>IF(AND(ISNUMBER(AE518),ISNUMBER(N518)),AE518+N518,"")</f>
        <v/>
      </c>
      <c r="AR518" s="20">
        <f>IF(AND(ISNUMBER(AH518),ISNUMBER(T518),ISNUMBER(AQ518),AQ518&gt;0),(AH518-T518)/AQ518,"")</f>
        <v/>
      </c>
      <c r="AS518" s="20">
        <f>IF(AND(ISNUMBER(AE518),ISNUMBER(I518),I518&lt;&gt;0,AE518&gt;0),AE518/I518,"")</f>
        <v/>
      </c>
      <c r="AT518" s="17">
        <f>IF(AND(ISNUMBER(Y518),ISNUMBER(AA518)),Y518-IF(ISNUMBER(T518),T518,0)-(AA518-IF(ISNUMBER(V518),V518,0)),"")</f>
        <v/>
      </c>
      <c r="AU518" s="17">
        <f>IF(AND(ISNUMBER(Z518),ISNUMBER(AB518)),Z518-IF(ISNUMBER(U518),U518,0)-(AB518-IF(ISNUMBER(W518),W518,0)),"")</f>
        <v/>
      </c>
      <c r="AV518" s="17">
        <f>IF(AND(ISNUMBER(AT518),ISNUMBER(AU518)),AT518-AU518,"")</f>
        <v/>
      </c>
      <c r="AW518" s="17">
        <f>IF(AND(ISNUMBER(L518),ISNUMBER(M518),ISNUMBER(AF518)),L518-M518*(1-AF518),IF(ISNUMBER(L518),L518,""))</f>
        <v/>
      </c>
      <c r="AX518" s="17">
        <f>IF(E518="금융","",IF(AND(ISNUMBER(AW518),ISNUMBER(N518),ISNUMBER(O518),ISNUMBER(AV518)),AW518+N518-O518-AV518,IF(AND(ISNUMBER(P518),ISNUMBER(O518)),P518-O518-IF(ISNUMBER(Q518),Q518,0),"")))</f>
        <v/>
      </c>
      <c r="AY518" s="8">
        <f>IF(E518="금융","금융업 - 정의되지 않음",IF(AND(ISNUMBER(AW518),ISNUMBER(N518),ISNUMBER(O518),ISNUMBER(AV518)),"영업순이익+감가상각-설비투자-운전자본증감",IF(AND(ISNUMBER(P518),ISNUMBER(O518)),IF(ISNUMBER(Q518),"영업현금흐름-설비투자-주식보상비용","영업현금흐름-설비투자(주식보상비용 미태깅)"),"산출불가")))</f>
        <v/>
      </c>
      <c r="AZ518" s="19">
        <f>IF(AND(ISNUMBER(AX518),ISNUMBER(G518),G518&lt;&gt;0),AX518/G518,"")</f>
        <v/>
      </c>
      <c r="BA518" s="19">
        <f>IF(AND(ISNUMBER(AE518),ISNUMBER(G518),G518&lt;&gt;0),AE518/G518,"")</f>
        <v/>
      </c>
    </row>
    <row r="519">
      <c r="A519" s="8" t="inlineStr">
        <is>
          <t>TXN</t>
        </is>
      </c>
      <c r="B519" s="8" t="inlineStr">
        <is>
          <t>TEXAS INSTRUMENTS INC</t>
        </is>
      </c>
      <c r="C519" s="8" t="n">
        <v>2014</v>
      </c>
      <c r="D519" s="8" t="inlineStr">
        <is>
          <t>2014-12-31</t>
        </is>
      </c>
      <c r="E519" s="8" t="inlineStr">
        <is>
          <t>일반</t>
        </is>
      </c>
      <c r="F519" s="8" t="inlineStr">
        <is>
          <t>0001564590-17-002142</t>
        </is>
      </c>
      <c r="G519" s="15" t="n"/>
      <c r="H519" s="15" t="n">
        <v>3.874</v>
      </c>
      <c r="I519" s="15" t="n">
        <v>0.094</v>
      </c>
      <c r="J519" s="15" t="n">
        <v>1.053</v>
      </c>
      <c r="K519" s="15" t="n">
        <v>3.947</v>
      </c>
      <c r="L519" s="15" t="n">
        <v>2.821</v>
      </c>
      <c r="M519" s="15" t="n">
        <v>0.005</v>
      </c>
      <c r="N519" s="15" t="n">
        <v>0.85</v>
      </c>
      <c r="O519" s="15" t="n">
        <v>0.385</v>
      </c>
      <c r="P519" s="15" t="n"/>
      <c r="Q519" s="15" t="n">
        <v>0.277</v>
      </c>
      <c r="R519" s="15" t="n">
        <v>10.39</v>
      </c>
      <c r="S519" s="15" t="n"/>
      <c r="T519" s="15" t="n">
        <v>3.541</v>
      </c>
      <c r="U519" s="15" t="n"/>
      <c r="V519" s="15" t="n">
        <v>1.001</v>
      </c>
      <c r="W519" s="15" t="n"/>
      <c r="X519" s="15" t="n">
        <v>3.63</v>
      </c>
      <c r="Y519" s="15" t="n">
        <v>7.421</v>
      </c>
      <c r="Z519" s="15" t="n"/>
      <c r="AA519" s="15" t="n">
        <v>2.658</v>
      </c>
      <c r="AB519" s="15" t="n"/>
      <c r="AC519" s="15" t="n"/>
      <c r="AD519" s="16" t="n">
        <v>1080</v>
      </c>
      <c r="AE519" s="17">
        <f>IF(ISNUMBER(K519),K519,IF(AND(ISNUMBER(H519),ISNUMBER(I519)),H519+I519,IF(ISNUMBER(H519),H519,"")))</f>
        <v/>
      </c>
      <c r="AF519" s="18">
        <f>IF(OR(NOT(ISNUMBER(J519)),NOT(ISNUMBER(H519)),H519&lt;=0),기준표!$B$8,MIN(MAX(J519/H519,기준표!$B$6),기준표!$B$7))</f>
        <v/>
      </c>
      <c r="AG519" s="17">
        <f>IF(ISNUMBER(AE519),AE519*(1-AF519),"")</f>
        <v/>
      </c>
      <c r="AH519" s="17">
        <f>IF(AND(NOT(ISNUMBER(V519)),NOT(ISNUMBER(X519))),"",IF(ISNUMBER(V519),V519,0)+IF(ISNUMBER(X519),X519,0))</f>
        <v/>
      </c>
      <c r="AI519" s="17">
        <f>IF(E519="금융","",IF(AND(ISNUMBER(R519),ISNUMBER(AH519),ISNUMBER(T519)),R519+AH519-T519,""))</f>
        <v/>
      </c>
      <c r="AJ519" s="17">
        <f>IF(E519="금융","",IF(NOT(ISNUMBER(AI519)),"",IF(ISNUMBER(AC519),(AI519+AC519)/2,AI519)))</f>
        <v/>
      </c>
      <c r="AK519" s="19">
        <f>IF(AND(ISNUMBER(AG519),ISNUMBER(AJ519),AJ519&gt;0),AG519/AJ519,"")</f>
        <v/>
      </c>
      <c r="AL519" s="17">
        <f>IF(E519="금융","",IF(AND(ISNUMBER(R519),ISNUMBER(AH519)),R519+AH519,""))</f>
        <v/>
      </c>
      <c r="AM519" s="19">
        <f>IF(OR(NOT(ISNUMBER(AG519)),NOT(ISNUMBER(AL519)),AL519&lt;=0),"",IF(AND(ISNUMBER(G519),AL519&lt;0.1*G519),"",AG519/AL519))</f>
        <v/>
      </c>
      <c r="AN519" s="17">
        <f>IF(NOT(ISNUMBER(R519)),"",IF(ISNUMBER(S519),(R519+S519)/2,R519))</f>
        <v/>
      </c>
      <c r="AO519" s="19">
        <f>IF(AND(ISNUMBER(L519),ISNUMBER(AN519),AN519&gt;0),L519/AN519,"")</f>
        <v/>
      </c>
      <c r="AP519" s="19">
        <f>IF(AND(ISNUMBER(AO519),ISNUMBER({ROIC})),AO519-{ROIC},"")</f>
        <v/>
      </c>
      <c r="AQ519" s="17">
        <f>IF(AND(ISNUMBER(AE519),ISNUMBER(N519)),AE519+N519,"")</f>
        <v/>
      </c>
      <c r="AR519" s="20">
        <f>IF(AND(ISNUMBER(AH519),ISNUMBER(T519),ISNUMBER(AQ519),AQ519&gt;0),(AH519-T519)/AQ519,"")</f>
        <v/>
      </c>
      <c r="AS519" s="20">
        <f>IF(AND(ISNUMBER(AE519),ISNUMBER(I519),I519&lt;&gt;0,AE519&gt;0),AE519/I519,"")</f>
        <v/>
      </c>
      <c r="AT519" s="17">
        <f>IF(AND(ISNUMBER(Y519),ISNUMBER(AA519)),Y519-IF(ISNUMBER(T519),T519,0)-(AA519-IF(ISNUMBER(V519),V519,0)),"")</f>
        <v/>
      </c>
      <c r="AU519" s="17">
        <f>IF(AND(ISNUMBER(Z519),ISNUMBER(AB519)),Z519-IF(ISNUMBER(U519),U519,0)-(AB519-IF(ISNUMBER(W519),W519,0)),"")</f>
        <v/>
      </c>
      <c r="AV519" s="17">
        <f>IF(AND(ISNUMBER(AT519),ISNUMBER(AU519)),AT519-AU519,"")</f>
        <v/>
      </c>
      <c r="AW519" s="17">
        <f>IF(AND(ISNUMBER(L519),ISNUMBER(M519),ISNUMBER(AF519)),L519-M519*(1-AF519),IF(ISNUMBER(L519),L519,""))</f>
        <v/>
      </c>
      <c r="AX519" s="17">
        <f>IF(E519="금융","",IF(AND(ISNUMBER(AW519),ISNUMBER(N519),ISNUMBER(O519),ISNUMBER(AV519)),AW519+N519-O519-AV519,IF(AND(ISNUMBER(P519),ISNUMBER(O519)),P519-O519-IF(ISNUMBER(Q519),Q519,0),"")))</f>
        <v/>
      </c>
      <c r="AY519" s="8">
        <f>IF(E519="금융","금융업 - 정의되지 않음",IF(AND(ISNUMBER(AW519),ISNUMBER(N519),ISNUMBER(O519),ISNUMBER(AV519)),"영업순이익+감가상각-설비투자-운전자본증감",IF(AND(ISNUMBER(P519),ISNUMBER(O519)),IF(ISNUMBER(Q519),"영업현금흐름-설비투자-주식보상비용","영업현금흐름-설비투자(주식보상비용 미태깅)"),"산출불가")))</f>
        <v/>
      </c>
      <c r="AZ519" s="19">
        <f>IF(AND(ISNUMBER(AX519),ISNUMBER(G519),G519&lt;&gt;0),AX519/G519,"")</f>
        <v/>
      </c>
      <c r="BA519" s="19">
        <f>IF(AND(ISNUMBER(AE519),ISNUMBER(G519),G519&lt;&gt;0),AE519/G519,"")</f>
        <v/>
      </c>
    </row>
    <row r="520">
      <c r="A520" s="8" t="inlineStr">
        <is>
          <t>TXN</t>
        </is>
      </c>
      <c r="B520" s="8" t="inlineStr">
        <is>
          <t>TEXAS INSTRUMENTS INC</t>
        </is>
      </c>
      <c r="C520" s="8" t="n">
        <v>2015</v>
      </c>
      <c r="D520" s="8" t="inlineStr">
        <is>
          <t>2015-12-31</t>
        </is>
      </c>
      <c r="E520" s="8" t="inlineStr">
        <is>
          <t>일반</t>
        </is>
      </c>
      <c r="F520" s="8" t="inlineStr">
        <is>
          <t>0001564590-18-002832</t>
        </is>
      </c>
      <c r="G520" s="15" t="n"/>
      <c r="H520" s="15" t="n">
        <v>4.216</v>
      </c>
      <c r="I520" s="15" t="n">
        <v>0.09</v>
      </c>
      <c r="J520" s="15" t="n">
        <v>1.23</v>
      </c>
      <c r="K520" s="15" t="n">
        <v>4.322</v>
      </c>
      <c r="L520" s="15" t="n">
        <v>2.986</v>
      </c>
      <c r="M520" s="15" t="n">
        <v>0.003</v>
      </c>
      <c r="N520" s="15" t="n">
        <v>0.766</v>
      </c>
      <c r="O520" s="15" t="n">
        <v>0.551</v>
      </c>
      <c r="P520" s="15" t="n"/>
      <c r="Q520" s="15" t="n">
        <v>0.286</v>
      </c>
      <c r="R520" s="15" t="n">
        <v>9.946</v>
      </c>
      <c r="S520" s="15" t="n">
        <v>10.39</v>
      </c>
      <c r="T520" s="15" t="n">
        <v>3.218</v>
      </c>
      <c r="U520" s="15" t="n">
        <v>3.541</v>
      </c>
      <c r="V520" s="15" t="n">
        <v>1</v>
      </c>
      <c r="W520" s="15" t="n">
        <v>1.001</v>
      </c>
      <c r="X520" s="15" t="n">
        <v>3.12</v>
      </c>
      <c r="Y520" s="15" t="n">
        <v>7.074</v>
      </c>
      <c r="Z520" s="15" t="n">
        <v>7.421</v>
      </c>
      <c r="AA520" s="15" t="n">
        <v>2.555</v>
      </c>
      <c r="AB520" s="15" t="n">
        <v>2.658</v>
      </c>
      <c r="AC520" s="15" t="n">
        <v>11.48</v>
      </c>
      <c r="AD520" s="16" t="n">
        <v>1043</v>
      </c>
      <c r="AE520" s="17">
        <f>IF(ISNUMBER(K520),K520,IF(AND(ISNUMBER(H520),ISNUMBER(I520)),H520+I520,IF(ISNUMBER(H520),H520,"")))</f>
        <v/>
      </c>
      <c r="AF520" s="18">
        <f>IF(OR(NOT(ISNUMBER(J520)),NOT(ISNUMBER(H520)),H520&lt;=0),기준표!$B$8,MIN(MAX(J520/H520,기준표!$B$6),기준표!$B$7))</f>
        <v/>
      </c>
      <c r="AG520" s="17">
        <f>IF(ISNUMBER(AE520),AE520*(1-AF520),"")</f>
        <v/>
      </c>
      <c r="AH520" s="17">
        <f>IF(AND(NOT(ISNUMBER(V520)),NOT(ISNUMBER(X520))),"",IF(ISNUMBER(V520),V520,0)+IF(ISNUMBER(X520),X520,0))</f>
        <v/>
      </c>
      <c r="AI520" s="17">
        <f>IF(E520="금융","",IF(AND(ISNUMBER(R520),ISNUMBER(AH520),ISNUMBER(T520)),R520+AH520-T520,""))</f>
        <v/>
      </c>
      <c r="AJ520" s="17">
        <f>IF(E520="금융","",IF(NOT(ISNUMBER(AI520)),"",IF(ISNUMBER(AC520),(AI520+AC520)/2,AI520)))</f>
        <v/>
      </c>
      <c r="AK520" s="19">
        <f>IF(AND(ISNUMBER(AG520),ISNUMBER(AJ520),AJ520&gt;0),AG520/AJ520,"")</f>
        <v/>
      </c>
      <c r="AL520" s="17">
        <f>IF(E520="금융","",IF(AND(ISNUMBER(R520),ISNUMBER(AH520)),R520+AH520,""))</f>
        <v/>
      </c>
      <c r="AM520" s="19">
        <f>IF(OR(NOT(ISNUMBER(AG520)),NOT(ISNUMBER(AL520)),AL520&lt;=0),"",IF(AND(ISNUMBER(G520),AL520&lt;0.1*G520),"",AG520/AL520))</f>
        <v/>
      </c>
      <c r="AN520" s="17">
        <f>IF(NOT(ISNUMBER(R520)),"",IF(ISNUMBER(S520),(R520+S520)/2,R520))</f>
        <v/>
      </c>
      <c r="AO520" s="19">
        <f>IF(AND(ISNUMBER(L520),ISNUMBER(AN520),AN520&gt;0),L520/AN520,"")</f>
        <v/>
      </c>
      <c r="AP520" s="19">
        <f>IF(AND(ISNUMBER(AO520),ISNUMBER({ROIC})),AO520-{ROIC},"")</f>
        <v/>
      </c>
      <c r="AQ520" s="17">
        <f>IF(AND(ISNUMBER(AE520),ISNUMBER(N520)),AE520+N520,"")</f>
        <v/>
      </c>
      <c r="AR520" s="20">
        <f>IF(AND(ISNUMBER(AH520),ISNUMBER(T520),ISNUMBER(AQ520),AQ520&gt;0),(AH520-T520)/AQ520,"")</f>
        <v/>
      </c>
      <c r="AS520" s="20">
        <f>IF(AND(ISNUMBER(AE520),ISNUMBER(I520),I520&lt;&gt;0,AE520&gt;0),AE520/I520,"")</f>
        <v/>
      </c>
      <c r="AT520" s="17">
        <f>IF(AND(ISNUMBER(Y520),ISNUMBER(AA520)),Y520-IF(ISNUMBER(T520),T520,0)-(AA520-IF(ISNUMBER(V520),V520,0)),"")</f>
        <v/>
      </c>
      <c r="AU520" s="17">
        <f>IF(AND(ISNUMBER(Z520),ISNUMBER(AB520)),Z520-IF(ISNUMBER(U520),U520,0)-(AB520-IF(ISNUMBER(W520),W520,0)),"")</f>
        <v/>
      </c>
      <c r="AV520" s="17">
        <f>IF(AND(ISNUMBER(AT520),ISNUMBER(AU520)),AT520-AU520,"")</f>
        <v/>
      </c>
      <c r="AW520" s="17">
        <f>IF(AND(ISNUMBER(L520),ISNUMBER(M520),ISNUMBER(AF520)),L520-M520*(1-AF520),IF(ISNUMBER(L520),L520,""))</f>
        <v/>
      </c>
      <c r="AX520" s="17">
        <f>IF(E520="금융","",IF(AND(ISNUMBER(AW520),ISNUMBER(N520),ISNUMBER(O520),ISNUMBER(AV520)),AW520+N520-O520-AV520,IF(AND(ISNUMBER(P520),ISNUMBER(O520)),P520-O520-IF(ISNUMBER(Q520),Q520,0),"")))</f>
        <v/>
      </c>
      <c r="AY520" s="8">
        <f>IF(E520="금융","금융업 - 정의되지 않음",IF(AND(ISNUMBER(AW520),ISNUMBER(N520),ISNUMBER(O520),ISNUMBER(AV520)),"영업순이익+감가상각-설비투자-운전자본증감",IF(AND(ISNUMBER(P520),ISNUMBER(O520)),IF(ISNUMBER(Q520),"영업현금흐름-설비투자-주식보상비용","영업현금흐름-설비투자(주식보상비용 미태깅)"),"산출불가")))</f>
        <v/>
      </c>
      <c r="AZ520" s="19">
        <f>IF(AND(ISNUMBER(AX520),ISNUMBER(G520),G520&lt;&gt;0),AX520/G520,"")</f>
        <v/>
      </c>
      <c r="BA520" s="19">
        <f>IF(AND(ISNUMBER(AE520),ISNUMBER(G520),G520&lt;&gt;0),AE520/G520,"")</f>
        <v/>
      </c>
    </row>
    <row r="521">
      <c r="A521" s="8" t="inlineStr">
        <is>
          <t>TXN</t>
        </is>
      </c>
      <c r="B521" s="8" t="inlineStr">
        <is>
          <t>TEXAS INSTRUMENTS INC</t>
        </is>
      </c>
      <c r="C521" s="8" t="n">
        <v>2016</v>
      </c>
      <c r="D521" s="8" t="inlineStr">
        <is>
          <t>2016-12-31</t>
        </is>
      </c>
      <c r="E521" s="8" t="inlineStr">
        <is>
          <t>일반</t>
        </is>
      </c>
      <c r="F521" s="8" t="inlineStr">
        <is>
          <t>0001564590-19-003839</t>
        </is>
      </c>
      <c r="G521" s="15" t="n">
        <v>13.37</v>
      </c>
      <c r="H521" s="15" t="n">
        <v>4.93</v>
      </c>
      <c r="I521" s="15" t="n">
        <v>0.08</v>
      </c>
      <c r="J521" s="15" t="n">
        <v>1.335</v>
      </c>
      <c r="K521" s="15" t="n">
        <v>4.855</v>
      </c>
      <c r="L521" s="15" t="n">
        <v>3.595</v>
      </c>
      <c r="M521" s="15" t="n">
        <v>0.005</v>
      </c>
      <c r="N521" s="15" t="n">
        <v>0.605</v>
      </c>
      <c r="O521" s="15" t="n">
        <v>0.531</v>
      </c>
      <c r="P521" s="15" t="n">
        <v>4.614</v>
      </c>
      <c r="Q521" s="15" t="n">
        <v>0.252</v>
      </c>
      <c r="R521" s="15" t="n">
        <v>10.473</v>
      </c>
      <c r="S521" s="15" t="n">
        <v>9.946</v>
      </c>
      <c r="T521" s="15" t="n">
        <v>3.49</v>
      </c>
      <c r="U521" s="15" t="n">
        <v>3.218</v>
      </c>
      <c r="V521" s="15" t="n">
        <v>0.631</v>
      </c>
      <c r="W521" s="15" t="n">
        <v>1</v>
      </c>
      <c r="X521" s="15" t="n">
        <v>2.978</v>
      </c>
      <c r="Y521" s="15" t="n">
        <v>7.457</v>
      </c>
      <c r="Z521" s="15" t="n">
        <v>7.074</v>
      </c>
      <c r="AA521" s="15" t="n">
        <v>2.264</v>
      </c>
      <c r="AB521" s="15" t="n">
        <v>2.555</v>
      </c>
      <c r="AC521" s="15" t="n">
        <v>10.848</v>
      </c>
      <c r="AD521" s="16" t="n">
        <v>1021</v>
      </c>
      <c r="AE521" s="17">
        <f>IF(ISNUMBER(K521),K521,IF(AND(ISNUMBER(H521),ISNUMBER(I521)),H521+I521,IF(ISNUMBER(H521),H521,"")))</f>
        <v/>
      </c>
      <c r="AF521" s="18">
        <f>IF(OR(NOT(ISNUMBER(J521)),NOT(ISNUMBER(H521)),H521&lt;=0),기준표!$B$8,MIN(MAX(J521/H521,기준표!$B$6),기준표!$B$7))</f>
        <v/>
      </c>
      <c r="AG521" s="17">
        <f>IF(ISNUMBER(AE521),AE521*(1-AF521),"")</f>
        <v/>
      </c>
      <c r="AH521" s="17">
        <f>IF(AND(NOT(ISNUMBER(V521)),NOT(ISNUMBER(X521))),"",IF(ISNUMBER(V521),V521,0)+IF(ISNUMBER(X521),X521,0))</f>
        <v/>
      </c>
      <c r="AI521" s="17">
        <f>IF(E521="금융","",IF(AND(ISNUMBER(R521),ISNUMBER(AH521),ISNUMBER(T521)),R521+AH521-T521,""))</f>
        <v/>
      </c>
      <c r="AJ521" s="17">
        <f>IF(E521="금융","",IF(NOT(ISNUMBER(AI521)),"",IF(ISNUMBER(AC521),(AI521+AC521)/2,AI521)))</f>
        <v/>
      </c>
      <c r="AK521" s="19">
        <f>IF(AND(ISNUMBER(AG521),ISNUMBER(AJ521),AJ521&gt;0),AG521/AJ521,"")</f>
        <v/>
      </c>
      <c r="AL521" s="17">
        <f>IF(E521="금융","",IF(AND(ISNUMBER(R521),ISNUMBER(AH521)),R521+AH521,""))</f>
        <v/>
      </c>
      <c r="AM521" s="19">
        <f>IF(OR(NOT(ISNUMBER(AG521)),NOT(ISNUMBER(AL521)),AL521&lt;=0),"",IF(AND(ISNUMBER(G521),AL521&lt;0.1*G521),"",AG521/AL521))</f>
        <v/>
      </c>
      <c r="AN521" s="17">
        <f>IF(NOT(ISNUMBER(R521)),"",IF(ISNUMBER(S521),(R521+S521)/2,R521))</f>
        <v/>
      </c>
      <c r="AO521" s="19">
        <f>IF(AND(ISNUMBER(L521),ISNUMBER(AN521),AN521&gt;0),L521/AN521,"")</f>
        <v/>
      </c>
      <c r="AP521" s="19">
        <f>IF(AND(ISNUMBER(AO521),ISNUMBER({ROIC})),AO521-{ROIC},"")</f>
        <v/>
      </c>
      <c r="AQ521" s="17">
        <f>IF(AND(ISNUMBER(AE521),ISNUMBER(N521)),AE521+N521,"")</f>
        <v/>
      </c>
      <c r="AR521" s="20">
        <f>IF(AND(ISNUMBER(AH521),ISNUMBER(T521),ISNUMBER(AQ521),AQ521&gt;0),(AH521-T521)/AQ521,"")</f>
        <v/>
      </c>
      <c r="AS521" s="20">
        <f>IF(AND(ISNUMBER(AE521),ISNUMBER(I521),I521&lt;&gt;0,AE521&gt;0),AE521/I521,"")</f>
        <v/>
      </c>
      <c r="AT521" s="17">
        <f>IF(AND(ISNUMBER(Y521),ISNUMBER(AA521)),Y521-IF(ISNUMBER(T521),T521,0)-(AA521-IF(ISNUMBER(V521),V521,0)),"")</f>
        <v/>
      </c>
      <c r="AU521" s="17">
        <f>IF(AND(ISNUMBER(Z521),ISNUMBER(AB521)),Z521-IF(ISNUMBER(U521),U521,0)-(AB521-IF(ISNUMBER(W521),W521,0)),"")</f>
        <v/>
      </c>
      <c r="AV521" s="17">
        <f>IF(AND(ISNUMBER(AT521),ISNUMBER(AU521)),AT521-AU521,"")</f>
        <v/>
      </c>
      <c r="AW521" s="17">
        <f>IF(AND(ISNUMBER(L521),ISNUMBER(M521),ISNUMBER(AF521)),L521-M521*(1-AF521),IF(ISNUMBER(L521),L521,""))</f>
        <v/>
      </c>
      <c r="AX521" s="17">
        <f>IF(E521="금융","",IF(AND(ISNUMBER(AW521),ISNUMBER(N521),ISNUMBER(O521),ISNUMBER(AV521)),AW521+N521-O521-AV521,IF(AND(ISNUMBER(P521),ISNUMBER(O521)),P521-O521-IF(ISNUMBER(Q521),Q521,0),"")))</f>
        <v/>
      </c>
      <c r="AY521" s="8">
        <f>IF(E521="금융","금융업 - 정의되지 않음",IF(AND(ISNUMBER(AW521),ISNUMBER(N521),ISNUMBER(O521),ISNUMBER(AV521)),"영업순이익+감가상각-설비투자-운전자본증감",IF(AND(ISNUMBER(P521),ISNUMBER(O521)),IF(ISNUMBER(Q521),"영업현금흐름-설비투자-주식보상비용","영업현금흐름-설비투자(주식보상비용 미태깅)"),"산출불가")))</f>
        <v/>
      </c>
      <c r="AZ521" s="19">
        <f>IF(AND(ISNUMBER(AX521),ISNUMBER(G521),G521&lt;&gt;0),AX521/G521,"")</f>
        <v/>
      </c>
      <c r="BA521" s="19">
        <f>IF(AND(ISNUMBER(AE521),ISNUMBER(G521),G521&lt;&gt;0),AE521/G521,"")</f>
        <v/>
      </c>
    </row>
    <row r="522">
      <c r="A522" s="8" t="inlineStr">
        <is>
          <t>TXN</t>
        </is>
      </c>
      <c r="B522" s="8" t="inlineStr">
        <is>
          <t>TEXAS INSTRUMENTS INC</t>
        </is>
      </c>
      <c r="C522" s="8" t="n">
        <v>2017</v>
      </c>
      <c r="D522" s="8" t="inlineStr">
        <is>
          <t>2017-12-31</t>
        </is>
      </c>
      <c r="E522" s="8" t="inlineStr">
        <is>
          <t>일반</t>
        </is>
      </c>
      <c r="F522" s="8" t="inlineStr">
        <is>
          <t>0000097476-20-000009</t>
        </is>
      </c>
      <c r="G522" s="15" t="n">
        <v>14.961</v>
      </c>
      <c r="H522" s="15" t="n">
        <v>6.08</v>
      </c>
      <c r="I522" s="15" t="n">
        <v>0.078</v>
      </c>
      <c r="J522" s="15" t="n">
        <v>2.398</v>
      </c>
      <c r="K522" s="15" t="n">
        <v>6.083</v>
      </c>
      <c r="L522" s="15" t="n">
        <v>3.682</v>
      </c>
      <c r="M522" s="15" t="n"/>
      <c r="N522" s="15" t="n">
        <v>0.539</v>
      </c>
      <c r="O522" s="15" t="n">
        <v>0.695</v>
      </c>
      <c r="P522" s="15" t="n">
        <v>5.363</v>
      </c>
      <c r="Q522" s="15" t="n">
        <v>0.242</v>
      </c>
      <c r="R522" s="15" t="n">
        <v>10.337</v>
      </c>
      <c r="S522" s="15" t="n">
        <v>10.473</v>
      </c>
      <c r="T522" s="15" t="n">
        <v>4.469</v>
      </c>
      <c r="U522" s="15" t="n">
        <v>3.49</v>
      </c>
      <c r="V522" s="15" t="n">
        <v>0.5</v>
      </c>
      <c r="W522" s="15" t="n">
        <v>0.631</v>
      </c>
      <c r="X522" s="15" t="n">
        <v>3.577</v>
      </c>
      <c r="Y522" s="15" t="n">
        <v>8.734</v>
      </c>
      <c r="Z522" s="15" t="n">
        <v>7.457</v>
      </c>
      <c r="AA522" s="15" t="n">
        <v>2.258</v>
      </c>
      <c r="AB522" s="15" t="n">
        <v>2.264</v>
      </c>
      <c r="AC522" s="15" t="n">
        <v>10.592</v>
      </c>
      <c r="AD522" s="16" t="n">
        <v>1012</v>
      </c>
      <c r="AE522" s="17">
        <f>IF(ISNUMBER(K522),K522,IF(AND(ISNUMBER(H522),ISNUMBER(I522)),H522+I522,IF(ISNUMBER(H522),H522,"")))</f>
        <v/>
      </c>
      <c r="AF522" s="18">
        <f>IF(OR(NOT(ISNUMBER(J522)),NOT(ISNUMBER(H522)),H522&lt;=0),기준표!$B$8,MIN(MAX(J522/H522,기준표!$B$6),기준표!$B$7))</f>
        <v/>
      </c>
      <c r="AG522" s="17">
        <f>IF(ISNUMBER(AE522),AE522*(1-AF522),"")</f>
        <v/>
      </c>
      <c r="AH522" s="17">
        <f>IF(AND(NOT(ISNUMBER(V522)),NOT(ISNUMBER(X522))),"",IF(ISNUMBER(V522),V522,0)+IF(ISNUMBER(X522),X522,0))</f>
        <v/>
      </c>
      <c r="AI522" s="17">
        <f>IF(E522="금융","",IF(AND(ISNUMBER(R522),ISNUMBER(AH522),ISNUMBER(T522)),R522+AH522-T522,""))</f>
        <v/>
      </c>
      <c r="AJ522" s="17">
        <f>IF(E522="금융","",IF(NOT(ISNUMBER(AI522)),"",IF(ISNUMBER(AC522),(AI522+AC522)/2,AI522)))</f>
        <v/>
      </c>
      <c r="AK522" s="19">
        <f>IF(AND(ISNUMBER(AG522),ISNUMBER(AJ522),AJ522&gt;0),AG522/AJ522,"")</f>
        <v/>
      </c>
      <c r="AL522" s="17">
        <f>IF(E522="금융","",IF(AND(ISNUMBER(R522),ISNUMBER(AH522)),R522+AH522,""))</f>
        <v/>
      </c>
      <c r="AM522" s="19">
        <f>IF(OR(NOT(ISNUMBER(AG522)),NOT(ISNUMBER(AL522)),AL522&lt;=0),"",IF(AND(ISNUMBER(G522),AL522&lt;0.1*G522),"",AG522/AL522))</f>
        <v/>
      </c>
      <c r="AN522" s="17">
        <f>IF(NOT(ISNUMBER(R522)),"",IF(ISNUMBER(S522),(R522+S522)/2,R522))</f>
        <v/>
      </c>
      <c r="AO522" s="19">
        <f>IF(AND(ISNUMBER(L522),ISNUMBER(AN522),AN522&gt;0),L522/AN522,"")</f>
        <v/>
      </c>
      <c r="AP522" s="19">
        <f>IF(AND(ISNUMBER(AO522),ISNUMBER({ROIC})),AO522-{ROIC},"")</f>
        <v/>
      </c>
      <c r="AQ522" s="17">
        <f>IF(AND(ISNUMBER(AE522),ISNUMBER(N522)),AE522+N522,"")</f>
        <v/>
      </c>
      <c r="AR522" s="20">
        <f>IF(AND(ISNUMBER(AH522),ISNUMBER(T522),ISNUMBER(AQ522),AQ522&gt;0),(AH522-T522)/AQ522,"")</f>
        <v/>
      </c>
      <c r="AS522" s="20">
        <f>IF(AND(ISNUMBER(AE522),ISNUMBER(I522),I522&lt;&gt;0,AE522&gt;0),AE522/I522,"")</f>
        <v/>
      </c>
      <c r="AT522" s="17">
        <f>IF(AND(ISNUMBER(Y522),ISNUMBER(AA522)),Y522-IF(ISNUMBER(T522),T522,0)-(AA522-IF(ISNUMBER(V522),V522,0)),"")</f>
        <v/>
      </c>
      <c r="AU522" s="17">
        <f>IF(AND(ISNUMBER(Z522),ISNUMBER(AB522)),Z522-IF(ISNUMBER(U522),U522,0)-(AB522-IF(ISNUMBER(W522),W522,0)),"")</f>
        <v/>
      </c>
      <c r="AV522" s="17">
        <f>IF(AND(ISNUMBER(AT522),ISNUMBER(AU522)),AT522-AU522,"")</f>
        <v/>
      </c>
      <c r="AW522" s="17">
        <f>IF(AND(ISNUMBER(L522),ISNUMBER(M522),ISNUMBER(AF522)),L522-M522*(1-AF522),IF(ISNUMBER(L522),L522,""))</f>
        <v/>
      </c>
      <c r="AX522" s="17">
        <f>IF(E522="금융","",IF(AND(ISNUMBER(AW522),ISNUMBER(N522),ISNUMBER(O522),ISNUMBER(AV522)),AW522+N522-O522-AV522,IF(AND(ISNUMBER(P522),ISNUMBER(O522)),P522-O522-IF(ISNUMBER(Q522),Q522,0),"")))</f>
        <v/>
      </c>
      <c r="AY522" s="8">
        <f>IF(E522="금융","금융업 - 정의되지 않음",IF(AND(ISNUMBER(AW522),ISNUMBER(N522),ISNUMBER(O522),ISNUMBER(AV522)),"영업순이익+감가상각-설비투자-운전자본증감",IF(AND(ISNUMBER(P522),ISNUMBER(O522)),IF(ISNUMBER(Q522),"영업현금흐름-설비투자-주식보상비용","영업현금흐름-설비투자(주식보상비용 미태깅)"),"산출불가")))</f>
        <v/>
      </c>
      <c r="AZ522" s="19">
        <f>IF(AND(ISNUMBER(AX522),ISNUMBER(G522),G522&lt;&gt;0),AX522/G522,"")</f>
        <v/>
      </c>
      <c r="BA522" s="19">
        <f>IF(AND(ISNUMBER(AE522),ISNUMBER(G522),G522&lt;&gt;0),AE522/G522,"")</f>
        <v/>
      </c>
    </row>
    <row r="523">
      <c r="A523" s="8" t="inlineStr">
        <is>
          <t>TXN</t>
        </is>
      </c>
      <c r="B523" s="8" t="inlineStr">
        <is>
          <t>TEXAS INSTRUMENTS INC</t>
        </is>
      </c>
      <c r="C523" s="8" t="n">
        <v>2018</v>
      </c>
      <c r="D523" s="8" t="inlineStr">
        <is>
          <t>2018-12-31</t>
        </is>
      </c>
      <c r="E523" s="8" t="inlineStr">
        <is>
          <t>일반</t>
        </is>
      </c>
      <c r="F523" s="8" t="inlineStr">
        <is>
          <t>0000097476-21-000006</t>
        </is>
      </c>
      <c r="G523" s="15" t="n">
        <v>15.784</v>
      </c>
      <c r="H523" s="15" t="n">
        <v>6.686</v>
      </c>
      <c r="I523" s="15" t="n">
        <v>0.125</v>
      </c>
      <c r="J523" s="15" t="n">
        <v>1.106</v>
      </c>
      <c r="K523" s="15" t="n">
        <v>6.713</v>
      </c>
      <c r="L523" s="15" t="n">
        <v>5.58</v>
      </c>
      <c r="M523" s="15" t="n"/>
      <c r="N523" s="15" t="n">
        <v>0.59</v>
      </c>
      <c r="O523" s="15" t="n">
        <v>1.131</v>
      </c>
      <c r="P523" s="15" t="n">
        <v>7.189</v>
      </c>
      <c r="Q523" s="15" t="n">
        <v>0.232</v>
      </c>
      <c r="R523" s="15" t="n">
        <v>8.994</v>
      </c>
      <c r="S523" s="15" t="n">
        <v>10.337</v>
      </c>
      <c r="T523" s="15" t="n">
        <v>4.233</v>
      </c>
      <c r="U523" s="15" t="n">
        <v>4.469</v>
      </c>
      <c r="V523" s="15" t="n">
        <v>0.749</v>
      </c>
      <c r="W523" s="15" t="n">
        <v>0.5</v>
      </c>
      <c r="X523" s="15" t="n">
        <v>4.319</v>
      </c>
      <c r="Y523" s="15" t="n">
        <v>8.097</v>
      </c>
      <c r="Z523" s="15" t="n">
        <v>8.734</v>
      </c>
      <c r="AA523" s="15" t="n">
        <v>2.474</v>
      </c>
      <c r="AB523" s="15" t="n">
        <v>2.258</v>
      </c>
      <c r="AC523" s="15" t="n">
        <v>9.945</v>
      </c>
      <c r="AD523" s="16" t="n">
        <v>990</v>
      </c>
      <c r="AE523" s="17">
        <f>IF(ISNUMBER(K523),K523,IF(AND(ISNUMBER(H523),ISNUMBER(I523)),H523+I523,IF(ISNUMBER(H523),H523,"")))</f>
        <v/>
      </c>
      <c r="AF523" s="18">
        <f>IF(OR(NOT(ISNUMBER(J523)),NOT(ISNUMBER(H523)),H523&lt;=0),기준표!$B$8,MIN(MAX(J523/H523,기준표!$B$6),기준표!$B$7))</f>
        <v/>
      </c>
      <c r="AG523" s="17">
        <f>IF(ISNUMBER(AE523),AE523*(1-AF523),"")</f>
        <v/>
      </c>
      <c r="AH523" s="17">
        <f>IF(AND(NOT(ISNUMBER(V523)),NOT(ISNUMBER(X523))),"",IF(ISNUMBER(V523),V523,0)+IF(ISNUMBER(X523),X523,0))</f>
        <v/>
      </c>
      <c r="AI523" s="17">
        <f>IF(E523="금융","",IF(AND(ISNUMBER(R523),ISNUMBER(AH523),ISNUMBER(T523)),R523+AH523-T523,""))</f>
        <v/>
      </c>
      <c r="AJ523" s="17">
        <f>IF(E523="금융","",IF(NOT(ISNUMBER(AI523)),"",IF(ISNUMBER(AC523),(AI523+AC523)/2,AI523)))</f>
        <v/>
      </c>
      <c r="AK523" s="19">
        <f>IF(AND(ISNUMBER(AG523),ISNUMBER(AJ523),AJ523&gt;0),AG523/AJ523,"")</f>
        <v/>
      </c>
      <c r="AL523" s="17">
        <f>IF(E523="금융","",IF(AND(ISNUMBER(R523),ISNUMBER(AH523)),R523+AH523,""))</f>
        <v/>
      </c>
      <c r="AM523" s="19">
        <f>IF(OR(NOT(ISNUMBER(AG523)),NOT(ISNUMBER(AL523)),AL523&lt;=0),"",IF(AND(ISNUMBER(G523),AL523&lt;0.1*G523),"",AG523/AL523))</f>
        <v/>
      </c>
      <c r="AN523" s="17">
        <f>IF(NOT(ISNUMBER(R523)),"",IF(ISNUMBER(S523),(R523+S523)/2,R523))</f>
        <v/>
      </c>
      <c r="AO523" s="19">
        <f>IF(AND(ISNUMBER(L523),ISNUMBER(AN523),AN523&gt;0),L523/AN523,"")</f>
        <v/>
      </c>
      <c r="AP523" s="19">
        <f>IF(AND(ISNUMBER(AO523),ISNUMBER({ROIC})),AO523-{ROIC},"")</f>
        <v/>
      </c>
      <c r="AQ523" s="17">
        <f>IF(AND(ISNUMBER(AE523),ISNUMBER(N523)),AE523+N523,"")</f>
        <v/>
      </c>
      <c r="AR523" s="20">
        <f>IF(AND(ISNUMBER(AH523),ISNUMBER(T523),ISNUMBER(AQ523),AQ523&gt;0),(AH523-T523)/AQ523,"")</f>
        <v/>
      </c>
      <c r="AS523" s="20">
        <f>IF(AND(ISNUMBER(AE523),ISNUMBER(I523),I523&lt;&gt;0,AE523&gt;0),AE523/I523,"")</f>
        <v/>
      </c>
      <c r="AT523" s="17">
        <f>IF(AND(ISNUMBER(Y523),ISNUMBER(AA523)),Y523-IF(ISNUMBER(T523),T523,0)-(AA523-IF(ISNUMBER(V523),V523,0)),"")</f>
        <v/>
      </c>
      <c r="AU523" s="17">
        <f>IF(AND(ISNUMBER(Z523),ISNUMBER(AB523)),Z523-IF(ISNUMBER(U523),U523,0)-(AB523-IF(ISNUMBER(W523),W523,0)),"")</f>
        <v/>
      </c>
      <c r="AV523" s="17">
        <f>IF(AND(ISNUMBER(AT523),ISNUMBER(AU523)),AT523-AU523,"")</f>
        <v/>
      </c>
      <c r="AW523" s="17">
        <f>IF(AND(ISNUMBER(L523),ISNUMBER(M523),ISNUMBER(AF523)),L523-M523*(1-AF523),IF(ISNUMBER(L523),L523,""))</f>
        <v/>
      </c>
      <c r="AX523" s="17">
        <f>IF(E523="금융","",IF(AND(ISNUMBER(AW523),ISNUMBER(N523),ISNUMBER(O523),ISNUMBER(AV523)),AW523+N523-O523-AV523,IF(AND(ISNUMBER(P523),ISNUMBER(O523)),P523-O523-IF(ISNUMBER(Q523),Q523,0),"")))</f>
        <v/>
      </c>
      <c r="AY523" s="8">
        <f>IF(E523="금융","금융업 - 정의되지 않음",IF(AND(ISNUMBER(AW523),ISNUMBER(N523),ISNUMBER(O523),ISNUMBER(AV523)),"영업순이익+감가상각-설비투자-운전자본증감",IF(AND(ISNUMBER(P523),ISNUMBER(O523)),IF(ISNUMBER(Q523),"영업현금흐름-설비투자-주식보상비용","영업현금흐름-설비투자(주식보상비용 미태깅)"),"산출불가")))</f>
        <v/>
      </c>
      <c r="AZ523" s="19">
        <f>IF(AND(ISNUMBER(AX523),ISNUMBER(G523),G523&lt;&gt;0),AX523/G523,"")</f>
        <v/>
      </c>
      <c r="BA523" s="19">
        <f>IF(AND(ISNUMBER(AE523),ISNUMBER(G523),G523&lt;&gt;0),AE523/G523,"")</f>
        <v/>
      </c>
    </row>
    <row r="524">
      <c r="A524" s="8" t="inlineStr">
        <is>
          <t>TXN</t>
        </is>
      </c>
      <c r="B524" s="8" t="inlineStr">
        <is>
          <t>TEXAS INSTRUMENTS INC</t>
        </is>
      </c>
      <c r="C524" s="8" t="n">
        <v>2019</v>
      </c>
      <c r="D524" s="8" t="inlineStr">
        <is>
          <t>2019-12-31</t>
        </is>
      </c>
      <c r="E524" s="8" t="inlineStr">
        <is>
          <t>일반</t>
        </is>
      </c>
      <c r="F524" s="8" t="inlineStr">
        <is>
          <t>0000097476-22-000009</t>
        </is>
      </c>
      <c r="G524" s="15" t="n">
        <v>14.383</v>
      </c>
      <c r="H524" s="15" t="n">
        <v>5.728</v>
      </c>
      <c r="I524" s="15" t="n">
        <v>0.17</v>
      </c>
      <c r="J524" s="15" t="n">
        <v>0.711</v>
      </c>
      <c r="K524" s="15" t="n">
        <v>5.723</v>
      </c>
      <c r="L524" s="15" t="n">
        <v>5.017</v>
      </c>
      <c r="M524" s="15" t="n"/>
      <c r="N524" s="15" t="n">
        <v>0.708</v>
      </c>
      <c r="O524" s="15" t="n">
        <v>0.847</v>
      </c>
      <c r="P524" s="15" t="n">
        <v>6.649</v>
      </c>
      <c r="Q524" s="15" t="n">
        <v>0.217</v>
      </c>
      <c r="R524" s="15" t="n">
        <v>8.907</v>
      </c>
      <c r="S524" s="15" t="n">
        <v>8.994</v>
      </c>
      <c r="T524" s="15" t="n">
        <v>5.387</v>
      </c>
      <c r="U524" s="15" t="n">
        <v>4.233</v>
      </c>
      <c r="V524" s="15" t="n">
        <v>0.5</v>
      </c>
      <c r="W524" s="15" t="n">
        <v>0.749</v>
      </c>
      <c r="X524" s="15" t="n">
        <v>5.303</v>
      </c>
      <c r="Y524" s="15" t="n">
        <v>8.760999999999999</v>
      </c>
      <c r="Z524" s="15" t="n">
        <v>8.097</v>
      </c>
      <c r="AA524" s="15" t="n">
        <v>2.123</v>
      </c>
      <c r="AB524" s="15" t="n">
        <v>2.474</v>
      </c>
      <c r="AC524" s="15" t="n">
        <v>9.829000000000001</v>
      </c>
      <c r="AD524" s="16" t="n">
        <v>952</v>
      </c>
      <c r="AE524" s="17">
        <f>IF(ISNUMBER(K524),K524,IF(AND(ISNUMBER(H524),ISNUMBER(I524)),H524+I524,IF(ISNUMBER(H524),H524,"")))</f>
        <v/>
      </c>
      <c r="AF524" s="18">
        <f>IF(OR(NOT(ISNUMBER(J524)),NOT(ISNUMBER(H524)),H524&lt;=0),기준표!$B$8,MIN(MAX(J524/H524,기준표!$B$6),기준표!$B$7))</f>
        <v/>
      </c>
      <c r="AG524" s="17">
        <f>IF(ISNUMBER(AE524),AE524*(1-AF524),"")</f>
        <v/>
      </c>
      <c r="AH524" s="17">
        <f>IF(AND(NOT(ISNUMBER(V524)),NOT(ISNUMBER(X524))),"",IF(ISNUMBER(V524),V524,0)+IF(ISNUMBER(X524),X524,0))</f>
        <v/>
      </c>
      <c r="AI524" s="17">
        <f>IF(E524="금융","",IF(AND(ISNUMBER(R524),ISNUMBER(AH524),ISNUMBER(T524)),R524+AH524-T524,""))</f>
        <v/>
      </c>
      <c r="AJ524" s="17">
        <f>IF(E524="금융","",IF(NOT(ISNUMBER(AI524)),"",IF(ISNUMBER(AC524),(AI524+AC524)/2,AI524)))</f>
        <v/>
      </c>
      <c r="AK524" s="19">
        <f>IF(AND(ISNUMBER(AG524),ISNUMBER(AJ524),AJ524&gt;0),AG524/AJ524,"")</f>
        <v/>
      </c>
      <c r="AL524" s="17">
        <f>IF(E524="금융","",IF(AND(ISNUMBER(R524),ISNUMBER(AH524)),R524+AH524,""))</f>
        <v/>
      </c>
      <c r="AM524" s="19">
        <f>IF(OR(NOT(ISNUMBER(AG524)),NOT(ISNUMBER(AL524)),AL524&lt;=0),"",IF(AND(ISNUMBER(G524),AL524&lt;0.1*G524),"",AG524/AL524))</f>
        <v/>
      </c>
      <c r="AN524" s="17">
        <f>IF(NOT(ISNUMBER(R524)),"",IF(ISNUMBER(S524),(R524+S524)/2,R524))</f>
        <v/>
      </c>
      <c r="AO524" s="19">
        <f>IF(AND(ISNUMBER(L524),ISNUMBER(AN524),AN524&gt;0),L524/AN524,"")</f>
        <v/>
      </c>
      <c r="AP524" s="19">
        <f>IF(AND(ISNUMBER(AO524),ISNUMBER({ROIC})),AO524-{ROIC},"")</f>
        <v/>
      </c>
      <c r="AQ524" s="17">
        <f>IF(AND(ISNUMBER(AE524),ISNUMBER(N524)),AE524+N524,"")</f>
        <v/>
      </c>
      <c r="AR524" s="20">
        <f>IF(AND(ISNUMBER(AH524),ISNUMBER(T524),ISNUMBER(AQ524),AQ524&gt;0),(AH524-T524)/AQ524,"")</f>
        <v/>
      </c>
      <c r="AS524" s="20">
        <f>IF(AND(ISNUMBER(AE524),ISNUMBER(I524),I524&lt;&gt;0,AE524&gt;0),AE524/I524,"")</f>
        <v/>
      </c>
      <c r="AT524" s="17">
        <f>IF(AND(ISNUMBER(Y524),ISNUMBER(AA524)),Y524-IF(ISNUMBER(T524),T524,0)-(AA524-IF(ISNUMBER(V524),V524,0)),"")</f>
        <v/>
      </c>
      <c r="AU524" s="17">
        <f>IF(AND(ISNUMBER(Z524),ISNUMBER(AB524)),Z524-IF(ISNUMBER(U524),U524,0)-(AB524-IF(ISNUMBER(W524),W524,0)),"")</f>
        <v/>
      </c>
      <c r="AV524" s="17">
        <f>IF(AND(ISNUMBER(AT524),ISNUMBER(AU524)),AT524-AU524,"")</f>
        <v/>
      </c>
      <c r="AW524" s="17">
        <f>IF(AND(ISNUMBER(L524),ISNUMBER(M524),ISNUMBER(AF524)),L524-M524*(1-AF524),IF(ISNUMBER(L524),L524,""))</f>
        <v/>
      </c>
      <c r="AX524" s="17">
        <f>IF(E524="금융","",IF(AND(ISNUMBER(AW524),ISNUMBER(N524),ISNUMBER(O524),ISNUMBER(AV524)),AW524+N524-O524-AV524,IF(AND(ISNUMBER(P524),ISNUMBER(O524)),P524-O524-IF(ISNUMBER(Q524),Q524,0),"")))</f>
        <v/>
      </c>
      <c r="AY524" s="8">
        <f>IF(E524="금융","금융업 - 정의되지 않음",IF(AND(ISNUMBER(AW524),ISNUMBER(N524),ISNUMBER(O524),ISNUMBER(AV524)),"영업순이익+감가상각-설비투자-운전자본증감",IF(AND(ISNUMBER(P524),ISNUMBER(O524)),IF(ISNUMBER(Q524),"영업현금흐름-설비투자-주식보상비용","영업현금흐름-설비투자(주식보상비용 미태깅)"),"산출불가")))</f>
        <v/>
      </c>
      <c r="AZ524" s="19">
        <f>IF(AND(ISNUMBER(AX524),ISNUMBER(G524),G524&lt;&gt;0),AX524/G524,"")</f>
        <v/>
      </c>
      <c r="BA524" s="19">
        <f>IF(AND(ISNUMBER(AE524),ISNUMBER(G524),G524&lt;&gt;0),AE524/G524,"")</f>
        <v/>
      </c>
    </row>
    <row r="525">
      <c r="A525" s="8" t="inlineStr">
        <is>
          <t>TXN</t>
        </is>
      </c>
      <c r="B525" s="8" t="inlineStr">
        <is>
          <t>TEXAS INSTRUMENTS INC</t>
        </is>
      </c>
      <c r="C525" s="8" t="n">
        <v>2020</v>
      </c>
      <c r="D525" s="8" t="inlineStr">
        <is>
          <t>2020-12-31</t>
        </is>
      </c>
      <c r="E525" s="8" t="inlineStr">
        <is>
          <t>일반</t>
        </is>
      </c>
      <c r="F525" s="8" t="inlineStr">
        <is>
          <t>0000097476-23-000007</t>
        </is>
      </c>
      <c r="G525" s="15" t="n">
        <v>14.461</v>
      </c>
      <c r="H525" s="15" t="n">
        <v>6.017</v>
      </c>
      <c r="I525" s="15" t="n">
        <v>0.19</v>
      </c>
      <c r="J525" s="15" t="n">
        <v>0.422</v>
      </c>
      <c r="K525" s="15" t="n">
        <v>5.894</v>
      </c>
      <c r="L525" s="15" t="n">
        <v>5.595</v>
      </c>
      <c r="M525" s="15" t="n"/>
      <c r="N525" s="15" t="n">
        <v>0.733</v>
      </c>
      <c r="O525" s="15" t="n">
        <v>0.649</v>
      </c>
      <c r="P525" s="15" t="n">
        <v>6.139</v>
      </c>
      <c r="Q525" s="15" t="n">
        <v>0.224</v>
      </c>
      <c r="R525" s="15" t="n">
        <v>9.186999999999999</v>
      </c>
      <c r="S525" s="15" t="n">
        <v>8.907</v>
      </c>
      <c r="T525" s="15" t="n">
        <v>6.568</v>
      </c>
      <c r="U525" s="15" t="n">
        <v>5.387</v>
      </c>
      <c r="V525" s="15" t="n">
        <v>0.55</v>
      </c>
      <c r="W525" s="15" t="n">
        <v>0.5</v>
      </c>
      <c r="X525" s="15" t="n">
        <v>6.248</v>
      </c>
      <c r="Y525" s="15" t="n">
        <v>10.239</v>
      </c>
      <c r="Z525" s="15" t="n">
        <v>8.760999999999999</v>
      </c>
      <c r="AA525" s="15" t="n">
        <v>2.39</v>
      </c>
      <c r="AB525" s="15" t="n">
        <v>2.123</v>
      </c>
      <c r="AC525" s="15" t="n">
        <v>9.323</v>
      </c>
      <c r="AD525" s="16" t="n">
        <v>933</v>
      </c>
      <c r="AE525" s="17">
        <f>IF(ISNUMBER(K525),K525,IF(AND(ISNUMBER(H525),ISNUMBER(I525)),H525+I525,IF(ISNUMBER(H525),H525,"")))</f>
        <v/>
      </c>
      <c r="AF525" s="18">
        <f>IF(OR(NOT(ISNUMBER(J525)),NOT(ISNUMBER(H525)),H525&lt;=0),기준표!$B$8,MIN(MAX(J525/H525,기준표!$B$6),기준표!$B$7))</f>
        <v/>
      </c>
      <c r="AG525" s="17">
        <f>IF(ISNUMBER(AE525),AE525*(1-AF525),"")</f>
        <v/>
      </c>
      <c r="AH525" s="17">
        <f>IF(AND(NOT(ISNUMBER(V525)),NOT(ISNUMBER(X525))),"",IF(ISNUMBER(V525),V525,0)+IF(ISNUMBER(X525),X525,0))</f>
        <v/>
      </c>
      <c r="AI525" s="17">
        <f>IF(E525="금융","",IF(AND(ISNUMBER(R525),ISNUMBER(AH525),ISNUMBER(T525)),R525+AH525-T525,""))</f>
        <v/>
      </c>
      <c r="AJ525" s="17">
        <f>IF(E525="금융","",IF(NOT(ISNUMBER(AI525)),"",IF(ISNUMBER(AC525),(AI525+AC525)/2,AI525)))</f>
        <v/>
      </c>
      <c r="AK525" s="19">
        <f>IF(AND(ISNUMBER(AG525),ISNUMBER(AJ525),AJ525&gt;0),AG525/AJ525,"")</f>
        <v/>
      </c>
      <c r="AL525" s="17">
        <f>IF(E525="금융","",IF(AND(ISNUMBER(R525),ISNUMBER(AH525)),R525+AH525,""))</f>
        <v/>
      </c>
      <c r="AM525" s="19">
        <f>IF(OR(NOT(ISNUMBER(AG525)),NOT(ISNUMBER(AL525)),AL525&lt;=0),"",IF(AND(ISNUMBER(G525),AL525&lt;0.1*G525),"",AG525/AL525))</f>
        <v/>
      </c>
      <c r="AN525" s="17">
        <f>IF(NOT(ISNUMBER(R525)),"",IF(ISNUMBER(S525),(R525+S525)/2,R525))</f>
        <v/>
      </c>
      <c r="AO525" s="19">
        <f>IF(AND(ISNUMBER(L525),ISNUMBER(AN525),AN525&gt;0),L525/AN525,"")</f>
        <v/>
      </c>
      <c r="AP525" s="19">
        <f>IF(AND(ISNUMBER(AO525),ISNUMBER({ROIC})),AO525-{ROIC},"")</f>
        <v/>
      </c>
      <c r="AQ525" s="17">
        <f>IF(AND(ISNUMBER(AE525),ISNUMBER(N525)),AE525+N525,"")</f>
        <v/>
      </c>
      <c r="AR525" s="20">
        <f>IF(AND(ISNUMBER(AH525),ISNUMBER(T525),ISNUMBER(AQ525),AQ525&gt;0),(AH525-T525)/AQ525,"")</f>
        <v/>
      </c>
      <c r="AS525" s="20">
        <f>IF(AND(ISNUMBER(AE525),ISNUMBER(I525),I525&lt;&gt;0,AE525&gt;0),AE525/I525,"")</f>
        <v/>
      </c>
      <c r="AT525" s="17">
        <f>IF(AND(ISNUMBER(Y525),ISNUMBER(AA525)),Y525-IF(ISNUMBER(T525),T525,0)-(AA525-IF(ISNUMBER(V525),V525,0)),"")</f>
        <v/>
      </c>
      <c r="AU525" s="17">
        <f>IF(AND(ISNUMBER(Z525),ISNUMBER(AB525)),Z525-IF(ISNUMBER(U525),U525,0)-(AB525-IF(ISNUMBER(W525),W525,0)),"")</f>
        <v/>
      </c>
      <c r="AV525" s="17">
        <f>IF(AND(ISNUMBER(AT525),ISNUMBER(AU525)),AT525-AU525,"")</f>
        <v/>
      </c>
      <c r="AW525" s="17">
        <f>IF(AND(ISNUMBER(L525),ISNUMBER(M525),ISNUMBER(AF525)),L525-M525*(1-AF525),IF(ISNUMBER(L525),L525,""))</f>
        <v/>
      </c>
      <c r="AX525" s="17">
        <f>IF(E525="금융","",IF(AND(ISNUMBER(AW525),ISNUMBER(N525),ISNUMBER(O525),ISNUMBER(AV525)),AW525+N525-O525-AV525,IF(AND(ISNUMBER(P525),ISNUMBER(O525)),P525-O525-IF(ISNUMBER(Q525),Q525,0),"")))</f>
        <v/>
      </c>
      <c r="AY525" s="8">
        <f>IF(E525="금융","금융업 - 정의되지 않음",IF(AND(ISNUMBER(AW525),ISNUMBER(N525),ISNUMBER(O525),ISNUMBER(AV525)),"영업순이익+감가상각-설비투자-운전자본증감",IF(AND(ISNUMBER(P525),ISNUMBER(O525)),IF(ISNUMBER(Q525),"영업현금흐름-설비투자-주식보상비용","영업현금흐름-설비투자(주식보상비용 미태깅)"),"산출불가")))</f>
        <v/>
      </c>
      <c r="AZ525" s="19">
        <f>IF(AND(ISNUMBER(AX525),ISNUMBER(G525),G525&lt;&gt;0),AX525/G525,"")</f>
        <v/>
      </c>
      <c r="BA525" s="19">
        <f>IF(AND(ISNUMBER(AE525),ISNUMBER(G525),G525&lt;&gt;0),AE525/G525,"")</f>
        <v/>
      </c>
    </row>
    <row r="526">
      <c r="A526" s="8" t="inlineStr">
        <is>
          <t>TXN</t>
        </is>
      </c>
      <c r="B526" s="8" t="inlineStr">
        <is>
          <t>TEXAS INSTRUMENTS INC</t>
        </is>
      </c>
      <c r="C526" s="8" t="n">
        <v>2021</v>
      </c>
      <c r="D526" s="8" t="inlineStr">
        <is>
          <t>2021-12-31</t>
        </is>
      </c>
      <c r="E526" s="8" t="inlineStr">
        <is>
          <t>일반</t>
        </is>
      </c>
      <c r="F526" s="8" t="inlineStr">
        <is>
          <t>0000097476-24-000007</t>
        </is>
      </c>
      <c r="G526" s="15" t="n">
        <v>18.344</v>
      </c>
      <c r="H526" s="15" t="n">
        <v>8.919</v>
      </c>
      <c r="I526" s="15" t="n">
        <v>0.184</v>
      </c>
      <c r="J526" s="15" t="n">
        <v>1.15</v>
      </c>
      <c r="K526" s="15" t="n">
        <v>8.960000000000001</v>
      </c>
      <c r="L526" s="15" t="n">
        <v>7.769</v>
      </c>
      <c r="M526" s="15" t="n"/>
      <c r="N526" s="15" t="n">
        <v>0.755</v>
      </c>
      <c r="O526" s="15" t="n">
        <v>2.462</v>
      </c>
      <c r="P526" s="15" t="n">
        <v>8.756</v>
      </c>
      <c r="Q526" s="15" t="n">
        <v>0.23</v>
      </c>
      <c r="R526" s="15" t="n">
        <v>13.333</v>
      </c>
      <c r="S526" s="15" t="n">
        <v>9.186999999999999</v>
      </c>
      <c r="T526" s="15" t="n">
        <v>9.739000000000001</v>
      </c>
      <c r="U526" s="15" t="n">
        <v>6.568</v>
      </c>
      <c r="V526" s="15" t="n">
        <v>0.5</v>
      </c>
      <c r="W526" s="15" t="n">
        <v>0.55</v>
      </c>
      <c r="X526" s="15" t="n">
        <v>7.241</v>
      </c>
      <c r="Y526" s="15" t="n">
        <v>13.685</v>
      </c>
      <c r="Z526" s="15" t="n">
        <v>10.239</v>
      </c>
      <c r="AA526" s="15" t="n">
        <v>2.569</v>
      </c>
      <c r="AB526" s="15" t="n">
        <v>2.39</v>
      </c>
      <c r="AC526" s="15" t="n">
        <v>9.417</v>
      </c>
      <c r="AD526" s="16" t="n">
        <v>936</v>
      </c>
      <c r="AE526" s="17">
        <f>IF(ISNUMBER(K526),K526,IF(AND(ISNUMBER(H526),ISNUMBER(I526)),H526+I526,IF(ISNUMBER(H526),H526,"")))</f>
        <v/>
      </c>
      <c r="AF526" s="18">
        <f>IF(OR(NOT(ISNUMBER(J526)),NOT(ISNUMBER(H526)),H526&lt;=0),기준표!$B$8,MIN(MAX(J526/H526,기준표!$B$6),기준표!$B$7))</f>
        <v/>
      </c>
      <c r="AG526" s="17">
        <f>IF(ISNUMBER(AE526),AE526*(1-AF526),"")</f>
        <v/>
      </c>
      <c r="AH526" s="17">
        <f>IF(AND(NOT(ISNUMBER(V526)),NOT(ISNUMBER(X526))),"",IF(ISNUMBER(V526),V526,0)+IF(ISNUMBER(X526),X526,0))</f>
        <v/>
      </c>
      <c r="AI526" s="17">
        <f>IF(E526="금융","",IF(AND(ISNUMBER(R526),ISNUMBER(AH526),ISNUMBER(T526)),R526+AH526-T526,""))</f>
        <v/>
      </c>
      <c r="AJ526" s="17">
        <f>IF(E526="금융","",IF(NOT(ISNUMBER(AI526)),"",IF(ISNUMBER(AC526),(AI526+AC526)/2,AI526)))</f>
        <v/>
      </c>
      <c r="AK526" s="19">
        <f>IF(AND(ISNUMBER(AG526),ISNUMBER(AJ526),AJ526&gt;0),AG526/AJ526,"")</f>
        <v/>
      </c>
      <c r="AL526" s="17">
        <f>IF(E526="금융","",IF(AND(ISNUMBER(R526),ISNUMBER(AH526)),R526+AH526,""))</f>
        <v/>
      </c>
      <c r="AM526" s="19">
        <f>IF(OR(NOT(ISNUMBER(AG526)),NOT(ISNUMBER(AL526)),AL526&lt;=0),"",IF(AND(ISNUMBER(G526),AL526&lt;0.1*G526),"",AG526/AL526))</f>
        <v/>
      </c>
      <c r="AN526" s="17">
        <f>IF(NOT(ISNUMBER(R526)),"",IF(ISNUMBER(S526),(R526+S526)/2,R526))</f>
        <v/>
      </c>
      <c r="AO526" s="19">
        <f>IF(AND(ISNUMBER(L526),ISNUMBER(AN526),AN526&gt;0),L526/AN526,"")</f>
        <v/>
      </c>
      <c r="AP526" s="19">
        <f>IF(AND(ISNUMBER(AO526),ISNUMBER({ROIC})),AO526-{ROIC},"")</f>
        <v/>
      </c>
      <c r="AQ526" s="17">
        <f>IF(AND(ISNUMBER(AE526),ISNUMBER(N526)),AE526+N526,"")</f>
        <v/>
      </c>
      <c r="AR526" s="20">
        <f>IF(AND(ISNUMBER(AH526),ISNUMBER(T526),ISNUMBER(AQ526),AQ526&gt;0),(AH526-T526)/AQ526,"")</f>
        <v/>
      </c>
      <c r="AS526" s="20">
        <f>IF(AND(ISNUMBER(AE526),ISNUMBER(I526),I526&lt;&gt;0,AE526&gt;0),AE526/I526,"")</f>
        <v/>
      </c>
      <c r="AT526" s="17">
        <f>IF(AND(ISNUMBER(Y526),ISNUMBER(AA526)),Y526-IF(ISNUMBER(T526),T526,0)-(AA526-IF(ISNUMBER(V526),V526,0)),"")</f>
        <v/>
      </c>
      <c r="AU526" s="17">
        <f>IF(AND(ISNUMBER(Z526),ISNUMBER(AB526)),Z526-IF(ISNUMBER(U526),U526,0)-(AB526-IF(ISNUMBER(W526),W526,0)),"")</f>
        <v/>
      </c>
      <c r="AV526" s="17">
        <f>IF(AND(ISNUMBER(AT526),ISNUMBER(AU526)),AT526-AU526,"")</f>
        <v/>
      </c>
      <c r="AW526" s="17">
        <f>IF(AND(ISNUMBER(L526),ISNUMBER(M526),ISNUMBER(AF526)),L526-M526*(1-AF526),IF(ISNUMBER(L526),L526,""))</f>
        <v/>
      </c>
      <c r="AX526" s="17">
        <f>IF(E526="금융","",IF(AND(ISNUMBER(AW526),ISNUMBER(N526),ISNUMBER(O526),ISNUMBER(AV526)),AW526+N526-O526-AV526,IF(AND(ISNUMBER(P526),ISNUMBER(O526)),P526-O526-IF(ISNUMBER(Q526),Q526,0),"")))</f>
        <v/>
      </c>
      <c r="AY526" s="8">
        <f>IF(E526="금융","금융업 - 정의되지 않음",IF(AND(ISNUMBER(AW526),ISNUMBER(N526),ISNUMBER(O526),ISNUMBER(AV526)),"영업순이익+감가상각-설비투자-운전자본증감",IF(AND(ISNUMBER(P526),ISNUMBER(O526)),IF(ISNUMBER(Q526),"영업현금흐름-설비투자-주식보상비용","영업현금흐름-설비투자(주식보상비용 미태깅)"),"산출불가")))</f>
        <v/>
      </c>
      <c r="AZ526" s="19">
        <f>IF(AND(ISNUMBER(AX526),ISNUMBER(G526),G526&lt;&gt;0),AX526/G526,"")</f>
        <v/>
      </c>
      <c r="BA526" s="19">
        <f>IF(AND(ISNUMBER(AE526),ISNUMBER(G526),G526&lt;&gt;0),AE526/G526,"")</f>
        <v/>
      </c>
    </row>
    <row r="527">
      <c r="A527" s="8" t="inlineStr">
        <is>
          <t>TXN</t>
        </is>
      </c>
      <c r="B527" s="8" t="inlineStr">
        <is>
          <t>TEXAS INSTRUMENTS INC</t>
        </is>
      </c>
      <c r="C527" s="8" t="n">
        <v>2022</v>
      </c>
      <c r="D527" s="8" t="inlineStr">
        <is>
          <t>2022-12-31</t>
        </is>
      </c>
      <c r="E527" s="8" t="inlineStr">
        <is>
          <t>일반</t>
        </is>
      </c>
      <c r="F527" s="8" t="inlineStr">
        <is>
          <t>0000097476-25-000007</t>
        </is>
      </c>
      <c r="G527" s="15" t="n">
        <v>20.028</v>
      </c>
      <c r="H527" s="15" t="n">
        <v>10.032</v>
      </c>
      <c r="I527" s="15" t="n">
        <v>0.214</v>
      </c>
      <c r="J527" s="15" t="n">
        <v>1.283</v>
      </c>
      <c r="K527" s="15" t="n">
        <v>10.14</v>
      </c>
      <c r="L527" s="15" t="n">
        <v>8.749000000000001</v>
      </c>
      <c r="M527" s="15" t="n"/>
      <c r="N527" s="15" t="n">
        <v>0.925</v>
      </c>
      <c r="O527" s="15" t="n">
        <v>2.797</v>
      </c>
      <c r="P527" s="15" t="n">
        <v>8.720000000000001</v>
      </c>
      <c r="Q527" s="15" t="n">
        <v>0.289</v>
      </c>
      <c r="R527" s="15" t="n">
        <v>14.577</v>
      </c>
      <c r="S527" s="15" t="n">
        <v>13.333</v>
      </c>
      <c r="T527" s="15" t="n">
        <v>9.067</v>
      </c>
      <c r="U527" s="15" t="n">
        <v>9.739000000000001</v>
      </c>
      <c r="V527" s="15" t="n">
        <v>0.5</v>
      </c>
      <c r="W527" s="15" t="n">
        <v>0.5</v>
      </c>
      <c r="X527" s="15" t="n">
        <v>8.234999999999999</v>
      </c>
      <c r="Y527" s="15" t="n">
        <v>14.021</v>
      </c>
      <c r="Z527" s="15" t="n">
        <v>13.685</v>
      </c>
      <c r="AA527" s="15" t="n">
        <v>2.985</v>
      </c>
      <c r="AB527" s="15" t="n">
        <v>2.569</v>
      </c>
      <c r="AC527" s="15" t="n">
        <v>11.335</v>
      </c>
      <c r="AD527" s="16" t="n">
        <v>926</v>
      </c>
      <c r="AE527" s="17">
        <f>IF(ISNUMBER(K527),K527,IF(AND(ISNUMBER(H527),ISNUMBER(I527)),H527+I527,IF(ISNUMBER(H527),H527,"")))</f>
        <v/>
      </c>
      <c r="AF527" s="18">
        <f>IF(OR(NOT(ISNUMBER(J527)),NOT(ISNUMBER(H527)),H527&lt;=0),기준표!$B$8,MIN(MAX(J527/H527,기준표!$B$6),기준표!$B$7))</f>
        <v/>
      </c>
      <c r="AG527" s="17">
        <f>IF(ISNUMBER(AE527),AE527*(1-AF527),"")</f>
        <v/>
      </c>
      <c r="AH527" s="17">
        <f>IF(AND(NOT(ISNUMBER(V527)),NOT(ISNUMBER(X527))),"",IF(ISNUMBER(V527),V527,0)+IF(ISNUMBER(X527),X527,0))</f>
        <v/>
      </c>
      <c r="AI527" s="17">
        <f>IF(E527="금융","",IF(AND(ISNUMBER(R527),ISNUMBER(AH527),ISNUMBER(T527)),R527+AH527-T527,""))</f>
        <v/>
      </c>
      <c r="AJ527" s="17">
        <f>IF(E527="금융","",IF(NOT(ISNUMBER(AI527)),"",IF(ISNUMBER(AC527),(AI527+AC527)/2,AI527)))</f>
        <v/>
      </c>
      <c r="AK527" s="19">
        <f>IF(AND(ISNUMBER(AG527),ISNUMBER(AJ527),AJ527&gt;0),AG527/AJ527,"")</f>
        <v/>
      </c>
      <c r="AL527" s="17">
        <f>IF(E527="금융","",IF(AND(ISNUMBER(R527),ISNUMBER(AH527)),R527+AH527,""))</f>
        <v/>
      </c>
      <c r="AM527" s="19">
        <f>IF(OR(NOT(ISNUMBER(AG527)),NOT(ISNUMBER(AL527)),AL527&lt;=0),"",IF(AND(ISNUMBER(G527),AL527&lt;0.1*G527),"",AG527/AL527))</f>
        <v/>
      </c>
      <c r="AN527" s="17">
        <f>IF(NOT(ISNUMBER(R527)),"",IF(ISNUMBER(S527),(R527+S527)/2,R527))</f>
        <v/>
      </c>
      <c r="AO527" s="19">
        <f>IF(AND(ISNUMBER(L527),ISNUMBER(AN527),AN527&gt;0),L527/AN527,"")</f>
        <v/>
      </c>
      <c r="AP527" s="19">
        <f>IF(AND(ISNUMBER(AO527),ISNUMBER({ROIC})),AO527-{ROIC},"")</f>
        <v/>
      </c>
      <c r="AQ527" s="17">
        <f>IF(AND(ISNUMBER(AE527),ISNUMBER(N527)),AE527+N527,"")</f>
        <v/>
      </c>
      <c r="AR527" s="20">
        <f>IF(AND(ISNUMBER(AH527),ISNUMBER(T527),ISNUMBER(AQ527),AQ527&gt;0),(AH527-T527)/AQ527,"")</f>
        <v/>
      </c>
      <c r="AS527" s="20">
        <f>IF(AND(ISNUMBER(AE527),ISNUMBER(I527),I527&lt;&gt;0,AE527&gt;0),AE527/I527,"")</f>
        <v/>
      </c>
      <c r="AT527" s="17">
        <f>IF(AND(ISNUMBER(Y527),ISNUMBER(AA527)),Y527-IF(ISNUMBER(T527),T527,0)-(AA527-IF(ISNUMBER(V527),V527,0)),"")</f>
        <v/>
      </c>
      <c r="AU527" s="17">
        <f>IF(AND(ISNUMBER(Z527),ISNUMBER(AB527)),Z527-IF(ISNUMBER(U527),U527,0)-(AB527-IF(ISNUMBER(W527),W527,0)),"")</f>
        <v/>
      </c>
      <c r="AV527" s="17">
        <f>IF(AND(ISNUMBER(AT527),ISNUMBER(AU527)),AT527-AU527,"")</f>
        <v/>
      </c>
      <c r="AW527" s="17">
        <f>IF(AND(ISNUMBER(L527),ISNUMBER(M527),ISNUMBER(AF527)),L527-M527*(1-AF527),IF(ISNUMBER(L527),L527,""))</f>
        <v/>
      </c>
      <c r="AX527" s="17">
        <f>IF(E527="금융","",IF(AND(ISNUMBER(AW527),ISNUMBER(N527),ISNUMBER(O527),ISNUMBER(AV527)),AW527+N527-O527-AV527,IF(AND(ISNUMBER(P527),ISNUMBER(O527)),P527-O527-IF(ISNUMBER(Q527),Q527,0),"")))</f>
        <v/>
      </c>
      <c r="AY527" s="8">
        <f>IF(E527="금융","금융업 - 정의되지 않음",IF(AND(ISNUMBER(AW527),ISNUMBER(N527),ISNUMBER(O527),ISNUMBER(AV527)),"영업순이익+감가상각-설비투자-운전자본증감",IF(AND(ISNUMBER(P527),ISNUMBER(O527)),IF(ISNUMBER(Q527),"영업현금흐름-설비투자-주식보상비용","영업현금흐름-설비투자(주식보상비용 미태깅)"),"산출불가")))</f>
        <v/>
      </c>
      <c r="AZ527" s="19">
        <f>IF(AND(ISNUMBER(AX527),ISNUMBER(G527),G527&lt;&gt;0),AX527/G527,"")</f>
        <v/>
      </c>
      <c r="BA527" s="19">
        <f>IF(AND(ISNUMBER(AE527),ISNUMBER(G527),G527&lt;&gt;0),AE527/G527,"")</f>
        <v/>
      </c>
    </row>
    <row r="528">
      <c r="A528" s="8" t="inlineStr">
        <is>
          <t>TXN</t>
        </is>
      </c>
      <c r="B528" s="8" t="inlineStr">
        <is>
          <t>TEXAS INSTRUMENTS INC</t>
        </is>
      </c>
      <c r="C528" s="8" t="n">
        <v>2023</v>
      </c>
      <c r="D528" s="8" t="inlineStr">
        <is>
          <t>2023-12-31</t>
        </is>
      </c>
      <c r="E528" s="8" t="inlineStr">
        <is>
          <t>일반</t>
        </is>
      </c>
      <c r="F528" s="8" t="inlineStr">
        <is>
          <t>0000097476-26-000059</t>
        </is>
      </c>
      <c r="G528" s="15" t="n">
        <v>17.519</v>
      </c>
      <c r="H528" s="15" t="n">
        <v>7.418</v>
      </c>
      <c r="I528" s="15" t="n">
        <v>0.353</v>
      </c>
      <c r="J528" s="15" t="n">
        <v>0.908</v>
      </c>
      <c r="K528" s="15" t="n">
        <v>7.331</v>
      </c>
      <c r="L528" s="15" t="n">
        <v>6.51</v>
      </c>
      <c r="M528" s="15" t="n"/>
      <c r="N528" s="15" t="n">
        <v>1.175</v>
      </c>
      <c r="O528" s="15" t="n">
        <v>5.071</v>
      </c>
      <c r="P528" s="15" t="n">
        <v>6.42</v>
      </c>
      <c r="Q528" s="15" t="n">
        <v>0.362</v>
      </c>
      <c r="R528" s="15" t="n">
        <v>16.897</v>
      </c>
      <c r="S528" s="15" t="n">
        <v>14.577</v>
      </c>
      <c r="T528" s="15" t="n">
        <v>8.574999999999999</v>
      </c>
      <c r="U528" s="15" t="n">
        <v>9.067</v>
      </c>
      <c r="V528" s="15" t="n">
        <v>0.599</v>
      </c>
      <c r="W528" s="15" t="n">
        <v>0.5</v>
      </c>
      <c r="X528" s="15" t="n">
        <v>10.624</v>
      </c>
      <c r="Y528" s="15" t="n">
        <v>15.122</v>
      </c>
      <c r="Z528" s="15" t="n">
        <v>14.021</v>
      </c>
      <c r="AA528" s="15" t="n">
        <v>3.32</v>
      </c>
      <c r="AB528" s="15" t="n">
        <v>2.985</v>
      </c>
      <c r="AC528" s="15" t="n">
        <v>14.245</v>
      </c>
      <c r="AD528" s="16" t="n">
        <v>916</v>
      </c>
      <c r="AE528" s="17">
        <f>IF(ISNUMBER(K528),K528,IF(AND(ISNUMBER(H528),ISNUMBER(I528)),H528+I528,IF(ISNUMBER(H528),H528,"")))</f>
        <v/>
      </c>
      <c r="AF528" s="18">
        <f>IF(OR(NOT(ISNUMBER(J528)),NOT(ISNUMBER(H528)),H528&lt;=0),기준표!$B$8,MIN(MAX(J528/H528,기준표!$B$6),기준표!$B$7))</f>
        <v/>
      </c>
      <c r="AG528" s="17">
        <f>IF(ISNUMBER(AE528),AE528*(1-AF528),"")</f>
        <v/>
      </c>
      <c r="AH528" s="17">
        <f>IF(AND(NOT(ISNUMBER(V528)),NOT(ISNUMBER(X528))),"",IF(ISNUMBER(V528),V528,0)+IF(ISNUMBER(X528),X528,0))</f>
        <v/>
      </c>
      <c r="AI528" s="17">
        <f>IF(E528="금융","",IF(AND(ISNUMBER(R528),ISNUMBER(AH528),ISNUMBER(T528)),R528+AH528-T528,""))</f>
        <v/>
      </c>
      <c r="AJ528" s="17">
        <f>IF(E528="금융","",IF(NOT(ISNUMBER(AI528)),"",IF(ISNUMBER(AC528),(AI528+AC528)/2,AI528)))</f>
        <v/>
      </c>
      <c r="AK528" s="19">
        <f>IF(AND(ISNUMBER(AG528),ISNUMBER(AJ528),AJ528&gt;0),AG528/AJ528,"")</f>
        <v/>
      </c>
      <c r="AL528" s="17">
        <f>IF(E528="금융","",IF(AND(ISNUMBER(R528),ISNUMBER(AH528)),R528+AH528,""))</f>
        <v/>
      </c>
      <c r="AM528" s="19">
        <f>IF(OR(NOT(ISNUMBER(AG528)),NOT(ISNUMBER(AL528)),AL528&lt;=0),"",IF(AND(ISNUMBER(G528),AL528&lt;0.1*G528),"",AG528/AL528))</f>
        <v/>
      </c>
      <c r="AN528" s="17">
        <f>IF(NOT(ISNUMBER(R528)),"",IF(ISNUMBER(S528),(R528+S528)/2,R528))</f>
        <v/>
      </c>
      <c r="AO528" s="19">
        <f>IF(AND(ISNUMBER(L528),ISNUMBER(AN528),AN528&gt;0),L528/AN528,"")</f>
        <v/>
      </c>
      <c r="AP528" s="19">
        <f>IF(AND(ISNUMBER(AO528),ISNUMBER({ROIC})),AO528-{ROIC},"")</f>
        <v/>
      </c>
      <c r="AQ528" s="17">
        <f>IF(AND(ISNUMBER(AE528),ISNUMBER(N528)),AE528+N528,"")</f>
        <v/>
      </c>
      <c r="AR528" s="20">
        <f>IF(AND(ISNUMBER(AH528),ISNUMBER(T528),ISNUMBER(AQ528),AQ528&gt;0),(AH528-T528)/AQ528,"")</f>
        <v/>
      </c>
      <c r="AS528" s="20">
        <f>IF(AND(ISNUMBER(AE528),ISNUMBER(I528),I528&lt;&gt;0,AE528&gt;0),AE528/I528,"")</f>
        <v/>
      </c>
      <c r="AT528" s="17">
        <f>IF(AND(ISNUMBER(Y528),ISNUMBER(AA528)),Y528-IF(ISNUMBER(T528),T528,0)-(AA528-IF(ISNUMBER(V528),V528,0)),"")</f>
        <v/>
      </c>
      <c r="AU528" s="17">
        <f>IF(AND(ISNUMBER(Z528),ISNUMBER(AB528)),Z528-IF(ISNUMBER(U528),U528,0)-(AB528-IF(ISNUMBER(W528),W528,0)),"")</f>
        <v/>
      </c>
      <c r="AV528" s="17">
        <f>IF(AND(ISNUMBER(AT528),ISNUMBER(AU528)),AT528-AU528,"")</f>
        <v/>
      </c>
      <c r="AW528" s="17">
        <f>IF(AND(ISNUMBER(L528),ISNUMBER(M528),ISNUMBER(AF528)),L528-M528*(1-AF528),IF(ISNUMBER(L528),L528,""))</f>
        <v/>
      </c>
      <c r="AX528" s="17">
        <f>IF(E528="금융","",IF(AND(ISNUMBER(AW528),ISNUMBER(N528),ISNUMBER(O528),ISNUMBER(AV528)),AW528+N528-O528-AV528,IF(AND(ISNUMBER(P528),ISNUMBER(O528)),P528-O528-IF(ISNUMBER(Q528),Q528,0),"")))</f>
        <v/>
      </c>
      <c r="AY528" s="8">
        <f>IF(E528="금융","금융업 - 정의되지 않음",IF(AND(ISNUMBER(AW528),ISNUMBER(N528),ISNUMBER(O528),ISNUMBER(AV528)),"영업순이익+감가상각-설비투자-운전자본증감",IF(AND(ISNUMBER(P528),ISNUMBER(O528)),IF(ISNUMBER(Q528),"영업현금흐름-설비투자-주식보상비용","영업현금흐름-설비투자(주식보상비용 미태깅)"),"산출불가")))</f>
        <v/>
      </c>
      <c r="AZ528" s="19">
        <f>IF(AND(ISNUMBER(AX528),ISNUMBER(G528),G528&lt;&gt;0),AX528/G528,"")</f>
        <v/>
      </c>
      <c r="BA528" s="19">
        <f>IF(AND(ISNUMBER(AE528),ISNUMBER(G528),G528&lt;&gt;0),AE528/G528,"")</f>
        <v/>
      </c>
    </row>
    <row r="529">
      <c r="A529" s="8" t="inlineStr">
        <is>
          <t>TXN</t>
        </is>
      </c>
      <c r="B529" s="8" t="inlineStr">
        <is>
          <t>TEXAS INSTRUMENTS INC</t>
        </is>
      </c>
      <c r="C529" s="8" t="n">
        <v>2024</v>
      </c>
      <c r="D529" s="8" t="inlineStr">
        <is>
          <t>2024-12-31</t>
        </is>
      </c>
      <c r="E529" s="8" t="inlineStr">
        <is>
          <t>일반</t>
        </is>
      </c>
      <c r="F529" s="8" t="inlineStr">
        <is>
          <t>0000097476-26-000059</t>
        </is>
      </c>
      <c r="G529" s="15" t="n">
        <v>15.641</v>
      </c>
      <c r="H529" s="15" t="n">
        <v>5.453</v>
      </c>
      <c r="I529" s="15" t="n">
        <v>0.508</v>
      </c>
      <c r="J529" s="15" t="n">
        <v>0.654</v>
      </c>
      <c r="K529" s="15" t="n">
        <v>5.465</v>
      </c>
      <c r="L529" s="15" t="n">
        <v>4.799</v>
      </c>
      <c r="M529" s="15" t="n"/>
      <c r="N529" s="15" t="n">
        <v>1.508</v>
      </c>
      <c r="O529" s="15" t="n">
        <v>4.82</v>
      </c>
      <c r="P529" s="15" t="n">
        <v>6.318</v>
      </c>
      <c r="Q529" s="15" t="n">
        <v>0.387</v>
      </c>
      <c r="R529" s="15" t="n">
        <v>16.903</v>
      </c>
      <c r="S529" s="15" t="n">
        <v>16.897</v>
      </c>
      <c r="T529" s="15" t="n">
        <v>7.58</v>
      </c>
      <c r="U529" s="15" t="n">
        <v>8.574999999999999</v>
      </c>
      <c r="V529" s="15" t="n">
        <v>0.75</v>
      </c>
      <c r="W529" s="15" t="n">
        <v>0.599</v>
      </c>
      <c r="X529" s="15" t="n">
        <v>12.846</v>
      </c>
      <c r="Y529" s="15" t="n">
        <v>15.026</v>
      </c>
      <c r="Z529" s="15" t="n">
        <v>15.122</v>
      </c>
      <c r="AA529" s="15" t="n">
        <v>3.643</v>
      </c>
      <c r="AB529" s="15" t="n">
        <v>3.32</v>
      </c>
      <c r="AC529" s="15" t="n">
        <v>19.545</v>
      </c>
      <c r="AD529" s="16" t="n">
        <v>919</v>
      </c>
      <c r="AE529" s="17">
        <f>IF(ISNUMBER(K529),K529,IF(AND(ISNUMBER(H529),ISNUMBER(I529)),H529+I529,IF(ISNUMBER(H529),H529,"")))</f>
        <v/>
      </c>
      <c r="AF529" s="18">
        <f>IF(OR(NOT(ISNUMBER(J529)),NOT(ISNUMBER(H529)),H529&lt;=0),기준표!$B$8,MIN(MAX(J529/H529,기준표!$B$6),기준표!$B$7))</f>
        <v/>
      </c>
      <c r="AG529" s="17">
        <f>IF(ISNUMBER(AE529),AE529*(1-AF529),"")</f>
        <v/>
      </c>
      <c r="AH529" s="17">
        <f>IF(AND(NOT(ISNUMBER(V529)),NOT(ISNUMBER(X529))),"",IF(ISNUMBER(V529),V529,0)+IF(ISNUMBER(X529),X529,0))</f>
        <v/>
      </c>
      <c r="AI529" s="17">
        <f>IF(E529="금융","",IF(AND(ISNUMBER(R529),ISNUMBER(AH529),ISNUMBER(T529)),R529+AH529-T529,""))</f>
        <v/>
      </c>
      <c r="AJ529" s="17">
        <f>IF(E529="금융","",IF(NOT(ISNUMBER(AI529)),"",IF(ISNUMBER(AC529),(AI529+AC529)/2,AI529)))</f>
        <v/>
      </c>
      <c r="AK529" s="19">
        <f>IF(AND(ISNUMBER(AG529),ISNUMBER(AJ529),AJ529&gt;0),AG529/AJ529,"")</f>
        <v/>
      </c>
      <c r="AL529" s="17">
        <f>IF(E529="금융","",IF(AND(ISNUMBER(R529),ISNUMBER(AH529)),R529+AH529,""))</f>
        <v/>
      </c>
      <c r="AM529" s="19">
        <f>IF(OR(NOT(ISNUMBER(AG529)),NOT(ISNUMBER(AL529)),AL529&lt;=0),"",IF(AND(ISNUMBER(G529),AL529&lt;0.1*G529),"",AG529/AL529))</f>
        <v/>
      </c>
      <c r="AN529" s="17">
        <f>IF(NOT(ISNUMBER(R529)),"",IF(ISNUMBER(S529),(R529+S529)/2,R529))</f>
        <v/>
      </c>
      <c r="AO529" s="19">
        <f>IF(AND(ISNUMBER(L529),ISNUMBER(AN529),AN529&gt;0),L529/AN529,"")</f>
        <v/>
      </c>
      <c r="AP529" s="19">
        <f>IF(AND(ISNUMBER(AO529),ISNUMBER({ROIC})),AO529-{ROIC},"")</f>
        <v/>
      </c>
      <c r="AQ529" s="17">
        <f>IF(AND(ISNUMBER(AE529),ISNUMBER(N529)),AE529+N529,"")</f>
        <v/>
      </c>
      <c r="AR529" s="20">
        <f>IF(AND(ISNUMBER(AH529),ISNUMBER(T529),ISNUMBER(AQ529),AQ529&gt;0),(AH529-T529)/AQ529,"")</f>
        <v/>
      </c>
      <c r="AS529" s="20">
        <f>IF(AND(ISNUMBER(AE529),ISNUMBER(I529),I529&lt;&gt;0,AE529&gt;0),AE529/I529,"")</f>
        <v/>
      </c>
      <c r="AT529" s="17">
        <f>IF(AND(ISNUMBER(Y529),ISNUMBER(AA529)),Y529-IF(ISNUMBER(T529),T529,0)-(AA529-IF(ISNUMBER(V529),V529,0)),"")</f>
        <v/>
      </c>
      <c r="AU529" s="17">
        <f>IF(AND(ISNUMBER(Z529),ISNUMBER(AB529)),Z529-IF(ISNUMBER(U529),U529,0)-(AB529-IF(ISNUMBER(W529),W529,0)),"")</f>
        <v/>
      </c>
      <c r="AV529" s="17">
        <f>IF(AND(ISNUMBER(AT529),ISNUMBER(AU529)),AT529-AU529,"")</f>
        <v/>
      </c>
      <c r="AW529" s="17">
        <f>IF(AND(ISNUMBER(L529),ISNUMBER(M529),ISNUMBER(AF529)),L529-M529*(1-AF529),IF(ISNUMBER(L529),L529,""))</f>
        <v/>
      </c>
      <c r="AX529" s="17">
        <f>IF(E529="금융","",IF(AND(ISNUMBER(AW529),ISNUMBER(N529),ISNUMBER(O529),ISNUMBER(AV529)),AW529+N529-O529-AV529,IF(AND(ISNUMBER(P529),ISNUMBER(O529)),P529-O529-IF(ISNUMBER(Q529),Q529,0),"")))</f>
        <v/>
      </c>
      <c r="AY529" s="8">
        <f>IF(E529="금융","금융업 - 정의되지 않음",IF(AND(ISNUMBER(AW529),ISNUMBER(N529),ISNUMBER(O529),ISNUMBER(AV529)),"영업순이익+감가상각-설비투자-운전자본증감",IF(AND(ISNUMBER(P529),ISNUMBER(O529)),IF(ISNUMBER(Q529),"영업현금흐름-설비투자-주식보상비용","영업현금흐름-설비투자(주식보상비용 미태깅)"),"산출불가")))</f>
        <v/>
      </c>
      <c r="AZ529" s="19">
        <f>IF(AND(ISNUMBER(AX529),ISNUMBER(G529),G529&lt;&gt;0),AX529/G529,"")</f>
        <v/>
      </c>
      <c r="BA529" s="19">
        <f>IF(AND(ISNUMBER(AE529),ISNUMBER(G529),G529&lt;&gt;0),AE529/G529,"")</f>
        <v/>
      </c>
    </row>
    <row r="530">
      <c r="A530" s="8" t="inlineStr">
        <is>
          <t>TXN</t>
        </is>
      </c>
      <c r="B530" s="8" t="inlineStr">
        <is>
          <t>TEXAS INSTRUMENTS INC</t>
        </is>
      </c>
      <c r="C530" s="8" t="n">
        <v>2025</v>
      </c>
      <c r="D530" s="8" t="inlineStr">
        <is>
          <t>2025-12-31</t>
        </is>
      </c>
      <c r="E530" s="8" t="inlineStr">
        <is>
          <t>일반</t>
        </is>
      </c>
      <c r="F530" s="8" t="inlineStr">
        <is>
          <t>0000097476-26-000059</t>
        </is>
      </c>
      <c r="G530" s="15" t="n">
        <v>17.682</v>
      </c>
      <c r="H530" s="15" t="n">
        <v>5.71</v>
      </c>
      <c r="I530" s="15" t="n">
        <v>0.543</v>
      </c>
      <c r="J530" s="15" t="n">
        <v>0.709</v>
      </c>
      <c r="K530" s="15" t="n">
        <v>6.023</v>
      </c>
      <c r="L530" s="15" t="n">
        <v>5.001</v>
      </c>
      <c r="M530" s="15" t="n"/>
      <c r="N530" s="15" t="n">
        <v>1.918</v>
      </c>
      <c r="O530" s="15" t="n">
        <v>4.55</v>
      </c>
      <c r="P530" s="15" t="n">
        <v>7.153</v>
      </c>
      <c r="Q530" s="15" t="n">
        <v>0.419</v>
      </c>
      <c r="R530" s="15" t="n">
        <v>16.273</v>
      </c>
      <c r="S530" s="15" t="n">
        <v>16.903</v>
      </c>
      <c r="T530" s="15" t="n">
        <v>4.881</v>
      </c>
      <c r="U530" s="15" t="n">
        <v>7.58</v>
      </c>
      <c r="V530" s="15" t="n">
        <v>0.5</v>
      </c>
      <c r="W530" s="15" t="n">
        <v>0.75</v>
      </c>
      <c r="X530" s="15" t="n">
        <v>13.548</v>
      </c>
      <c r="Y530" s="15" t="n">
        <v>13.75</v>
      </c>
      <c r="Z530" s="15" t="n">
        <v>15.026</v>
      </c>
      <c r="AA530" s="15" t="n">
        <v>3.159</v>
      </c>
      <c r="AB530" s="15" t="n">
        <v>3.643</v>
      </c>
      <c r="AC530" s="15" t="n">
        <v>22.919</v>
      </c>
      <c r="AD530" s="16" t="n">
        <v>913</v>
      </c>
      <c r="AE530" s="17">
        <f>IF(ISNUMBER(K530),K530,IF(AND(ISNUMBER(H530),ISNUMBER(I530)),H530+I530,IF(ISNUMBER(H530),H530,"")))</f>
        <v/>
      </c>
      <c r="AF530" s="18">
        <f>IF(OR(NOT(ISNUMBER(J530)),NOT(ISNUMBER(H530)),H530&lt;=0),기준표!$B$8,MIN(MAX(J530/H530,기준표!$B$6),기준표!$B$7))</f>
        <v/>
      </c>
      <c r="AG530" s="17">
        <f>IF(ISNUMBER(AE530),AE530*(1-AF530),"")</f>
        <v/>
      </c>
      <c r="AH530" s="17">
        <f>IF(AND(NOT(ISNUMBER(V530)),NOT(ISNUMBER(X530))),"",IF(ISNUMBER(V530),V530,0)+IF(ISNUMBER(X530),X530,0))</f>
        <v/>
      </c>
      <c r="AI530" s="17">
        <f>IF(E530="금융","",IF(AND(ISNUMBER(R530),ISNUMBER(AH530),ISNUMBER(T530)),R530+AH530-T530,""))</f>
        <v/>
      </c>
      <c r="AJ530" s="17">
        <f>IF(E530="금융","",IF(NOT(ISNUMBER(AI530)),"",IF(ISNUMBER(AC530),(AI530+AC530)/2,AI530)))</f>
        <v/>
      </c>
      <c r="AK530" s="19">
        <f>IF(AND(ISNUMBER(AG530),ISNUMBER(AJ530),AJ530&gt;0),AG530/AJ530,"")</f>
        <v/>
      </c>
      <c r="AL530" s="17">
        <f>IF(E530="금융","",IF(AND(ISNUMBER(R530),ISNUMBER(AH530)),R530+AH530,""))</f>
        <v/>
      </c>
      <c r="AM530" s="19">
        <f>IF(OR(NOT(ISNUMBER(AG530)),NOT(ISNUMBER(AL530)),AL530&lt;=0),"",IF(AND(ISNUMBER(G530),AL530&lt;0.1*G530),"",AG530/AL530))</f>
        <v/>
      </c>
      <c r="AN530" s="17">
        <f>IF(NOT(ISNUMBER(R530)),"",IF(ISNUMBER(S530),(R530+S530)/2,R530))</f>
        <v/>
      </c>
      <c r="AO530" s="19">
        <f>IF(AND(ISNUMBER(L530),ISNUMBER(AN530),AN530&gt;0),L530/AN530,"")</f>
        <v/>
      </c>
      <c r="AP530" s="19">
        <f>IF(AND(ISNUMBER(AO530),ISNUMBER({ROIC})),AO530-{ROIC},"")</f>
        <v/>
      </c>
      <c r="AQ530" s="17">
        <f>IF(AND(ISNUMBER(AE530),ISNUMBER(N530)),AE530+N530,"")</f>
        <v/>
      </c>
      <c r="AR530" s="20">
        <f>IF(AND(ISNUMBER(AH530),ISNUMBER(T530),ISNUMBER(AQ530),AQ530&gt;0),(AH530-T530)/AQ530,"")</f>
        <v/>
      </c>
      <c r="AS530" s="20">
        <f>IF(AND(ISNUMBER(AE530),ISNUMBER(I530),I530&lt;&gt;0,AE530&gt;0),AE530/I530,"")</f>
        <v/>
      </c>
      <c r="AT530" s="17">
        <f>IF(AND(ISNUMBER(Y530),ISNUMBER(AA530)),Y530-IF(ISNUMBER(T530),T530,0)-(AA530-IF(ISNUMBER(V530),V530,0)),"")</f>
        <v/>
      </c>
      <c r="AU530" s="17">
        <f>IF(AND(ISNUMBER(Z530),ISNUMBER(AB530)),Z530-IF(ISNUMBER(U530),U530,0)-(AB530-IF(ISNUMBER(W530),W530,0)),"")</f>
        <v/>
      </c>
      <c r="AV530" s="17">
        <f>IF(AND(ISNUMBER(AT530),ISNUMBER(AU530)),AT530-AU530,"")</f>
        <v/>
      </c>
      <c r="AW530" s="17">
        <f>IF(AND(ISNUMBER(L530),ISNUMBER(M530),ISNUMBER(AF530)),L530-M530*(1-AF530),IF(ISNUMBER(L530),L530,""))</f>
        <v/>
      </c>
      <c r="AX530" s="17">
        <f>IF(E530="금융","",IF(AND(ISNUMBER(AW530),ISNUMBER(N530),ISNUMBER(O530),ISNUMBER(AV530)),AW530+N530-O530-AV530,IF(AND(ISNUMBER(P530),ISNUMBER(O530)),P530-O530-IF(ISNUMBER(Q530),Q530,0),"")))</f>
        <v/>
      </c>
      <c r="AY530" s="8">
        <f>IF(E530="금융","금융업 - 정의되지 않음",IF(AND(ISNUMBER(AW530),ISNUMBER(N530),ISNUMBER(O530),ISNUMBER(AV530)),"영업순이익+감가상각-설비투자-운전자본증감",IF(AND(ISNUMBER(P530),ISNUMBER(O530)),IF(ISNUMBER(Q530),"영업현금흐름-설비투자-주식보상비용","영업현금흐름-설비투자(주식보상비용 미태깅)"),"산출불가")))</f>
        <v/>
      </c>
      <c r="AZ530" s="19">
        <f>IF(AND(ISNUMBER(AX530),ISNUMBER(G530),G530&lt;&gt;0),AX530/G530,"")</f>
        <v/>
      </c>
      <c r="BA530" s="19">
        <f>IF(AND(ISNUMBER(AE530),ISNUMBER(G530),G530&lt;&gt;0),AE530/G530,"")</f>
        <v/>
      </c>
    </row>
    <row r="531">
      <c r="A531" s="8" t="inlineStr">
        <is>
          <t>KLAC</t>
        </is>
      </c>
      <c r="B531" s="8" t="inlineStr">
        <is>
          <t>KLA CORP</t>
        </is>
      </c>
      <c r="C531" s="8" t="n">
        <v>2015</v>
      </c>
      <c r="D531" s="8" t="inlineStr">
        <is>
          <t>2015-06-30</t>
        </is>
      </c>
      <c r="E531" s="8" t="inlineStr">
        <is>
          <t>일반</t>
        </is>
      </c>
      <c r="F531" s="8" t="inlineStr">
        <is>
          <t>0000319201-17-000034</t>
        </is>
      </c>
      <c r="G531" s="15" t="n"/>
      <c r="H531" s="15" t="n">
        <v>0.434131</v>
      </c>
      <c r="I531" s="15" t="n"/>
      <c r="J531" s="15" t="n">
        <v>0.06797300000000001</v>
      </c>
      <c r="K531" s="15" t="n"/>
      <c r="L531" s="15" t="n">
        <v>0.366158</v>
      </c>
      <c r="M531" s="15" t="n"/>
      <c r="N531" s="15" t="n">
        <v>0.080536</v>
      </c>
      <c r="O531" s="15" t="n">
        <v>0.045791</v>
      </c>
      <c r="P531" s="15" t="n">
        <v>0.6059059999999999</v>
      </c>
      <c r="Q531" s="15" t="n">
        <v>0.055302</v>
      </c>
      <c r="R531" s="15" t="n">
        <v>0.421439</v>
      </c>
      <c r="S531" s="15" t="n"/>
      <c r="T531" s="15" t="n">
        <v>0.838025</v>
      </c>
      <c r="U531" s="15" t="n"/>
      <c r="V531" s="15" t="n">
        <v>0.016981</v>
      </c>
      <c r="W531" s="15" t="n"/>
      <c r="X531" s="15" t="n">
        <v>3.190416</v>
      </c>
      <c r="Y531" s="15" t="n">
        <v>3.904576</v>
      </c>
      <c r="Z531" s="15" t="n"/>
      <c r="AA531" s="15" t="n">
        <v>1.001763</v>
      </c>
      <c r="AB531" s="15" t="n"/>
      <c r="AC531" s="15" t="n"/>
      <c r="AD531" s="16" t="n">
        <v>1578.51</v>
      </c>
      <c r="AE531" s="17">
        <f>IF(ISNUMBER(K531),K531,IF(AND(ISNUMBER(H531),ISNUMBER(I531)),H531+I531,IF(ISNUMBER(H531),H531,"")))</f>
        <v/>
      </c>
      <c r="AF531" s="18">
        <f>IF(OR(NOT(ISNUMBER(J531)),NOT(ISNUMBER(H531)),H531&lt;=0),기준표!$B$8,MIN(MAX(J531/H531,기준표!$B$6),기준표!$B$7))</f>
        <v/>
      </c>
      <c r="AG531" s="17">
        <f>IF(ISNUMBER(AE531),AE531*(1-AF531),"")</f>
        <v/>
      </c>
      <c r="AH531" s="17">
        <f>IF(AND(NOT(ISNUMBER(V531)),NOT(ISNUMBER(X531))),"",IF(ISNUMBER(V531),V531,0)+IF(ISNUMBER(X531),X531,0))</f>
        <v/>
      </c>
      <c r="AI531" s="17">
        <f>IF(E531="금융","",IF(AND(ISNUMBER(R531),ISNUMBER(AH531),ISNUMBER(T531)),R531+AH531-T531,""))</f>
        <v/>
      </c>
      <c r="AJ531" s="17">
        <f>IF(E531="금융","",IF(NOT(ISNUMBER(AI531)),"",IF(ISNUMBER(AC531),(AI531+AC531)/2,AI531)))</f>
        <v/>
      </c>
      <c r="AK531" s="19">
        <f>IF(AND(ISNUMBER(AG531),ISNUMBER(AJ531),AJ531&gt;0),AG531/AJ531,"")</f>
        <v/>
      </c>
      <c r="AL531" s="17">
        <f>IF(E531="금융","",IF(AND(ISNUMBER(R531),ISNUMBER(AH531)),R531+AH531,""))</f>
        <v/>
      </c>
      <c r="AM531" s="19">
        <f>IF(OR(NOT(ISNUMBER(AG531)),NOT(ISNUMBER(AL531)),AL531&lt;=0),"",IF(AND(ISNUMBER(G531),AL531&lt;0.1*G531),"",AG531/AL531))</f>
        <v/>
      </c>
      <c r="AN531" s="17">
        <f>IF(NOT(ISNUMBER(R531)),"",IF(ISNUMBER(S531),(R531+S531)/2,R531))</f>
        <v/>
      </c>
      <c r="AO531" s="19">
        <f>IF(AND(ISNUMBER(L531),ISNUMBER(AN531),AN531&gt;0),L531/AN531,"")</f>
        <v/>
      </c>
      <c r="AP531" s="19">
        <f>IF(AND(ISNUMBER(AO531),ISNUMBER({ROIC})),AO531-{ROIC},"")</f>
        <v/>
      </c>
      <c r="AQ531" s="17">
        <f>IF(AND(ISNUMBER(AE531),ISNUMBER(N531)),AE531+N531,"")</f>
        <v/>
      </c>
      <c r="AR531" s="20">
        <f>IF(AND(ISNUMBER(AH531),ISNUMBER(T531),ISNUMBER(AQ531),AQ531&gt;0),(AH531-T531)/AQ531,"")</f>
        <v/>
      </c>
      <c r="AS531" s="20">
        <f>IF(AND(ISNUMBER(AE531),ISNUMBER(I531),I531&lt;&gt;0,AE531&gt;0),AE531/I531,"")</f>
        <v/>
      </c>
      <c r="AT531" s="17">
        <f>IF(AND(ISNUMBER(Y531),ISNUMBER(AA531)),Y531-IF(ISNUMBER(T531),T531,0)-(AA531-IF(ISNUMBER(V531),V531,0)),"")</f>
        <v/>
      </c>
      <c r="AU531" s="17">
        <f>IF(AND(ISNUMBER(Z531),ISNUMBER(AB531)),Z531-IF(ISNUMBER(U531),U531,0)-(AB531-IF(ISNUMBER(W531),W531,0)),"")</f>
        <v/>
      </c>
      <c r="AV531" s="17">
        <f>IF(AND(ISNUMBER(AT531),ISNUMBER(AU531)),AT531-AU531,"")</f>
        <v/>
      </c>
      <c r="AW531" s="17">
        <f>IF(AND(ISNUMBER(L531),ISNUMBER(M531),ISNUMBER(AF531)),L531-M531*(1-AF531),IF(ISNUMBER(L531),L531,""))</f>
        <v/>
      </c>
      <c r="AX531" s="17">
        <f>IF(E531="금융","",IF(AND(ISNUMBER(AW531),ISNUMBER(N531),ISNUMBER(O531),ISNUMBER(AV531)),AW531+N531-O531-AV531,IF(AND(ISNUMBER(P531),ISNUMBER(O531)),P531-O531-IF(ISNUMBER(Q531),Q531,0),"")))</f>
        <v/>
      </c>
      <c r="AY531" s="8">
        <f>IF(E531="금융","금융업 - 정의되지 않음",IF(AND(ISNUMBER(AW531),ISNUMBER(N531),ISNUMBER(O531),ISNUMBER(AV531)),"영업순이익+감가상각-설비투자-운전자본증감",IF(AND(ISNUMBER(P531),ISNUMBER(O531)),IF(ISNUMBER(Q531),"영업현금흐름-설비투자-주식보상비용","영업현금흐름-설비투자(주식보상비용 미태깅)"),"산출불가")))</f>
        <v/>
      </c>
      <c r="AZ531" s="19">
        <f>IF(AND(ISNUMBER(AX531),ISNUMBER(G531),G531&lt;&gt;0),AX531/G531,"")</f>
        <v/>
      </c>
      <c r="BA531" s="19">
        <f>IF(AND(ISNUMBER(AE531),ISNUMBER(G531),G531&lt;&gt;0),AE531/G531,"")</f>
        <v/>
      </c>
    </row>
    <row r="532">
      <c r="A532" s="8" t="inlineStr">
        <is>
          <t>KLAC</t>
        </is>
      </c>
      <c r="B532" s="8" t="inlineStr">
        <is>
          <t>KLA CORP</t>
        </is>
      </c>
      <c r="C532" s="8" t="n">
        <v>2016</v>
      </c>
      <c r="D532" s="8" t="inlineStr">
        <is>
          <t>2016-06-30</t>
        </is>
      </c>
      <c r="E532" s="8" t="inlineStr">
        <is>
          <t>일반</t>
        </is>
      </c>
      <c r="F532" s="8" t="inlineStr">
        <is>
          <t>0000319201-18-000045</t>
        </is>
      </c>
      <c r="G532" s="15" t="n"/>
      <c r="H532" s="15" t="n">
        <v>0.858192</v>
      </c>
      <c r="I532" s="15" t="n"/>
      <c r="J532" s="15" t="n">
        <v>0.15377</v>
      </c>
      <c r="K532" s="15" t="n"/>
      <c r="L532" s="15" t="n">
        <v>0.704422</v>
      </c>
      <c r="M532" s="15" t="n"/>
      <c r="N532" s="15" t="n">
        <v>0.06693200000000001</v>
      </c>
      <c r="O532" s="15" t="n">
        <v>0.031741</v>
      </c>
      <c r="P532" s="15" t="n">
        <v>0.759696</v>
      </c>
      <c r="Q532" s="15" t="n">
        <v>0.04505</v>
      </c>
      <c r="R532" s="15" t="n">
        <v>0.689114</v>
      </c>
      <c r="S532" s="15" t="n">
        <v>0.421439</v>
      </c>
      <c r="T532" s="15" t="n">
        <v>1.108488</v>
      </c>
      <c r="U532" s="15" t="n">
        <v>0.838025</v>
      </c>
      <c r="V532" s="15" t="n">
        <v>0</v>
      </c>
      <c r="W532" s="15" t="n">
        <v>0.016981</v>
      </c>
      <c r="X532" s="15" t="n">
        <v>3.057936</v>
      </c>
      <c r="Y532" s="15" t="n">
        <v>3.868032</v>
      </c>
      <c r="Z532" s="15" t="n">
        <v>3.904576</v>
      </c>
      <c r="AA532" s="15" t="n">
        <v>1.002423</v>
      </c>
      <c r="AB532" s="15" t="n">
        <v>1.001763</v>
      </c>
      <c r="AC532" s="15" t="n">
        <v>2.790811</v>
      </c>
      <c r="AD532" s="16" t="n">
        <v>1559.55</v>
      </c>
      <c r="AE532" s="17">
        <f>IF(ISNUMBER(K532),K532,IF(AND(ISNUMBER(H532),ISNUMBER(I532)),H532+I532,IF(ISNUMBER(H532),H532,"")))</f>
        <v/>
      </c>
      <c r="AF532" s="18">
        <f>IF(OR(NOT(ISNUMBER(J532)),NOT(ISNUMBER(H532)),H532&lt;=0),기준표!$B$8,MIN(MAX(J532/H532,기준표!$B$6),기준표!$B$7))</f>
        <v/>
      </c>
      <c r="AG532" s="17">
        <f>IF(ISNUMBER(AE532),AE532*(1-AF532),"")</f>
        <v/>
      </c>
      <c r="AH532" s="17">
        <f>IF(AND(NOT(ISNUMBER(V532)),NOT(ISNUMBER(X532))),"",IF(ISNUMBER(V532),V532,0)+IF(ISNUMBER(X532),X532,0))</f>
        <v/>
      </c>
      <c r="AI532" s="17">
        <f>IF(E532="금융","",IF(AND(ISNUMBER(R532),ISNUMBER(AH532),ISNUMBER(T532)),R532+AH532-T532,""))</f>
        <v/>
      </c>
      <c r="AJ532" s="17">
        <f>IF(E532="금융","",IF(NOT(ISNUMBER(AI532)),"",IF(ISNUMBER(AC532),(AI532+AC532)/2,AI532)))</f>
        <v/>
      </c>
      <c r="AK532" s="19">
        <f>IF(AND(ISNUMBER(AG532),ISNUMBER(AJ532),AJ532&gt;0),AG532/AJ532,"")</f>
        <v/>
      </c>
      <c r="AL532" s="17">
        <f>IF(E532="금융","",IF(AND(ISNUMBER(R532),ISNUMBER(AH532)),R532+AH532,""))</f>
        <v/>
      </c>
      <c r="AM532" s="19">
        <f>IF(OR(NOT(ISNUMBER(AG532)),NOT(ISNUMBER(AL532)),AL532&lt;=0),"",IF(AND(ISNUMBER(G532),AL532&lt;0.1*G532),"",AG532/AL532))</f>
        <v/>
      </c>
      <c r="AN532" s="17">
        <f>IF(NOT(ISNUMBER(R532)),"",IF(ISNUMBER(S532),(R532+S532)/2,R532))</f>
        <v/>
      </c>
      <c r="AO532" s="19">
        <f>IF(AND(ISNUMBER(L532),ISNUMBER(AN532),AN532&gt;0),L532/AN532,"")</f>
        <v/>
      </c>
      <c r="AP532" s="19">
        <f>IF(AND(ISNUMBER(AO532),ISNUMBER({ROIC})),AO532-{ROIC},"")</f>
        <v/>
      </c>
      <c r="AQ532" s="17">
        <f>IF(AND(ISNUMBER(AE532),ISNUMBER(N532)),AE532+N532,"")</f>
        <v/>
      </c>
      <c r="AR532" s="20">
        <f>IF(AND(ISNUMBER(AH532),ISNUMBER(T532),ISNUMBER(AQ532),AQ532&gt;0),(AH532-T532)/AQ532,"")</f>
        <v/>
      </c>
      <c r="AS532" s="20">
        <f>IF(AND(ISNUMBER(AE532),ISNUMBER(I532),I532&lt;&gt;0,AE532&gt;0),AE532/I532,"")</f>
        <v/>
      </c>
      <c r="AT532" s="17">
        <f>IF(AND(ISNUMBER(Y532),ISNUMBER(AA532)),Y532-IF(ISNUMBER(T532),T532,0)-(AA532-IF(ISNUMBER(V532),V532,0)),"")</f>
        <v/>
      </c>
      <c r="AU532" s="17">
        <f>IF(AND(ISNUMBER(Z532),ISNUMBER(AB532)),Z532-IF(ISNUMBER(U532),U532,0)-(AB532-IF(ISNUMBER(W532),W532,0)),"")</f>
        <v/>
      </c>
      <c r="AV532" s="17">
        <f>IF(AND(ISNUMBER(AT532),ISNUMBER(AU532)),AT532-AU532,"")</f>
        <v/>
      </c>
      <c r="AW532" s="17">
        <f>IF(AND(ISNUMBER(L532),ISNUMBER(M532),ISNUMBER(AF532)),L532-M532*(1-AF532),IF(ISNUMBER(L532),L532,""))</f>
        <v/>
      </c>
      <c r="AX532" s="17">
        <f>IF(E532="금융","",IF(AND(ISNUMBER(AW532),ISNUMBER(N532),ISNUMBER(O532),ISNUMBER(AV532)),AW532+N532-O532-AV532,IF(AND(ISNUMBER(P532),ISNUMBER(O532)),P532-O532-IF(ISNUMBER(Q532),Q532,0),"")))</f>
        <v/>
      </c>
      <c r="AY532" s="8">
        <f>IF(E532="금융","금융업 - 정의되지 않음",IF(AND(ISNUMBER(AW532),ISNUMBER(N532),ISNUMBER(O532),ISNUMBER(AV532)),"영업순이익+감가상각-설비투자-운전자본증감",IF(AND(ISNUMBER(P532),ISNUMBER(O532)),IF(ISNUMBER(Q532),"영업현금흐름-설비투자-주식보상비용","영업현금흐름-설비투자(주식보상비용 미태깅)"),"산출불가")))</f>
        <v/>
      </c>
      <c r="AZ532" s="19">
        <f>IF(AND(ISNUMBER(AX532),ISNUMBER(G532),G532&lt;&gt;0),AX532/G532,"")</f>
        <v/>
      </c>
      <c r="BA532" s="19">
        <f>IF(AND(ISNUMBER(AE532),ISNUMBER(G532),G532&lt;&gt;0),AE532/G532,"")</f>
        <v/>
      </c>
    </row>
    <row r="533">
      <c r="A533" s="8" t="inlineStr">
        <is>
          <t>KLAC</t>
        </is>
      </c>
      <c r="B533" s="8" t="inlineStr">
        <is>
          <t>KLA CORP</t>
        </is>
      </c>
      <c r="C533" s="8" t="n">
        <v>2017</v>
      </c>
      <c r="D533" s="8" t="inlineStr">
        <is>
          <t>2017-06-30</t>
        </is>
      </c>
      <c r="E533" s="8" t="inlineStr">
        <is>
          <t>일반</t>
        </is>
      </c>
      <c r="F533" s="8" t="inlineStr">
        <is>
          <t>0000319201-19-000031</t>
        </is>
      </c>
      <c r="G533" s="15" t="n">
        <v>3.480014</v>
      </c>
      <c r="H533" s="15" t="n">
        <v>1.173246</v>
      </c>
      <c r="I533" s="15" t="n"/>
      <c r="J533" s="15" t="n">
        <v>0.24717</v>
      </c>
      <c r="K533" s="15" t="n"/>
      <c r="L533" s="15" t="n">
        <v>0.926076</v>
      </c>
      <c r="M533" s="15" t="n">
        <v>0.000191</v>
      </c>
      <c r="N533" s="15" t="n">
        <v>0.057836</v>
      </c>
      <c r="O533" s="15" t="n">
        <v>0.038594</v>
      </c>
      <c r="P533" s="15" t="n">
        <v>1.079665</v>
      </c>
      <c r="Q533" s="15" t="n">
        <v>0.050943</v>
      </c>
      <c r="R533" s="15" t="n">
        <v>1.326417</v>
      </c>
      <c r="S533" s="15" t="n">
        <v>0.689114</v>
      </c>
      <c r="T533" s="15" t="n">
        <v>1.153051</v>
      </c>
      <c r="U533" s="15" t="n">
        <v>1.108488</v>
      </c>
      <c r="V533" s="15" t="n">
        <v>0.249983</v>
      </c>
      <c r="W533" s="15" t="n">
        <v>0</v>
      </c>
      <c r="X533" s="15" t="n">
        <v>2.930457</v>
      </c>
      <c r="Y533" s="15" t="n">
        <v>4.392066</v>
      </c>
      <c r="Z533" s="15" t="n">
        <v>3.868032</v>
      </c>
      <c r="AA533" s="15" t="n">
        <v>1.293162</v>
      </c>
      <c r="AB533" s="15" t="n">
        <v>1.002423</v>
      </c>
      <c r="AC533" s="15" t="n">
        <v>2.638562</v>
      </c>
      <c r="AD533" s="16" t="n">
        <v>1568.4</v>
      </c>
      <c r="AE533" s="17">
        <f>IF(ISNUMBER(K533),K533,IF(AND(ISNUMBER(H533),ISNUMBER(I533)),H533+I533,IF(ISNUMBER(H533),H533,"")))</f>
        <v/>
      </c>
      <c r="AF533" s="18">
        <f>IF(OR(NOT(ISNUMBER(J533)),NOT(ISNUMBER(H533)),H533&lt;=0),기준표!$B$8,MIN(MAX(J533/H533,기준표!$B$6),기준표!$B$7))</f>
        <v/>
      </c>
      <c r="AG533" s="17">
        <f>IF(ISNUMBER(AE533),AE533*(1-AF533),"")</f>
        <v/>
      </c>
      <c r="AH533" s="17">
        <f>IF(AND(NOT(ISNUMBER(V533)),NOT(ISNUMBER(X533))),"",IF(ISNUMBER(V533),V533,0)+IF(ISNUMBER(X533),X533,0))</f>
        <v/>
      </c>
      <c r="AI533" s="17">
        <f>IF(E533="금융","",IF(AND(ISNUMBER(R533),ISNUMBER(AH533),ISNUMBER(T533)),R533+AH533-T533,""))</f>
        <v/>
      </c>
      <c r="AJ533" s="17">
        <f>IF(E533="금융","",IF(NOT(ISNUMBER(AI533)),"",IF(ISNUMBER(AC533),(AI533+AC533)/2,AI533)))</f>
        <v/>
      </c>
      <c r="AK533" s="19">
        <f>IF(AND(ISNUMBER(AG533),ISNUMBER(AJ533),AJ533&gt;0),AG533/AJ533,"")</f>
        <v/>
      </c>
      <c r="AL533" s="17">
        <f>IF(E533="금융","",IF(AND(ISNUMBER(R533),ISNUMBER(AH533)),R533+AH533,""))</f>
        <v/>
      </c>
      <c r="AM533" s="19">
        <f>IF(OR(NOT(ISNUMBER(AG533)),NOT(ISNUMBER(AL533)),AL533&lt;=0),"",IF(AND(ISNUMBER(G533),AL533&lt;0.1*G533),"",AG533/AL533))</f>
        <v/>
      </c>
      <c r="AN533" s="17">
        <f>IF(NOT(ISNUMBER(R533)),"",IF(ISNUMBER(S533),(R533+S533)/2,R533))</f>
        <v/>
      </c>
      <c r="AO533" s="19">
        <f>IF(AND(ISNUMBER(L533),ISNUMBER(AN533),AN533&gt;0),L533/AN533,"")</f>
        <v/>
      </c>
      <c r="AP533" s="19">
        <f>IF(AND(ISNUMBER(AO533),ISNUMBER({ROIC})),AO533-{ROIC},"")</f>
        <v/>
      </c>
      <c r="AQ533" s="17">
        <f>IF(AND(ISNUMBER(AE533),ISNUMBER(N533)),AE533+N533,"")</f>
        <v/>
      </c>
      <c r="AR533" s="20">
        <f>IF(AND(ISNUMBER(AH533),ISNUMBER(T533),ISNUMBER(AQ533),AQ533&gt;0),(AH533-T533)/AQ533,"")</f>
        <v/>
      </c>
      <c r="AS533" s="20">
        <f>IF(AND(ISNUMBER(AE533),ISNUMBER(I533),I533&lt;&gt;0,AE533&gt;0),AE533/I533,"")</f>
        <v/>
      </c>
      <c r="AT533" s="17">
        <f>IF(AND(ISNUMBER(Y533),ISNUMBER(AA533)),Y533-IF(ISNUMBER(T533),T533,0)-(AA533-IF(ISNUMBER(V533),V533,0)),"")</f>
        <v/>
      </c>
      <c r="AU533" s="17">
        <f>IF(AND(ISNUMBER(Z533),ISNUMBER(AB533)),Z533-IF(ISNUMBER(U533),U533,0)-(AB533-IF(ISNUMBER(W533),W533,0)),"")</f>
        <v/>
      </c>
      <c r="AV533" s="17">
        <f>IF(AND(ISNUMBER(AT533),ISNUMBER(AU533)),AT533-AU533,"")</f>
        <v/>
      </c>
      <c r="AW533" s="17">
        <f>IF(AND(ISNUMBER(L533),ISNUMBER(M533),ISNUMBER(AF533)),L533-M533*(1-AF533),IF(ISNUMBER(L533),L533,""))</f>
        <v/>
      </c>
      <c r="AX533" s="17">
        <f>IF(E533="금융","",IF(AND(ISNUMBER(AW533),ISNUMBER(N533),ISNUMBER(O533),ISNUMBER(AV533)),AW533+N533-O533-AV533,IF(AND(ISNUMBER(P533),ISNUMBER(O533)),P533-O533-IF(ISNUMBER(Q533),Q533,0),"")))</f>
        <v/>
      </c>
      <c r="AY533" s="8">
        <f>IF(E533="금융","금융업 - 정의되지 않음",IF(AND(ISNUMBER(AW533),ISNUMBER(N533),ISNUMBER(O533),ISNUMBER(AV533)),"영업순이익+감가상각-설비투자-운전자본증감",IF(AND(ISNUMBER(P533),ISNUMBER(O533)),IF(ISNUMBER(Q533),"영업현금흐름-설비투자-주식보상비용","영업현금흐름-설비투자(주식보상비용 미태깅)"),"산출불가")))</f>
        <v/>
      </c>
      <c r="AZ533" s="19">
        <f>IF(AND(ISNUMBER(AX533),ISNUMBER(G533),G533&lt;&gt;0),AX533/G533,"")</f>
        <v/>
      </c>
      <c r="BA533" s="19">
        <f>IF(AND(ISNUMBER(AE533),ISNUMBER(G533),G533&lt;&gt;0),AE533/G533,"")</f>
        <v/>
      </c>
    </row>
    <row r="534">
      <c r="A534" s="8" t="inlineStr">
        <is>
          <t>KLAC</t>
        </is>
      </c>
      <c r="B534" s="8" t="inlineStr">
        <is>
          <t>KLA CORP</t>
        </is>
      </c>
      <c r="C534" s="8" t="n">
        <v>2018</v>
      </c>
      <c r="D534" s="8" t="inlineStr">
        <is>
          <t>2018-06-30</t>
        </is>
      </c>
      <c r="E534" s="8" t="inlineStr">
        <is>
          <t>일반</t>
        </is>
      </c>
      <c r="F534" s="8" t="inlineStr">
        <is>
          <t>0000319201-20-000047</t>
        </is>
      </c>
      <c r="G534" s="15" t="n">
        <v>4.036701</v>
      </c>
      <c r="H534" s="15" t="n">
        <v>1.455931</v>
      </c>
      <c r="I534" s="15" t="n"/>
      <c r="J534" s="15" t="n">
        <v>0.653666</v>
      </c>
      <c r="K534" s="15" t="n"/>
      <c r="L534" s="15" t="n">
        <v>0.802265</v>
      </c>
      <c r="M534" s="15" t="n">
        <v>-0.000209</v>
      </c>
      <c r="N534" s="15" t="n">
        <v>0.062684</v>
      </c>
      <c r="O534" s="15" t="n">
        <v>0.06694700000000001</v>
      </c>
      <c r="P534" s="15" t="n">
        <v>1.22912</v>
      </c>
      <c r="Q534" s="15" t="n">
        <v>0.06278400000000001</v>
      </c>
      <c r="R534" s="15" t="n">
        <v>1.620511</v>
      </c>
      <c r="S534" s="15" t="n">
        <v>1.326417</v>
      </c>
      <c r="T534" s="15" t="n">
        <v>2.880318</v>
      </c>
      <c r="U534" s="15" t="n">
        <v>1.153051</v>
      </c>
      <c r="V534" s="15" t="n">
        <v>0</v>
      </c>
      <c r="W534" s="15" t="n">
        <v>0.249983</v>
      </c>
      <c r="X534" s="15" t="n">
        <v>2.237402</v>
      </c>
      <c r="Y534" s="15" t="n">
        <v>4.549</v>
      </c>
      <c r="Z534" s="15" t="n">
        <v>4.392066</v>
      </c>
      <c r="AA534" s="15" t="n">
        <v>1.21427</v>
      </c>
      <c r="AB534" s="15" t="n">
        <v>1.293162</v>
      </c>
      <c r="AC534" s="15" t="n">
        <v>3.353806</v>
      </c>
      <c r="AD534" s="16" t="n">
        <v>1560.48</v>
      </c>
      <c r="AE534" s="17">
        <f>IF(ISNUMBER(K534),K534,IF(AND(ISNUMBER(H534),ISNUMBER(I534)),H534+I534,IF(ISNUMBER(H534),H534,"")))</f>
        <v/>
      </c>
      <c r="AF534" s="18">
        <f>IF(OR(NOT(ISNUMBER(J534)),NOT(ISNUMBER(H534)),H534&lt;=0),기준표!$B$8,MIN(MAX(J534/H534,기준표!$B$6),기준표!$B$7))</f>
        <v/>
      </c>
      <c r="AG534" s="17">
        <f>IF(ISNUMBER(AE534),AE534*(1-AF534),"")</f>
        <v/>
      </c>
      <c r="AH534" s="17">
        <f>IF(AND(NOT(ISNUMBER(V534)),NOT(ISNUMBER(X534))),"",IF(ISNUMBER(V534),V534,0)+IF(ISNUMBER(X534),X534,0))</f>
        <v/>
      </c>
      <c r="AI534" s="17">
        <f>IF(E534="금융","",IF(AND(ISNUMBER(R534),ISNUMBER(AH534),ISNUMBER(T534)),R534+AH534-T534,""))</f>
        <v/>
      </c>
      <c r="AJ534" s="17">
        <f>IF(E534="금융","",IF(NOT(ISNUMBER(AI534)),"",IF(ISNUMBER(AC534),(AI534+AC534)/2,AI534)))</f>
        <v/>
      </c>
      <c r="AK534" s="19">
        <f>IF(AND(ISNUMBER(AG534),ISNUMBER(AJ534),AJ534&gt;0),AG534/AJ534,"")</f>
        <v/>
      </c>
      <c r="AL534" s="17">
        <f>IF(E534="금융","",IF(AND(ISNUMBER(R534),ISNUMBER(AH534)),R534+AH534,""))</f>
        <v/>
      </c>
      <c r="AM534" s="19">
        <f>IF(OR(NOT(ISNUMBER(AG534)),NOT(ISNUMBER(AL534)),AL534&lt;=0),"",IF(AND(ISNUMBER(G534),AL534&lt;0.1*G534),"",AG534/AL534))</f>
        <v/>
      </c>
      <c r="AN534" s="17">
        <f>IF(NOT(ISNUMBER(R534)),"",IF(ISNUMBER(S534),(R534+S534)/2,R534))</f>
        <v/>
      </c>
      <c r="AO534" s="19">
        <f>IF(AND(ISNUMBER(L534),ISNUMBER(AN534),AN534&gt;0),L534/AN534,"")</f>
        <v/>
      </c>
      <c r="AP534" s="19">
        <f>IF(AND(ISNUMBER(AO534),ISNUMBER({ROIC})),AO534-{ROIC},"")</f>
        <v/>
      </c>
      <c r="AQ534" s="17">
        <f>IF(AND(ISNUMBER(AE534),ISNUMBER(N534)),AE534+N534,"")</f>
        <v/>
      </c>
      <c r="AR534" s="20">
        <f>IF(AND(ISNUMBER(AH534),ISNUMBER(T534),ISNUMBER(AQ534),AQ534&gt;0),(AH534-T534)/AQ534,"")</f>
        <v/>
      </c>
      <c r="AS534" s="20">
        <f>IF(AND(ISNUMBER(AE534),ISNUMBER(I534),I534&lt;&gt;0,AE534&gt;0),AE534/I534,"")</f>
        <v/>
      </c>
      <c r="AT534" s="17">
        <f>IF(AND(ISNUMBER(Y534),ISNUMBER(AA534)),Y534-IF(ISNUMBER(T534),T534,0)-(AA534-IF(ISNUMBER(V534),V534,0)),"")</f>
        <v/>
      </c>
      <c r="AU534" s="17">
        <f>IF(AND(ISNUMBER(Z534),ISNUMBER(AB534)),Z534-IF(ISNUMBER(U534),U534,0)-(AB534-IF(ISNUMBER(W534),W534,0)),"")</f>
        <v/>
      </c>
      <c r="AV534" s="17">
        <f>IF(AND(ISNUMBER(AT534),ISNUMBER(AU534)),AT534-AU534,"")</f>
        <v/>
      </c>
      <c r="AW534" s="17">
        <f>IF(AND(ISNUMBER(L534),ISNUMBER(M534),ISNUMBER(AF534)),L534-M534*(1-AF534),IF(ISNUMBER(L534),L534,""))</f>
        <v/>
      </c>
      <c r="AX534" s="17">
        <f>IF(E534="금융","",IF(AND(ISNUMBER(AW534),ISNUMBER(N534),ISNUMBER(O534),ISNUMBER(AV534)),AW534+N534-O534-AV534,IF(AND(ISNUMBER(P534),ISNUMBER(O534)),P534-O534-IF(ISNUMBER(Q534),Q534,0),"")))</f>
        <v/>
      </c>
      <c r="AY534" s="8">
        <f>IF(E534="금융","금융업 - 정의되지 않음",IF(AND(ISNUMBER(AW534),ISNUMBER(N534),ISNUMBER(O534),ISNUMBER(AV534)),"영업순이익+감가상각-설비투자-운전자본증감",IF(AND(ISNUMBER(P534),ISNUMBER(O534)),IF(ISNUMBER(Q534),"영업현금흐름-설비투자-주식보상비용","영업현금흐름-설비투자(주식보상비용 미태깅)"),"산출불가")))</f>
        <v/>
      </c>
      <c r="AZ534" s="19">
        <f>IF(AND(ISNUMBER(AX534),ISNUMBER(G534),G534&lt;&gt;0),AX534/G534,"")</f>
        <v/>
      </c>
      <c r="BA534" s="19">
        <f>IF(AND(ISNUMBER(AE534),ISNUMBER(G534),G534&lt;&gt;0),AE534/G534,"")</f>
        <v/>
      </c>
    </row>
    <row r="535">
      <c r="A535" s="8" t="inlineStr">
        <is>
          <t>KLAC</t>
        </is>
      </c>
      <c r="B535" s="8" t="inlineStr">
        <is>
          <t>KLA CORP</t>
        </is>
      </c>
      <c r="C535" s="8" t="n">
        <v>2019</v>
      </c>
      <c r="D535" s="8" t="inlineStr">
        <is>
          <t>2019-06-30</t>
        </is>
      </c>
      <c r="E535" s="8" t="inlineStr">
        <is>
          <t>일반</t>
        </is>
      </c>
      <c r="F535" s="8" t="inlineStr">
        <is>
          <t>0000319201-21-000029</t>
        </is>
      </c>
      <c r="G535" s="15" t="n">
        <v>4.568904</v>
      </c>
      <c r="H535" s="15" t="n">
        <v>1.296231</v>
      </c>
      <c r="I535" s="15" t="n"/>
      <c r="J535" s="15" t="n">
        <v>0.121214</v>
      </c>
      <c r="K535" s="15" t="n"/>
      <c r="L535" s="15" t="n">
        <v>1.175617</v>
      </c>
      <c r="M535" s="15" t="n">
        <v>-0.001294</v>
      </c>
      <c r="N535" s="15" t="n">
        <v>0.233224</v>
      </c>
      <c r="O535" s="15" t="n">
        <v>0.130498</v>
      </c>
      <c r="P535" s="15" t="n">
        <v>1.152632</v>
      </c>
      <c r="Q535" s="15" t="n">
        <v>0.094194</v>
      </c>
      <c r="R535" s="15" t="n">
        <v>2.659108</v>
      </c>
      <c r="S535" s="15" t="n">
        <v>1.620511</v>
      </c>
      <c r="T535" s="15" t="n">
        <v>1.739385</v>
      </c>
      <c r="U535" s="15" t="n">
        <v>2.880318</v>
      </c>
      <c r="V535" s="15" t="n">
        <v>0.249999</v>
      </c>
      <c r="W535" s="15" t="n">
        <v>0</v>
      </c>
      <c r="X535" s="15" t="n">
        <v>3.423382</v>
      </c>
      <c r="Y535" s="15" t="n">
        <v>4.315075</v>
      </c>
      <c r="Z535" s="15" t="n">
        <v>4.549</v>
      </c>
      <c r="AA535" s="15" t="n">
        <v>1.768486</v>
      </c>
      <c r="AB535" s="15" t="n">
        <v>1.21427</v>
      </c>
      <c r="AC535" s="15" t="n">
        <v>0.977595</v>
      </c>
      <c r="AD535" s="16" t="n">
        <v>1594.75</v>
      </c>
      <c r="AE535" s="17">
        <f>IF(ISNUMBER(K535),K535,IF(AND(ISNUMBER(H535),ISNUMBER(I535)),H535+I535,IF(ISNUMBER(H535),H535,"")))</f>
        <v/>
      </c>
      <c r="AF535" s="18">
        <f>IF(OR(NOT(ISNUMBER(J535)),NOT(ISNUMBER(H535)),H535&lt;=0),기준표!$B$8,MIN(MAX(J535/H535,기준표!$B$6),기준표!$B$7))</f>
        <v/>
      </c>
      <c r="AG535" s="17">
        <f>IF(ISNUMBER(AE535),AE535*(1-AF535),"")</f>
        <v/>
      </c>
      <c r="AH535" s="17">
        <f>IF(AND(NOT(ISNUMBER(V535)),NOT(ISNUMBER(X535))),"",IF(ISNUMBER(V535),V535,0)+IF(ISNUMBER(X535),X535,0))</f>
        <v/>
      </c>
      <c r="AI535" s="17">
        <f>IF(E535="금융","",IF(AND(ISNUMBER(R535),ISNUMBER(AH535),ISNUMBER(T535)),R535+AH535-T535,""))</f>
        <v/>
      </c>
      <c r="AJ535" s="17">
        <f>IF(E535="금융","",IF(NOT(ISNUMBER(AI535)),"",IF(ISNUMBER(AC535),(AI535+AC535)/2,AI535)))</f>
        <v/>
      </c>
      <c r="AK535" s="19">
        <f>IF(AND(ISNUMBER(AG535),ISNUMBER(AJ535),AJ535&gt;0),AG535/AJ535,"")</f>
        <v/>
      </c>
      <c r="AL535" s="17">
        <f>IF(E535="금융","",IF(AND(ISNUMBER(R535),ISNUMBER(AH535)),R535+AH535,""))</f>
        <v/>
      </c>
      <c r="AM535" s="19">
        <f>IF(OR(NOT(ISNUMBER(AG535)),NOT(ISNUMBER(AL535)),AL535&lt;=0),"",IF(AND(ISNUMBER(G535),AL535&lt;0.1*G535),"",AG535/AL535))</f>
        <v/>
      </c>
      <c r="AN535" s="17">
        <f>IF(NOT(ISNUMBER(R535)),"",IF(ISNUMBER(S535),(R535+S535)/2,R535))</f>
        <v/>
      </c>
      <c r="AO535" s="19">
        <f>IF(AND(ISNUMBER(L535),ISNUMBER(AN535),AN535&gt;0),L535/AN535,"")</f>
        <v/>
      </c>
      <c r="AP535" s="19">
        <f>IF(AND(ISNUMBER(AO535),ISNUMBER({ROIC})),AO535-{ROIC},"")</f>
        <v/>
      </c>
      <c r="AQ535" s="17">
        <f>IF(AND(ISNUMBER(AE535),ISNUMBER(N535)),AE535+N535,"")</f>
        <v/>
      </c>
      <c r="AR535" s="20">
        <f>IF(AND(ISNUMBER(AH535),ISNUMBER(T535),ISNUMBER(AQ535),AQ535&gt;0),(AH535-T535)/AQ535,"")</f>
        <v/>
      </c>
      <c r="AS535" s="20">
        <f>IF(AND(ISNUMBER(AE535),ISNUMBER(I535),I535&lt;&gt;0,AE535&gt;0),AE535/I535,"")</f>
        <v/>
      </c>
      <c r="AT535" s="17">
        <f>IF(AND(ISNUMBER(Y535),ISNUMBER(AA535)),Y535-IF(ISNUMBER(T535),T535,0)-(AA535-IF(ISNUMBER(V535),V535,0)),"")</f>
        <v/>
      </c>
      <c r="AU535" s="17">
        <f>IF(AND(ISNUMBER(Z535),ISNUMBER(AB535)),Z535-IF(ISNUMBER(U535),U535,0)-(AB535-IF(ISNUMBER(W535),W535,0)),"")</f>
        <v/>
      </c>
      <c r="AV535" s="17">
        <f>IF(AND(ISNUMBER(AT535),ISNUMBER(AU535)),AT535-AU535,"")</f>
        <v/>
      </c>
      <c r="AW535" s="17">
        <f>IF(AND(ISNUMBER(L535),ISNUMBER(M535),ISNUMBER(AF535)),L535-M535*(1-AF535),IF(ISNUMBER(L535),L535,""))</f>
        <v/>
      </c>
      <c r="AX535" s="17">
        <f>IF(E535="금융","",IF(AND(ISNUMBER(AW535),ISNUMBER(N535),ISNUMBER(O535),ISNUMBER(AV535)),AW535+N535-O535-AV535,IF(AND(ISNUMBER(P535),ISNUMBER(O535)),P535-O535-IF(ISNUMBER(Q535),Q535,0),"")))</f>
        <v/>
      </c>
      <c r="AY535" s="8">
        <f>IF(E535="금융","금융업 - 정의되지 않음",IF(AND(ISNUMBER(AW535),ISNUMBER(N535),ISNUMBER(O535),ISNUMBER(AV535)),"영업순이익+감가상각-설비투자-운전자본증감",IF(AND(ISNUMBER(P535),ISNUMBER(O535)),IF(ISNUMBER(Q535),"영업현금흐름-설비투자-주식보상비용","영업현금흐름-설비투자(주식보상비용 미태깅)"),"산출불가")))</f>
        <v/>
      </c>
      <c r="AZ535" s="19">
        <f>IF(AND(ISNUMBER(AX535),ISNUMBER(G535),G535&lt;&gt;0),AX535/G535,"")</f>
        <v/>
      </c>
      <c r="BA535" s="19">
        <f>IF(AND(ISNUMBER(AE535),ISNUMBER(G535),G535&lt;&gt;0),AE535/G535,"")</f>
        <v/>
      </c>
    </row>
    <row r="536">
      <c r="A536" s="8" t="inlineStr">
        <is>
          <t>KLAC</t>
        </is>
      </c>
      <c r="B536" s="8" t="inlineStr">
        <is>
          <t>KLA CORP</t>
        </is>
      </c>
      <c r="C536" s="8" t="n">
        <v>2020</v>
      </c>
      <c r="D536" s="8" t="inlineStr">
        <is>
          <t>2020-06-30</t>
        </is>
      </c>
      <c r="E536" s="8" t="inlineStr">
        <is>
          <t>일반</t>
        </is>
      </c>
      <c r="F536" s="8" t="inlineStr">
        <is>
          <t>0000319201-22-000023</t>
        </is>
      </c>
      <c r="G536" s="15" t="n">
        <v>5.806424</v>
      </c>
      <c r="H536" s="15" t="n">
        <v>1.316711</v>
      </c>
      <c r="I536" s="15" t="n"/>
      <c r="J536" s="15" t="n">
        <v>0.101686</v>
      </c>
      <c r="K536" s="15" t="n"/>
      <c r="L536" s="15" t="n">
        <v>1.216785</v>
      </c>
      <c r="M536" s="15" t="n">
        <v>0.000297</v>
      </c>
      <c r="N536" s="15" t="n">
        <v>0.348049</v>
      </c>
      <c r="O536" s="15" t="n">
        <v>0.152675</v>
      </c>
      <c r="P536" s="15" t="n">
        <v>1.77885</v>
      </c>
      <c r="Q536" s="15" t="n">
        <v>0.111381</v>
      </c>
      <c r="R536" s="15" t="n">
        <v>2.665424</v>
      </c>
      <c r="S536" s="15" t="n">
        <v>2.659108</v>
      </c>
      <c r="T536" s="15" t="n">
        <v>1.980472</v>
      </c>
      <c r="U536" s="15" t="n">
        <v>1.739385</v>
      </c>
      <c r="V536" s="15" t="n">
        <v>0</v>
      </c>
      <c r="W536" s="15" t="n">
        <v>0.249999</v>
      </c>
      <c r="X536" s="15" t="n">
        <v>3.46967</v>
      </c>
      <c r="Y536" s="15" t="n">
        <v>4.723545</v>
      </c>
      <c r="Z536" s="15" t="n">
        <v>4.315075</v>
      </c>
      <c r="AA536" s="15" t="n">
        <v>1.699786</v>
      </c>
      <c r="AB536" s="15" t="n">
        <v>1.768486</v>
      </c>
      <c r="AC536" s="15" t="n">
        <v>4.593104</v>
      </c>
      <c r="AD536" s="16" t="n">
        <v>1554.61</v>
      </c>
      <c r="AE536" s="17">
        <f>IF(ISNUMBER(K536),K536,IF(AND(ISNUMBER(H536),ISNUMBER(I536)),H536+I536,IF(ISNUMBER(H536),H536,"")))</f>
        <v/>
      </c>
      <c r="AF536" s="18">
        <f>IF(OR(NOT(ISNUMBER(J536)),NOT(ISNUMBER(H536)),H536&lt;=0),기준표!$B$8,MIN(MAX(J536/H536,기준표!$B$6),기준표!$B$7))</f>
        <v/>
      </c>
      <c r="AG536" s="17">
        <f>IF(ISNUMBER(AE536),AE536*(1-AF536),"")</f>
        <v/>
      </c>
      <c r="AH536" s="17">
        <f>IF(AND(NOT(ISNUMBER(V536)),NOT(ISNUMBER(X536))),"",IF(ISNUMBER(V536),V536,0)+IF(ISNUMBER(X536),X536,0))</f>
        <v/>
      </c>
      <c r="AI536" s="17">
        <f>IF(E536="금융","",IF(AND(ISNUMBER(R536),ISNUMBER(AH536),ISNUMBER(T536)),R536+AH536-T536,""))</f>
        <v/>
      </c>
      <c r="AJ536" s="17">
        <f>IF(E536="금융","",IF(NOT(ISNUMBER(AI536)),"",IF(ISNUMBER(AC536),(AI536+AC536)/2,AI536)))</f>
        <v/>
      </c>
      <c r="AK536" s="19">
        <f>IF(AND(ISNUMBER(AG536),ISNUMBER(AJ536),AJ536&gt;0),AG536/AJ536,"")</f>
        <v/>
      </c>
      <c r="AL536" s="17">
        <f>IF(E536="금융","",IF(AND(ISNUMBER(R536),ISNUMBER(AH536)),R536+AH536,""))</f>
        <v/>
      </c>
      <c r="AM536" s="19">
        <f>IF(OR(NOT(ISNUMBER(AG536)),NOT(ISNUMBER(AL536)),AL536&lt;=0),"",IF(AND(ISNUMBER(G536),AL536&lt;0.1*G536),"",AG536/AL536))</f>
        <v/>
      </c>
      <c r="AN536" s="17">
        <f>IF(NOT(ISNUMBER(R536)),"",IF(ISNUMBER(S536),(R536+S536)/2,R536))</f>
        <v/>
      </c>
      <c r="AO536" s="19">
        <f>IF(AND(ISNUMBER(L536),ISNUMBER(AN536),AN536&gt;0),L536/AN536,"")</f>
        <v/>
      </c>
      <c r="AP536" s="19">
        <f>IF(AND(ISNUMBER(AO536),ISNUMBER({ROIC})),AO536-{ROIC},"")</f>
        <v/>
      </c>
      <c r="AQ536" s="17">
        <f>IF(AND(ISNUMBER(AE536),ISNUMBER(N536)),AE536+N536,"")</f>
        <v/>
      </c>
      <c r="AR536" s="20">
        <f>IF(AND(ISNUMBER(AH536),ISNUMBER(T536),ISNUMBER(AQ536),AQ536&gt;0),(AH536-T536)/AQ536,"")</f>
        <v/>
      </c>
      <c r="AS536" s="20">
        <f>IF(AND(ISNUMBER(AE536),ISNUMBER(I536),I536&lt;&gt;0,AE536&gt;0),AE536/I536,"")</f>
        <v/>
      </c>
      <c r="AT536" s="17">
        <f>IF(AND(ISNUMBER(Y536),ISNUMBER(AA536)),Y536-IF(ISNUMBER(T536),T536,0)-(AA536-IF(ISNUMBER(V536),V536,0)),"")</f>
        <v/>
      </c>
      <c r="AU536" s="17">
        <f>IF(AND(ISNUMBER(Z536),ISNUMBER(AB536)),Z536-IF(ISNUMBER(U536),U536,0)-(AB536-IF(ISNUMBER(W536),W536,0)),"")</f>
        <v/>
      </c>
      <c r="AV536" s="17">
        <f>IF(AND(ISNUMBER(AT536),ISNUMBER(AU536)),AT536-AU536,"")</f>
        <v/>
      </c>
      <c r="AW536" s="17">
        <f>IF(AND(ISNUMBER(L536),ISNUMBER(M536),ISNUMBER(AF536)),L536-M536*(1-AF536),IF(ISNUMBER(L536),L536,""))</f>
        <v/>
      </c>
      <c r="AX536" s="17">
        <f>IF(E536="금융","",IF(AND(ISNUMBER(AW536),ISNUMBER(N536),ISNUMBER(O536),ISNUMBER(AV536)),AW536+N536-O536-AV536,IF(AND(ISNUMBER(P536),ISNUMBER(O536)),P536-O536-IF(ISNUMBER(Q536),Q536,0),"")))</f>
        <v/>
      </c>
      <c r="AY536" s="8">
        <f>IF(E536="금융","금융업 - 정의되지 않음",IF(AND(ISNUMBER(AW536),ISNUMBER(N536),ISNUMBER(O536),ISNUMBER(AV536)),"영업순이익+감가상각-설비투자-운전자본증감",IF(AND(ISNUMBER(P536),ISNUMBER(O536)),IF(ISNUMBER(Q536),"영업현금흐름-설비투자-주식보상비용","영업현금흐름-설비투자(주식보상비용 미태깅)"),"산출불가")))</f>
        <v/>
      </c>
      <c r="AZ536" s="19">
        <f>IF(AND(ISNUMBER(AX536),ISNUMBER(G536),G536&lt;&gt;0),AX536/G536,"")</f>
        <v/>
      </c>
      <c r="BA536" s="19">
        <f>IF(AND(ISNUMBER(AE536),ISNUMBER(G536),G536&lt;&gt;0),AE536/G536,"")</f>
        <v/>
      </c>
    </row>
    <row r="537">
      <c r="A537" s="8" t="inlineStr">
        <is>
          <t>KLAC</t>
        </is>
      </c>
      <c r="B537" s="8" t="inlineStr">
        <is>
          <t>KLA CORP</t>
        </is>
      </c>
      <c r="C537" s="8" t="n">
        <v>2021</v>
      </c>
      <c r="D537" s="8" t="inlineStr">
        <is>
          <t>2021-06-30</t>
        </is>
      </c>
      <c r="E537" s="8" t="inlineStr">
        <is>
          <t>일반</t>
        </is>
      </c>
      <c r="F537" s="8" t="inlineStr">
        <is>
          <t>0000319201-23-000031</t>
        </is>
      </c>
      <c r="G537" s="15" t="n">
        <v>6.918734</v>
      </c>
      <c r="H537" s="15" t="n">
        <v>2.360454</v>
      </c>
      <c r="I537" s="15" t="n"/>
      <c r="J537" s="15" t="n">
        <v>0.283101</v>
      </c>
      <c r="K537" s="15" t="n"/>
      <c r="L537" s="15" t="n">
        <v>2.078292</v>
      </c>
      <c r="M537" s="15" t="n">
        <v>0.000253</v>
      </c>
      <c r="N537" s="15" t="n">
        <v>0.333335</v>
      </c>
      <c r="O537" s="15" t="n">
        <v>0.231628</v>
      </c>
      <c r="P537" s="15" t="n">
        <v>2.185026</v>
      </c>
      <c r="Q537" s="15" t="n">
        <v>0.111836</v>
      </c>
      <c r="R537" s="15" t="n">
        <v>3.377554</v>
      </c>
      <c r="S537" s="15" t="n">
        <v>2.665424</v>
      </c>
      <c r="T537" s="15" t="n">
        <v>1.43461</v>
      </c>
      <c r="U537" s="15" t="n">
        <v>1.980472</v>
      </c>
      <c r="V537" s="15" t="n"/>
      <c r="W537" s="15" t="n">
        <v>0</v>
      </c>
      <c r="X537" s="15" t="n">
        <v>3.422767</v>
      </c>
      <c r="Y537" s="15" t="n">
        <v>5.696248</v>
      </c>
      <c r="Z537" s="15" t="n">
        <v>4.723545</v>
      </c>
      <c r="AA537" s="15" t="n">
        <v>2.103227</v>
      </c>
      <c r="AB537" s="15" t="n">
        <v>1.699786</v>
      </c>
      <c r="AC537" s="15" t="n">
        <v>4.154622</v>
      </c>
      <c r="AD537" s="16" t="n">
        <v>1527.76</v>
      </c>
      <c r="AE537" s="17">
        <f>IF(ISNUMBER(K537),K537,IF(AND(ISNUMBER(H537),ISNUMBER(I537)),H537+I537,IF(ISNUMBER(H537),H537,"")))</f>
        <v/>
      </c>
      <c r="AF537" s="18">
        <f>IF(OR(NOT(ISNUMBER(J537)),NOT(ISNUMBER(H537)),H537&lt;=0),기준표!$B$8,MIN(MAX(J537/H537,기준표!$B$6),기준표!$B$7))</f>
        <v/>
      </c>
      <c r="AG537" s="17">
        <f>IF(ISNUMBER(AE537),AE537*(1-AF537),"")</f>
        <v/>
      </c>
      <c r="AH537" s="17">
        <f>IF(AND(NOT(ISNUMBER(V537)),NOT(ISNUMBER(X537))),"",IF(ISNUMBER(V537),V537,0)+IF(ISNUMBER(X537),X537,0))</f>
        <v/>
      </c>
      <c r="AI537" s="17">
        <f>IF(E537="금융","",IF(AND(ISNUMBER(R537),ISNUMBER(AH537),ISNUMBER(T537)),R537+AH537-T537,""))</f>
        <v/>
      </c>
      <c r="AJ537" s="17">
        <f>IF(E537="금융","",IF(NOT(ISNUMBER(AI537)),"",IF(ISNUMBER(AC537),(AI537+AC537)/2,AI537)))</f>
        <v/>
      </c>
      <c r="AK537" s="19">
        <f>IF(AND(ISNUMBER(AG537),ISNUMBER(AJ537),AJ537&gt;0),AG537/AJ537,"")</f>
        <v/>
      </c>
      <c r="AL537" s="17">
        <f>IF(E537="금융","",IF(AND(ISNUMBER(R537),ISNUMBER(AH537)),R537+AH537,""))</f>
        <v/>
      </c>
      <c r="AM537" s="19">
        <f>IF(OR(NOT(ISNUMBER(AG537)),NOT(ISNUMBER(AL537)),AL537&lt;=0),"",IF(AND(ISNUMBER(G537),AL537&lt;0.1*G537),"",AG537/AL537))</f>
        <v/>
      </c>
      <c r="AN537" s="17">
        <f>IF(NOT(ISNUMBER(R537)),"",IF(ISNUMBER(S537),(R537+S537)/2,R537))</f>
        <v/>
      </c>
      <c r="AO537" s="19">
        <f>IF(AND(ISNUMBER(L537),ISNUMBER(AN537),AN537&gt;0),L537/AN537,"")</f>
        <v/>
      </c>
      <c r="AP537" s="19">
        <f>IF(AND(ISNUMBER(AO537),ISNUMBER({ROIC})),AO537-{ROIC},"")</f>
        <v/>
      </c>
      <c r="AQ537" s="17">
        <f>IF(AND(ISNUMBER(AE537),ISNUMBER(N537)),AE537+N537,"")</f>
        <v/>
      </c>
      <c r="AR537" s="20">
        <f>IF(AND(ISNUMBER(AH537),ISNUMBER(T537),ISNUMBER(AQ537),AQ537&gt;0),(AH537-T537)/AQ537,"")</f>
        <v/>
      </c>
      <c r="AS537" s="20">
        <f>IF(AND(ISNUMBER(AE537),ISNUMBER(I537),I537&lt;&gt;0,AE537&gt;0),AE537/I537,"")</f>
        <v/>
      </c>
      <c r="AT537" s="17">
        <f>IF(AND(ISNUMBER(Y537),ISNUMBER(AA537)),Y537-IF(ISNUMBER(T537),T537,0)-(AA537-IF(ISNUMBER(V537),V537,0)),"")</f>
        <v/>
      </c>
      <c r="AU537" s="17">
        <f>IF(AND(ISNUMBER(Z537),ISNUMBER(AB537)),Z537-IF(ISNUMBER(U537),U537,0)-(AB537-IF(ISNUMBER(W537),W537,0)),"")</f>
        <v/>
      </c>
      <c r="AV537" s="17">
        <f>IF(AND(ISNUMBER(AT537),ISNUMBER(AU537)),AT537-AU537,"")</f>
        <v/>
      </c>
      <c r="AW537" s="17">
        <f>IF(AND(ISNUMBER(L537),ISNUMBER(M537),ISNUMBER(AF537)),L537-M537*(1-AF537),IF(ISNUMBER(L537),L537,""))</f>
        <v/>
      </c>
      <c r="AX537" s="17">
        <f>IF(E537="금융","",IF(AND(ISNUMBER(AW537),ISNUMBER(N537),ISNUMBER(O537),ISNUMBER(AV537)),AW537+N537-O537-AV537,IF(AND(ISNUMBER(P537),ISNUMBER(O537)),P537-O537-IF(ISNUMBER(Q537),Q537,0),"")))</f>
        <v/>
      </c>
      <c r="AY537" s="8">
        <f>IF(E537="금융","금융업 - 정의되지 않음",IF(AND(ISNUMBER(AW537),ISNUMBER(N537),ISNUMBER(O537),ISNUMBER(AV537)),"영업순이익+감가상각-설비투자-운전자본증감",IF(AND(ISNUMBER(P537),ISNUMBER(O537)),IF(ISNUMBER(Q537),"영업현금흐름-설비투자-주식보상비용","영업현금흐름-설비투자(주식보상비용 미태깅)"),"산출불가")))</f>
        <v/>
      </c>
      <c r="AZ537" s="19">
        <f>IF(AND(ISNUMBER(AX537),ISNUMBER(G537),G537&lt;&gt;0),AX537/G537,"")</f>
        <v/>
      </c>
      <c r="BA537" s="19">
        <f>IF(AND(ISNUMBER(AE537),ISNUMBER(G537),G537&lt;&gt;0),AE537/G537,"")</f>
        <v/>
      </c>
    </row>
    <row r="538">
      <c r="A538" s="8" t="inlineStr">
        <is>
          <t>KLAC</t>
        </is>
      </c>
      <c r="B538" s="8" t="inlineStr">
        <is>
          <t>KLA CORP</t>
        </is>
      </c>
      <c r="C538" s="8" t="n">
        <v>2022</v>
      </c>
      <c r="D538" s="8" t="inlineStr">
        <is>
          <t>2022-06-30</t>
        </is>
      </c>
      <c r="E538" s="8" t="inlineStr">
        <is>
          <t>일반</t>
        </is>
      </c>
      <c r="F538" s="8" t="inlineStr">
        <is>
          <t>0000319201-24-000021</t>
        </is>
      </c>
      <c r="G538" s="15" t="n">
        <v>9.211883</v>
      </c>
      <c r="H538" s="15" t="n">
        <v>3.489237</v>
      </c>
      <c r="I538" s="15" t="n">
        <v>0.160339</v>
      </c>
      <c r="J538" s="15" t="n">
        <v>0.167177</v>
      </c>
      <c r="K538" s="15" t="n"/>
      <c r="L538" s="15" t="n">
        <v>3.321807</v>
      </c>
      <c r="M538" s="15" t="n">
        <v>-0.000306</v>
      </c>
      <c r="N538" s="15" t="n">
        <v>0.363344</v>
      </c>
      <c r="O538" s="15" t="n">
        <v>0.30732</v>
      </c>
      <c r="P538" s="15" t="n">
        <v>3.312702</v>
      </c>
      <c r="Q538" s="15" t="n">
        <v>0.126918</v>
      </c>
      <c r="R538" s="15" t="n">
        <v>1.401351</v>
      </c>
      <c r="S538" s="15" t="n">
        <v>3.377554</v>
      </c>
      <c r="T538" s="15" t="n">
        <v>1.584908</v>
      </c>
      <c r="U538" s="15" t="n">
        <v>1.43461</v>
      </c>
      <c r="V538" s="15" t="n"/>
      <c r="W538" s="15" t="n"/>
      <c r="X538" s="15" t="n">
        <v>6.660718</v>
      </c>
      <c r="Y538" s="15" t="n">
        <v>7.168911</v>
      </c>
      <c r="Z538" s="15" t="n">
        <v>5.696248</v>
      </c>
      <c r="AA538" s="15" t="n">
        <v>2.871083</v>
      </c>
      <c r="AB538" s="15" t="n">
        <v>2.103227</v>
      </c>
      <c r="AC538" s="15" t="n">
        <v>5.365711</v>
      </c>
      <c r="AD538" s="16" t="n">
        <v>1418.04</v>
      </c>
      <c r="AE538" s="17">
        <f>IF(ISNUMBER(K538),K538,IF(AND(ISNUMBER(H538),ISNUMBER(I538)),H538+I538,IF(ISNUMBER(H538),H538,"")))</f>
        <v/>
      </c>
      <c r="AF538" s="18">
        <f>IF(OR(NOT(ISNUMBER(J538)),NOT(ISNUMBER(H538)),H538&lt;=0),기준표!$B$8,MIN(MAX(J538/H538,기준표!$B$6),기준표!$B$7))</f>
        <v/>
      </c>
      <c r="AG538" s="17">
        <f>IF(ISNUMBER(AE538),AE538*(1-AF538),"")</f>
        <v/>
      </c>
      <c r="AH538" s="17">
        <f>IF(AND(NOT(ISNUMBER(V538)),NOT(ISNUMBER(X538))),"",IF(ISNUMBER(V538),V538,0)+IF(ISNUMBER(X538),X538,0))</f>
        <v/>
      </c>
      <c r="AI538" s="17">
        <f>IF(E538="금융","",IF(AND(ISNUMBER(R538),ISNUMBER(AH538),ISNUMBER(T538)),R538+AH538-T538,""))</f>
        <v/>
      </c>
      <c r="AJ538" s="17">
        <f>IF(E538="금융","",IF(NOT(ISNUMBER(AI538)),"",IF(ISNUMBER(AC538),(AI538+AC538)/2,AI538)))</f>
        <v/>
      </c>
      <c r="AK538" s="19">
        <f>IF(AND(ISNUMBER(AG538),ISNUMBER(AJ538),AJ538&gt;0),AG538/AJ538,"")</f>
        <v/>
      </c>
      <c r="AL538" s="17">
        <f>IF(E538="금융","",IF(AND(ISNUMBER(R538),ISNUMBER(AH538)),R538+AH538,""))</f>
        <v/>
      </c>
      <c r="AM538" s="19">
        <f>IF(OR(NOT(ISNUMBER(AG538)),NOT(ISNUMBER(AL538)),AL538&lt;=0),"",IF(AND(ISNUMBER(G538),AL538&lt;0.1*G538),"",AG538/AL538))</f>
        <v/>
      </c>
      <c r="AN538" s="17">
        <f>IF(NOT(ISNUMBER(R538)),"",IF(ISNUMBER(S538),(R538+S538)/2,R538))</f>
        <v/>
      </c>
      <c r="AO538" s="19">
        <f>IF(AND(ISNUMBER(L538),ISNUMBER(AN538),AN538&gt;0),L538/AN538,"")</f>
        <v/>
      </c>
      <c r="AP538" s="19">
        <f>IF(AND(ISNUMBER(AO538),ISNUMBER({ROIC})),AO538-{ROIC},"")</f>
        <v/>
      </c>
      <c r="AQ538" s="17">
        <f>IF(AND(ISNUMBER(AE538),ISNUMBER(N538)),AE538+N538,"")</f>
        <v/>
      </c>
      <c r="AR538" s="20">
        <f>IF(AND(ISNUMBER(AH538),ISNUMBER(T538),ISNUMBER(AQ538),AQ538&gt;0),(AH538-T538)/AQ538,"")</f>
        <v/>
      </c>
      <c r="AS538" s="20">
        <f>IF(AND(ISNUMBER(AE538),ISNUMBER(I538),I538&lt;&gt;0,AE538&gt;0),AE538/I538,"")</f>
        <v/>
      </c>
      <c r="AT538" s="17">
        <f>IF(AND(ISNUMBER(Y538),ISNUMBER(AA538)),Y538-IF(ISNUMBER(T538),T538,0)-(AA538-IF(ISNUMBER(V538),V538,0)),"")</f>
        <v/>
      </c>
      <c r="AU538" s="17">
        <f>IF(AND(ISNUMBER(Z538),ISNUMBER(AB538)),Z538-IF(ISNUMBER(U538),U538,0)-(AB538-IF(ISNUMBER(W538),W538,0)),"")</f>
        <v/>
      </c>
      <c r="AV538" s="17">
        <f>IF(AND(ISNUMBER(AT538),ISNUMBER(AU538)),AT538-AU538,"")</f>
        <v/>
      </c>
      <c r="AW538" s="17">
        <f>IF(AND(ISNUMBER(L538),ISNUMBER(M538),ISNUMBER(AF538)),L538-M538*(1-AF538),IF(ISNUMBER(L538),L538,""))</f>
        <v/>
      </c>
      <c r="AX538" s="17">
        <f>IF(E538="금융","",IF(AND(ISNUMBER(AW538),ISNUMBER(N538),ISNUMBER(O538),ISNUMBER(AV538)),AW538+N538-O538-AV538,IF(AND(ISNUMBER(P538),ISNUMBER(O538)),P538-O538-IF(ISNUMBER(Q538),Q538,0),"")))</f>
        <v/>
      </c>
      <c r="AY538" s="8">
        <f>IF(E538="금융","금융업 - 정의되지 않음",IF(AND(ISNUMBER(AW538),ISNUMBER(N538),ISNUMBER(O538),ISNUMBER(AV538)),"영업순이익+감가상각-설비투자-운전자본증감",IF(AND(ISNUMBER(P538),ISNUMBER(O538)),IF(ISNUMBER(Q538),"영업현금흐름-설비투자-주식보상비용","영업현금흐름-설비투자(주식보상비용 미태깅)"),"산출불가")))</f>
        <v/>
      </c>
      <c r="AZ538" s="19">
        <f>IF(AND(ISNUMBER(AX538),ISNUMBER(G538),G538&lt;&gt;0),AX538/G538,"")</f>
        <v/>
      </c>
      <c r="BA538" s="19">
        <f>IF(AND(ISNUMBER(AE538),ISNUMBER(G538),G538&lt;&gt;0),AE538/G538,"")</f>
        <v/>
      </c>
    </row>
    <row r="539">
      <c r="A539" s="8" t="inlineStr">
        <is>
          <t>KLAC</t>
        </is>
      </c>
      <c r="B539" s="8" t="inlineStr">
        <is>
          <t>KLA CORP</t>
        </is>
      </c>
      <c r="C539" s="8" t="n">
        <v>2023</v>
      </c>
      <c r="D539" s="8" t="inlineStr">
        <is>
          <t>2023-06-30</t>
        </is>
      </c>
      <c r="E539" s="8" t="inlineStr">
        <is>
          <t>일반</t>
        </is>
      </c>
      <c r="F539" s="8" t="inlineStr">
        <is>
          <t>0000319201-25-000024</t>
        </is>
      </c>
      <c r="G539" s="15" t="n">
        <v>10.496056</v>
      </c>
      <c r="H539" s="15" t="n">
        <v>3.78919</v>
      </c>
      <c r="I539" s="15" t="n">
        <v>0.29694</v>
      </c>
      <c r="J539" s="15" t="n">
        <v>0.401839</v>
      </c>
      <c r="K539" s="15" t="n"/>
      <c r="L539" s="15" t="n">
        <v>3.387277</v>
      </c>
      <c r="M539" s="15" t="n">
        <v>-0.0009859999999999999</v>
      </c>
      <c r="N539" s="15" t="n">
        <v>0.415113</v>
      </c>
      <c r="O539" s="15" t="n">
        <v>0.341591</v>
      </c>
      <c r="P539" s="15" t="n">
        <v>3.669805</v>
      </c>
      <c r="Q539" s="15" t="n">
        <v>0.171424</v>
      </c>
      <c r="R539" s="15" t="n">
        <v>2.919753</v>
      </c>
      <c r="S539" s="15" t="n">
        <v>1.401351</v>
      </c>
      <c r="T539" s="15" t="n">
        <v>1.927865</v>
      </c>
      <c r="U539" s="15" t="n">
        <v>1.584908</v>
      </c>
      <c r="V539" s="15" t="n">
        <v>0</v>
      </c>
      <c r="W539" s="15" t="n"/>
      <c r="X539" s="15" t="n">
        <v>5.890736</v>
      </c>
      <c r="Y539" s="15" t="n">
        <v>8.372032000000001</v>
      </c>
      <c r="Z539" s="15" t="n">
        <v>7.168911</v>
      </c>
      <c r="AA539" s="15" t="n">
        <v>3.742842</v>
      </c>
      <c r="AB539" s="15" t="n">
        <v>2.871083</v>
      </c>
      <c r="AC539" s="15" t="n">
        <v>6.477161</v>
      </c>
      <c r="AD539" s="16" t="n">
        <v>1367.5</v>
      </c>
      <c r="AE539" s="17">
        <f>IF(ISNUMBER(K539),K539,IF(AND(ISNUMBER(H539),ISNUMBER(I539)),H539+I539,IF(ISNUMBER(H539),H539,"")))</f>
        <v/>
      </c>
      <c r="AF539" s="18">
        <f>IF(OR(NOT(ISNUMBER(J539)),NOT(ISNUMBER(H539)),H539&lt;=0),기준표!$B$8,MIN(MAX(J539/H539,기준표!$B$6),기준표!$B$7))</f>
        <v/>
      </c>
      <c r="AG539" s="17">
        <f>IF(ISNUMBER(AE539),AE539*(1-AF539),"")</f>
        <v/>
      </c>
      <c r="AH539" s="17">
        <f>IF(AND(NOT(ISNUMBER(V539)),NOT(ISNUMBER(X539))),"",IF(ISNUMBER(V539),V539,0)+IF(ISNUMBER(X539),X539,0))</f>
        <v/>
      </c>
      <c r="AI539" s="17">
        <f>IF(E539="금융","",IF(AND(ISNUMBER(R539),ISNUMBER(AH539),ISNUMBER(T539)),R539+AH539-T539,""))</f>
        <v/>
      </c>
      <c r="AJ539" s="17">
        <f>IF(E539="금융","",IF(NOT(ISNUMBER(AI539)),"",IF(ISNUMBER(AC539),(AI539+AC539)/2,AI539)))</f>
        <v/>
      </c>
      <c r="AK539" s="19">
        <f>IF(AND(ISNUMBER(AG539),ISNUMBER(AJ539),AJ539&gt;0),AG539/AJ539,"")</f>
        <v/>
      </c>
      <c r="AL539" s="17">
        <f>IF(E539="금융","",IF(AND(ISNUMBER(R539),ISNUMBER(AH539)),R539+AH539,""))</f>
        <v/>
      </c>
      <c r="AM539" s="19">
        <f>IF(OR(NOT(ISNUMBER(AG539)),NOT(ISNUMBER(AL539)),AL539&lt;=0),"",IF(AND(ISNUMBER(G539),AL539&lt;0.1*G539),"",AG539/AL539))</f>
        <v/>
      </c>
      <c r="AN539" s="17">
        <f>IF(NOT(ISNUMBER(R539)),"",IF(ISNUMBER(S539),(R539+S539)/2,R539))</f>
        <v/>
      </c>
      <c r="AO539" s="19">
        <f>IF(AND(ISNUMBER(L539),ISNUMBER(AN539),AN539&gt;0),L539/AN539,"")</f>
        <v/>
      </c>
      <c r="AP539" s="19">
        <f>IF(AND(ISNUMBER(AO539),ISNUMBER({ROIC})),AO539-{ROIC},"")</f>
        <v/>
      </c>
      <c r="AQ539" s="17">
        <f>IF(AND(ISNUMBER(AE539),ISNUMBER(N539)),AE539+N539,"")</f>
        <v/>
      </c>
      <c r="AR539" s="20">
        <f>IF(AND(ISNUMBER(AH539),ISNUMBER(T539),ISNUMBER(AQ539),AQ539&gt;0),(AH539-T539)/AQ539,"")</f>
        <v/>
      </c>
      <c r="AS539" s="20">
        <f>IF(AND(ISNUMBER(AE539),ISNUMBER(I539),I539&lt;&gt;0,AE539&gt;0),AE539/I539,"")</f>
        <v/>
      </c>
      <c r="AT539" s="17">
        <f>IF(AND(ISNUMBER(Y539),ISNUMBER(AA539)),Y539-IF(ISNUMBER(T539),T539,0)-(AA539-IF(ISNUMBER(V539),V539,0)),"")</f>
        <v/>
      </c>
      <c r="AU539" s="17">
        <f>IF(AND(ISNUMBER(Z539),ISNUMBER(AB539)),Z539-IF(ISNUMBER(U539),U539,0)-(AB539-IF(ISNUMBER(W539),W539,0)),"")</f>
        <v/>
      </c>
      <c r="AV539" s="17">
        <f>IF(AND(ISNUMBER(AT539),ISNUMBER(AU539)),AT539-AU539,"")</f>
        <v/>
      </c>
      <c r="AW539" s="17">
        <f>IF(AND(ISNUMBER(L539),ISNUMBER(M539),ISNUMBER(AF539)),L539-M539*(1-AF539),IF(ISNUMBER(L539),L539,""))</f>
        <v/>
      </c>
      <c r="AX539" s="17">
        <f>IF(E539="금융","",IF(AND(ISNUMBER(AW539),ISNUMBER(N539),ISNUMBER(O539),ISNUMBER(AV539)),AW539+N539-O539-AV539,IF(AND(ISNUMBER(P539),ISNUMBER(O539)),P539-O539-IF(ISNUMBER(Q539),Q539,0),"")))</f>
        <v/>
      </c>
      <c r="AY539" s="8">
        <f>IF(E539="금융","금융업 - 정의되지 않음",IF(AND(ISNUMBER(AW539),ISNUMBER(N539),ISNUMBER(O539),ISNUMBER(AV539)),"영업순이익+감가상각-설비투자-운전자본증감",IF(AND(ISNUMBER(P539),ISNUMBER(O539)),IF(ISNUMBER(Q539),"영업현금흐름-설비투자-주식보상비용","영업현금흐름-설비투자(주식보상비용 미태깅)"),"산출불가")))</f>
        <v/>
      </c>
      <c r="AZ539" s="19">
        <f>IF(AND(ISNUMBER(AX539),ISNUMBER(G539),G539&lt;&gt;0),AX539/G539,"")</f>
        <v/>
      </c>
      <c r="BA539" s="19">
        <f>IF(AND(ISNUMBER(AE539),ISNUMBER(G539),G539&lt;&gt;0),AE539/G539,"")</f>
        <v/>
      </c>
    </row>
    <row r="540">
      <c r="A540" s="8" t="inlineStr">
        <is>
          <t>KLAC</t>
        </is>
      </c>
      <c r="B540" s="8" t="inlineStr">
        <is>
          <t>KLA CORP</t>
        </is>
      </c>
      <c r="C540" s="8" t="n">
        <v>2024</v>
      </c>
      <c r="D540" s="8" t="inlineStr">
        <is>
          <t>2024-06-30</t>
        </is>
      </c>
      <c r="E540" s="8" t="inlineStr">
        <is>
          <t>일반</t>
        </is>
      </c>
      <c r="F540" s="8" t="inlineStr">
        <is>
          <t>0000319201-26-000027</t>
        </is>
      </c>
      <c r="G540" s="15" t="n">
        <v>9.812246999999999</v>
      </c>
      <c r="H540" s="15" t="n">
        <v>3.190032</v>
      </c>
      <c r="I540" s="15" t="n">
        <v>0.311253</v>
      </c>
      <c r="J540" s="15" t="n">
        <v>0.428136</v>
      </c>
      <c r="K540" s="15" t="n"/>
      <c r="L540" s="15" t="n">
        <v>2.761896</v>
      </c>
      <c r="M540" s="15" t="n">
        <v>-0.000103</v>
      </c>
      <c r="N540" s="15" t="n">
        <v>0.40173</v>
      </c>
      <c r="O540" s="15" t="n">
        <v>0.277384</v>
      </c>
      <c r="P540" s="15" t="n">
        <v>3.308575</v>
      </c>
      <c r="Q540" s="15" t="n">
        <v>0.212695</v>
      </c>
      <c r="R540" s="15" t="n">
        <v>3.368328</v>
      </c>
      <c r="S540" s="15" t="n">
        <v>2.919753</v>
      </c>
      <c r="T540" s="15" t="n">
        <v>1.977129</v>
      </c>
      <c r="U540" s="15" t="n">
        <v>1.927865</v>
      </c>
      <c r="V540" s="15" t="n">
        <v>0.749936</v>
      </c>
      <c r="W540" s="15" t="n">
        <v>0</v>
      </c>
      <c r="X540" s="15" t="n">
        <v>5.880199</v>
      </c>
      <c r="Y540" s="15" t="n">
        <v>10.031144</v>
      </c>
      <c r="Z540" s="15" t="n">
        <v>8.372032000000001</v>
      </c>
      <c r="AA540" s="15" t="n">
        <v>4.660774</v>
      </c>
      <c r="AB540" s="15" t="n">
        <v>3.742842</v>
      </c>
      <c r="AC540" s="15" t="n">
        <v>6.882624</v>
      </c>
      <c r="AD540" s="16" t="n">
        <v>1344.25</v>
      </c>
      <c r="AE540" s="17">
        <f>IF(ISNUMBER(K540),K540,IF(AND(ISNUMBER(H540),ISNUMBER(I540)),H540+I540,IF(ISNUMBER(H540),H540,"")))</f>
        <v/>
      </c>
      <c r="AF540" s="18">
        <f>IF(OR(NOT(ISNUMBER(J540)),NOT(ISNUMBER(H540)),H540&lt;=0),기준표!$B$8,MIN(MAX(J540/H540,기준표!$B$6),기준표!$B$7))</f>
        <v/>
      </c>
      <c r="AG540" s="17">
        <f>IF(ISNUMBER(AE540),AE540*(1-AF540),"")</f>
        <v/>
      </c>
      <c r="AH540" s="17">
        <f>IF(AND(NOT(ISNUMBER(V540)),NOT(ISNUMBER(X540))),"",IF(ISNUMBER(V540),V540,0)+IF(ISNUMBER(X540),X540,0))</f>
        <v/>
      </c>
      <c r="AI540" s="17">
        <f>IF(E540="금융","",IF(AND(ISNUMBER(R540),ISNUMBER(AH540),ISNUMBER(T540)),R540+AH540-T540,""))</f>
        <v/>
      </c>
      <c r="AJ540" s="17">
        <f>IF(E540="금융","",IF(NOT(ISNUMBER(AI540)),"",IF(ISNUMBER(AC540),(AI540+AC540)/2,AI540)))</f>
        <v/>
      </c>
      <c r="AK540" s="19">
        <f>IF(AND(ISNUMBER(AG540),ISNUMBER(AJ540),AJ540&gt;0),AG540/AJ540,"")</f>
        <v/>
      </c>
      <c r="AL540" s="17">
        <f>IF(E540="금융","",IF(AND(ISNUMBER(R540),ISNUMBER(AH540)),R540+AH540,""))</f>
        <v/>
      </c>
      <c r="AM540" s="19">
        <f>IF(OR(NOT(ISNUMBER(AG540)),NOT(ISNUMBER(AL540)),AL540&lt;=0),"",IF(AND(ISNUMBER(G540),AL540&lt;0.1*G540),"",AG540/AL540))</f>
        <v/>
      </c>
      <c r="AN540" s="17">
        <f>IF(NOT(ISNUMBER(R540)),"",IF(ISNUMBER(S540),(R540+S540)/2,R540))</f>
        <v/>
      </c>
      <c r="AO540" s="19">
        <f>IF(AND(ISNUMBER(L540),ISNUMBER(AN540),AN540&gt;0),L540/AN540,"")</f>
        <v/>
      </c>
      <c r="AP540" s="19">
        <f>IF(AND(ISNUMBER(AO540),ISNUMBER({ROIC})),AO540-{ROIC},"")</f>
        <v/>
      </c>
      <c r="AQ540" s="17">
        <f>IF(AND(ISNUMBER(AE540),ISNUMBER(N540)),AE540+N540,"")</f>
        <v/>
      </c>
      <c r="AR540" s="20">
        <f>IF(AND(ISNUMBER(AH540),ISNUMBER(T540),ISNUMBER(AQ540),AQ540&gt;0),(AH540-T540)/AQ540,"")</f>
        <v/>
      </c>
      <c r="AS540" s="20">
        <f>IF(AND(ISNUMBER(AE540),ISNUMBER(I540),I540&lt;&gt;0,AE540&gt;0),AE540/I540,"")</f>
        <v/>
      </c>
      <c r="AT540" s="17">
        <f>IF(AND(ISNUMBER(Y540),ISNUMBER(AA540)),Y540-IF(ISNUMBER(T540),T540,0)-(AA540-IF(ISNUMBER(V540),V540,0)),"")</f>
        <v/>
      </c>
      <c r="AU540" s="17">
        <f>IF(AND(ISNUMBER(Z540),ISNUMBER(AB540)),Z540-IF(ISNUMBER(U540),U540,0)-(AB540-IF(ISNUMBER(W540),W540,0)),"")</f>
        <v/>
      </c>
      <c r="AV540" s="17">
        <f>IF(AND(ISNUMBER(AT540),ISNUMBER(AU540)),AT540-AU540,"")</f>
        <v/>
      </c>
      <c r="AW540" s="17">
        <f>IF(AND(ISNUMBER(L540),ISNUMBER(M540),ISNUMBER(AF540)),L540-M540*(1-AF540),IF(ISNUMBER(L540),L540,""))</f>
        <v/>
      </c>
      <c r="AX540" s="17">
        <f>IF(E540="금융","",IF(AND(ISNUMBER(AW540),ISNUMBER(N540),ISNUMBER(O540),ISNUMBER(AV540)),AW540+N540-O540-AV540,IF(AND(ISNUMBER(P540),ISNUMBER(O540)),P540-O540-IF(ISNUMBER(Q540),Q540,0),"")))</f>
        <v/>
      </c>
      <c r="AY540" s="8">
        <f>IF(E540="금융","금융업 - 정의되지 않음",IF(AND(ISNUMBER(AW540),ISNUMBER(N540),ISNUMBER(O540),ISNUMBER(AV540)),"영업순이익+감가상각-설비투자-운전자본증감",IF(AND(ISNUMBER(P540),ISNUMBER(O540)),IF(ISNUMBER(Q540),"영업현금흐름-설비투자-주식보상비용","영업현금흐름-설비투자(주식보상비용 미태깅)"),"산출불가")))</f>
        <v/>
      </c>
      <c r="AZ540" s="19">
        <f>IF(AND(ISNUMBER(AX540),ISNUMBER(G540),G540&lt;&gt;0),AX540/G540,"")</f>
        <v/>
      </c>
      <c r="BA540" s="19">
        <f>IF(AND(ISNUMBER(AE540),ISNUMBER(G540),G540&lt;&gt;0),AE540/G540,"")</f>
        <v/>
      </c>
    </row>
    <row r="541">
      <c r="A541" s="8" t="inlineStr">
        <is>
          <t>KLAC</t>
        </is>
      </c>
      <c r="B541" s="8" t="inlineStr">
        <is>
          <t>KLA CORP</t>
        </is>
      </c>
      <c r="C541" s="8" t="n">
        <v>2025</v>
      </c>
      <c r="D541" s="8" t="inlineStr">
        <is>
          <t>2025-06-30</t>
        </is>
      </c>
      <c r="E541" s="8" t="inlineStr">
        <is>
          <t>일반</t>
        </is>
      </c>
      <c r="F541" s="8" t="inlineStr">
        <is>
          <t>0000319201-26-000027</t>
        </is>
      </c>
      <c r="G541" s="15" t="n">
        <v>12.156162</v>
      </c>
      <c r="H541" s="15" t="n">
        <v>4.644448</v>
      </c>
      <c r="I541" s="15" t="n">
        <v>0.302166</v>
      </c>
      <c r="J541" s="15" t="n">
        <v>0.582805</v>
      </c>
      <c r="K541" s="15" t="n"/>
      <c r="L541" s="15" t="n">
        <v>4.061643</v>
      </c>
      <c r="M541" s="15" t="n">
        <v>5.9e-05</v>
      </c>
      <c r="N541" s="15" t="n">
        <v>0.394088</v>
      </c>
      <c r="O541" s="15" t="n">
        <v>0.335259</v>
      </c>
      <c r="P541" s="15" t="n">
        <v>4.081903</v>
      </c>
      <c r="Q541" s="15" t="n">
        <v>0.265011</v>
      </c>
      <c r="R541" s="15" t="n">
        <v>4.692453</v>
      </c>
      <c r="S541" s="15" t="n">
        <v>3.368328</v>
      </c>
      <c r="T541" s="15" t="n">
        <v>2.078908</v>
      </c>
      <c r="U541" s="15" t="n">
        <v>1.977129</v>
      </c>
      <c r="V541" s="15" t="n">
        <v>0</v>
      </c>
      <c r="W541" s="15" t="n">
        <v>0.749936</v>
      </c>
      <c r="X541" s="15" t="n">
        <v>5.884257</v>
      </c>
      <c r="Y541" s="15" t="n">
        <v>10.698789</v>
      </c>
      <c r="Z541" s="15" t="n">
        <v>10.031144</v>
      </c>
      <c r="AA541" s="15" t="n">
        <v>4.085795</v>
      </c>
      <c r="AB541" s="15" t="n">
        <v>4.660774</v>
      </c>
      <c r="AC541" s="15" t="n">
        <v>8.021334</v>
      </c>
      <c r="AD541" s="16" t="n">
        <v>1320.227</v>
      </c>
      <c r="AE541" s="17">
        <f>IF(ISNUMBER(K541),K541,IF(AND(ISNUMBER(H541),ISNUMBER(I541)),H541+I541,IF(ISNUMBER(H541),H541,"")))</f>
        <v/>
      </c>
      <c r="AF541" s="18">
        <f>IF(OR(NOT(ISNUMBER(J541)),NOT(ISNUMBER(H541)),H541&lt;=0),기준표!$B$8,MIN(MAX(J541/H541,기준표!$B$6),기준표!$B$7))</f>
        <v/>
      </c>
      <c r="AG541" s="17">
        <f>IF(ISNUMBER(AE541),AE541*(1-AF541),"")</f>
        <v/>
      </c>
      <c r="AH541" s="17">
        <f>IF(AND(NOT(ISNUMBER(V541)),NOT(ISNUMBER(X541))),"",IF(ISNUMBER(V541),V541,0)+IF(ISNUMBER(X541),X541,0))</f>
        <v/>
      </c>
      <c r="AI541" s="17">
        <f>IF(E541="금융","",IF(AND(ISNUMBER(R541),ISNUMBER(AH541),ISNUMBER(T541)),R541+AH541-T541,""))</f>
        <v/>
      </c>
      <c r="AJ541" s="17">
        <f>IF(E541="금융","",IF(NOT(ISNUMBER(AI541)),"",IF(ISNUMBER(AC541),(AI541+AC541)/2,AI541)))</f>
        <v/>
      </c>
      <c r="AK541" s="19">
        <f>IF(AND(ISNUMBER(AG541),ISNUMBER(AJ541),AJ541&gt;0),AG541/AJ541,"")</f>
        <v/>
      </c>
      <c r="AL541" s="17">
        <f>IF(E541="금융","",IF(AND(ISNUMBER(R541),ISNUMBER(AH541)),R541+AH541,""))</f>
        <v/>
      </c>
      <c r="AM541" s="19">
        <f>IF(OR(NOT(ISNUMBER(AG541)),NOT(ISNUMBER(AL541)),AL541&lt;=0),"",IF(AND(ISNUMBER(G541),AL541&lt;0.1*G541),"",AG541/AL541))</f>
        <v/>
      </c>
      <c r="AN541" s="17">
        <f>IF(NOT(ISNUMBER(R541)),"",IF(ISNUMBER(S541),(R541+S541)/2,R541))</f>
        <v/>
      </c>
      <c r="AO541" s="19">
        <f>IF(AND(ISNUMBER(L541),ISNUMBER(AN541),AN541&gt;0),L541/AN541,"")</f>
        <v/>
      </c>
      <c r="AP541" s="19">
        <f>IF(AND(ISNUMBER(AO541),ISNUMBER({ROIC})),AO541-{ROIC},"")</f>
        <v/>
      </c>
      <c r="AQ541" s="17">
        <f>IF(AND(ISNUMBER(AE541),ISNUMBER(N541)),AE541+N541,"")</f>
        <v/>
      </c>
      <c r="AR541" s="20">
        <f>IF(AND(ISNUMBER(AH541),ISNUMBER(T541),ISNUMBER(AQ541),AQ541&gt;0),(AH541-T541)/AQ541,"")</f>
        <v/>
      </c>
      <c r="AS541" s="20">
        <f>IF(AND(ISNUMBER(AE541),ISNUMBER(I541),I541&lt;&gt;0,AE541&gt;0),AE541/I541,"")</f>
        <v/>
      </c>
      <c r="AT541" s="17">
        <f>IF(AND(ISNUMBER(Y541),ISNUMBER(AA541)),Y541-IF(ISNUMBER(T541),T541,0)-(AA541-IF(ISNUMBER(V541),V541,0)),"")</f>
        <v/>
      </c>
      <c r="AU541" s="17">
        <f>IF(AND(ISNUMBER(Z541),ISNUMBER(AB541)),Z541-IF(ISNUMBER(U541),U541,0)-(AB541-IF(ISNUMBER(W541),W541,0)),"")</f>
        <v/>
      </c>
      <c r="AV541" s="17">
        <f>IF(AND(ISNUMBER(AT541),ISNUMBER(AU541)),AT541-AU541,"")</f>
        <v/>
      </c>
      <c r="AW541" s="17">
        <f>IF(AND(ISNUMBER(L541),ISNUMBER(M541),ISNUMBER(AF541)),L541-M541*(1-AF541),IF(ISNUMBER(L541),L541,""))</f>
        <v/>
      </c>
      <c r="AX541" s="17">
        <f>IF(E541="금융","",IF(AND(ISNUMBER(AW541),ISNUMBER(N541),ISNUMBER(O541),ISNUMBER(AV541)),AW541+N541-O541-AV541,IF(AND(ISNUMBER(P541),ISNUMBER(O541)),P541-O541-IF(ISNUMBER(Q541),Q541,0),"")))</f>
        <v/>
      </c>
      <c r="AY541" s="8">
        <f>IF(E541="금융","금융업 - 정의되지 않음",IF(AND(ISNUMBER(AW541),ISNUMBER(N541),ISNUMBER(O541),ISNUMBER(AV541)),"영업순이익+감가상각-설비투자-운전자본증감",IF(AND(ISNUMBER(P541),ISNUMBER(O541)),IF(ISNUMBER(Q541),"영업현금흐름-설비투자-주식보상비용","영업현금흐름-설비투자(주식보상비용 미태깅)"),"산출불가")))</f>
        <v/>
      </c>
      <c r="AZ541" s="19">
        <f>IF(AND(ISNUMBER(AX541),ISNUMBER(G541),G541&lt;&gt;0),AX541/G541,"")</f>
        <v/>
      </c>
      <c r="BA541" s="19">
        <f>IF(AND(ISNUMBER(AE541),ISNUMBER(G541),G541&lt;&gt;0),AE541/G541,"")</f>
        <v/>
      </c>
    </row>
    <row r="542">
      <c r="A542" s="8" t="inlineStr">
        <is>
          <t>KLAC</t>
        </is>
      </c>
      <c r="B542" s="8" t="inlineStr">
        <is>
          <t>KLA CORP</t>
        </is>
      </c>
      <c r="C542" s="8" t="n">
        <v>2026</v>
      </c>
      <c r="D542" s="8" t="inlineStr">
        <is>
          <t>2026-06-30</t>
        </is>
      </c>
      <c r="E542" s="8" t="inlineStr">
        <is>
          <t>일반</t>
        </is>
      </c>
      <c r="F542" s="8" t="inlineStr">
        <is>
          <t>0000319201-26-000027</t>
        </is>
      </c>
      <c r="G542" s="15" t="n">
        <v>13.579476</v>
      </c>
      <c r="H542" s="15" t="n">
        <v>5.605925</v>
      </c>
      <c r="I542" s="15" t="n">
        <v>0.28444</v>
      </c>
      <c r="J542" s="15" t="n">
        <v>0.775154</v>
      </c>
      <c r="K542" s="15" t="n"/>
      <c r="L542" s="15" t="n">
        <v>4.830771</v>
      </c>
      <c r="M542" s="15" t="n">
        <v>0.000587</v>
      </c>
      <c r="N542" s="15" t="n">
        <v>0.393978</v>
      </c>
      <c r="O542" s="15" t="n">
        <v>0.375945</v>
      </c>
      <c r="P542" s="15" t="n">
        <v>4.143079</v>
      </c>
      <c r="Q542" s="15" t="n">
        <v>0.310171</v>
      </c>
      <c r="R542" s="15" t="n">
        <v>6.34982</v>
      </c>
      <c r="S542" s="15" t="n">
        <v>4.692453</v>
      </c>
      <c r="T542" s="15" t="n">
        <v>1.649842</v>
      </c>
      <c r="U542" s="15" t="n">
        <v>2.078908</v>
      </c>
      <c r="V542" s="15" t="n"/>
      <c r="W542" s="15" t="n">
        <v>0</v>
      </c>
      <c r="X542" s="15" t="n">
        <v>5.887415</v>
      </c>
      <c r="Y542" s="15" t="n">
        <v>12.38179</v>
      </c>
      <c r="Z542" s="15" t="n">
        <v>10.698789</v>
      </c>
      <c r="AA542" s="15" t="n">
        <v>4.304927</v>
      </c>
      <c r="AB542" s="15" t="n">
        <v>4.085795</v>
      </c>
      <c r="AC542" s="15" t="n">
        <v>8.497802</v>
      </c>
      <c r="AD542" s="16" t="n">
        <v>1306.983</v>
      </c>
      <c r="AE542" s="17">
        <f>IF(ISNUMBER(K542),K542,IF(AND(ISNUMBER(H542),ISNUMBER(I542)),H542+I542,IF(ISNUMBER(H542),H542,"")))</f>
        <v/>
      </c>
      <c r="AF542" s="18">
        <f>IF(OR(NOT(ISNUMBER(J542)),NOT(ISNUMBER(H542)),H542&lt;=0),기준표!$B$8,MIN(MAX(J542/H542,기준표!$B$6),기준표!$B$7))</f>
        <v/>
      </c>
      <c r="AG542" s="17">
        <f>IF(ISNUMBER(AE542),AE542*(1-AF542),"")</f>
        <v/>
      </c>
      <c r="AH542" s="17">
        <f>IF(AND(NOT(ISNUMBER(V542)),NOT(ISNUMBER(X542))),"",IF(ISNUMBER(V542),V542,0)+IF(ISNUMBER(X542),X542,0))</f>
        <v/>
      </c>
      <c r="AI542" s="17">
        <f>IF(E542="금융","",IF(AND(ISNUMBER(R542),ISNUMBER(AH542),ISNUMBER(T542)),R542+AH542-T542,""))</f>
        <v/>
      </c>
      <c r="AJ542" s="17">
        <f>IF(E542="금융","",IF(NOT(ISNUMBER(AI542)),"",IF(ISNUMBER(AC542),(AI542+AC542)/2,AI542)))</f>
        <v/>
      </c>
      <c r="AK542" s="19">
        <f>IF(AND(ISNUMBER(AG542),ISNUMBER(AJ542),AJ542&gt;0),AG542/AJ542,"")</f>
        <v/>
      </c>
      <c r="AL542" s="17">
        <f>IF(E542="금융","",IF(AND(ISNUMBER(R542),ISNUMBER(AH542)),R542+AH542,""))</f>
        <v/>
      </c>
      <c r="AM542" s="19">
        <f>IF(OR(NOT(ISNUMBER(AG542)),NOT(ISNUMBER(AL542)),AL542&lt;=0),"",IF(AND(ISNUMBER(G542),AL542&lt;0.1*G542),"",AG542/AL542))</f>
        <v/>
      </c>
      <c r="AN542" s="17">
        <f>IF(NOT(ISNUMBER(R542)),"",IF(ISNUMBER(S542),(R542+S542)/2,R542))</f>
        <v/>
      </c>
      <c r="AO542" s="19">
        <f>IF(AND(ISNUMBER(L542),ISNUMBER(AN542),AN542&gt;0),L542/AN542,"")</f>
        <v/>
      </c>
      <c r="AP542" s="19">
        <f>IF(AND(ISNUMBER(AO542),ISNUMBER({ROIC})),AO542-{ROIC},"")</f>
        <v/>
      </c>
      <c r="AQ542" s="17">
        <f>IF(AND(ISNUMBER(AE542),ISNUMBER(N542)),AE542+N542,"")</f>
        <v/>
      </c>
      <c r="AR542" s="20">
        <f>IF(AND(ISNUMBER(AH542),ISNUMBER(T542),ISNUMBER(AQ542),AQ542&gt;0),(AH542-T542)/AQ542,"")</f>
        <v/>
      </c>
      <c r="AS542" s="20">
        <f>IF(AND(ISNUMBER(AE542),ISNUMBER(I542),I542&lt;&gt;0,AE542&gt;0),AE542/I542,"")</f>
        <v/>
      </c>
      <c r="AT542" s="17">
        <f>IF(AND(ISNUMBER(Y542),ISNUMBER(AA542)),Y542-IF(ISNUMBER(T542),T542,0)-(AA542-IF(ISNUMBER(V542),V542,0)),"")</f>
        <v/>
      </c>
      <c r="AU542" s="17">
        <f>IF(AND(ISNUMBER(Z542),ISNUMBER(AB542)),Z542-IF(ISNUMBER(U542),U542,0)-(AB542-IF(ISNUMBER(W542),W542,0)),"")</f>
        <v/>
      </c>
      <c r="AV542" s="17">
        <f>IF(AND(ISNUMBER(AT542),ISNUMBER(AU542)),AT542-AU542,"")</f>
        <v/>
      </c>
      <c r="AW542" s="17">
        <f>IF(AND(ISNUMBER(L542),ISNUMBER(M542),ISNUMBER(AF542)),L542-M542*(1-AF542),IF(ISNUMBER(L542),L542,""))</f>
        <v/>
      </c>
      <c r="AX542" s="17">
        <f>IF(E542="금융","",IF(AND(ISNUMBER(AW542),ISNUMBER(N542),ISNUMBER(O542),ISNUMBER(AV542)),AW542+N542-O542-AV542,IF(AND(ISNUMBER(P542),ISNUMBER(O542)),P542-O542-IF(ISNUMBER(Q542),Q542,0),"")))</f>
        <v/>
      </c>
      <c r="AY542" s="8">
        <f>IF(E542="금융","금융업 - 정의되지 않음",IF(AND(ISNUMBER(AW542),ISNUMBER(N542),ISNUMBER(O542),ISNUMBER(AV542)),"영업순이익+감가상각-설비투자-운전자본증감",IF(AND(ISNUMBER(P542),ISNUMBER(O542)),IF(ISNUMBER(Q542),"영업현금흐름-설비투자-주식보상비용","영업현금흐름-설비투자(주식보상비용 미태깅)"),"산출불가")))</f>
        <v/>
      </c>
      <c r="AZ542" s="19">
        <f>IF(AND(ISNUMBER(AX542),ISNUMBER(G542),G542&lt;&gt;0),AX542/G542,"")</f>
        <v/>
      </c>
      <c r="BA542" s="19">
        <f>IF(AND(ISNUMBER(AE542),ISNUMBER(G542),G542&lt;&gt;0),AE542/G542,"")</f>
        <v/>
      </c>
    </row>
    <row r="543">
      <c r="A543" s="8" t="inlineStr">
        <is>
          <t>ANET</t>
        </is>
      </c>
      <c r="B543" s="8" t="inlineStr">
        <is>
          <t>Arista Networks, Inc.</t>
        </is>
      </c>
      <c r="C543" s="8" t="n">
        <v>2014</v>
      </c>
      <c r="D543" s="8" t="inlineStr">
        <is>
          <t>2014-12-31</t>
        </is>
      </c>
      <c r="E543" s="8" t="inlineStr">
        <is>
          <t>일반</t>
        </is>
      </c>
      <c r="F543" s="8" t="inlineStr">
        <is>
          <t>0001596532-17-000019</t>
        </is>
      </c>
      <c r="G543" s="15" t="n"/>
      <c r="H543" s="15" t="n">
        <v>0.121508</v>
      </c>
      <c r="I543" s="15" t="n"/>
      <c r="J543" s="15" t="n">
        <v>0.034658</v>
      </c>
      <c r="K543" s="15" t="n">
        <v>0.125513</v>
      </c>
      <c r="L543" s="15" t="n">
        <v>0.08685</v>
      </c>
      <c r="M543" s="15" t="n"/>
      <c r="N543" s="15" t="n">
        <v>0.010021</v>
      </c>
      <c r="O543" s="15" t="n"/>
      <c r="P543" s="15" t="n">
        <v>0.131875</v>
      </c>
      <c r="Q543" s="15" t="n">
        <v>0.027619</v>
      </c>
      <c r="R543" s="15" t="n">
        <v>0.555658</v>
      </c>
      <c r="S543" s="15" t="n"/>
      <c r="T543" s="15" t="n">
        <v>0.449457</v>
      </c>
      <c r="U543" s="15" t="n"/>
      <c r="V543" s="15" t="n">
        <v>0</v>
      </c>
      <c r="W543" s="15" t="n"/>
      <c r="X543" s="15" t="n"/>
      <c r="Y543" s="15" t="n">
        <v>0.6794790000000001</v>
      </c>
      <c r="Z543" s="15" t="n"/>
      <c r="AA543" s="15" t="n">
        <v>0.144373</v>
      </c>
      <c r="AB543" s="15" t="n"/>
      <c r="AC543" s="15" t="n"/>
      <c r="AD543" s="16" t="n">
        <v>1048.448</v>
      </c>
      <c r="AE543" s="17">
        <f>IF(ISNUMBER(K543),K543,IF(AND(ISNUMBER(H543),ISNUMBER(I543)),H543+I543,IF(ISNUMBER(H543),H543,"")))</f>
        <v/>
      </c>
      <c r="AF543" s="18">
        <f>IF(OR(NOT(ISNUMBER(J543)),NOT(ISNUMBER(H543)),H543&lt;=0),기준표!$B$8,MIN(MAX(J543/H543,기준표!$B$6),기준표!$B$7))</f>
        <v/>
      </c>
      <c r="AG543" s="17">
        <f>IF(ISNUMBER(AE543),AE543*(1-AF543),"")</f>
        <v/>
      </c>
      <c r="AH543" s="17">
        <f>IF(AND(NOT(ISNUMBER(V543)),NOT(ISNUMBER(X543))),"",IF(ISNUMBER(V543),V543,0)+IF(ISNUMBER(X543),X543,0))</f>
        <v/>
      </c>
      <c r="AI543" s="17">
        <f>IF(E543="금융","",IF(AND(ISNUMBER(R543),ISNUMBER(AH543),ISNUMBER(T543)),R543+AH543-T543,""))</f>
        <v/>
      </c>
      <c r="AJ543" s="17">
        <f>IF(E543="금융","",IF(NOT(ISNUMBER(AI543)),"",IF(ISNUMBER(AC543),(AI543+AC543)/2,AI543)))</f>
        <v/>
      </c>
      <c r="AK543" s="19">
        <f>IF(AND(ISNUMBER(AG543),ISNUMBER(AJ543),AJ543&gt;0),AG543/AJ543,"")</f>
        <v/>
      </c>
      <c r="AL543" s="17">
        <f>IF(E543="금융","",IF(AND(ISNUMBER(R543),ISNUMBER(AH543)),R543+AH543,""))</f>
        <v/>
      </c>
      <c r="AM543" s="19">
        <f>IF(OR(NOT(ISNUMBER(AG543)),NOT(ISNUMBER(AL543)),AL543&lt;=0),"",IF(AND(ISNUMBER(G543),AL543&lt;0.1*G543),"",AG543/AL543))</f>
        <v/>
      </c>
      <c r="AN543" s="17">
        <f>IF(NOT(ISNUMBER(R543)),"",IF(ISNUMBER(S543),(R543+S543)/2,R543))</f>
        <v/>
      </c>
      <c r="AO543" s="19">
        <f>IF(AND(ISNUMBER(L543),ISNUMBER(AN543),AN543&gt;0),L543/AN543,"")</f>
        <v/>
      </c>
      <c r="AP543" s="19">
        <f>IF(AND(ISNUMBER(AO543),ISNUMBER({ROIC})),AO543-{ROIC},"")</f>
        <v/>
      </c>
      <c r="AQ543" s="17">
        <f>IF(AND(ISNUMBER(AE543),ISNUMBER(N543)),AE543+N543,"")</f>
        <v/>
      </c>
      <c r="AR543" s="20">
        <f>IF(AND(ISNUMBER(AH543),ISNUMBER(T543),ISNUMBER(AQ543),AQ543&gt;0),(AH543-T543)/AQ543,"")</f>
        <v/>
      </c>
      <c r="AS543" s="20">
        <f>IF(AND(ISNUMBER(AE543),ISNUMBER(I543),I543&lt;&gt;0,AE543&gt;0),AE543/I543,"")</f>
        <v/>
      </c>
      <c r="AT543" s="17">
        <f>IF(AND(ISNUMBER(Y543),ISNUMBER(AA543)),Y543-IF(ISNUMBER(T543),T543,0)-(AA543-IF(ISNUMBER(V543),V543,0)),"")</f>
        <v/>
      </c>
      <c r="AU543" s="17">
        <f>IF(AND(ISNUMBER(Z543),ISNUMBER(AB543)),Z543-IF(ISNUMBER(U543),U543,0)-(AB543-IF(ISNUMBER(W543),W543,0)),"")</f>
        <v/>
      </c>
      <c r="AV543" s="17">
        <f>IF(AND(ISNUMBER(AT543),ISNUMBER(AU543)),AT543-AU543,"")</f>
        <v/>
      </c>
      <c r="AW543" s="17">
        <f>IF(AND(ISNUMBER(L543),ISNUMBER(M543),ISNUMBER(AF543)),L543-M543*(1-AF543),IF(ISNUMBER(L543),L543,""))</f>
        <v/>
      </c>
      <c r="AX543" s="17">
        <f>IF(E543="금융","",IF(AND(ISNUMBER(AW543),ISNUMBER(N543),ISNUMBER(O543),ISNUMBER(AV543)),AW543+N543-O543-AV543,IF(AND(ISNUMBER(P543),ISNUMBER(O543)),P543-O543-IF(ISNUMBER(Q543),Q543,0),"")))</f>
        <v/>
      </c>
      <c r="AY543" s="8">
        <f>IF(E543="금융","금융업 - 정의되지 않음",IF(AND(ISNUMBER(AW543),ISNUMBER(N543),ISNUMBER(O543),ISNUMBER(AV543)),"영업순이익+감가상각-설비투자-운전자본증감",IF(AND(ISNUMBER(P543),ISNUMBER(O543)),IF(ISNUMBER(Q543),"영업현금흐름-설비투자-주식보상비용","영업현금흐름-설비투자(주식보상비용 미태깅)"),"산출불가")))</f>
        <v/>
      </c>
      <c r="AZ543" s="19">
        <f>IF(AND(ISNUMBER(AX543),ISNUMBER(G543),G543&lt;&gt;0),AX543/G543,"")</f>
        <v/>
      </c>
      <c r="BA543" s="19">
        <f>IF(AND(ISNUMBER(AE543),ISNUMBER(G543),G543&lt;&gt;0),AE543/G543,"")</f>
        <v/>
      </c>
    </row>
    <row r="544">
      <c r="A544" s="8" t="inlineStr">
        <is>
          <t>ANET</t>
        </is>
      </c>
      <c r="B544" s="8" t="inlineStr">
        <is>
          <t>Arista Networks, Inc.</t>
        </is>
      </c>
      <c r="C544" s="8" t="n">
        <v>2015</v>
      </c>
      <c r="D544" s="8" t="inlineStr">
        <is>
          <t>2015-12-31</t>
        </is>
      </c>
      <c r="E544" s="8" t="inlineStr">
        <is>
          <t>일반</t>
        </is>
      </c>
      <c r="F544" s="8" t="inlineStr">
        <is>
          <t>0001596532-18-000018</t>
        </is>
      </c>
      <c r="G544" s="15" t="n"/>
      <c r="H544" s="15" t="n">
        <v>0.146009</v>
      </c>
      <c r="I544" s="15" t="n"/>
      <c r="J544" s="15" t="n">
        <v>0.024907</v>
      </c>
      <c r="K544" s="15" t="n">
        <v>0.149308</v>
      </c>
      <c r="L544" s="15" t="n">
        <v>0.121102</v>
      </c>
      <c r="M544" s="15" t="n"/>
      <c r="N544" s="15" t="n">
        <v>0.013671</v>
      </c>
      <c r="O544" s="15" t="n"/>
      <c r="P544" s="15" t="n">
        <v>0.237784</v>
      </c>
      <c r="Q544" s="15" t="n">
        <v>0.045303</v>
      </c>
      <c r="R544" s="15" t="n">
        <v>0.788152</v>
      </c>
      <c r="S544" s="15" t="n">
        <v>0.555658</v>
      </c>
      <c r="T544" s="15" t="n">
        <v>0.687326</v>
      </c>
      <c r="U544" s="15" t="n">
        <v>0.449457</v>
      </c>
      <c r="V544" s="15" t="n">
        <v>0</v>
      </c>
      <c r="W544" s="15" t="n">
        <v>0</v>
      </c>
      <c r="X544" s="15" t="n"/>
      <c r="Y544" s="15" t="n">
        <v>0.974328</v>
      </c>
      <c r="Z544" s="15" t="n">
        <v>0.6794790000000001</v>
      </c>
      <c r="AA544" s="15" t="n">
        <v>0.235011</v>
      </c>
      <c r="AB544" s="15" t="n">
        <v>0.144373</v>
      </c>
      <c r="AC544" s="15" t="n">
        <v>0.106201</v>
      </c>
      <c r="AD544" s="16" t="n">
        <v>1090.112</v>
      </c>
      <c r="AE544" s="17">
        <f>IF(ISNUMBER(K544),K544,IF(AND(ISNUMBER(H544),ISNUMBER(I544)),H544+I544,IF(ISNUMBER(H544),H544,"")))</f>
        <v/>
      </c>
      <c r="AF544" s="18">
        <f>IF(OR(NOT(ISNUMBER(J544)),NOT(ISNUMBER(H544)),H544&lt;=0),기준표!$B$8,MIN(MAX(J544/H544,기준표!$B$6),기준표!$B$7))</f>
        <v/>
      </c>
      <c r="AG544" s="17">
        <f>IF(ISNUMBER(AE544),AE544*(1-AF544),"")</f>
        <v/>
      </c>
      <c r="AH544" s="17">
        <f>IF(AND(NOT(ISNUMBER(V544)),NOT(ISNUMBER(X544))),"",IF(ISNUMBER(V544),V544,0)+IF(ISNUMBER(X544),X544,0))</f>
        <v/>
      </c>
      <c r="AI544" s="17">
        <f>IF(E544="금융","",IF(AND(ISNUMBER(R544),ISNUMBER(AH544),ISNUMBER(T544)),R544+AH544-T544,""))</f>
        <v/>
      </c>
      <c r="AJ544" s="17">
        <f>IF(E544="금융","",IF(NOT(ISNUMBER(AI544)),"",IF(ISNUMBER(AC544),(AI544+AC544)/2,AI544)))</f>
        <v/>
      </c>
      <c r="AK544" s="19">
        <f>IF(AND(ISNUMBER(AG544),ISNUMBER(AJ544),AJ544&gt;0),AG544/AJ544,"")</f>
        <v/>
      </c>
      <c r="AL544" s="17">
        <f>IF(E544="금융","",IF(AND(ISNUMBER(R544),ISNUMBER(AH544)),R544+AH544,""))</f>
        <v/>
      </c>
      <c r="AM544" s="19">
        <f>IF(OR(NOT(ISNUMBER(AG544)),NOT(ISNUMBER(AL544)),AL544&lt;=0),"",IF(AND(ISNUMBER(G544),AL544&lt;0.1*G544),"",AG544/AL544))</f>
        <v/>
      </c>
      <c r="AN544" s="17">
        <f>IF(NOT(ISNUMBER(R544)),"",IF(ISNUMBER(S544),(R544+S544)/2,R544))</f>
        <v/>
      </c>
      <c r="AO544" s="19">
        <f>IF(AND(ISNUMBER(L544),ISNUMBER(AN544),AN544&gt;0),L544/AN544,"")</f>
        <v/>
      </c>
      <c r="AP544" s="19">
        <f>IF(AND(ISNUMBER(AO544),ISNUMBER({ROIC})),AO544-{ROIC},"")</f>
        <v/>
      </c>
      <c r="AQ544" s="17">
        <f>IF(AND(ISNUMBER(AE544),ISNUMBER(N544)),AE544+N544,"")</f>
        <v/>
      </c>
      <c r="AR544" s="20">
        <f>IF(AND(ISNUMBER(AH544),ISNUMBER(T544),ISNUMBER(AQ544),AQ544&gt;0),(AH544-T544)/AQ544,"")</f>
        <v/>
      </c>
      <c r="AS544" s="20">
        <f>IF(AND(ISNUMBER(AE544),ISNUMBER(I544),I544&lt;&gt;0,AE544&gt;0),AE544/I544,"")</f>
        <v/>
      </c>
      <c r="AT544" s="17">
        <f>IF(AND(ISNUMBER(Y544),ISNUMBER(AA544)),Y544-IF(ISNUMBER(T544),T544,0)-(AA544-IF(ISNUMBER(V544),V544,0)),"")</f>
        <v/>
      </c>
      <c r="AU544" s="17">
        <f>IF(AND(ISNUMBER(Z544),ISNUMBER(AB544)),Z544-IF(ISNUMBER(U544),U544,0)-(AB544-IF(ISNUMBER(W544),W544,0)),"")</f>
        <v/>
      </c>
      <c r="AV544" s="17">
        <f>IF(AND(ISNUMBER(AT544),ISNUMBER(AU544)),AT544-AU544,"")</f>
        <v/>
      </c>
      <c r="AW544" s="17">
        <f>IF(AND(ISNUMBER(L544),ISNUMBER(M544),ISNUMBER(AF544)),L544-M544*(1-AF544),IF(ISNUMBER(L544),L544,""))</f>
        <v/>
      </c>
      <c r="AX544" s="17">
        <f>IF(E544="금융","",IF(AND(ISNUMBER(AW544),ISNUMBER(N544),ISNUMBER(O544),ISNUMBER(AV544)),AW544+N544-O544-AV544,IF(AND(ISNUMBER(P544),ISNUMBER(O544)),P544-O544-IF(ISNUMBER(Q544),Q544,0),"")))</f>
        <v/>
      </c>
      <c r="AY544" s="8">
        <f>IF(E544="금융","금융업 - 정의되지 않음",IF(AND(ISNUMBER(AW544),ISNUMBER(N544),ISNUMBER(O544),ISNUMBER(AV544)),"영업순이익+감가상각-설비투자-운전자본증감",IF(AND(ISNUMBER(P544),ISNUMBER(O544)),IF(ISNUMBER(Q544),"영업현금흐름-설비투자-주식보상비용","영업현금흐름-설비투자(주식보상비용 미태깅)"),"산출불가")))</f>
        <v/>
      </c>
      <c r="AZ544" s="19">
        <f>IF(AND(ISNUMBER(AX544),ISNUMBER(G544),G544&lt;&gt;0),AX544/G544,"")</f>
        <v/>
      </c>
      <c r="BA544" s="19">
        <f>IF(AND(ISNUMBER(AE544),ISNUMBER(G544),G544&lt;&gt;0),AE544/G544,"")</f>
        <v/>
      </c>
    </row>
    <row r="545">
      <c r="A545" s="8" t="inlineStr">
        <is>
          <t>ANET</t>
        </is>
      </c>
      <c r="B545" s="8" t="inlineStr">
        <is>
          <t>Arista Networks, Inc.</t>
        </is>
      </c>
      <c r="C545" s="8" t="n">
        <v>2016</v>
      </c>
      <c r="D545" s="8" t="inlineStr">
        <is>
          <t>2016-12-31</t>
        </is>
      </c>
      <c r="E545" s="8" t="inlineStr">
        <is>
          <t>일반</t>
        </is>
      </c>
      <c r="F545" s="8" t="inlineStr">
        <is>
          <t>0001596532-19-000027</t>
        </is>
      </c>
      <c r="G545" s="15" t="n">
        <v>1.129167</v>
      </c>
      <c r="H545" s="15" t="n">
        <v>0.242225</v>
      </c>
      <c r="I545" s="15" t="n">
        <v>0.003136</v>
      </c>
      <c r="J545" s="15" t="n">
        <v>0.058036</v>
      </c>
      <c r="K545" s="15" t="n">
        <v>0.243409</v>
      </c>
      <c r="L545" s="15" t="n">
        <v>0.184189</v>
      </c>
      <c r="M545" s="15" t="n"/>
      <c r="N545" s="15" t="n">
        <v>0.019749</v>
      </c>
      <c r="O545" s="15" t="n"/>
      <c r="P545" s="15" t="n">
        <v>0.174295</v>
      </c>
      <c r="Q545" s="15" t="n">
        <v>0.059032</v>
      </c>
      <c r="R545" s="15" t="n">
        <v>1.10782</v>
      </c>
      <c r="S545" s="15" t="n">
        <v>0.788152</v>
      </c>
      <c r="T545" s="15" t="n">
        <v>0.867833</v>
      </c>
      <c r="U545" s="15" t="n">
        <v>0.687326</v>
      </c>
      <c r="V545" s="15" t="n">
        <v>0</v>
      </c>
      <c r="W545" s="15" t="n">
        <v>0</v>
      </c>
      <c r="X545" s="15" t="n"/>
      <c r="Y545" s="15" t="n">
        <v>1.526126</v>
      </c>
      <c r="Z545" s="15" t="n">
        <v>0.974328</v>
      </c>
      <c r="AA545" s="15" t="n">
        <v>0.459553</v>
      </c>
      <c r="AB545" s="15" t="n">
        <v>0.235011</v>
      </c>
      <c r="AC545" s="15" t="n">
        <v>0.100826</v>
      </c>
      <c r="AD545" s="16" t="n">
        <v>1132.976</v>
      </c>
      <c r="AE545" s="17">
        <f>IF(ISNUMBER(K545),K545,IF(AND(ISNUMBER(H545),ISNUMBER(I545)),H545+I545,IF(ISNUMBER(H545),H545,"")))</f>
        <v/>
      </c>
      <c r="AF545" s="18">
        <f>IF(OR(NOT(ISNUMBER(J545)),NOT(ISNUMBER(H545)),H545&lt;=0),기준표!$B$8,MIN(MAX(J545/H545,기준표!$B$6),기준표!$B$7))</f>
        <v/>
      </c>
      <c r="AG545" s="17">
        <f>IF(ISNUMBER(AE545),AE545*(1-AF545),"")</f>
        <v/>
      </c>
      <c r="AH545" s="17">
        <f>IF(AND(NOT(ISNUMBER(V545)),NOT(ISNUMBER(X545))),"",IF(ISNUMBER(V545),V545,0)+IF(ISNUMBER(X545),X545,0))</f>
        <v/>
      </c>
      <c r="AI545" s="17">
        <f>IF(E545="금융","",IF(AND(ISNUMBER(R545),ISNUMBER(AH545),ISNUMBER(T545)),R545+AH545-T545,""))</f>
        <v/>
      </c>
      <c r="AJ545" s="17">
        <f>IF(E545="금융","",IF(NOT(ISNUMBER(AI545)),"",IF(ISNUMBER(AC545),(AI545+AC545)/2,AI545)))</f>
        <v/>
      </c>
      <c r="AK545" s="19">
        <f>IF(AND(ISNUMBER(AG545),ISNUMBER(AJ545),AJ545&gt;0),AG545/AJ545,"")</f>
        <v/>
      </c>
      <c r="AL545" s="17">
        <f>IF(E545="금융","",IF(AND(ISNUMBER(R545),ISNUMBER(AH545)),R545+AH545,""))</f>
        <v/>
      </c>
      <c r="AM545" s="19">
        <f>IF(OR(NOT(ISNUMBER(AG545)),NOT(ISNUMBER(AL545)),AL545&lt;=0),"",IF(AND(ISNUMBER(G545),AL545&lt;0.1*G545),"",AG545/AL545))</f>
        <v/>
      </c>
      <c r="AN545" s="17">
        <f>IF(NOT(ISNUMBER(R545)),"",IF(ISNUMBER(S545),(R545+S545)/2,R545))</f>
        <v/>
      </c>
      <c r="AO545" s="19">
        <f>IF(AND(ISNUMBER(L545),ISNUMBER(AN545),AN545&gt;0),L545/AN545,"")</f>
        <v/>
      </c>
      <c r="AP545" s="19">
        <f>IF(AND(ISNUMBER(AO545),ISNUMBER({ROIC})),AO545-{ROIC},"")</f>
        <v/>
      </c>
      <c r="AQ545" s="17">
        <f>IF(AND(ISNUMBER(AE545),ISNUMBER(N545)),AE545+N545,"")</f>
        <v/>
      </c>
      <c r="AR545" s="20">
        <f>IF(AND(ISNUMBER(AH545),ISNUMBER(T545),ISNUMBER(AQ545),AQ545&gt;0),(AH545-T545)/AQ545,"")</f>
        <v/>
      </c>
      <c r="AS545" s="20">
        <f>IF(AND(ISNUMBER(AE545),ISNUMBER(I545),I545&lt;&gt;0,AE545&gt;0),AE545/I545,"")</f>
        <v/>
      </c>
      <c r="AT545" s="17">
        <f>IF(AND(ISNUMBER(Y545),ISNUMBER(AA545)),Y545-IF(ISNUMBER(T545),T545,0)-(AA545-IF(ISNUMBER(V545),V545,0)),"")</f>
        <v/>
      </c>
      <c r="AU545" s="17">
        <f>IF(AND(ISNUMBER(Z545),ISNUMBER(AB545)),Z545-IF(ISNUMBER(U545),U545,0)-(AB545-IF(ISNUMBER(W545),W545,0)),"")</f>
        <v/>
      </c>
      <c r="AV545" s="17">
        <f>IF(AND(ISNUMBER(AT545),ISNUMBER(AU545)),AT545-AU545,"")</f>
        <v/>
      </c>
      <c r="AW545" s="17">
        <f>IF(AND(ISNUMBER(L545),ISNUMBER(M545),ISNUMBER(AF545)),L545-M545*(1-AF545),IF(ISNUMBER(L545),L545,""))</f>
        <v/>
      </c>
      <c r="AX545" s="17">
        <f>IF(E545="금융","",IF(AND(ISNUMBER(AW545),ISNUMBER(N545),ISNUMBER(O545),ISNUMBER(AV545)),AW545+N545-O545-AV545,IF(AND(ISNUMBER(P545),ISNUMBER(O545)),P545-O545-IF(ISNUMBER(Q545),Q545,0),"")))</f>
        <v/>
      </c>
      <c r="AY545" s="8">
        <f>IF(E545="금융","금융업 - 정의되지 않음",IF(AND(ISNUMBER(AW545),ISNUMBER(N545),ISNUMBER(O545),ISNUMBER(AV545)),"영업순이익+감가상각-설비투자-운전자본증감",IF(AND(ISNUMBER(P545),ISNUMBER(O545)),IF(ISNUMBER(Q545),"영업현금흐름-설비투자-주식보상비용","영업현금흐름-설비투자(주식보상비용 미태깅)"),"산출불가")))</f>
        <v/>
      </c>
      <c r="AZ545" s="19">
        <f>IF(AND(ISNUMBER(AX545),ISNUMBER(G545),G545&lt;&gt;0),AX545/G545,"")</f>
        <v/>
      </c>
      <c r="BA545" s="19">
        <f>IF(AND(ISNUMBER(AE545),ISNUMBER(G545),G545&lt;&gt;0),AE545/G545,"")</f>
        <v/>
      </c>
    </row>
    <row r="546">
      <c r="A546" s="8" t="inlineStr">
        <is>
          <t>ANET</t>
        </is>
      </c>
      <c r="B546" s="8" t="inlineStr">
        <is>
          <t>Arista Networks, Inc.</t>
        </is>
      </c>
      <c r="C546" s="8" t="n">
        <v>2017</v>
      </c>
      <c r="D546" s="8" t="inlineStr">
        <is>
          <t>2017-12-31</t>
        </is>
      </c>
      <c r="E546" s="8" t="inlineStr">
        <is>
          <t>일반</t>
        </is>
      </c>
      <c r="F546" s="8" t="inlineStr">
        <is>
          <t>0001596532-20-000024</t>
        </is>
      </c>
      <c r="G546" s="15" t="n">
        <v>1.646186</v>
      </c>
      <c r="H546" s="15" t="n">
        <v>0.47476</v>
      </c>
      <c r="I546" s="15" t="n">
        <v>0.00278</v>
      </c>
      <c r="J546" s="15" t="n">
        <v>0.051559</v>
      </c>
      <c r="K546" s="15" t="n">
        <v>0.470272</v>
      </c>
      <c r="L546" s="15" t="n">
        <v>0.423201</v>
      </c>
      <c r="M546" s="15" t="n"/>
      <c r="N546" s="15" t="n">
        <v>0.02064</v>
      </c>
      <c r="O546" s="15" t="n"/>
      <c r="P546" s="15" t="n">
        <v>0.631627</v>
      </c>
      <c r="Q546" s="15" t="n">
        <v>0.07542699999999999</v>
      </c>
      <c r="R546" s="15" t="n">
        <v>1.661914</v>
      </c>
      <c r="S546" s="15" t="n">
        <v>1.10782</v>
      </c>
      <c r="T546" s="15" t="n">
        <v>1.535555</v>
      </c>
      <c r="U546" s="15" t="n">
        <v>0.867833</v>
      </c>
      <c r="V546" s="15" t="n">
        <v>0</v>
      </c>
      <c r="W546" s="15" t="n">
        <v>0</v>
      </c>
      <c r="X546" s="15" t="n"/>
      <c r="Y546" s="15" t="n">
        <v>2.266429</v>
      </c>
      <c r="Z546" s="15" t="n">
        <v>1.526126</v>
      </c>
      <c r="AA546" s="15" t="n">
        <v>0.529905</v>
      </c>
      <c r="AB546" s="15" t="n">
        <v>0.459553</v>
      </c>
      <c r="AC546" s="15" t="n">
        <v>0.239987</v>
      </c>
      <c r="AD546" s="16" t="n">
        <v>1179.296</v>
      </c>
      <c r="AE546" s="17">
        <f>IF(ISNUMBER(K546),K546,IF(AND(ISNUMBER(H546),ISNUMBER(I546)),H546+I546,IF(ISNUMBER(H546),H546,"")))</f>
        <v/>
      </c>
      <c r="AF546" s="18">
        <f>IF(OR(NOT(ISNUMBER(J546)),NOT(ISNUMBER(H546)),H546&lt;=0),기준표!$B$8,MIN(MAX(J546/H546,기준표!$B$6),기준표!$B$7))</f>
        <v/>
      </c>
      <c r="AG546" s="17">
        <f>IF(ISNUMBER(AE546),AE546*(1-AF546),"")</f>
        <v/>
      </c>
      <c r="AH546" s="17">
        <f>IF(AND(NOT(ISNUMBER(V546)),NOT(ISNUMBER(X546))),"",IF(ISNUMBER(V546),V546,0)+IF(ISNUMBER(X546),X546,0))</f>
        <v/>
      </c>
      <c r="AI546" s="17">
        <f>IF(E546="금융","",IF(AND(ISNUMBER(R546),ISNUMBER(AH546),ISNUMBER(T546)),R546+AH546-T546,""))</f>
        <v/>
      </c>
      <c r="AJ546" s="17">
        <f>IF(E546="금융","",IF(NOT(ISNUMBER(AI546)),"",IF(ISNUMBER(AC546),(AI546+AC546)/2,AI546)))</f>
        <v/>
      </c>
      <c r="AK546" s="19">
        <f>IF(AND(ISNUMBER(AG546),ISNUMBER(AJ546),AJ546&gt;0),AG546/AJ546,"")</f>
        <v/>
      </c>
      <c r="AL546" s="17">
        <f>IF(E546="금융","",IF(AND(ISNUMBER(R546),ISNUMBER(AH546)),R546+AH546,""))</f>
        <v/>
      </c>
      <c r="AM546" s="19">
        <f>IF(OR(NOT(ISNUMBER(AG546)),NOT(ISNUMBER(AL546)),AL546&lt;=0),"",IF(AND(ISNUMBER(G546),AL546&lt;0.1*G546),"",AG546/AL546))</f>
        <v/>
      </c>
      <c r="AN546" s="17">
        <f>IF(NOT(ISNUMBER(R546)),"",IF(ISNUMBER(S546),(R546+S546)/2,R546))</f>
        <v/>
      </c>
      <c r="AO546" s="19">
        <f>IF(AND(ISNUMBER(L546),ISNUMBER(AN546),AN546&gt;0),L546/AN546,"")</f>
        <v/>
      </c>
      <c r="AP546" s="19">
        <f>IF(AND(ISNUMBER(AO546),ISNUMBER({ROIC})),AO546-{ROIC},"")</f>
        <v/>
      </c>
      <c r="AQ546" s="17">
        <f>IF(AND(ISNUMBER(AE546),ISNUMBER(N546)),AE546+N546,"")</f>
        <v/>
      </c>
      <c r="AR546" s="20">
        <f>IF(AND(ISNUMBER(AH546),ISNUMBER(T546),ISNUMBER(AQ546),AQ546&gt;0),(AH546-T546)/AQ546,"")</f>
        <v/>
      </c>
      <c r="AS546" s="20">
        <f>IF(AND(ISNUMBER(AE546),ISNUMBER(I546),I546&lt;&gt;0,AE546&gt;0),AE546/I546,"")</f>
        <v/>
      </c>
      <c r="AT546" s="17">
        <f>IF(AND(ISNUMBER(Y546),ISNUMBER(AA546)),Y546-IF(ISNUMBER(T546),T546,0)-(AA546-IF(ISNUMBER(V546),V546,0)),"")</f>
        <v/>
      </c>
      <c r="AU546" s="17">
        <f>IF(AND(ISNUMBER(Z546),ISNUMBER(AB546)),Z546-IF(ISNUMBER(U546),U546,0)-(AB546-IF(ISNUMBER(W546),W546,0)),"")</f>
        <v/>
      </c>
      <c r="AV546" s="17">
        <f>IF(AND(ISNUMBER(AT546),ISNUMBER(AU546)),AT546-AU546,"")</f>
        <v/>
      </c>
      <c r="AW546" s="17">
        <f>IF(AND(ISNUMBER(L546),ISNUMBER(M546),ISNUMBER(AF546)),L546-M546*(1-AF546),IF(ISNUMBER(L546),L546,""))</f>
        <v/>
      </c>
      <c r="AX546" s="17">
        <f>IF(E546="금융","",IF(AND(ISNUMBER(AW546),ISNUMBER(N546),ISNUMBER(O546),ISNUMBER(AV546)),AW546+N546-O546-AV546,IF(AND(ISNUMBER(P546),ISNUMBER(O546)),P546-O546-IF(ISNUMBER(Q546),Q546,0),"")))</f>
        <v/>
      </c>
      <c r="AY546" s="8">
        <f>IF(E546="금융","금융업 - 정의되지 않음",IF(AND(ISNUMBER(AW546),ISNUMBER(N546),ISNUMBER(O546),ISNUMBER(AV546)),"영업순이익+감가상각-설비투자-운전자본증감",IF(AND(ISNUMBER(P546),ISNUMBER(O546)),IF(ISNUMBER(Q546),"영업현금흐름-설비투자-주식보상비용","영업현금흐름-설비투자(주식보상비용 미태깅)"),"산출불가")))</f>
        <v/>
      </c>
      <c r="AZ546" s="19">
        <f>IF(AND(ISNUMBER(AX546),ISNUMBER(G546),G546&lt;&gt;0),AX546/G546,"")</f>
        <v/>
      </c>
      <c r="BA546" s="19">
        <f>IF(AND(ISNUMBER(AE546),ISNUMBER(G546),G546&lt;&gt;0),AE546/G546,"")</f>
        <v/>
      </c>
    </row>
    <row r="547">
      <c r="A547" s="8" t="inlineStr">
        <is>
          <t>ANET</t>
        </is>
      </c>
      <c r="B547" s="8" t="inlineStr">
        <is>
          <t>Arista Networks, Inc.</t>
        </is>
      </c>
      <c r="C547" s="8" t="n">
        <v>2018</v>
      </c>
      <c r="D547" s="8" t="inlineStr">
        <is>
          <t>2018-12-31</t>
        </is>
      </c>
      <c r="E547" s="8" t="inlineStr">
        <is>
          <t>일반</t>
        </is>
      </c>
      <c r="F547" s="8" t="inlineStr">
        <is>
          <t>0001596532-21-000049</t>
        </is>
      </c>
      <c r="G547" s="15" t="n">
        <v>2.151369</v>
      </c>
      <c r="H547" s="15" t="n">
        <v>0.288801</v>
      </c>
      <c r="I547" s="15" t="n">
        <v>0.002701</v>
      </c>
      <c r="J547" s="15" t="n">
        <v>-0.039314</v>
      </c>
      <c r="K547" s="15" t="n">
        <v>0.273347</v>
      </c>
      <c r="L547" s="15" t="n">
        <v>0.328115</v>
      </c>
      <c r="M547" s="15" t="n"/>
      <c r="N547" s="15" t="n">
        <v>0.027671</v>
      </c>
      <c r="O547" s="15" t="n">
        <v>0.02383</v>
      </c>
      <c r="P547" s="15" t="n">
        <v>0.503119</v>
      </c>
      <c r="Q547" s="15" t="n">
        <v>0.09120200000000001</v>
      </c>
      <c r="R547" s="15" t="n">
        <v>2.143389</v>
      </c>
      <c r="S547" s="15" t="n">
        <v>1.661914</v>
      </c>
      <c r="T547" s="15" t="n">
        <v>1.956147</v>
      </c>
      <c r="U547" s="15" t="n">
        <v>1.535555</v>
      </c>
      <c r="V547" s="15" t="n">
        <v>0</v>
      </c>
      <c r="W547" s="15" t="n">
        <v>0</v>
      </c>
      <c r="X547" s="15" t="n"/>
      <c r="Y547" s="15" t="n">
        <v>2.714802</v>
      </c>
      <c r="Z547" s="15" t="n">
        <v>2.266429</v>
      </c>
      <c r="AA547" s="15" t="n">
        <v>0.606504</v>
      </c>
      <c r="AB547" s="15" t="n">
        <v>0.529905</v>
      </c>
      <c r="AC547" s="15" t="n">
        <v>0.126359</v>
      </c>
      <c r="AD547" s="16" t="n">
        <v>1210.688</v>
      </c>
      <c r="AE547" s="17">
        <f>IF(ISNUMBER(K547),K547,IF(AND(ISNUMBER(H547),ISNUMBER(I547)),H547+I547,IF(ISNUMBER(H547),H547,"")))</f>
        <v/>
      </c>
      <c r="AF547" s="18">
        <f>IF(OR(NOT(ISNUMBER(J547)),NOT(ISNUMBER(H547)),H547&lt;=0),기준표!$B$8,MIN(MAX(J547/H547,기준표!$B$6),기준표!$B$7))</f>
        <v/>
      </c>
      <c r="AG547" s="17">
        <f>IF(ISNUMBER(AE547),AE547*(1-AF547),"")</f>
        <v/>
      </c>
      <c r="AH547" s="17">
        <f>IF(AND(NOT(ISNUMBER(V547)),NOT(ISNUMBER(X547))),"",IF(ISNUMBER(V547),V547,0)+IF(ISNUMBER(X547),X547,0))</f>
        <v/>
      </c>
      <c r="AI547" s="17">
        <f>IF(E547="금융","",IF(AND(ISNUMBER(R547),ISNUMBER(AH547),ISNUMBER(T547)),R547+AH547-T547,""))</f>
        <v/>
      </c>
      <c r="AJ547" s="17">
        <f>IF(E547="금융","",IF(NOT(ISNUMBER(AI547)),"",IF(ISNUMBER(AC547),(AI547+AC547)/2,AI547)))</f>
        <v/>
      </c>
      <c r="AK547" s="19">
        <f>IF(AND(ISNUMBER(AG547),ISNUMBER(AJ547),AJ547&gt;0),AG547/AJ547,"")</f>
        <v/>
      </c>
      <c r="AL547" s="17">
        <f>IF(E547="금융","",IF(AND(ISNUMBER(R547),ISNUMBER(AH547)),R547+AH547,""))</f>
        <v/>
      </c>
      <c r="AM547" s="19">
        <f>IF(OR(NOT(ISNUMBER(AG547)),NOT(ISNUMBER(AL547)),AL547&lt;=0),"",IF(AND(ISNUMBER(G547),AL547&lt;0.1*G547),"",AG547/AL547))</f>
        <v/>
      </c>
      <c r="AN547" s="17">
        <f>IF(NOT(ISNUMBER(R547)),"",IF(ISNUMBER(S547),(R547+S547)/2,R547))</f>
        <v/>
      </c>
      <c r="AO547" s="19">
        <f>IF(AND(ISNUMBER(L547),ISNUMBER(AN547),AN547&gt;0),L547/AN547,"")</f>
        <v/>
      </c>
      <c r="AP547" s="19">
        <f>IF(AND(ISNUMBER(AO547),ISNUMBER({ROIC})),AO547-{ROIC},"")</f>
        <v/>
      </c>
      <c r="AQ547" s="17">
        <f>IF(AND(ISNUMBER(AE547),ISNUMBER(N547)),AE547+N547,"")</f>
        <v/>
      </c>
      <c r="AR547" s="20">
        <f>IF(AND(ISNUMBER(AH547),ISNUMBER(T547),ISNUMBER(AQ547),AQ547&gt;0),(AH547-T547)/AQ547,"")</f>
        <v/>
      </c>
      <c r="AS547" s="20">
        <f>IF(AND(ISNUMBER(AE547),ISNUMBER(I547),I547&lt;&gt;0,AE547&gt;0),AE547/I547,"")</f>
        <v/>
      </c>
      <c r="AT547" s="17">
        <f>IF(AND(ISNUMBER(Y547),ISNUMBER(AA547)),Y547-IF(ISNUMBER(T547),T547,0)-(AA547-IF(ISNUMBER(V547),V547,0)),"")</f>
        <v/>
      </c>
      <c r="AU547" s="17">
        <f>IF(AND(ISNUMBER(Z547),ISNUMBER(AB547)),Z547-IF(ISNUMBER(U547),U547,0)-(AB547-IF(ISNUMBER(W547),W547,0)),"")</f>
        <v/>
      </c>
      <c r="AV547" s="17">
        <f>IF(AND(ISNUMBER(AT547),ISNUMBER(AU547)),AT547-AU547,"")</f>
        <v/>
      </c>
      <c r="AW547" s="17">
        <f>IF(AND(ISNUMBER(L547),ISNUMBER(M547),ISNUMBER(AF547)),L547-M547*(1-AF547),IF(ISNUMBER(L547),L547,""))</f>
        <v/>
      </c>
      <c r="AX547" s="17">
        <f>IF(E547="금융","",IF(AND(ISNUMBER(AW547),ISNUMBER(N547),ISNUMBER(O547),ISNUMBER(AV547)),AW547+N547-O547-AV547,IF(AND(ISNUMBER(P547),ISNUMBER(O547)),P547-O547-IF(ISNUMBER(Q547),Q547,0),"")))</f>
        <v/>
      </c>
      <c r="AY547" s="8">
        <f>IF(E547="금융","금융업 - 정의되지 않음",IF(AND(ISNUMBER(AW547),ISNUMBER(N547),ISNUMBER(O547),ISNUMBER(AV547)),"영업순이익+감가상각-설비투자-운전자본증감",IF(AND(ISNUMBER(P547),ISNUMBER(O547)),IF(ISNUMBER(Q547),"영업현금흐름-설비투자-주식보상비용","영업현금흐름-설비투자(주식보상비용 미태깅)"),"산출불가")))</f>
        <v/>
      </c>
      <c r="AZ547" s="19">
        <f>IF(AND(ISNUMBER(AX547),ISNUMBER(G547),G547&lt;&gt;0),AX547/G547,"")</f>
        <v/>
      </c>
      <c r="BA547" s="19">
        <f>IF(AND(ISNUMBER(AE547),ISNUMBER(G547),G547&lt;&gt;0),AE547/G547,"")</f>
        <v/>
      </c>
    </row>
    <row r="548">
      <c r="A548" s="8" t="inlineStr">
        <is>
          <t>ANET</t>
        </is>
      </c>
      <c r="B548" s="8" t="inlineStr">
        <is>
          <t>Arista Networks, Inc.</t>
        </is>
      </c>
      <c r="C548" s="8" t="n">
        <v>2019</v>
      </c>
      <c r="D548" s="8" t="inlineStr">
        <is>
          <t>2019-12-31</t>
        </is>
      </c>
      <c r="E548" s="8" t="inlineStr">
        <is>
          <t>일반</t>
        </is>
      </c>
      <c r="F548" s="8" t="inlineStr">
        <is>
          <t>0001596532-22-000026</t>
        </is>
      </c>
      <c r="G548" s="15" t="n">
        <v>2.410706</v>
      </c>
      <c r="H548" s="15" t="n">
        <v>0.86227</v>
      </c>
      <c r="I548" s="15" t="n">
        <v>0</v>
      </c>
      <c r="J548" s="15" t="n">
        <v>0.002403</v>
      </c>
      <c r="K548" s="15" t="n">
        <v>0.805774</v>
      </c>
      <c r="L548" s="15" t="n">
        <v>0.859867</v>
      </c>
      <c r="M548" s="15" t="n"/>
      <c r="N548" s="15" t="n">
        <v>0.032849</v>
      </c>
      <c r="O548" s="15" t="n">
        <v>0.015751</v>
      </c>
      <c r="P548" s="15" t="n">
        <v>0.9630339999999999</v>
      </c>
      <c r="Q548" s="15" t="n">
        <v>0.10128</v>
      </c>
      <c r="R548" s="15" t="n">
        <v>2.894686</v>
      </c>
      <c r="S548" s="15" t="n">
        <v>2.143389</v>
      </c>
      <c r="T548" s="15" t="n">
        <v>2.724368</v>
      </c>
      <c r="U548" s="15" t="n">
        <v>1.956147</v>
      </c>
      <c r="V548" s="15" t="n">
        <v>0</v>
      </c>
      <c r="W548" s="15" t="n">
        <v>0</v>
      </c>
      <c r="X548" s="15" t="n"/>
      <c r="Y548" s="15" t="n">
        <v>3.471636</v>
      </c>
      <c r="Z548" s="15" t="n">
        <v>2.714802</v>
      </c>
      <c r="AA548" s="15" t="n">
        <v>0.597074</v>
      </c>
      <c r="AB548" s="15" t="n">
        <v>0.606504</v>
      </c>
      <c r="AC548" s="15" t="n">
        <v>0.187242</v>
      </c>
      <c r="AD548" s="16" t="n">
        <v>1222.224</v>
      </c>
      <c r="AE548" s="17">
        <f>IF(ISNUMBER(K548),K548,IF(AND(ISNUMBER(H548),ISNUMBER(I548)),H548+I548,IF(ISNUMBER(H548),H548,"")))</f>
        <v/>
      </c>
      <c r="AF548" s="18">
        <f>IF(OR(NOT(ISNUMBER(J548)),NOT(ISNUMBER(H548)),H548&lt;=0),기준표!$B$8,MIN(MAX(J548/H548,기준표!$B$6),기준표!$B$7))</f>
        <v/>
      </c>
      <c r="AG548" s="17">
        <f>IF(ISNUMBER(AE548),AE548*(1-AF548),"")</f>
        <v/>
      </c>
      <c r="AH548" s="17">
        <f>IF(AND(NOT(ISNUMBER(V548)),NOT(ISNUMBER(X548))),"",IF(ISNUMBER(V548),V548,0)+IF(ISNUMBER(X548),X548,0))</f>
        <v/>
      </c>
      <c r="AI548" s="17">
        <f>IF(E548="금융","",IF(AND(ISNUMBER(R548),ISNUMBER(AH548),ISNUMBER(T548)),R548+AH548-T548,""))</f>
        <v/>
      </c>
      <c r="AJ548" s="17">
        <f>IF(E548="금융","",IF(NOT(ISNUMBER(AI548)),"",IF(ISNUMBER(AC548),(AI548+AC548)/2,AI548)))</f>
        <v/>
      </c>
      <c r="AK548" s="19">
        <f>IF(AND(ISNUMBER(AG548),ISNUMBER(AJ548),AJ548&gt;0),AG548/AJ548,"")</f>
        <v/>
      </c>
      <c r="AL548" s="17">
        <f>IF(E548="금융","",IF(AND(ISNUMBER(R548),ISNUMBER(AH548)),R548+AH548,""))</f>
        <v/>
      </c>
      <c r="AM548" s="19">
        <f>IF(OR(NOT(ISNUMBER(AG548)),NOT(ISNUMBER(AL548)),AL548&lt;=0),"",IF(AND(ISNUMBER(G548),AL548&lt;0.1*G548),"",AG548/AL548))</f>
        <v/>
      </c>
      <c r="AN548" s="17">
        <f>IF(NOT(ISNUMBER(R548)),"",IF(ISNUMBER(S548),(R548+S548)/2,R548))</f>
        <v/>
      </c>
      <c r="AO548" s="19">
        <f>IF(AND(ISNUMBER(L548),ISNUMBER(AN548),AN548&gt;0),L548/AN548,"")</f>
        <v/>
      </c>
      <c r="AP548" s="19">
        <f>IF(AND(ISNUMBER(AO548),ISNUMBER({ROIC})),AO548-{ROIC},"")</f>
        <v/>
      </c>
      <c r="AQ548" s="17">
        <f>IF(AND(ISNUMBER(AE548),ISNUMBER(N548)),AE548+N548,"")</f>
        <v/>
      </c>
      <c r="AR548" s="20">
        <f>IF(AND(ISNUMBER(AH548),ISNUMBER(T548),ISNUMBER(AQ548),AQ548&gt;0),(AH548-T548)/AQ548,"")</f>
        <v/>
      </c>
      <c r="AS548" s="20">
        <f>IF(AND(ISNUMBER(AE548),ISNUMBER(I548),I548&lt;&gt;0,AE548&gt;0),AE548/I548,"")</f>
        <v/>
      </c>
      <c r="AT548" s="17">
        <f>IF(AND(ISNUMBER(Y548),ISNUMBER(AA548)),Y548-IF(ISNUMBER(T548),T548,0)-(AA548-IF(ISNUMBER(V548),V548,0)),"")</f>
        <v/>
      </c>
      <c r="AU548" s="17">
        <f>IF(AND(ISNUMBER(Z548),ISNUMBER(AB548)),Z548-IF(ISNUMBER(U548),U548,0)-(AB548-IF(ISNUMBER(W548),W548,0)),"")</f>
        <v/>
      </c>
      <c r="AV548" s="17">
        <f>IF(AND(ISNUMBER(AT548),ISNUMBER(AU548)),AT548-AU548,"")</f>
        <v/>
      </c>
      <c r="AW548" s="17">
        <f>IF(AND(ISNUMBER(L548),ISNUMBER(M548),ISNUMBER(AF548)),L548-M548*(1-AF548),IF(ISNUMBER(L548),L548,""))</f>
        <v/>
      </c>
      <c r="AX548" s="17">
        <f>IF(E548="금융","",IF(AND(ISNUMBER(AW548),ISNUMBER(N548),ISNUMBER(O548),ISNUMBER(AV548)),AW548+N548-O548-AV548,IF(AND(ISNUMBER(P548),ISNUMBER(O548)),P548-O548-IF(ISNUMBER(Q548),Q548,0),"")))</f>
        <v/>
      </c>
      <c r="AY548" s="8">
        <f>IF(E548="금융","금융업 - 정의되지 않음",IF(AND(ISNUMBER(AW548),ISNUMBER(N548),ISNUMBER(O548),ISNUMBER(AV548)),"영업순이익+감가상각-설비투자-운전자본증감",IF(AND(ISNUMBER(P548),ISNUMBER(O548)),IF(ISNUMBER(Q548),"영업현금흐름-설비투자-주식보상비용","영업현금흐름-설비투자(주식보상비용 미태깅)"),"산출불가")))</f>
        <v/>
      </c>
      <c r="AZ548" s="19">
        <f>IF(AND(ISNUMBER(AX548),ISNUMBER(G548),G548&lt;&gt;0),AX548/G548,"")</f>
        <v/>
      </c>
      <c r="BA548" s="19">
        <f>IF(AND(ISNUMBER(AE548),ISNUMBER(G548),G548&lt;&gt;0),AE548/G548,"")</f>
        <v/>
      </c>
    </row>
    <row r="549">
      <c r="A549" s="8" t="inlineStr">
        <is>
          <t>ANET</t>
        </is>
      </c>
      <c r="B549" s="8" t="inlineStr">
        <is>
          <t>Arista Networks, Inc.</t>
        </is>
      </c>
      <c r="C549" s="8" t="n">
        <v>2020</v>
      </c>
      <c r="D549" s="8" t="inlineStr">
        <is>
          <t>2020-12-31</t>
        </is>
      </c>
      <c r="E549" s="8" t="inlineStr">
        <is>
          <t>일반</t>
        </is>
      </c>
      <c r="F549" s="8" t="inlineStr">
        <is>
          <t>0001596532-23-000016</t>
        </is>
      </c>
      <c r="G549" s="15" t="n">
        <v>2.317512</v>
      </c>
      <c r="H549" s="15" t="n">
        <v>0.738863</v>
      </c>
      <c r="I549" s="15" t="n">
        <v>0</v>
      </c>
      <c r="J549" s="15" t="n">
        <v>0.104306</v>
      </c>
      <c r="K549" s="15" t="n">
        <v>0.699684</v>
      </c>
      <c r="L549" s="15" t="n">
        <v>0.634557</v>
      </c>
      <c r="M549" s="15" t="n"/>
      <c r="N549" s="15" t="n">
        <v>0.035158</v>
      </c>
      <c r="O549" s="15" t="n">
        <v>0.015384</v>
      </c>
      <c r="P549" s="15" t="n">
        <v>0.735114</v>
      </c>
      <c r="Q549" s="15" t="n">
        <v>0.137042</v>
      </c>
      <c r="R549" s="15" t="n">
        <v>3.320291</v>
      </c>
      <c r="S549" s="15" t="n">
        <v>2.894686</v>
      </c>
      <c r="T549" s="15" t="n">
        <v>2.872868</v>
      </c>
      <c r="U549" s="15" t="n">
        <v>2.724368</v>
      </c>
      <c r="V549" s="15" t="n">
        <v>0</v>
      </c>
      <c r="W549" s="15" t="n">
        <v>0</v>
      </c>
      <c r="X549" s="15" t="n"/>
      <c r="Y549" s="15" t="n">
        <v>3.836998</v>
      </c>
      <c r="Z549" s="15" t="n">
        <v>3.471636</v>
      </c>
      <c r="AA549" s="15" t="n">
        <v>0.768243</v>
      </c>
      <c r="AB549" s="15" t="n">
        <v>0.597074</v>
      </c>
      <c r="AC549" s="15" t="n">
        <v>0.170318</v>
      </c>
      <c r="AD549" s="16" t="n">
        <v>1218.784</v>
      </c>
      <c r="AE549" s="17">
        <f>IF(ISNUMBER(K549),K549,IF(AND(ISNUMBER(H549),ISNUMBER(I549)),H549+I549,IF(ISNUMBER(H549),H549,"")))</f>
        <v/>
      </c>
      <c r="AF549" s="18">
        <f>IF(OR(NOT(ISNUMBER(J549)),NOT(ISNUMBER(H549)),H549&lt;=0),기준표!$B$8,MIN(MAX(J549/H549,기준표!$B$6),기준표!$B$7))</f>
        <v/>
      </c>
      <c r="AG549" s="17">
        <f>IF(ISNUMBER(AE549),AE549*(1-AF549),"")</f>
        <v/>
      </c>
      <c r="AH549" s="17">
        <f>IF(AND(NOT(ISNUMBER(V549)),NOT(ISNUMBER(X549))),"",IF(ISNUMBER(V549),V549,0)+IF(ISNUMBER(X549),X549,0))</f>
        <v/>
      </c>
      <c r="AI549" s="17">
        <f>IF(E549="금융","",IF(AND(ISNUMBER(R549),ISNUMBER(AH549),ISNUMBER(T549)),R549+AH549-T549,""))</f>
        <v/>
      </c>
      <c r="AJ549" s="17">
        <f>IF(E549="금융","",IF(NOT(ISNUMBER(AI549)),"",IF(ISNUMBER(AC549),(AI549+AC549)/2,AI549)))</f>
        <v/>
      </c>
      <c r="AK549" s="19">
        <f>IF(AND(ISNUMBER(AG549),ISNUMBER(AJ549),AJ549&gt;0),AG549/AJ549,"")</f>
        <v/>
      </c>
      <c r="AL549" s="17">
        <f>IF(E549="금융","",IF(AND(ISNUMBER(R549),ISNUMBER(AH549)),R549+AH549,""))</f>
        <v/>
      </c>
      <c r="AM549" s="19">
        <f>IF(OR(NOT(ISNUMBER(AG549)),NOT(ISNUMBER(AL549)),AL549&lt;=0),"",IF(AND(ISNUMBER(G549),AL549&lt;0.1*G549),"",AG549/AL549))</f>
        <v/>
      </c>
      <c r="AN549" s="17">
        <f>IF(NOT(ISNUMBER(R549)),"",IF(ISNUMBER(S549),(R549+S549)/2,R549))</f>
        <v/>
      </c>
      <c r="AO549" s="19">
        <f>IF(AND(ISNUMBER(L549),ISNUMBER(AN549),AN549&gt;0),L549/AN549,"")</f>
        <v/>
      </c>
      <c r="AP549" s="19">
        <f>IF(AND(ISNUMBER(AO549),ISNUMBER({ROIC})),AO549-{ROIC},"")</f>
        <v/>
      </c>
      <c r="AQ549" s="17">
        <f>IF(AND(ISNUMBER(AE549),ISNUMBER(N549)),AE549+N549,"")</f>
        <v/>
      </c>
      <c r="AR549" s="20">
        <f>IF(AND(ISNUMBER(AH549),ISNUMBER(T549),ISNUMBER(AQ549),AQ549&gt;0),(AH549-T549)/AQ549,"")</f>
        <v/>
      </c>
      <c r="AS549" s="20">
        <f>IF(AND(ISNUMBER(AE549),ISNUMBER(I549),I549&lt;&gt;0,AE549&gt;0),AE549/I549,"")</f>
        <v/>
      </c>
      <c r="AT549" s="17">
        <f>IF(AND(ISNUMBER(Y549),ISNUMBER(AA549)),Y549-IF(ISNUMBER(T549),T549,0)-(AA549-IF(ISNUMBER(V549),V549,0)),"")</f>
        <v/>
      </c>
      <c r="AU549" s="17">
        <f>IF(AND(ISNUMBER(Z549),ISNUMBER(AB549)),Z549-IF(ISNUMBER(U549),U549,0)-(AB549-IF(ISNUMBER(W549),W549,0)),"")</f>
        <v/>
      </c>
      <c r="AV549" s="17">
        <f>IF(AND(ISNUMBER(AT549),ISNUMBER(AU549)),AT549-AU549,"")</f>
        <v/>
      </c>
      <c r="AW549" s="17">
        <f>IF(AND(ISNUMBER(L549),ISNUMBER(M549),ISNUMBER(AF549)),L549-M549*(1-AF549),IF(ISNUMBER(L549),L549,""))</f>
        <v/>
      </c>
      <c r="AX549" s="17">
        <f>IF(E549="금융","",IF(AND(ISNUMBER(AW549),ISNUMBER(N549),ISNUMBER(O549),ISNUMBER(AV549)),AW549+N549-O549-AV549,IF(AND(ISNUMBER(P549),ISNUMBER(O549)),P549-O549-IF(ISNUMBER(Q549),Q549,0),"")))</f>
        <v/>
      </c>
      <c r="AY549" s="8">
        <f>IF(E549="금융","금융업 - 정의되지 않음",IF(AND(ISNUMBER(AW549),ISNUMBER(N549),ISNUMBER(O549),ISNUMBER(AV549)),"영업순이익+감가상각-설비투자-운전자본증감",IF(AND(ISNUMBER(P549),ISNUMBER(O549)),IF(ISNUMBER(Q549),"영업현금흐름-설비투자-주식보상비용","영업현금흐름-설비투자(주식보상비용 미태깅)"),"산출불가")))</f>
        <v/>
      </c>
      <c r="AZ549" s="19">
        <f>IF(AND(ISNUMBER(AX549),ISNUMBER(G549),G549&lt;&gt;0),AX549/G549,"")</f>
        <v/>
      </c>
      <c r="BA549" s="19">
        <f>IF(AND(ISNUMBER(AE549),ISNUMBER(G549),G549&lt;&gt;0),AE549/G549,"")</f>
        <v/>
      </c>
    </row>
    <row r="550">
      <c r="A550" s="8" t="inlineStr">
        <is>
          <t>ANET</t>
        </is>
      </c>
      <c r="B550" s="8" t="inlineStr">
        <is>
          <t>Arista Networks, Inc.</t>
        </is>
      </c>
      <c r="C550" s="8" t="n">
        <v>2021</v>
      </c>
      <c r="D550" s="8" t="inlineStr">
        <is>
          <t>2021-12-31</t>
        </is>
      </c>
      <c r="E550" s="8" t="inlineStr">
        <is>
          <t>일반</t>
        </is>
      </c>
      <c r="F550" s="8" t="inlineStr">
        <is>
          <t>0001596532-24-000043</t>
        </is>
      </c>
      <c r="G550" s="15" t="n">
        <v>2.948037</v>
      </c>
      <c r="H550" s="15" t="n">
        <v>0.930879</v>
      </c>
      <c r="I550" s="15" t="n"/>
      <c r="J550" s="15" t="n">
        <v>0.09002499999999999</v>
      </c>
      <c r="K550" s="15" t="n">
        <v>0.924739</v>
      </c>
      <c r="L550" s="15" t="n">
        <v>0.840854</v>
      </c>
      <c r="M550" s="15" t="n">
        <v>0</v>
      </c>
      <c r="N550" s="15" t="n">
        <v>0.050334</v>
      </c>
      <c r="O550" s="15" t="n">
        <v>0.064736</v>
      </c>
      <c r="P550" s="15" t="n">
        <v>1.015856</v>
      </c>
      <c r="Q550" s="15" t="n">
        <v>0.186875</v>
      </c>
      <c r="R550" s="15" t="n">
        <v>3.9786</v>
      </c>
      <c r="S550" s="15" t="n">
        <v>3.320291</v>
      </c>
      <c r="T550" s="15" t="n">
        <v>3.408315</v>
      </c>
      <c r="U550" s="15" t="n">
        <v>2.872868</v>
      </c>
      <c r="V550" s="15" t="n">
        <v>0</v>
      </c>
      <c r="W550" s="15" t="n">
        <v>0</v>
      </c>
      <c r="X550" s="15" t="n"/>
      <c r="Y550" s="15" t="n">
        <v>4.812676</v>
      </c>
      <c r="Z550" s="15" t="n">
        <v>3.836998</v>
      </c>
      <c r="AA550" s="15" t="n">
        <v>1.109829</v>
      </c>
      <c r="AB550" s="15" t="n">
        <v>0.768243</v>
      </c>
      <c r="AC550" s="15" t="n">
        <v>0.447423</v>
      </c>
      <c r="AD550" s="16" t="n">
        <v>1230.724</v>
      </c>
      <c r="AE550" s="17">
        <f>IF(ISNUMBER(K550),K550,IF(AND(ISNUMBER(H550),ISNUMBER(I550)),H550+I550,IF(ISNUMBER(H550),H550,"")))</f>
        <v/>
      </c>
      <c r="AF550" s="18">
        <f>IF(OR(NOT(ISNUMBER(J550)),NOT(ISNUMBER(H550)),H550&lt;=0),기준표!$B$8,MIN(MAX(J550/H550,기준표!$B$6),기준표!$B$7))</f>
        <v/>
      </c>
      <c r="AG550" s="17">
        <f>IF(ISNUMBER(AE550),AE550*(1-AF550),"")</f>
        <v/>
      </c>
      <c r="AH550" s="17">
        <f>IF(AND(NOT(ISNUMBER(V550)),NOT(ISNUMBER(X550))),"",IF(ISNUMBER(V550),V550,0)+IF(ISNUMBER(X550),X550,0))</f>
        <v/>
      </c>
      <c r="AI550" s="17">
        <f>IF(E550="금융","",IF(AND(ISNUMBER(R550),ISNUMBER(AH550),ISNUMBER(T550)),R550+AH550-T550,""))</f>
        <v/>
      </c>
      <c r="AJ550" s="17">
        <f>IF(E550="금융","",IF(NOT(ISNUMBER(AI550)),"",IF(ISNUMBER(AC550),(AI550+AC550)/2,AI550)))</f>
        <v/>
      </c>
      <c r="AK550" s="19">
        <f>IF(AND(ISNUMBER(AG550),ISNUMBER(AJ550),AJ550&gt;0),AG550/AJ550,"")</f>
        <v/>
      </c>
      <c r="AL550" s="17">
        <f>IF(E550="금융","",IF(AND(ISNUMBER(R550),ISNUMBER(AH550)),R550+AH550,""))</f>
        <v/>
      </c>
      <c r="AM550" s="19">
        <f>IF(OR(NOT(ISNUMBER(AG550)),NOT(ISNUMBER(AL550)),AL550&lt;=0),"",IF(AND(ISNUMBER(G550),AL550&lt;0.1*G550),"",AG550/AL550))</f>
        <v/>
      </c>
      <c r="AN550" s="17">
        <f>IF(NOT(ISNUMBER(R550)),"",IF(ISNUMBER(S550),(R550+S550)/2,R550))</f>
        <v/>
      </c>
      <c r="AO550" s="19">
        <f>IF(AND(ISNUMBER(L550),ISNUMBER(AN550),AN550&gt;0),L550/AN550,"")</f>
        <v/>
      </c>
      <c r="AP550" s="19">
        <f>IF(AND(ISNUMBER(AO550),ISNUMBER({ROIC})),AO550-{ROIC},"")</f>
        <v/>
      </c>
      <c r="AQ550" s="17">
        <f>IF(AND(ISNUMBER(AE550),ISNUMBER(N550)),AE550+N550,"")</f>
        <v/>
      </c>
      <c r="AR550" s="20">
        <f>IF(AND(ISNUMBER(AH550),ISNUMBER(T550),ISNUMBER(AQ550),AQ550&gt;0),(AH550-T550)/AQ550,"")</f>
        <v/>
      </c>
      <c r="AS550" s="20">
        <f>IF(AND(ISNUMBER(AE550),ISNUMBER(I550),I550&lt;&gt;0,AE550&gt;0),AE550/I550,"")</f>
        <v/>
      </c>
      <c r="AT550" s="17">
        <f>IF(AND(ISNUMBER(Y550),ISNUMBER(AA550)),Y550-IF(ISNUMBER(T550),T550,0)-(AA550-IF(ISNUMBER(V550),V550,0)),"")</f>
        <v/>
      </c>
      <c r="AU550" s="17">
        <f>IF(AND(ISNUMBER(Z550),ISNUMBER(AB550)),Z550-IF(ISNUMBER(U550),U550,0)-(AB550-IF(ISNUMBER(W550),W550,0)),"")</f>
        <v/>
      </c>
      <c r="AV550" s="17">
        <f>IF(AND(ISNUMBER(AT550),ISNUMBER(AU550)),AT550-AU550,"")</f>
        <v/>
      </c>
      <c r="AW550" s="17">
        <f>IF(AND(ISNUMBER(L550),ISNUMBER(M550),ISNUMBER(AF550)),L550-M550*(1-AF550),IF(ISNUMBER(L550),L550,""))</f>
        <v/>
      </c>
      <c r="AX550" s="17">
        <f>IF(E550="금융","",IF(AND(ISNUMBER(AW550),ISNUMBER(N550),ISNUMBER(O550),ISNUMBER(AV550)),AW550+N550-O550-AV550,IF(AND(ISNUMBER(P550),ISNUMBER(O550)),P550-O550-IF(ISNUMBER(Q550),Q550,0),"")))</f>
        <v/>
      </c>
      <c r="AY550" s="8">
        <f>IF(E550="금융","금융업 - 정의되지 않음",IF(AND(ISNUMBER(AW550),ISNUMBER(N550),ISNUMBER(O550),ISNUMBER(AV550)),"영업순이익+감가상각-설비투자-운전자본증감",IF(AND(ISNUMBER(P550),ISNUMBER(O550)),IF(ISNUMBER(Q550),"영업현금흐름-설비투자-주식보상비용","영업현금흐름-설비투자(주식보상비용 미태깅)"),"산출불가")))</f>
        <v/>
      </c>
      <c r="AZ550" s="19">
        <f>IF(AND(ISNUMBER(AX550),ISNUMBER(G550),G550&lt;&gt;0),AX550/G550,"")</f>
        <v/>
      </c>
      <c r="BA550" s="19">
        <f>IF(AND(ISNUMBER(AE550),ISNUMBER(G550),G550&lt;&gt;0),AE550/G550,"")</f>
        <v/>
      </c>
    </row>
    <row r="551">
      <c r="A551" s="8" t="inlineStr">
        <is>
          <t>ANET</t>
        </is>
      </c>
      <c r="B551" s="8" t="inlineStr">
        <is>
          <t>Arista Networks, Inc.</t>
        </is>
      </c>
      <c r="C551" s="8" t="n">
        <v>2022</v>
      </c>
      <c r="D551" s="8" t="inlineStr">
        <is>
          <t>2022-12-31</t>
        </is>
      </c>
      <c r="E551" s="8" t="inlineStr">
        <is>
          <t>일반</t>
        </is>
      </c>
      <c r="F551" s="8" t="inlineStr">
        <is>
          <t>0001596532-25-000028</t>
        </is>
      </c>
      <c r="G551" s="15" t="n">
        <v>4.38131</v>
      </c>
      <c r="H551" s="15" t="n">
        <v>1.581796</v>
      </c>
      <c r="I551" s="15" t="n"/>
      <c r="J551" s="15" t="n">
        <v>0.22935</v>
      </c>
      <c r="K551" s="15" t="n">
        <v>1.527106</v>
      </c>
      <c r="L551" s="15" t="n">
        <v>1.352446</v>
      </c>
      <c r="M551" s="15" t="n">
        <v>0.027479</v>
      </c>
      <c r="N551" s="15" t="n">
        <v>0.06270000000000001</v>
      </c>
      <c r="O551" s="15" t="n">
        <v>0.044644</v>
      </c>
      <c r="P551" s="15" t="n">
        <v>0.492813</v>
      </c>
      <c r="Q551" s="15" t="n">
        <v>0.230934</v>
      </c>
      <c r="R551" s="15" t="n">
        <v>4.8858</v>
      </c>
      <c r="S551" s="15" t="n">
        <v>3.9786</v>
      </c>
      <c r="T551" s="15" t="n">
        <v>3.023729</v>
      </c>
      <c r="U551" s="15" t="n">
        <v>3.408315</v>
      </c>
      <c r="V551" s="15" t="n">
        <v>0</v>
      </c>
      <c r="W551" s="15" t="n">
        <v>0</v>
      </c>
      <c r="X551" s="15" t="n"/>
      <c r="Y551" s="15" t="n">
        <v>5.550748</v>
      </c>
      <c r="Z551" s="15" t="n">
        <v>4.812676</v>
      </c>
      <c r="AA551" s="15" t="n">
        <v>1.293531</v>
      </c>
      <c r="AB551" s="15" t="n">
        <v>1.109829</v>
      </c>
      <c r="AC551" s="15" t="n">
        <v>0.570285</v>
      </c>
      <c r="AD551" s="16" t="n">
        <v>1227.56</v>
      </c>
      <c r="AE551" s="17">
        <f>IF(ISNUMBER(K551),K551,IF(AND(ISNUMBER(H551),ISNUMBER(I551)),H551+I551,IF(ISNUMBER(H551),H551,"")))</f>
        <v/>
      </c>
      <c r="AF551" s="18">
        <f>IF(OR(NOT(ISNUMBER(J551)),NOT(ISNUMBER(H551)),H551&lt;=0),기준표!$B$8,MIN(MAX(J551/H551,기준표!$B$6),기준표!$B$7))</f>
        <v/>
      </c>
      <c r="AG551" s="17">
        <f>IF(ISNUMBER(AE551),AE551*(1-AF551),"")</f>
        <v/>
      </c>
      <c r="AH551" s="17">
        <f>IF(AND(NOT(ISNUMBER(V551)),NOT(ISNUMBER(X551))),"",IF(ISNUMBER(V551),V551,0)+IF(ISNUMBER(X551),X551,0))</f>
        <v/>
      </c>
      <c r="AI551" s="17">
        <f>IF(E551="금융","",IF(AND(ISNUMBER(R551),ISNUMBER(AH551),ISNUMBER(T551)),R551+AH551-T551,""))</f>
        <v/>
      </c>
      <c r="AJ551" s="17">
        <f>IF(E551="금융","",IF(NOT(ISNUMBER(AI551)),"",IF(ISNUMBER(AC551),(AI551+AC551)/2,AI551)))</f>
        <v/>
      </c>
      <c r="AK551" s="19">
        <f>IF(AND(ISNUMBER(AG551),ISNUMBER(AJ551),AJ551&gt;0),AG551/AJ551,"")</f>
        <v/>
      </c>
      <c r="AL551" s="17">
        <f>IF(E551="금융","",IF(AND(ISNUMBER(R551),ISNUMBER(AH551)),R551+AH551,""))</f>
        <v/>
      </c>
      <c r="AM551" s="19">
        <f>IF(OR(NOT(ISNUMBER(AG551)),NOT(ISNUMBER(AL551)),AL551&lt;=0),"",IF(AND(ISNUMBER(G551),AL551&lt;0.1*G551),"",AG551/AL551))</f>
        <v/>
      </c>
      <c r="AN551" s="17">
        <f>IF(NOT(ISNUMBER(R551)),"",IF(ISNUMBER(S551),(R551+S551)/2,R551))</f>
        <v/>
      </c>
      <c r="AO551" s="19">
        <f>IF(AND(ISNUMBER(L551),ISNUMBER(AN551),AN551&gt;0),L551/AN551,"")</f>
        <v/>
      </c>
      <c r="AP551" s="19">
        <f>IF(AND(ISNUMBER(AO551),ISNUMBER({ROIC})),AO551-{ROIC},"")</f>
        <v/>
      </c>
      <c r="AQ551" s="17">
        <f>IF(AND(ISNUMBER(AE551),ISNUMBER(N551)),AE551+N551,"")</f>
        <v/>
      </c>
      <c r="AR551" s="20">
        <f>IF(AND(ISNUMBER(AH551),ISNUMBER(T551),ISNUMBER(AQ551),AQ551&gt;0),(AH551-T551)/AQ551,"")</f>
        <v/>
      </c>
      <c r="AS551" s="20">
        <f>IF(AND(ISNUMBER(AE551),ISNUMBER(I551),I551&lt;&gt;0,AE551&gt;0),AE551/I551,"")</f>
        <v/>
      </c>
      <c r="AT551" s="17">
        <f>IF(AND(ISNUMBER(Y551),ISNUMBER(AA551)),Y551-IF(ISNUMBER(T551),T551,0)-(AA551-IF(ISNUMBER(V551),V551,0)),"")</f>
        <v/>
      </c>
      <c r="AU551" s="17">
        <f>IF(AND(ISNUMBER(Z551),ISNUMBER(AB551)),Z551-IF(ISNUMBER(U551),U551,0)-(AB551-IF(ISNUMBER(W551),W551,0)),"")</f>
        <v/>
      </c>
      <c r="AV551" s="17">
        <f>IF(AND(ISNUMBER(AT551),ISNUMBER(AU551)),AT551-AU551,"")</f>
        <v/>
      </c>
      <c r="AW551" s="17">
        <f>IF(AND(ISNUMBER(L551),ISNUMBER(M551),ISNUMBER(AF551)),L551-M551*(1-AF551),IF(ISNUMBER(L551),L551,""))</f>
        <v/>
      </c>
      <c r="AX551" s="17">
        <f>IF(E551="금융","",IF(AND(ISNUMBER(AW551),ISNUMBER(N551),ISNUMBER(O551),ISNUMBER(AV551)),AW551+N551-O551-AV551,IF(AND(ISNUMBER(P551),ISNUMBER(O551)),P551-O551-IF(ISNUMBER(Q551),Q551,0),"")))</f>
        <v/>
      </c>
      <c r="AY551" s="8">
        <f>IF(E551="금융","금융업 - 정의되지 않음",IF(AND(ISNUMBER(AW551),ISNUMBER(N551),ISNUMBER(O551),ISNUMBER(AV551)),"영업순이익+감가상각-설비투자-운전자본증감",IF(AND(ISNUMBER(P551),ISNUMBER(O551)),IF(ISNUMBER(Q551),"영업현금흐름-설비투자-주식보상비용","영업현금흐름-설비투자(주식보상비용 미태깅)"),"산출불가")))</f>
        <v/>
      </c>
      <c r="AZ551" s="19">
        <f>IF(AND(ISNUMBER(AX551),ISNUMBER(G551),G551&lt;&gt;0),AX551/G551,"")</f>
        <v/>
      </c>
      <c r="BA551" s="19">
        <f>IF(AND(ISNUMBER(AE551),ISNUMBER(G551),G551&lt;&gt;0),AE551/G551,"")</f>
        <v/>
      </c>
    </row>
    <row r="552">
      <c r="A552" s="8" t="inlineStr">
        <is>
          <t>ANET</t>
        </is>
      </c>
      <c r="B552" s="8" t="inlineStr">
        <is>
          <t>Arista Networks, Inc.</t>
        </is>
      </c>
      <c r="C552" s="8" t="n">
        <v>2023</v>
      </c>
      <c r="D552" s="8" t="inlineStr">
        <is>
          <t>2023-12-31</t>
        </is>
      </c>
      <c r="E552" s="8" t="inlineStr">
        <is>
          <t>일반</t>
        </is>
      </c>
      <c r="F552" s="8" t="inlineStr">
        <is>
          <t>0001596532-26-000013</t>
        </is>
      </c>
      <c r="G552" s="15" t="n">
        <v>5.8602</v>
      </c>
      <c r="H552" s="15" t="n">
        <v>2.422</v>
      </c>
      <c r="I552" s="15" t="n"/>
      <c r="J552" s="15" t="n">
        <v>0.3347</v>
      </c>
      <c r="K552" s="15" t="n">
        <v>2.2573</v>
      </c>
      <c r="L552" s="15" t="n">
        <v>2.0873</v>
      </c>
      <c r="M552" s="15" t="n">
        <v>0.018699</v>
      </c>
      <c r="N552" s="15" t="n">
        <v>0.0706</v>
      </c>
      <c r="O552" s="15" t="n">
        <v>0.0344</v>
      </c>
      <c r="P552" s="15" t="n">
        <v>2.034</v>
      </c>
      <c r="Q552" s="15" t="n">
        <v>0.2968</v>
      </c>
      <c r="R552" s="15" t="n">
        <v>7.219</v>
      </c>
      <c r="S552" s="15" t="n">
        <v>4.8858</v>
      </c>
      <c r="T552" s="15" t="n">
        <v>5.007968</v>
      </c>
      <c r="U552" s="15" t="n">
        <v>3.023729</v>
      </c>
      <c r="V552" s="15" t="n">
        <v>0</v>
      </c>
      <c r="W552" s="15" t="n">
        <v>0</v>
      </c>
      <c r="X552" s="15" t="n"/>
      <c r="Y552" s="15" t="n">
        <v>8.400064</v>
      </c>
      <c r="Z552" s="15" t="n">
        <v>5.550748</v>
      </c>
      <c r="AA552" s="15" t="n">
        <v>1.919435</v>
      </c>
      <c r="AB552" s="15" t="n">
        <v>1.293531</v>
      </c>
      <c r="AC552" s="15" t="n">
        <v>1.862071</v>
      </c>
      <c r="AD552" s="16" t="n">
        <v>1248.982</v>
      </c>
      <c r="AE552" s="17">
        <f>IF(ISNUMBER(K552),K552,IF(AND(ISNUMBER(H552),ISNUMBER(I552)),H552+I552,IF(ISNUMBER(H552),H552,"")))</f>
        <v/>
      </c>
      <c r="AF552" s="18">
        <f>IF(OR(NOT(ISNUMBER(J552)),NOT(ISNUMBER(H552)),H552&lt;=0),기준표!$B$8,MIN(MAX(J552/H552,기준표!$B$6),기준표!$B$7))</f>
        <v/>
      </c>
      <c r="AG552" s="17">
        <f>IF(ISNUMBER(AE552),AE552*(1-AF552),"")</f>
        <v/>
      </c>
      <c r="AH552" s="17">
        <f>IF(AND(NOT(ISNUMBER(V552)),NOT(ISNUMBER(X552))),"",IF(ISNUMBER(V552),V552,0)+IF(ISNUMBER(X552),X552,0))</f>
        <v/>
      </c>
      <c r="AI552" s="17">
        <f>IF(E552="금융","",IF(AND(ISNUMBER(R552),ISNUMBER(AH552),ISNUMBER(T552)),R552+AH552-T552,""))</f>
        <v/>
      </c>
      <c r="AJ552" s="17">
        <f>IF(E552="금융","",IF(NOT(ISNUMBER(AI552)),"",IF(ISNUMBER(AC552),(AI552+AC552)/2,AI552)))</f>
        <v/>
      </c>
      <c r="AK552" s="19">
        <f>IF(AND(ISNUMBER(AG552),ISNUMBER(AJ552),AJ552&gt;0),AG552/AJ552,"")</f>
        <v/>
      </c>
      <c r="AL552" s="17">
        <f>IF(E552="금융","",IF(AND(ISNUMBER(R552),ISNUMBER(AH552)),R552+AH552,""))</f>
        <v/>
      </c>
      <c r="AM552" s="19">
        <f>IF(OR(NOT(ISNUMBER(AG552)),NOT(ISNUMBER(AL552)),AL552&lt;=0),"",IF(AND(ISNUMBER(G552),AL552&lt;0.1*G552),"",AG552/AL552))</f>
        <v/>
      </c>
      <c r="AN552" s="17">
        <f>IF(NOT(ISNUMBER(R552)),"",IF(ISNUMBER(S552),(R552+S552)/2,R552))</f>
        <v/>
      </c>
      <c r="AO552" s="19">
        <f>IF(AND(ISNUMBER(L552),ISNUMBER(AN552),AN552&gt;0),L552/AN552,"")</f>
        <v/>
      </c>
      <c r="AP552" s="19">
        <f>IF(AND(ISNUMBER(AO552),ISNUMBER({ROIC})),AO552-{ROIC},"")</f>
        <v/>
      </c>
      <c r="AQ552" s="17">
        <f>IF(AND(ISNUMBER(AE552),ISNUMBER(N552)),AE552+N552,"")</f>
        <v/>
      </c>
      <c r="AR552" s="20">
        <f>IF(AND(ISNUMBER(AH552),ISNUMBER(T552),ISNUMBER(AQ552),AQ552&gt;0),(AH552-T552)/AQ552,"")</f>
        <v/>
      </c>
      <c r="AS552" s="20">
        <f>IF(AND(ISNUMBER(AE552),ISNUMBER(I552),I552&lt;&gt;0,AE552&gt;0),AE552/I552,"")</f>
        <v/>
      </c>
      <c r="AT552" s="17">
        <f>IF(AND(ISNUMBER(Y552),ISNUMBER(AA552)),Y552-IF(ISNUMBER(T552),T552,0)-(AA552-IF(ISNUMBER(V552),V552,0)),"")</f>
        <v/>
      </c>
      <c r="AU552" s="17">
        <f>IF(AND(ISNUMBER(Z552),ISNUMBER(AB552)),Z552-IF(ISNUMBER(U552),U552,0)-(AB552-IF(ISNUMBER(W552),W552,0)),"")</f>
        <v/>
      </c>
      <c r="AV552" s="17">
        <f>IF(AND(ISNUMBER(AT552),ISNUMBER(AU552)),AT552-AU552,"")</f>
        <v/>
      </c>
      <c r="AW552" s="17">
        <f>IF(AND(ISNUMBER(L552),ISNUMBER(M552),ISNUMBER(AF552)),L552-M552*(1-AF552),IF(ISNUMBER(L552),L552,""))</f>
        <v/>
      </c>
      <c r="AX552" s="17">
        <f>IF(E552="금융","",IF(AND(ISNUMBER(AW552),ISNUMBER(N552),ISNUMBER(O552),ISNUMBER(AV552)),AW552+N552-O552-AV552,IF(AND(ISNUMBER(P552),ISNUMBER(O552)),P552-O552-IF(ISNUMBER(Q552),Q552,0),"")))</f>
        <v/>
      </c>
      <c r="AY552" s="8">
        <f>IF(E552="금융","금융업 - 정의되지 않음",IF(AND(ISNUMBER(AW552),ISNUMBER(N552),ISNUMBER(O552),ISNUMBER(AV552)),"영업순이익+감가상각-설비투자-운전자본증감",IF(AND(ISNUMBER(P552),ISNUMBER(O552)),IF(ISNUMBER(Q552),"영업현금흐름-설비투자-주식보상비용","영업현금흐름-설비투자(주식보상비용 미태깅)"),"산출불가")))</f>
        <v/>
      </c>
      <c r="AZ552" s="19">
        <f>IF(AND(ISNUMBER(AX552),ISNUMBER(G552),G552&lt;&gt;0),AX552/G552,"")</f>
        <v/>
      </c>
      <c r="BA552" s="19">
        <f>IF(AND(ISNUMBER(AE552),ISNUMBER(G552),G552&lt;&gt;0),AE552/G552,"")</f>
        <v/>
      </c>
    </row>
    <row r="553">
      <c r="A553" s="8" t="inlineStr">
        <is>
          <t>ANET</t>
        </is>
      </c>
      <c r="B553" s="8" t="inlineStr">
        <is>
          <t>Arista Networks, Inc.</t>
        </is>
      </c>
      <c r="C553" s="8" t="n">
        <v>2024</v>
      </c>
      <c r="D553" s="8" t="inlineStr">
        <is>
          <t>2024-12-31</t>
        </is>
      </c>
      <c r="E553" s="8" t="inlineStr">
        <is>
          <t>일반</t>
        </is>
      </c>
      <c r="F553" s="8" t="inlineStr">
        <is>
          <t>0001596532-26-000013</t>
        </is>
      </c>
      <c r="G553" s="15" t="n">
        <v>7.0031</v>
      </c>
      <c r="H553" s="15" t="n">
        <v>3.2651</v>
      </c>
      <c r="I553" s="15" t="n"/>
      <c r="J553" s="15" t="n">
        <v>0.413</v>
      </c>
      <c r="K553" s="15" t="n">
        <v>2.9446</v>
      </c>
      <c r="L553" s="15" t="n">
        <v>2.8521</v>
      </c>
      <c r="M553" s="15" t="n"/>
      <c r="N553" s="15" t="n">
        <v>0.062</v>
      </c>
      <c r="O553" s="15" t="n">
        <v>0.032</v>
      </c>
      <c r="P553" s="15" t="n">
        <v>3.7082</v>
      </c>
      <c r="Q553" s="15" t="n">
        <v>0.3554</v>
      </c>
      <c r="R553" s="15" t="n">
        <v>9.9948</v>
      </c>
      <c r="S553" s="15" t="n">
        <v>7.219</v>
      </c>
      <c r="T553" s="15" t="n">
        <v>8.3035</v>
      </c>
      <c r="U553" s="15" t="n">
        <v>5.007968</v>
      </c>
      <c r="V553" s="15" t="n">
        <v>0</v>
      </c>
      <c r="W553" s="15" t="n">
        <v>0</v>
      </c>
      <c r="X553" s="15" t="n"/>
      <c r="Y553" s="15" t="n">
        <v>11.9109</v>
      </c>
      <c r="Z553" s="15" t="n">
        <v>8.400064</v>
      </c>
      <c r="AA553" s="15" t="n">
        <v>2.7322</v>
      </c>
      <c r="AB553" s="15" t="n">
        <v>1.919435</v>
      </c>
      <c r="AC553" s="15" t="n">
        <v>2.211032</v>
      </c>
      <c r="AD553" s="16" t="n">
        <v>1261.3</v>
      </c>
      <c r="AE553" s="17">
        <f>IF(ISNUMBER(K553),K553,IF(AND(ISNUMBER(H553),ISNUMBER(I553)),H553+I553,IF(ISNUMBER(H553),H553,"")))</f>
        <v/>
      </c>
      <c r="AF553" s="18">
        <f>IF(OR(NOT(ISNUMBER(J553)),NOT(ISNUMBER(H553)),H553&lt;=0),기준표!$B$8,MIN(MAX(J553/H553,기준표!$B$6),기준표!$B$7))</f>
        <v/>
      </c>
      <c r="AG553" s="17">
        <f>IF(ISNUMBER(AE553),AE553*(1-AF553),"")</f>
        <v/>
      </c>
      <c r="AH553" s="17">
        <f>IF(AND(NOT(ISNUMBER(V553)),NOT(ISNUMBER(X553))),"",IF(ISNUMBER(V553),V553,0)+IF(ISNUMBER(X553),X553,0))</f>
        <v/>
      </c>
      <c r="AI553" s="17">
        <f>IF(E553="금융","",IF(AND(ISNUMBER(R553),ISNUMBER(AH553),ISNUMBER(T553)),R553+AH553-T553,""))</f>
        <v/>
      </c>
      <c r="AJ553" s="17">
        <f>IF(E553="금융","",IF(NOT(ISNUMBER(AI553)),"",IF(ISNUMBER(AC553),(AI553+AC553)/2,AI553)))</f>
        <v/>
      </c>
      <c r="AK553" s="19">
        <f>IF(AND(ISNUMBER(AG553),ISNUMBER(AJ553),AJ553&gt;0),AG553/AJ553,"")</f>
        <v/>
      </c>
      <c r="AL553" s="17">
        <f>IF(E553="금융","",IF(AND(ISNUMBER(R553),ISNUMBER(AH553)),R553+AH553,""))</f>
        <v/>
      </c>
      <c r="AM553" s="19">
        <f>IF(OR(NOT(ISNUMBER(AG553)),NOT(ISNUMBER(AL553)),AL553&lt;=0),"",IF(AND(ISNUMBER(G553),AL553&lt;0.1*G553),"",AG553/AL553))</f>
        <v/>
      </c>
      <c r="AN553" s="17">
        <f>IF(NOT(ISNUMBER(R553)),"",IF(ISNUMBER(S553),(R553+S553)/2,R553))</f>
        <v/>
      </c>
      <c r="AO553" s="19">
        <f>IF(AND(ISNUMBER(L553),ISNUMBER(AN553),AN553&gt;0),L553/AN553,"")</f>
        <v/>
      </c>
      <c r="AP553" s="19">
        <f>IF(AND(ISNUMBER(AO553),ISNUMBER({ROIC})),AO553-{ROIC},"")</f>
        <v/>
      </c>
      <c r="AQ553" s="17">
        <f>IF(AND(ISNUMBER(AE553),ISNUMBER(N553)),AE553+N553,"")</f>
        <v/>
      </c>
      <c r="AR553" s="20">
        <f>IF(AND(ISNUMBER(AH553),ISNUMBER(T553),ISNUMBER(AQ553),AQ553&gt;0),(AH553-T553)/AQ553,"")</f>
        <v/>
      </c>
      <c r="AS553" s="20">
        <f>IF(AND(ISNUMBER(AE553),ISNUMBER(I553),I553&lt;&gt;0,AE553&gt;0),AE553/I553,"")</f>
        <v/>
      </c>
      <c r="AT553" s="17">
        <f>IF(AND(ISNUMBER(Y553),ISNUMBER(AA553)),Y553-IF(ISNUMBER(T553),T553,0)-(AA553-IF(ISNUMBER(V553),V553,0)),"")</f>
        <v/>
      </c>
      <c r="AU553" s="17">
        <f>IF(AND(ISNUMBER(Z553),ISNUMBER(AB553)),Z553-IF(ISNUMBER(U553),U553,0)-(AB553-IF(ISNUMBER(W553),W553,0)),"")</f>
        <v/>
      </c>
      <c r="AV553" s="17">
        <f>IF(AND(ISNUMBER(AT553),ISNUMBER(AU553)),AT553-AU553,"")</f>
        <v/>
      </c>
      <c r="AW553" s="17">
        <f>IF(AND(ISNUMBER(L553),ISNUMBER(M553),ISNUMBER(AF553)),L553-M553*(1-AF553),IF(ISNUMBER(L553),L553,""))</f>
        <v/>
      </c>
      <c r="AX553" s="17">
        <f>IF(E553="금융","",IF(AND(ISNUMBER(AW553),ISNUMBER(N553),ISNUMBER(O553),ISNUMBER(AV553)),AW553+N553-O553-AV553,IF(AND(ISNUMBER(P553),ISNUMBER(O553)),P553-O553-IF(ISNUMBER(Q553),Q553,0),"")))</f>
        <v/>
      </c>
      <c r="AY553" s="8">
        <f>IF(E553="금융","금융업 - 정의되지 않음",IF(AND(ISNUMBER(AW553),ISNUMBER(N553),ISNUMBER(O553),ISNUMBER(AV553)),"영업순이익+감가상각-설비투자-운전자본증감",IF(AND(ISNUMBER(P553),ISNUMBER(O553)),IF(ISNUMBER(Q553),"영업현금흐름-설비투자-주식보상비용","영업현금흐름-설비투자(주식보상비용 미태깅)"),"산출불가")))</f>
        <v/>
      </c>
      <c r="AZ553" s="19">
        <f>IF(AND(ISNUMBER(AX553),ISNUMBER(G553),G553&lt;&gt;0),AX553/G553,"")</f>
        <v/>
      </c>
      <c r="BA553" s="19">
        <f>IF(AND(ISNUMBER(AE553),ISNUMBER(G553),G553&lt;&gt;0),AE553/G553,"")</f>
        <v/>
      </c>
    </row>
    <row r="554">
      <c r="A554" s="8" t="inlineStr">
        <is>
          <t>ANET</t>
        </is>
      </c>
      <c r="B554" s="8" t="inlineStr">
        <is>
          <t>Arista Networks, Inc.</t>
        </is>
      </c>
      <c r="C554" s="8" t="n">
        <v>2025</v>
      </c>
      <c r="D554" s="8" t="inlineStr">
        <is>
          <t>2025-12-31</t>
        </is>
      </c>
      <c r="E554" s="8" t="inlineStr">
        <is>
          <t>일반</t>
        </is>
      </c>
      <c r="F554" s="8" t="inlineStr">
        <is>
          <t>0001596532-26-000013</t>
        </is>
      </c>
      <c r="G554" s="15" t="n">
        <v>9.005699999999999</v>
      </c>
      <c r="H554" s="15" t="n">
        <v>4.2497</v>
      </c>
      <c r="I554" s="15" t="n"/>
      <c r="J554" s="15" t="n">
        <v>0.7383</v>
      </c>
      <c r="K554" s="15" t="n">
        <v>3.8561</v>
      </c>
      <c r="L554" s="15" t="n">
        <v>3.5114</v>
      </c>
      <c r="M554" s="15" t="n"/>
      <c r="N554" s="15" t="n">
        <v>0.0726</v>
      </c>
      <c r="O554" s="15" t="n">
        <v>0.1195</v>
      </c>
      <c r="P554" s="15" t="n">
        <v>4.3719</v>
      </c>
      <c r="Q554" s="15" t="n">
        <v>0.4392</v>
      </c>
      <c r="R554" s="15" t="n">
        <v>12.3705</v>
      </c>
      <c r="S554" s="15" t="n">
        <v>9.9948</v>
      </c>
      <c r="T554" s="15" t="n">
        <v>10.743</v>
      </c>
      <c r="U554" s="15" t="n">
        <v>8.3035</v>
      </c>
      <c r="V554" s="15" t="n">
        <v>0</v>
      </c>
      <c r="W554" s="15" t="n">
        <v>0</v>
      </c>
      <c r="X554" s="15" t="n"/>
      <c r="Y554" s="15" t="n">
        <v>16.387</v>
      </c>
      <c r="Z554" s="15" t="n">
        <v>11.9109</v>
      </c>
      <c r="AA554" s="15" t="n">
        <v>5.3765</v>
      </c>
      <c r="AB554" s="15" t="n">
        <v>2.7322</v>
      </c>
      <c r="AC554" s="15" t="n">
        <v>1.6913</v>
      </c>
      <c r="AD554" s="16" t="n">
        <v>1256.5</v>
      </c>
      <c r="AE554" s="17">
        <f>IF(ISNUMBER(K554),K554,IF(AND(ISNUMBER(H554),ISNUMBER(I554)),H554+I554,IF(ISNUMBER(H554),H554,"")))</f>
        <v/>
      </c>
      <c r="AF554" s="18">
        <f>IF(OR(NOT(ISNUMBER(J554)),NOT(ISNUMBER(H554)),H554&lt;=0),기준표!$B$8,MIN(MAX(J554/H554,기준표!$B$6),기준표!$B$7))</f>
        <v/>
      </c>
      <c r="AG554" s="17">
        <f>IF(ISNUMBER(AE554),AE554*(1-AF554),"")</f>
        <v/>
      </c>
      <c r="AH554" s="17">
        <f>IF(AND(NOT(ISNUMBER(V554)),NOT(ISNUMBER(X554))),"",IF(ISNUMBER(V554),V554,0)+IF(ISNUMBER(X554),X554,0))</f>
        <v/>
      </c>
      <c r="AI554" s="17">
        <f>IF(E554="금융","",IF(AND(ISNUMBER(R554),ISNUMBER(AH554),ISNUMBER(T554)),R554+AH554-T554,""))</f>
        <v/>
      </c>
      <c r="AJ554" s="17">
        <f>IF(E554="금융","",IF(NOT(ISNUMBER(AI554)),"",IF(ISNUMBER(AC554),(AI554+AC554)/2,AI554)))</f>
        <v/>
      </c>
      <c r="AK554" s="19">
        <f>IF(AND(ISNUMBER(AG554),ISNUMBER(AJ554),AJ554&gt;0),AG554/AJ554,"")</f>
        <v/>
      </c>
      <c r="AL554" s="17">
        <f>IF(E554="금융","",IF(AND(ISNUMBER(R554),ISNUMBER(AH554)),R554+AH554,""))</f>
        <v/>
      </c>
      <c r="AM554" s="19">
        <f>IF(OR(NOT(ISNUMBER(AG554)),NOT(ISNUMBER(AL554)),AL554&lt;=0),"",IF(AND(ISNUMBER(G554),AL554&lt;0.1*G554),"",AG554/AL554))</f>
        <v/>
      </c>
      <c r="AN554" s="17">
        <f>IF(NOT(ISNUMBER(R554)),"",IF(ISNUMBER(S554),(R554+S554)/2,R554))</f>
        <v/>
      </c>
      <c r="AO554" s="19">
        <f>IF(AND(ISNUMBER(L554),ISNUMBER(AN554),AN554&gt;0),L554/AN554,"")</f>
        <v/>
      </c>
      <c r="AP554" s="19">
        <f>IF(AND(ISNUMBER(AO554),ISNUMBER({ROIC})),AO554-{ROIC},"")</f>
        <v/>
      </c>
      <c r="AQ554" s="17">
        <f>IF(AND(ISNUMBER(AE554),ISNUMBER(N554)),AE554+N554,"")</f>
        <v/>
      </c>
      <c r="AR554" s="20">
        <f>IF(AND(ISNUMBER(AH554),ISNUMBER(T554),ISNUMBER(AQ554),AQ554&gt;0),(AH554-T554)/AQ554,"")</f>
        <v/>
      </c>
      <c r="AS554" s="20">
        <f>IF(AND(ISNUMBER(AE554),ISNUMBER(I554),I554&lt;&gt;0,AE554&gt;0),AE554/I554,"")</f>
        <v/>
      </c>
      <c r="AT554" s="17">
        <f>IF(AND(ISNUMBER(Y554),ISNUMBER(AA554)),Y554-IF(ISNUMBER(T554),T554,0)-(AA554-IF(ISNUMBER(V554),V554,0)),"")</f>
        <v/>
      </c>
      <c r="AU554" s="17">
        <f>IF(AND(ISNUMBER(Z554),ISNUMBER(AB554)),Z554-IF(ISNUMBER(U554),U554,0)-(AB554-IF(ISNUMBER(W554),W554,0)),"")</f>
        <v/>
      </c>
      <c r="AV554" s="17">
        <f>IF(AND(ISNUMBER(AT554),ISNUMBER(AU554)),AT554-AU554,"")</f>
        <v/>
      </c>
      <c r="AW554" s="17">
        <f>IF(AND(ISNUMBER(L554),ISNUMBER(M554),ISNUMBER(AF554)),L554-M554*(1-AF554),IF(ISNUMBER(L554),L554,""))</f>
        <v/>
      </c>
      <c r="AX554" s="17">
        <f>IF(E554="금융","",IF(AND(ISNUMBER(AW554),ISNUMBER(N554),ISNUMBER(O554),ISNUMBER(AV554)),AW554+N554-O554-AV554,IF(AND(ISNUMBER(P554),ISNUMBER(O554)),P554-O554-IF(ISNUMBER(Q554),Q554,0),"")))</f>
        <v/>
      </c>
      <c r="AY554" s="8">
        <f>IF(E554="금융","금융업 - 정의되지 않음",IF(AND(ISNUMBER(AW554),ISNUMBER(N554),ISNUMBER(O554),ISNUMBER(AV554)),"영업순이익+감가상각-설비투자-운전자본증감",IF(AND(ISNUMBER(P554),ISNUMBER(O554)),IF(ISNUMBER(Q554),"영업현금흐름-설비투자-주식보상비용","영업현금흐름-설비투자(주식보상비용 미태깅)"),"산출불가")))</f>
        <v/>
      </c>
      <c r="AZ554" s="19">
        <f>IF(AND(ISNUMBER(AX554),ISNUMBER(G554),G554&lt;&gt;0),AX554/G554,"")</f>
        <v/>
      </c>
      <c r="BA554" s="19">
        <f>IF(AND(ISNUMBER(AE554),ISNUMBER(G554),G554&lt;&gt;0),AE554/G554,"")</f>
        <v/>
      </c>
    </row>
    <row r="555">
      <c r="A555" s="8" t="inlineStr">
        <is>
          <t>AXP</t>
        </is>
      </c>
      <c r="B555" s="8" t="inlineStr">
        <is>
          <t>AMERICAN EXPRESS CO</t>
        </is>
      </c>
      <c r="C555" s="8" t="n">
        <v>2014</v>
      </c>
      <c r="D555" s="8" t="inlineStr">
        <is>
          <t>2014-12-31</t>
        </is>
      </c>
      <c r="E555" s="8" t="inlineStr">
        <is>
          <t>금융</t>
        </is>
      </c>
      <c r="F555" s="8" t="inlineStr">
        <is>
          <t>0001193125-17-047588</t>
        </is>
      </c>
      <c r="G555" s="15" t="n"/>
      <c r="H555" s="15" t="n"/>
      <c r="I555" s="15" t="n">
        <v>5.472</v>
      </c>
      <c r="J555" s="15" t="n">
        <v>3.106</v>
      </c>
      <c r="K555" s="15" t="n"/>
      <c r="L555" s="15" t="n">
        <v>5.885</v>
      </c>
      <c r="M555" s="15" t="n"/>
      <c r="N555" s="15" t="n">
        <v>1.012</v>
      </c>
      <c r="O555" s="15" t="n">
        <v>1.195</v>
      </c>
      <c r="P555" s="15" t="n"/>
      <c r="Q555" s="15" t="n">
        <v>0.29</v>
      </c>
      <c r="R555" s="15" t="n">
        <v>20.673</v>
      </c>
      <c r="S555" s="15" t="n"/>
      <c r="T555" s="15" t="n"/>
      <c r="U555" s="15" t="n"/>
      <c r="V555" s="15" t="n">
        <v>3.48</v>
      </c>
      <c r="W555" s="15" t="n"/>
      <c r="X555" s="15" t="n">
        <v>57.955</v>
      </c>
      <c r="Y555" s="15" t="n"/>
      <c r="Z555" s="15" t="n"/>
      <c r="AA555" s="15" t="n"/>
      <c r="AB555" s="15" t="n"/>
      <c r="AC555" s="15" t="n"/>
      <c r="AD555" s="16" t="n">
        <v>1023</v>
      </c>
      <c r="AE555" s="17">
        <f>IF(ISNUMBER(K555),K555,IF(AND(ISNUMBER(H555),ISNUMBER(I555)),H555+I555,IF(ISNUMBER(H555),H555,"")))</f>
        <v/>
      </c>
      <c r="AF555" s="18">
        <f>IF(OR(NOT(ISNUMBER(J555)),NOT(ISNUMBER(H555)),H555&lt;=0),기준표!$B$8,MIN(MAX(J555/H555,기준표!$B$6),기준표!$B$7))</f>
        <v/>
      </c>
      <c r="AG555" s="17">
        <f>IF(ISNUMBER(AE555),AE555*(1-AF555),"")</f>
        <v/>
      </c>
      <c r="AH555" s="17">
        <f>IF(AND(NOT(ISNUMBER(V555)),NOT(ISNUMBER(X555))),"",IF(ISNUMBER(V555),V555,0)+IF(ISNUMBER(X555),X555,0))</f>
        <v/>
      </c>
      <c r="AI555" s="17">
        <f>IF(E555="금융","",IF(AND(ISNUMBER(R555),ISNUMBER(AH555),ISNUMBER(T555)),R555+AH555-T555,""))</f>
        <v/>
      </c>
      <c r="AJ555" s="17">
        <f>IF(E555="금융","",IF(NOT(ISNUMBER(AI555)),"",IF(ISNUMBER(AC555),(AI555+AC555)/2,AI555)))</f>
        <v/>
      </c>
      <c r="AK555" s="19">
        <f>IF(AND(ISNUMBER(AG555),ISNUMBER(AJ555),AJ555&gt;0),AG555/AJ555,"")</f>
        <v/>
      </c>
      <c r="AL555" s="17">
        <f>IF(E555="금융","",IF(AND(ISNUMBER(R555),ISNUMBER(AH555)),R555+AH555,""))</f>
        <v/>
      </c>
      <c r="AM555" s="19">
        <f>IF(OR(NOT(ISNUMBER(AG555)),NOT(ISNUMBER(AL555)),AL555&lt;=0),"",IF(AND(ISNUMBER(G555),AL555&lt;0.1*G555),"",AG555/AL555))</f>
        <v/>
      </c>
      <c r="AN555" s="17">
        <f>IF(NOT(ISNUMBER(R555)),"",IF(ISNUMBER(S555),(R555+S555)/2,R555))</f>
        <v/>
      </c>
      <c r="AO555" s="19">
        <f>IF(AND(ISNUMBER(L555),ISNUMBER(AN555),AN555&gt;0),L555/AN555,"")</f>
        <v/>
      </c>
      <c r="AP555" s="19">
        <f>IF(AND(ISNUMBER(AO555),ISNUMBER({ROIC})),AO555-{ROIC},"")</f>
        <v/>
      </c>
      <c r="AQ555" s="17">
        <f>IF(AND(ISNUMBER(AE555),ISNUMBER(N555)),AE555+N555,"")</f>
        <v/>
      </c>
      <c r="AR555" s="20">
        <f>IF(AND(ISNUMBER(AH555),ISNUMBER(T555),ISNUMBER(AQ555),AQ555&gt;0),(AH555-T555)/AQ555,"")</f>
        <v/>
      </c>
      <c r="AS555" s="20">
        <f>IF(AND(ISNUMBER(AE555),ISNUMBER(I555),I555&lt;&gt;0,AE555&gt;0),AE555/I555,"")</f>
        <v/>
      </c>
      <c r="AT555" s="17">
        <f>IF(AND(ISNUMBER(Y555),ISNUMBER(AA555)),Y555-IF(ISNUMBER(T555),T555,0)-(AA555-IF(ISNUMBER(V555),V555,0)),"")</f>
        <v/>
      </c>
      <c r="AU555" s="17">
        <f>IF(AND(ISNUMBER(Z555),ISNUMBER(AB555)),Z555-IF(ISNUMBER(U555),U555,0)-(AB555-IF(ISNUMBER(W555),W555,0)),"")</f>
        <v/>
      </c>
      <c r="AV555" s="17">
        <f>IF(AND(ISNUMBER(AT555),ISNUMBER(AU555)),AT555-AU555,"")</f>
        <v/>
      </c>
      <c r="AW555" s="17">
        <f>IF(AND(ISNUMBER(L555),ISNUMBER(M555),ISNUMBER(AF555)),L555-M555*(1-AF555),IF(ISNUMBER(L555),L555,""))</f>
        <v/>
      </c>
      <c r="AX555" s="17">
        <f>IF(E555="금융","",IF(AND(ISNUMBER(AW555),ISNUMBER(N555),ISNUMBER(O555),ISNUMBER(AV555)),AW555+N555-O555-AV555,IF(AND(ISNUMBER(P555),ISNUMBER(O555)),P555-O555-IF(ISNUMBER(Q555),Q555,0),"")))</f>
        <v/>
      </c>
      <c r="AY555" s="8">
        <f>IF(E555="금융","금융업 - 정의되지 않음",IF(AND(ISNUMBER(AW555),ISNUMBER(N555),ISNUMBER(O555),ISNUMBER(AV555)),"영업순이익+감가상각-설비투자-운전자본증감",IF(AND(ISNUMBER(P555),ISNUMBER(O555)),IF(ISNUMBER(Q555),"영업현금흐름-설비투자-주식보상비용","영업현금흐름-설비투자(주식보상비용 미태깅)"),"산출불가")))</f>
        <v/>
      </c>
      <c r="AZ555" s="19">
        <f>IF(AND(ISNUMBER(AX555),ISNUMBER(G555),G555&lt;&gt;0),AX555/G555,"")</f>
        <v/>
      </c>
      <c r="BA555" s="19">
        <f>IF(AND(ISNUMBER(AE555),ISNUMBER(G555),G555&lt;&gt;0),AE555/G555,"")</f>
        <v/>
      </c>
    </row>
    <row r="556">
      <c r="A556" s="8" t="inlineStr">
        <is>
          <t>AXP</t>
        </is>
      </c>
      <c r="B556" s="8" t="inlineStr">
        <is>
          <t>AMERICAN EXPRESS CO</t>
        </is>
      </c>
      <c r="C556" s="8" t="n">
        <v>2015</v>
      </c>
      <c r="D556" s="8" t="inlineStr">
        <is>
          <t>2015-12-31</t>
        </is>
      </c>
      <c r="E556" s="8" t="inlineStr">
        <is>
          <t>금융</t>
        </is>
      </c>
      <c r="F556" s="8" t="inlineStr">
        <is>
          <t>0000004962-18-000032</t>
        </is>
      </c>
      <c r="G556" s="15" t="n">
        <v>32.818</v>
      </c>
      <c r="H556" s="15" t="n"/>
      <c r="I556" s="15" t="n">
        <v>5.922</v>
      </c>
      <c r="J556" s="15" t="n">
        <v>2.775</v>
      </c>
      <c r="K556" s="15" t="n"/>
      <c r="L556" s="15" t="n">
        <v>5.163</v>
      </c>
      <c r="M556" s="15" t="n"/>
      <c r="N556" s="15" t="n">
        <v>1.043</v>
      </c>
      <c r="O556" s="15" t="n">
        <v>1.341</v>
      </c>
      <c r="P556" s="15" t="n"/>
      <c r="Q556" s="15" t="n">
        <v>0.234</v>
      </c>
      <c r="R556" s="15" t="n">
        <v>20.673</v>
      </c>
      <c r="S556" s="15" t="n">
        <v>20.673</v>
      </c>
      <c r="T556" s="15" t="n">
        <v>23.239</v>
      </c>
      <c r="U556" s="15" t="n"/>
      <c r="V556" s="15" t="n">
        <v>4.812</v>
      </c>
      <c r="W556" s="15" t="n">
        <v>3.48</v>
      </c>
      <c r="X556" s="15" t="n">
        <v>48.061</v>
      </c>
      <c r="Y556" s="15" t="n"/>
      <c r="Z556" s="15" t="n"/>
      <c r="AA556" s="15" t="n"/>
      <c r="AB556" s="15" t="n"/>
      <c r="AC556" s="15" t="n"/>
      <c r="AD556" s="16" t="n">
        <v>969</v>
      </c>
      <c r="AE556" s="17">
        <f>IF(ISNUMBER(K556),K556,IF(AND(ISNUMBER(H556),ISNUMBER(I556)),H556+I556,IF(ISNUMBER(H556),H556,"")))</f>
        <v/>
      </c>
      <c r="AF556" s="18">
        <f>IF(OR(NOT(ISNUMBER(J556)),NOT(ISNUMBER(H556)),H556&lt;=0),기준표!$B$8,MIN(MAX(J556/H556,기준표!$B$6),기준표!$B$7))</f>
        <v/>
      </c>
      <c r="AG556" s="17">
        <f>IF(ISNUMBER(AE556),AE556*(1-AF556),"")</f>
        <v/>
      </c>
      <c r="AH556" s="17">
        <f>IF(AND(NOT(ISNUMBER(V556)),NOT(ISNUMBER(X556))),"",IF(ISNUMBER(V556),V556,0)+IF(ISNUMBER(X556),X556,0))</f>
        <v/>
      </c>
      <c r="AI556" s="17">
        <f>IF(E556="금융","",IF(AND(ISNUMBER(R556),ISNUMBER(AH556),ISNUMBER(T556)),R556+AH556-T556,""))</f>
        <v/>
      </c>
      <c r="AJ556" s="17">
        <f>IF(E556="금융","",IF(NOT(ISNUMBER(AI556)),"",IF(ISNUMBER(AC556),(AI556+AC556)/2,AI556)))</f>
        <v/>
      </c>
      <c r="AK556" s="19">
        <f>IF(AND(ISNUMBER(AG556),ISNUMBER(AJ556),AJ556&gt;0),AG556/AJ556,"")</f>
        <v/>
      </c>
      <c r="AL556" s="17">
        <f>IF(E556="금융","",IF(AND(ISNUMBER(R556),ISNUMBER(AH556)),R556+AH556,""))</f>
        <v/>
      </c>
      <c r="AM556" s="19">
        <f>IF(OR(NOT(ISNUMBER(AG556)),NOT(ISNUMBER(AL556)),AL556&lt;=0),"",IF(AND(ISNUMBER(G556),AL556&lt;0.1*G556),"",AG556/AL556))</f>
        <v/>
      </c>
      <c r="AN556" s="17">
        <f>IF(NOT(ISNUMBER(R556)),"",IF(ISNUMBER(S556),(R556+S556)/2,R556))</f>
        <v/>
      </c>
      <c r="AO556" s="19">
        <f>IF(AND(ISNUMBER(L556),ISNUMBER(AN556),AN556&gt;0),L556/AN556,"")</f>
        <v/>
      </c>
      <c r="AP556" s="19">
        <f>IF(AND(ISNUMBER(AO556),ISNUMBER({ROIC})),AO556-{ROIC},"")</f>
        <v/>
      </c>
      <c r="AQ556" s="17">
        <f>IF(AND(ISNUMBER(AE556),ISNUMBER(N556)),AE556+N556,"")</f>
        <v/>
      </c>
      <c r="AR556" s="20">
        <f>IF(AND(ISNUMBER(AH556),ISNUMBER(T556),ISNUMBER(AQ556),AQ556&gt;0),(AH556-T556)/AQ556,"")</f>
        <v/>
      </c>
      <c r="AS556" s="20">
        <f>IF(AND(ISNUMBER(AE556),ISNUMBER(I556),I556&lt;&gt;0,AE556&gt;0),AE556/I556,"")</f>
        <v/>
      </c>
      <c r="AT556" s="17">
        <f>IF(AND(ISNUMBER(Y556),ISNUMBER(AA556)),Y556-IF(ISNUMBER(T556),T556,0)-(AA556-IF(ISNUMBER(V556),V556,0)),"")</f>
        <v/>
      </c>
      <c r="AU556" s="17">
        <f>IF(AND(ISNUMBER(Z556),ISNUMBER(AB556)),Z556-IF(ISNUMBER(U556),U556,0)-(AB556-IF(ISNUMBER(W556),W556,0)),"")</f>
        <v/>
      </c>
      <c r="AV556" s="17">
        <f>IF(AND(ISNUMBER(AT556),ISNUMBER(AU556)),AT556-AU556,"")</f>
        <v/>
      </c>
      <c r="AW556" s="17">
        <f>IF(AND(ISNUMBER(L556),ISNUMBER(M556),ISNUMBER(AF556)),L556-M556*(1-AF556),IF(ISNUMBER(L556),L556,""))</f>
        <v/>
      </c>
      <c r="AX556" s="17">
        <f>IF(E556="금융","",IF(AND(ISNUMBER(AW556),ISNUMBER(N556),ISNUMBER(O556),ISNUMBER(AV556)),AW556+N556-O556-AV556,IF(AND(ISNUMBER(P556),ISNUMBER(O556)),P556-O556-IF(ISNUMBER(Q556),Q556,0),"")))</f>
        <v/>
      </c>
      <c r="AY556" s="8">
        <f>IF(E556="금융","금융업 - 정의되지 않음",IF(AND(ISNUMBER(AW556),ISNUMBER(N556),ISNUMBER(O556),ISNUMBER(AV556)),"영업순이익+감가상각-설비투자-운전자본증감",IF(AND(ISNUMBER(P556),ISNUMBER(O556)),IF(ISNUMBER(Q556),"영업현금흐름-설비투자-주식보상비용","영업현금흐름-설비투자(주식보상비용 미태깅)"),"산출불가")))</f>
        <v/>
      </c>
      <c r="AZ556" s="19">
        <f>IF(AND(ISNUMBER(AX556),ISNUMBER(G556),G556&lt;&gt;0),AX556/G556,"")</f>
        <v/>
      </c>
      <c r="BA556" s="19">
        <f>IF(AND(ISNUMBER(AE556),ISNUMBER(G556),G556&lt;&gt;0),AE556/G556,"")</f>
        <v/>
      </c>
    </row>
    <row r="557">
      <c r="A557" s="8" t="inlineStr">
        <is>
          <t>AXP</t>
        </is>
      </c>
      <c r="B557" s="8" t="inlineStr">
        <is>
          <t>AMERICAN EXPRESS CO</t>
        </is>
      </c>
      <c r="C557" s="8" t="n">
        <v>2016</v>
      </c>
      <c r="D557" s="8" t="inlineStr">
        <is>
          <t>2016-12-31</t>
        </is>
      </c>
      <c r="E557" s="8" t="inlineStr">
        <is>
          <t>금융</t>
        </is>
      </c>
      <c r="F557" s="8" t="inlineStr">
        <is>
          <t>0000004962-19-000018</t>
        </is>
      </c>
      <c r="G557" s="15" t="n">
        <v>35.438</v>
      </c>
      <c r="H557" s="15" t="n"/>
      <c r="I557" s="15" t="n">
        <v>5.779</v>
      </c>
      <c r="J557" s="15" t="n">
        <v>2.667</v>
      </c>
      <c r="K557" s="15" t="n"/>
      <c r="L557" s="15" t="n">
        <v>5.375</v>
      </c>
      <c r="M557" s="15" t="n"/>
      <c r="N557" s="15" t="n">
        <v>1.095</v>
      </c>
      <c r="O557" s="15" t="n">
        <v>1.375</v>
      </c>
      <c r="P557" s="15" t="n"/>
      <c r="Q557" s="15" t="n">
        <v>0.254</v>
      </c>
      <c r="R557" s="15" t="n">
        <v>20.523</v>
      </c>
      <c r="S557" s="15" t="n">
        <v>20.673</v>
      </c>
      <c r="T557" s="15" t="n">
        <v>25.494</v>
      </c>
      <c r="U557" s="15" t="n">
        <v>23.239</v>
      </c>
      <c r="V557" s="15" t="n">
        <v>5.581</v>
      </c>
      <c r="W557" s="15" t="n">
        <v>4.812</v>
      </c>
      <c r="X557" s="15" t="n">
        <v>46.99</v>
      </c>
      <c r="Y557" s="15" t="n"/>
      <c r="Z557" s="15" t="n"/>
      <c r="AA557" s="15" t="n"/>
      <c r="AB557" s="15" t="n"/>
      <c r="AC557" s="15" t="n"/>
      <c r="AD557" s="16" t="n">
        <v>904</v>
      </c>
      <c r="AE557" s="17">
        <f>IF(ISNUMBER(K557),K557,IF(AND(ISNUMBER(H557),ISNUMBER(I557)),H557+I557,IF(ISNUMBER(H557),H557,"")))</f>
        <v/>
      </c>
      <c r="AF557" s="18">
        <f>IF(OR(NOT(ISNUMBER(J557)),NOT(ISNUMBER(H557)),H557&lt;=0),기준표!$B$8,MIN(MAX(J557/H557,기준표!$B$6),기준표!$B$7))</f>
        <v/>
      </c>
      <c r="AG557" s="17">
        <f>IF(ISNUMBER(AE557),AE557*(1-AF557),"")</f>
        <v/>
      </c>
      <c r="AH557" s="17">
        <f>IF(AND(NOT(ISNUMBER(V557)),NOT(ISNUMBER(X557))),"",IF(ISNUMBER(V557),V557,0)+IF(ISNUMBER(X557),X557,0))</f>
        <v/>
      </c>
      <c r="AI557" s="17">
        <f>IF(E557="금융","",IF(AND(ISNUMBER(R557),ISNUMBER(AH557),ISNUMBER(T557)),R557+AH557-T557,""))</f>
        <v/>
      </c>
      <c r="AJ557" s="17">
        <f>IF(E557="금융","",IF(NOT(ISNUMBER(AI557)),"",IF(ISNUMBER(AC557),(AI557+AC557)/2,AI557)))</f>
        <v/>
      </c>
      <c r="AK557" s="19">
        <f>IF(AND(ISNUMBER(AG557),ISNUMBER(AJ557),AJ557&gt;0),AG557/AJ557,"")</f>
        <v/>
      </c>
      <c r="AL557" s="17">
        <f>IF(E557="금융","",IF(AND(ISNUMBER(R557),ISNUMBER(AH557)),R557+AH557,""))</f>
        <v/>
      </c>
      <c r="AM557" s="19">
        <f>IF(OR(NOT(ISNUMBER(AG557)),NOT(ISNUMBER(AL557)),AL557&lt;=0),"",IF(AND(ISNUMBER(G557),AL557&lt;0.1*G557),"",AG557/AL557))</f>
        <v/>
      </c>
      <c r="AN557" s="17">
        <f>IF(NOT(ISNUMBER(R557)),"",IF(ISNUMBER(S557),(R557+S557)/2,R557))</f>
        <v/>
      </c>
      <c r="AO557" s="19">
        <f>IF(AND(ISNUMBER(L557),ISNUMBER(AN557),AN557&gt;0),L557/AN557,"")</f>
        <v/>
      </c>
      <c r="AP557" s="19">
        <f>IF(AND(ISNUMBER(AO557),ISNUMBER({ROIC})),AO557-{ROIC},"")</f>
        <v/>
      </c>
      <c r="AQ557" s="17">
        <f>IF(AND(ISNUMBER(AE557),ISNUMBER(N557)),AE557+N557,"")</f>
        <v/>
      </c>
      <c r="AR557" s="20">
        <f>IF(AND(ISNUMBER(AH557),ISNUMBER(T557),ISNUMBER(AQ557),AQ557&gt;0),(AH557-T557)/AQ557,"")</f>
        <v/>
      </c>
      <c r="AS557" s="20">
        <f>IF(AND(ISNUMBER(AE557),ISNUMBER(I557),I557&lt;&gt;0,AE557&gt;0),AE557/I557,"")</f>
        <v/>
      </c>
      <c r="AT557" s="17">
        <f>IF(AND(ISNUMBER(Y557),ISNUMBER(AA557)),Y557-IF(ISNUMBER(T557),T557,0)-(AA557-IF(ISNUMBER(V557),V557,0)),"")</f>
        <v/>
      </c>
      <c r="AU557" s="17">
        <f>IF(AND(ISNUMBER(Z557),ISNUMBER(AB557)),Z557-IF(ISNUMBER(U557),U557,0)-(AB557-IF(ISNUMBER(W557),W557,0)),"")</f>
        <v/>
      </c>
      <c r="AV557" s="17">
        <f>IF(AND(ISNUMBER(AT557),ISNUMBER(AU557)),AT557-AU557,"")</f>
        <v/>
      </c>
      <c r="AW557" s="17">
        <f>IF(AND(ISNUMBER(L557),ISNUMBER(M557),ISNUMBER(AF557)),L557-M557*(1-AF557),IF(ISNUMBER(L557),L557,""))</f>
        <v/>
      </c>
      <c r="AX557" s="17">
        <f>IF(E557="금융","",IF(AND(ISNUMBER(AW557),ISNUMBER(N557),ISNUMBER(O557),ISNUMBER(AV557)),AW557+N557-O557-AV557,IF(AND(ISNUMBER(P557),ISNUMBER(O557)),P557-O557-IF(ISNUMBER(Q557),Q557,0),"")))</f>
        <v/>
      </c>
      <c r="AY557" s="8">
        <f>IF(E557="금융","금융업 - 정의되지 않음",IF(AND(ISNUMBER(AW557),ISNUMBER(N557),ISNUMBER(O557),ISNUMBER(AV557)),"영업순이익+감가상각-설비투자-운전자본증감",IF(AND(ISNUMBER(P557),ISNUMBER(O557)),IF(ISNUMBER(Q557),"영업현금흐름-설비투자-주식보상비용","영업현금흐름-설비투자(주식보상비용 미태깅)"),"산출불가")))</f>
        <v/>
      </c>
      <c r="AZ557" s="19">
        <f>IF(AND(ISNUMBER(AX557),ISNUMBER(G557),G557&lt;&gt;0),AX557/G557,"")</f>
        <v/>
      </c>
      <c r="BA557" s="19">
        <f>IF(AND(ISNUMBER(AE557),ISNUMBER(G557),G557&lt;&gt;0),AE557/G557,"")</f>
        <v/>
      </c>
    </row>
    <row r="558">
      <c r="A558" s="8" t="inlineStr">
        <is>
          <t>AXP</t>
        </is>
      </c>
      <c r="B558" s="8" t="inlineStr">
        <is>
          <t>AMERICAN EXPRESS CO</t>
        </is>
      </c>
      <c r="C558" s="8" t="n">
        <v>2017</v>
      </c>
      <c r="D558" s="8" t="inlineStr">
        <is>
          <t>2017-12-31</t>
        </is>
      </c>
      <c r="E558" s="8" t="inlineStr">
        <is>
          <t>금융</t>
        </is>
      </c>
      <c r="F558" s="8" t="inlineStr">
        <is>
          <t>0000004962-20-000030</t>
        </is>
      </c>
      <c r="G558" s="15" t="n">
        <v>36.878</v>
      </c>
      <c r="H558" s="15" t="n"/>
      <c r="I558" s="15" t="n">
        <v>6.451</v>
      </c>
      <c r="J558" s="15" t="n">
        <v>4.677</v>
      </c>
      <c r="K558" s="15" t="n"/>
      <c r="L558" s="15" t="n">
        <v>2.748</v>
      </c>
      <c r="M558" s="15" t="n"/>
      <c r="N558" s="15" t="n">
        <v>1.321</v>
      </c>
      <c r="O558" s="15" t="n">
        <v>1.062</v>
      </c>
      <c r="P558" s="15" t="n">
        <v>13.54</v>
      </c>
      <c r="Q558" s="15" t="n">
        <v>0.282</v>
      </c>
      <c r="R558" s="15" t="n">
        <v>18.261</v>
      </c>
      <c r="S558" s="15" t="n">
        <v>20.523</v>
      </c>
      <c r="T558" s="15" t="n">
        <v>33.333</v>
      </c>
      <c r="U558" s="15" t="n">
        <v>25.494</v>
      </c>
      <c r="V558" s="15" t="n">
        <v>3.278</v>
      </c>
      <c r="W558" s="15" t="n">
        <v>5.581</v>
      </c>
      <c r="X558" s="15" t="n">
        <v>55.804</v>
      </c>
      <c r="Y558" s="15" t="n"/>
      <c r="Z558" s="15" t="n"/>
      <c r="AA558" s="15" t="n"/>
      <c r="AB558" s="15" t="n"/>
      <c r="AC558" s="15" t="n"/>
      <c r="AD558" s="16" t="n">
        <v>859</v>
      </c>
      <c r="AE558" s="17">
        <f>IF(ISNUMBER(K558),K558,IF(AND(ISNUMBER(H558),ISNUMBER(I558)),H558+I558,IF(ISNUMBER(H558),H558,"")))</f>
        <v/>
      </c>
      <c r="AF558" s="18">
        <f>IF(OR(NOT(ISNUMBER(J558)),NOT(ISNUMBER(H558)),H558&lt;=0),기준표!$B$8,MIN(MAX(J558/H558,기준표!$B$6),기준표!$B$7))</f>
        <v/>
      </c>
      <c r="AG558" s="17">
        <f>IF(ISNUMBER(AE558),AE558*(1-AF558),"")</f>
        <v/>
      </c>
      <c r="AH558" s="17">
        <f>IF(AND(NOT(ISNUMBER(V558)),NOT(ISNUMBER(X558))),"",IF(ISNUMBER(V558),V558,0)+IF(ISNUMBER(X558),X558,0))</f>
        <v/>
      </c>
      <c r="AI558" s="17">
        <f>IF(E558="금융","",IF(AND(ISNUMBER(R558),ISNUMBER(AH558),ISNUMBER(T558)),R558+AH558-T558,""))</f>
        <v/>
      </c>
      <c r="AJ558" s="17">
        <f>IF(E558="금융","",IF(NOT(ISNUMBER(AI558)),"",IF(ISNUMBER(AC558),(AI558+AC558)/2,AI558)))</f>
        <v/>
      </c>
      <c r="AK558" s="19">
        <f>IF(AND(ISNUMBER(AG558),ISNUMBER(AJ558),AJ558&gt;0),AG558/AJ558,"")</f>
        <v/>
      </c>
      <c r="AL558" s="17">
        <f>IF(E558="금융","",IF(AND(ISNUMBER(R558),ISNUMBER(AH558)),R558+AH558,""))</f>
        <v/>
      </c>
      <c r="AM558" s="19">
        <f>IF(OR(NOT(ISNUMBER(AG558)),NOT(ISNUMBER(AL558)),AL558&lt;=0),"",IF(AND(ISNUMBER(G558),AL558&lt;0.1*G558),"",AG558/AL558))</f>
        <v/>
      </c>
      <c r="AN558" s="17">
        <f>IF(NOT(ISNUMBER(R558)),"",IF(ISNUMBER(S558),(R558+S558)/2,R558))</f>
        <v/>
      </c>
      <c r="AO558" s="19">
        <f>IF(AND(ISNUMBER(L558),ISNUMBER(AN558),AN558&gt;0),L558/AN558,"")</f>
        <v/>
      </c>
      <c r="AP558" s="19">
        <f>IF(AND(ISNUMBER(AO558),ISNUMBER({ROIC})),AO558-{ROIC},"")</f>
        <v/>
      </c>
      <c r="AQ558" s="17">
        <f>IF(AND(ISNUMBER(AE558),ISNUMBER(N558)),AE558+N558,"")</f>
        <v/>
      </c>
      <c r="AR558" s="20">
        <f>IF(AND(ISNUMBER(AH558),ISNUMBER(T558),ISNUMBER(AQ558),AQ558&gt;0),(AH558-T558)/AQ558,"")</f>
        <v/>
      </c>
      <c r="AS558" s="20">
        <f>IF(AND(ISNUMBER(AE558),ISNUMBER(I558),I558&lt;&gt;0,AE558&gt;0),AE558/I558,"")</f>
        <v/>
      </c>
      <c r="AT558" s="17">
        <f>IF(AND(ISNUMBER(Y558),ISNUMBER(AA558)),Y558-IF(ISNUMBER(T558),T558,0)-(AA558-IF(ISNUMBER(V558),V558,0)),"")</f>
        <v/>
      </c>
      <c r="AU558" s="17">
        <f>IF(AND(ISNUMBER(Z558),ISNUMBER(AB558)),Z558-IF(ISNUMBER(U558),U558,0)-(AB558-IF(ISNUMBER(W558),W558,0)),"")</f>
        <v/>
      </c>
      <c r="AV558" s="17">
        <f>IF(AND(ISNUMBER(AT558),ISNUMBER(AU558)),AT558-AU558,"")</f>
        <v/>
      </c>
      <c r="AW558" s="17">
        <f>IF(AND(ISNUMBER(L558),ISNUMBER(M558),ISNUMBER(AF558)),L558-M558*(1-AF558),IF(ISNUMBER(L558),L558,""))</f>
        <v/>
      </c>
      <c r="AX558" s="17">
        <f>IF(E558="금융","",IF(AND(ISNUMBER(AW558),ISNUMBER(N558),ISNUMBER(O558),ISNUMBER(AV558)),AW558+N558-O558-AV558,IF(AND(ISNUMBER(P558),ISNUMBER(O558)),P558-O558-IF(ISNUMBER(Q558),Q558,0),"")))</f>
        <v/>
      </c>
      <c r="AY558" s="8">
        <f>IF(E558="금융","금융업 - 정의되지 않음",IF(AND(ISNUMBER(AW558),ISNUMBER(N558),ISNUMBER(O558),ISNUMBER(AV558)),"영업순이익+감가상각-설비투자-운전자본증감",IF(AND(ISNUMBER(P558),ISNUMBER(O558)),IF(ISNUMBER(Q558),"영업현금흐름-설비투자-주식보상비용","영업현금흐름-설비투자(주식보상비용 미태깅)"),"산출불가")))</f>
        <v/>
      </c>
      <c r="AZ558" s="19">
        <f>IF(AND(ISNUMBER(AX558),ISNUMBER(G558),G558&lt;&gt;0),AX558/G558,"")</f>
        <v/>
      </c>
      <c r="BA558" s="19">
        <f>IF(AND(ISNUMBER(AE558),ISNUMBER(G558),G558&lt;&gt;0),AE558/G558,"")</f>
        <v/>
      </c>
    </row>
    <row r="559">
      <c r="A559" s="8" t="inlineStr">
        <is>
          <t>AXP</t>
        </is>
      </c>
      <c r="B559" s="8" t="inlineStr">
        <is>
          <t>AMERICAN EXPRESS CO</t>
        </is>
      </c>
      <c r="C559" s="8" t="n">
        <v>2018</v>
      </c>
      <c r="D559" s="8" t="inlineStr">
        <is>
          <t>2018-12-31</t>
        </is>
      </c>
      <c r="E559" s="8" t="inlineStr">
        <is>
          <t>금융</t>
        </is>
      </c>
      <c r="F559" s="8" t="inlineStr">
        <is>
          <t>0000004962-21-000013</t>
        </is>
      </c>
      <c r="G559" s="15" t="n">
        <v>40.338</v>
      </c>
      <c r="H559" s="15" t="n"/>
      <c r="I559" s="15" t="n">
        <v>7.663</v>
      </c>
      <c r="J559" s="15" t="n">
        <v>1.201</v>
      </c>
      <c r="K559" s="15" t="n"/>
      <c r="L559" s="15" t="n">
        <v>6.921</v>
      </c>
      <c r="M559" s="15" t="n"/>
      <c r="N559" s="15" t="n">
        <v>1.293</v>
      </c>
      <c r="O559" s="15" t="n">
        <v>1.31</v>
      </c>
      <c r="P559" s="15" t="n">
        <v>8.93</v>
      </c>
      <c r="Q559" s="15" t="n">
        <v>0.283</v>
      </c>
      <c r="R559" s="15" t="n">
        <v>22.29</v>
      </c>
      <c r="S559" s="15" t="n">
        <v>18.261</v>
      </c>
      <c r="T559" s="15" t="n">
        <v>27.974</v>
      </c>
      <c r="U559" s="15" t="n">
        <v>33.333</v>
      </c>
      <c r="V559" s="15" t="n">
        <v>3.1</v>
      </c>
      <c r="W559" s="15" t="n">
        <v>3.278</v>
      </c>
      <c r="X559" s="15" t="n">
        <v>58.423</v>
      </c>
      <c r="Y559" s="15" t="n"/>
      <c r="Z559" s="15" t="n"/>
      <c r="AA559" s="15" t="n"/>
      <c r="AB559" s="15" t="n"/>
      <c r="AC559" s="15" t="n"/>
      <c r="AD559" s="16" t="n">
        <v>847</v>
      </c>
      <c r="AE559" s="17">
        <f>IF(ISNUMBER(K559),K559,IF(AND(ISNUMBER(H559),ISNUMBER(I559)),H559+I559,IF(ISNUMBER(H559),H559,"")))</f>
        <v/>
      </c>
      <c r="AF559" s="18">
        <f>IF(OR(NOT(ISNUMBER(J559)),NOT(ISNUMBER(H559)),H559&lt;=0),기준표!$B$8,MIN(MAX(J559/H559,기준표!$B$6),기준표!$B$7))</f>
        <v/>
      </c>
      <c r="AG559" s="17">
        <f>IF(ISNUMBER(AE559),AE559*(1-AF559),"")</f>
        <v/>
      </c>
      <c r="AH559" s="17">
        <f>IF(AND(NOT(ISNUMBER(V559)),NOT(ISNUMBER(X559))),"",IF(ISNUMBER(V559),V559,0)+IF(ISNUMBER(X559),X559,0))</f>
        <v/>
      </c>
      <c r="AI559" s="17">
        <f>IF(E559="금융","",IF(AND(ISNUMBER(R559),ISNUMBER(AH559),ISNUMBER(T559)),R559+AH559-T559,""))</f>
        <v/>
      </c>
      <c r="AJ559" s="17">
        <f>IF(E559="금융","",IF(NOT(ISNUMBER(AI559)),"",IF(ISNUMBER(AC559),(AI559+AC559)/2,AI559)))</f>
        <v/>
      </c>
      <c r="AK559" s="19">
        <f>IF(AND(ISNUMBER(AG559),ISNUMBER(AJ559),AJ559&gt;0),AG559/AJ559,"")</f>
        <v/>
      </c>
      <c r="AL559" s="17">
        <f>IF(E559="금융","",IF(AND(ISNUMBER(R559),ISNUMBER(AH559)),R559+AH559,""))</f>
        <v/>
      </c>
      <c r="AM559" s="19">
        <f>IF(OR(NOT(ISNUMBER(AG559)),NOT(ISNUMBER(AL559)),AL559&lt;=0),"",IF(AND(ISNUMBER(G559),AL559&lt;0.1*G559),"",AG559/AL559))</f>
        <v/>
      </c>
      <c r="AN559" s="17">
        <f>IF(NOT(ISNUMBER(R559)),"",IF(ISNUMBER(S559),(R559+S559)/2,R559))</f>
        <v/>
      </c>
      <c r="AO559" s="19">
        <f>IF(AND(ISNUMBER(L559),ISNUMBER(AN559),AN559&gt;0),L559/AN559,"")</f>
        <v/>
      </c>
      <c r="AP559" s="19">
        <f>IF(AND(ISNUMBER(AO559),ISNUMBER({ROIC})),AO559-{ROIC},"")</f>
        <v/>
      </c>
      <c r="AQ559" s="17">
        <f>IF(AND(ISNUMBER(AE559),ISNUMBER(N559)),AE559+N559,"")</f>
        <v/>
      </c>
      <c r="AR559" s="20">
        <f>IF(AND(ISNUMBER(AH559),ISNUMBER(T559),ISNUMBER(AQ559),AQ559&gt;0),(AH559-T559)/AQ559,"")</f>
        <v/>
      </c>
      <c r="AS559" s="20">
        <f>IF(AND(ISNUMBER(AE559),ISNUMBER(I559),I559&lt;&gt;0,AE559&gt;0),AE559/I559,"")</f>
        <v/>
      </c>
      <c r="AT559" s="17">
        <f>IF(AND(ISNUMBER(Y559),ISNUMBER(AA559)),Y559-IF(ISNUMBER(T559),T559,0)-(AA559-IF(ISNUMBER(V559),V559,0)),"")</f>
        <v/>
      </c>
      <c r="AU559" s="17">
        <f>IF(AND(ISNUMBER(Z559),ISNUMBER(AB559)),Z559-IF(ISNUMBER(U559),U559,0)-(AB559-IF(ISNUMBER(W559),W559,0)),"")</f>
        <v/>
      </c>
      <c r="AV559" s="17">
        <f>IF(AND(ISNUMBER(AT559),ISNUMBER(AU559)),AT559-AU559,"")</f>
        <v/>
      </c>
      <c r="AW559" s="17">
        <f>IF(AND(ISNUMBER(L559),ISNUMBER(M559),ISNUMBER(AF559)),L559-M559*(1-AF559),IF(ISNUMBER(L559),L559,""))</f>
        <v/>
      </c>
      <c r="AX559" s="17">
        <f>IF(E559="금융","",IF(AND(ISNUMBER(AW559),ISNUMBER(N559),ISNUMBER(O559),ISNUMBER(AV559)),AW559+N559-O559-AV559,IF(AND(ISNUMBER(P559),ISNUMBER(O559)),P559-O559-IF(ISNUMBER(Q559),Q559,0),"")))</f>
        <v/>
      </c>
      <c r="AY559" s="8">
        <f>IF(E559="금융","금융업 - 정의되지 않음",IF(AND(ISNUMBER(AW559),ISNUMBER(N559),ISNUMBER(O559),ISNUMBER(AV559)),"영업순이익+감가상각-설비투자-운전자본증감",IF(AND(ISNUMBER(P559),ISNUMBER(O559)),IF(ISNUMBER(Q559),"영업현금흐름-설비투자-주식보상비용","영업현금흐름-설비투자(주식보상비용 미태깅)"),"산출불가")))</f>
        <v/>
      </c>
      <c r="AZ559" s="19">
        <f>IF(AND(ISNUMBER(AX559),ISNUMBER(G559),G559&lt;&gt;0),AX559/G559,"")</f>
        <v/>
      </c>
      <c r="BA559" s="19">
        <f>IF(AND(ISNUMBER(AE559),ISNUMBER(G559),G559&lt;&gt;0),AE559/G559,"")</f>
        <v/>
      </c>
    </row>
    <row r="560">
      <c r="A560" s="8" t="inlineStr">
        <is>
          <t>AXP</t>
        </is>
      </c>
      <c r="B560" s="8" t="inlineStr">
        <is>
          <t>AMERICAN EXPRESS CO</t>
        </is>
      </c>
      <c r="C560" s="8" t="n">
        <v>2019</v>
      </c>
      <c r="D560" s="8" t="inlineStr">
        <is>
          <t>2019-12-31</t>
        </is>
      </c>
      <c r="E560" s="8" t="inlineStr">
        <is>
          <t>금융</t>
        </is>
      </c>
      <c r="F560" s="8" t="inlineStr">
        <is>
          <t>0000004962-22-000008</t>
        </is>
      </c>
      <c r="G560" s="15" t="n">
        <v>43.556</v>
      </c>
      <c r="H560" s="15" t="n">
        <v>8.429</v>
      </c>
      <c r="I560" s="15" t="n">
        <v>8.619999999999999</v>
      </c>
      <c r="J560" s="15" t="n">
        <v>1.67</v>
      </c>
      <c r="K560" s="15" t="n"/>
      <c r="L560" s="15" t="n">
        <v>6.759</v>
      </c>
      <c r="M560" s="15" t="n"/>
      <c r="N560" s="15" t="n">
        <v>1.188</v>
      </c>
      <c r="O560" s="15" t="n">
        <v>1.645</v>
      </c>
      <c r="P560" s="15" t="n">
        <v>13.632</v>
      </c>
      <c r="Q560" s="15" t="n">
        <v>0.283</v>
      </c>
      <c r="R560" s="15" t="n">
        <v>23.071</v>
      </c>
      <c r="S560" s="15" t="n">
        <v>22.29</v>
      </c>
      <c r="T560" s="15" t="n">
        <v>24.669</v>
      </c>
      <c r="U560" s="15" t="n">
        <v>27.974</v>
      </c>
      <c r="V560" s="15" t="n">
        <v>6.442</v>
      </c>
      <c r="W560" s="15" t="n">
        <v>3.1</v>
      </c>
      <c r="X560" s="15" t="n">
        <v>57.835</v>
      </c>
      <c r="Y560" s="15" t="n"/>
      <c r="Z560" s="15" t="n"/>
      <c r="AA560" s="15" t="n"/>
      <c r="AB560" s="15" t="n"/>
      <c r="AC560" s="15" t="n"/>
      <c r="AD560" s="16" t="n">
        <v>810</v>
      </c>
      <c r="AE560" s="17">
        <f>IF(ISNUMBER(K560),K560,IF(AND(ISNUMBER(H560),ISNUMBER(I560)),H560+I560,IF(ISNUMBER(H560),H560,"")))</f>
        <v/>
      </c>
      <c r="AF560" s="18">
        <f>IF(OR(NOT(ISNUMBER(J560)),NOT(ISNUMBER(H560)),H560&lt;=0),기준표!$B$8,MIN(MAX(J560/H560,기준표!$B$6),기준표!$B$7))</f>
        <v/>
      </c>
      <c r="AG560" s="17">
        <f>IF(ISNUMBER(AE560),AE560*(1-AF560),"")</f>
        <v/>
      </c>
      <c r="AH560" s="17">
        <f>IF(AND(NOT(ISNUMBER(V560)),NOT(ISNUMBER(X560))),"",IF(ISNUMBER(V560),V560,0)+IF(ISNUMBER(X560),X560,0))</f>
        <v/>
      </c>
      <c r="AI560" s="17">
        <f>IF(E560="금융","",IF(AND(ISNUMBER(R560),ISNUMBER(AH560),ISNUMBER(T560)),R560+AH560-T560,""))</f>
        <v/>
      </c>
      <c r="AJ560" s="17">
        <f>IF(E560="금융","",IF(NOT(ISNUMBER(AI560)),"",IF(ISNUMBER(AC560),(AI560+AC560)/2,AI560)))</f>
        <v/>
      </c>
      <c r="AK560" s="19">
        <f>IF(AND(ISNUMBER(AG560),ISNUMBER(AJ560),AJ560&gt;0),AG560/AJ560,"")</f>
        <v/>
      </c>
      <c r="AL560" s="17">
        <f>IF(E560="금융","",IF(AND(ISNUMBER(R560),ISNUMBER(AH560)),R560+AH560,""))</f>
        <v/>
      </c>
      <c r="AM560" s="19">
        <f>IF(OR(NOT(ISNUMBER(AG560)),NOT(ISNUMBER(AL560)),AL560&lt;=0),"",IF(AND(ISNUMBER(G560),AL560&lt;0.1*G560),"",AG560/AL560))</f>
        <v/>
      </c>
      <c r="AN560" s="17">
        <f>IF(NOT(ISNUMBER(R560)),"",IF(ISNUMBER(S560),(R560+S560)/2,R560))</f>
        <v/>
      </c>
      <c r="AO560" s="19">
        <f>IF(AND(ISNUMBER(L560),ISNUMBER(AN560),AN560&gt;0),L560/AN560,"")</f>
        <v/>
      </c>
      <c r="AP560" s="19">
        <f>IF(AND(ISNUMBER(AO560),ISNUMBER({ROIC})),AO560-{ROIC},"")</f>
        <v/>
      </c>
      <c r="AQ560" s="17">
        <f>IF(AND(ISNUMBER(AE560),ISNUMBER(N560)),AE560+N560,"")</f>
        <v/>
      </c>
      <c r="AR560" s="20">
        <f>IF(AND(ISNUMBER(AH560),ISNUMBER(T560),ISNUMBER(AQ560),AQ560&gt;0),(AH560-T560)/AQ560,"")</f>
        <v/>
      </c>
      <c r="AS560" s="20">
        <f>IF(AND(ISNUMBER(AE560),ISNUMBER(I560),I560&lt;&gt;0,AE560&gt;0),AE560/I560,"")</f>
        <v/>
      </c>
      <c r="AT560" s="17">
        <f>IF(AND(ISNUMBER(Y560),ISNUMBER(AA560)),Y560-IF(ISNUMBER(T560),T560,0)-(AA560-IF(ISNUMBER(V560),V560,0)),"")</f>
        <v/>
      </c>
      <c r="AU560" s="17">
        <f>IF(AND(ISNUMBER(Z560),ISNUMBER(AB560)),Z560-IF(ISNUMBER(U560),U560,0)-(AB560-IF(ISNUMBER(W560),W560,0)),"")</f>
        <v/>
      </c>
      <c r="AV560" s="17">
        <f>IF(AND(ISNUMBER(AT560),ISNUMBER(AU560)),AT560-AU560,"")</f>
        <v/>
      </c>
      <c r="AW560" s="17">
        <f>IF(AND(ISNUMBER(L560),ISNUMBER(M560),ISNUMBER(AF560)),L560-M560*(1-AF560),IF(ISNUMBER(L560),L560,""))</f>
        <v/>
      </c>
      <c r="AX560" s="17">
        <f>IF(E560="금융","",IF(AND(ISNUMBER(AW560),ISNUMBER(N560),ISNUMBER(O560),ISNUMBER(AV560)),AW560+N560-O560-AV560,IF(AND(ISNUMBER(P560),ISNUMBER(O560)),P560-O560-IF(ISNUMBER(Q560),Q560,0),"")))</f>
        <v/>
      </c>
      <c r="AY560" s="8">
        <f>IF(E560="금융","금융업 - 정의되지 않음",IF(AND(ISNUMBER(AW560),ISNUMBER(N560),ISNUMBER(O560),ISNUMBER(AV560)),"영업순이익+감가상각-설비투자-운전자본증감",IF(AND(ISNUMBER(P560),ISNUMBER(O560)),IF(ISNUMBER(Q560),"영업현금흐름-설비투자-주식보상비용","영업현금흐름-설비투자(주식보상비용 미태깅)"),"산출불가")))</f>
        <v/>
      </c>
      <c r="AZ560" s="19">
        <f>IF(AND(ISNUMBER(AX560),ISNUMBER(G560),G560&lt;&gt;0),AX560/G560,"")</f>
        <v/>
      </c>
      <c r="BA560" s="19">
        <f>IF(AND(ISNUMBER(AE560),ISNUMBER(G560),G560&lt;&gt;0),AE560/G560,"")</f>
        <v/>
      </c>
    </row>
    <row r="561">
      <c r="A561" s="8" t="inlineStr">
        <is>
          <t>AXP</t>
        </is>
      </c>
      <c r="B561" s="8" t="inlineStr">
        <is>
          <t>AMERICAN EXPRESS CO</t>
        </is>
      </c>
      <c r="C561" s="8" t="n">
        <v>2020</v>
      </c>
      <c r="D561" s="8" t="inlineStr">
        <is>
          <t>2020-12-31</t>
        </is>
      </c>
      <c r="E561" s="8" t="inlineStr">
        <is>
          <t>금융</t>
        </is>
      </c>
      <c r="F561" s="8" t="inlineStr">
        <is>
          <t>0000004962-23-000006</t>
        </is>
      </c>
      <c r="G561" s="15" t="n">
        <v>36.087</v>
      </c>
      <c r="H561" s="15" t="n">
        <v>4.296</v>
      </c>
      <c r="I561" s="15" t="n">
        <v>7.985</v>
      </c>
      <c r="J561" s="15" t="n">
        <v>1.161</v>
      </c>
      <c r="K561" s="15" t="n"/>
      <c r="L561" s="15" t="n">
        <v>3.135</v>
      </c>
      <c r="M561" s="15" t="n"/>
      <c r="N561" s="15" t="n">
        <v>1.543</v>
      </c>
      <c r="O561" s="15" t="n">
        <v>1.478</v>
      </c>
      <c r="P561" s="15" t="n">
        <v>5.591</v>
      </c>
      <c r="Q561" s="15" t="n">
        <v>0.249</v>
      </c>
      <c r="R561" s="15" t="n">
        <v>22.984</v>
      </c>
      <c r="S561" s="15" t="n">
        <v>23.071</v>
      </c>
      <c r="T561" s="15" t="n">
        <v>33.122</v>
      </c>
      <c r="U561" s="15" t="n">
        <v>24.669</v>
      </c>
      <c r="V561" s="15" t="n">
        <v>1.878</v>
      </c>
      <c r="W561" s="15" t="n">
        <v>6.442</v>
      </c>
      <c r="X561" s="15" t="n">
        <v>42.952</v>
      </c>
      <c r="Y561" s="15" t="n"/>
      <c r="Z561" s="15" t="n"/>
      <c r="AA561" s="15" t="n"/>
      <c r="AB561" s="15" t="n"/>
      <c r="AC561" s="15" t="n"/>
      <c r="AD561" s="16" t="n">
        <v>805</v>
      </c>
      <c r="AE561" s="17">
        <f>IF(ISNUMBER(K561),K561,IF(AND(ISNUMBER(H561),ISNUMBER(I561)),H561+I561,IF(ISNUMBER(H561),H561,"")))</f>
        <v/>
      </c>
      <c r="AF561" s="18">
        <f>IF(OR(NOT(ISNUMBER(J561)),NOT(ISNUMBER(H561)),H561&lt;=0),기준표!$B$8,MIN(MAX(J561/H561,기준표!$B$6),기준표!$B$7))</f>
        <v/>
      </c>
      <c r="AG561" s="17">
        <f>IF(ISNUMBER(AE561),AE561*(1-AF561),"")</f>
        <v/>
      </c>
      <c r="AH561" s="17">
        <f>IF(AND(NOT(ISNUMBER(V561)),NOT(ISNUMBER(X561))),"",IF(ISNUMBER(V561),V561,0)+IF(ISNUMBER(X561),X561,0))</f>
        <v/>
      </c>
      <c r="AI561" s="17">
        <f>IF(E561="금융","",IF(AND(ISNUMBER(R561),ISNUMBER(AH561),ISNUMBER(T561)),R561+AH561-T561,""))</f>
        <v/>
      </c>
      <c r="AJ561" s="17">
        <f>IF(E561="금융","",IF(NOT(ISNUMBER(AI561)),"",IF(ISNUMBER(AC561),(AI561+AC561)/2,AI561)))</f>
        <v/>
      </c>
      <c r="AK561" s="19">
        <f>IF(AND(ISNUMBER(AG561),ISNUMBER(AJ561),AJ561&gt;0),AG561/AJ561,"")</f>
        <v/>
      </c>
      <c r="AL561" s="17">
        <f>IF(E561="금융","",IF(AND(ISNUMBER(R561),ISNUMBER(AH561)),R561+AH561,""))</f>
        <v/>
      </c>
      <c r="AM561" s="19">
        <f>IF(OR(NOT(ISNUMBER(AG561)),NOT(ISNUMBER(AL561)),AL561&lt;=0),"",IF(AND(ISNUMBER(G561),AL561&lt;0.1*G561),"",AG561/AL561))</f>
        <v/>
      </c>
      <c r="AN561" s="17">
        <f>IF(NOT(ISNUMBER(R561)),"",IF(ISNUMBER(S561),(R561+S561)/2,R561))</f>
        <v/>
      </c>
      <c r="AO561" s="19">
        <f>IF(AND(ISNUMBER(L561),ISNUMBER(AN561),AN561&gt;0),L561/AN561,"")</f>
        <v/>
      </c>
      <c r="AP561" s="19">
        <f>IF(AND(ISNUMBER(AO561),ISNUMBER({ROIC})),AO561-{ROIC},"")</f>
        <v/>
      </c>
      <c r="AQ561" s="17">
        <f>IF(AND(ISNUMBER(AE561),ISNUMBER(N561)),AE561+N561,"")</f>
        <v/>
      </c>
      <c r="AR561" s="20">
        <f>IF(AND(ISNUMBER(AH561),ISNUMBER(T561),ISNUMBER(AQ561),AQ561&gt;0),(AH561-T561)/AQ561,"")</f>
        <v/>
      </c>
      <c r="AS561" s="20">
        <f>IF(AND(ISNUMBER(AE561),ISNUMBER(I561),I561&lt;&gt;0,AE561&gt;0),AE561/I561,"")</f>
        <v/>
      </c>
      <c r="AT561" s="17">
        <f>IF(AND(ISNUMBER(Y561),ISNUMBER(AA561)),Y561-IF(ISNUMBER(T561),T561,0)-(AA561-IF(ISNUMBER(V561),V561,0)),"")</f>
        <v/>
      </c>
      <c r="AU561" s="17">
        <f>IF(AND(ISNUMBER(Z561),ISNUMBER(AB561)),Z561-IF(ISNUMBER(U561),U561,0)-(AB561-IF(ISNUMBER(W561),W561,0)),"")</f>
        <v/>
      </c>
      <c r="AV561" s="17">
        <f>IF(AND(ISNUMBER(AT561),ISNUMBER(AU561)),AT561-AU561,"")</f>
        <v/>
      </c>
      <c r="AW561" s="17">
        <f>IF(AND(ISNUMBER(L561),ISNUMBER(M561),ISNUMBER(AF561)),L561-M561*(1-AF561),IF(ISNUMBER(L561),L561,""))</f>
        <v/>
      </c>
      <c r="AX561" s="17">
        <f>IF(E561="금융","",IF(AND(ISNUMBER(AW561),ISNUMBER(N561),ISNUMBER(O561),ISNUMBER(AV561)),AW561+N561-O561-AV561,IF(AND(ISNUMBER(P561),ISNUMBER(O561)),P561-O561-IF(ISNUMBER(Q561),Q561,0),"")))</f>
        <v/>
      </c>
      <c r="AY561" s="8">
        <f>IF(E561="금융","금융업 - 정의되지 않음",IF(AND(ISNUMBER(AW561),ISNUMBER(N561),ISNUMBER(O561),ISNUMBER(AV561)),"영업순이익+감가상각-설비투자-운전자본증감",IF(AND(ISNUMBER(P561),ISNUMBER(O561)),IF(ISNUMBER(Q561),"영업현금흐름-설비투자-주식보상비용","영업현금흐름-설비투자(주식보상비용 미태깅)"),"산출불가")))</f>
        <v/>
      </c>
      <c r="AZ561" s="19">
        <f>IF(AND(ISNUMBER(AX561),ISNUMBER(G561),G561&lt;&gt;0),AX561/G561,"")</f>
        <v/>
      </c>
      <c r="BA561" s="19">
        <f>IF(AND(ISNUMBER(AE561),ISNUMBER(G561),G561&lt;&gt;0),AE561/G561,"")</f>
        <v/>
      </c>
    </row>
    <row r="562">
      <c r="A562" s="8" t="inlineStr">
        <is>
          <t>AXP</t>
        </is>
      </c>
      <c r="B562" s="8" t="inlineStr">
        <is>
          <t>AMERICAN EXPRESS CO</t>
        </is>
      </c>
      <c r="C562" s="8" t="n">
        <v>2021</v>
      </c>
      <c r="D562" s="8" t="inlineStr">
        <is>
          <t>2021-12-31</t>
        </is>
      </c>
      <c r="E562" s="8" t="inlineStr">
        <is>
          <t>금융</t>
        </is>
      </c>
      <c r="F562" s="8" t="inlineStr">
        <is>
          <t>0000004962-24-000013</t>
        </is>
      </c>
      <c r="G562" s="15" t="n">
        <v>42.38</v>
      </c>
      <c r="H562" s="15" t="n">
        <v>10.689</v>
      </c>
      <c r="I562" s="15" t="n">
        <v>7.75</v>
      </c>
      <c r="J562" s="15" t="n">
        <v>2.629</v>
      </c>
      <c r="K562" s="15" t="n"/>
      <c r="L562" s="15" t="n">
        <v>8.06</v>
      </c>
      <c r="M562" s="15" t="n"/>
      <c r="N562" s="15" t="n">
        <v>1.695</v>
      </c>
      <c r="O562" s="15" t="n">
        <v>1.55</v>
      </c>
      <c r="P562" s="15" t="n">
        <v>14.645</v>
      </c>
      <c r="Q562" s="15" t="n">
        <v>0.33</v>
      </c>
      <c r="R562" s="15" t="n">
        <v>22.177</v>
      </c>
      <c r="S562" s="15" t="n">
        <v>22.984</v>
      </c>
      <c r="T562" s="15" t="n">
        <v>22.216</v>
      </c>
      <c r="U562" s="15" t="n">
        <v>33.122</v>
      </c>
      <c r="V562" s="15" t="n">
        <v>2.243</v>
      </c>
      <c r="W562" s="15" t="n">
        <v>1.878</v>
      </c>
      <c r="X562" s="15" t="n">
        <v>38.675</v>
      </c>
      <c r="Y562" s="15" t="n"/>
      <c r="Z562" s="15" t="n"/>
      <c r="AA562" s="15" t="n"/>
      <c r="AB562" s="15" t="n"/>
      <c r="AC562" s="15" t="n"/>
      <c r="AD562" s="16" t="n">
        <v>761</v>
      </c>
      <c r="AE562" s="17">
        <f>IF(ISNUMBER(K562),K562,IF(AND(ISNUMBER(H562),ISNUMBER(I562)),H562+I562,IF(ISNUMBER(H562),H562,"")))</f>
        <v/>
      </c>
      <c r="AF562" s="18">
        <f>IF(OR(NOT(ISNUMBER(J562)),NOT(ISNUMBER(H562)),H562&lt;=0),기준표!$B$8,MIN(MAX(J562/H562,기준표!$B$6),기준표!$B$7))</f>
        <v/>
      </c>
      <c r="AG562" s="17">
        <f>IF(ISNUMBER(AE562),AE562*(1-AF562),"")</f>
        <v/>
      </c>
      <c r="AH562" s="17">
        <f>IF(AND(NOT(ISNUMBER(V562)),NOT(ISNUMBER(X562))),"",IF(ISNUMBER(V562),V562,0)+IF(ISNUMBER(X562),X562,0))</f>
        <v/>
      </c>
      <c r="AI562" s="17">
        <f>IF(E562="금융","",IF(AND(ISNUMBER(R562),ISNUMBER(AH562),ISNUMBER(T562)),R562+AH562-T562,""))</f>
        <v/>
      </c>
      <c r="AJ562" s="17">
        <f>IF(E562="금융","",IF(NOT(ISNUMBER(AI562)),"",IF(ISNUMBER(AC562),(AI562+AC562)/2,AI562)))</f>
        <v/>
      </c>
      <c r="AK562" s="19">
        <f>IF(AND(ISNUMBER(AG562),ISNUMBER(AJ562),AJ562&gt;0),AG562/AJ562,"")</f>
        <v/>
      </c>
      <c r="AL562" s="17">
        <f>IF(E562="금융","",IF(AND(ISNUMBER(R562),ISNUMBER(AH562)),R562+AH562,""))</f>
        <v/>
      </c>
      <c r="AM562" s="19">
        <f>IF(OR(NOT(ISNUMBER(AG562)),NOT(ISNUMBER(AL562)),AL562&lt;=0),"",IF(AND(ISNUMBER(G562),AL562&lt;0.1*G562),"",AG562/AL562))</f>
        <v/>
      </c>
      <c r="AN562" s="17">
        <f>IF(NOT(ISNUMBER(R562)),"",IF(ISNUMBER(S562),(R562+S562)/2,R562))</f>
        <v/>
      </c>
      <c r="AO562" s="19">
        <f>IF(AND(ISNUMBER(L562),ISNUMBER(AN562),AN562&gt;0),L562/AN562,"")</f>
        <v/>
      </c>
      <c r="AP562" s="19">
        <f>IF(AND(ISNUMBER(AO562),ISNUMBER({ROIC})),AO562-{ROIC},"")</f>
        <v/>
      </c>
      <c r="AQ562" s="17">
        <f>IF(AND(ISNUMBER(AE562),ISNUMBER(N562)),AE562+N562,"")</f>
        <v/>
      </c>
      <c r="AR562" s="20">
        <f>IF(AND(ISNUMBER(AH562),ISNUMBER(T562),ISNUMBER(AQ562),AQ562&gt;0),(AH562-T562)/AQ562,"")</f>
        <v/>
      </c>
      <c r="AS562" s="20">
        <f>IF(AND(ISNUMBER(AE562),ISNUMBER(I562),I562&lt;&gt;0,AE562&gt;0),AE562/I562,"")</f>
        <v/>
      </c>
      <c r="AT562" s="17">
        <f>IF(AND(ISNUMBER(Y562),ISNUMBER(AA562)),Y562-IF(ISNUMBER(T562),T562,0)-(AA562-IF(ISNUMBER(V562),V562,0)),"")</f>
        <v/>
      </c>
      <c r="AU562" s="17">
        <f>IF(AND(ISNUMBER(Z562),ISNUMBER(AB562)),Z562-IF(ISNUMBER(U562),U562,0)-(AB562-IF(ISNUMBER(W562),W562,0)),"")</f>
        <v/>
      </c>
      <c r="AV562" s="17">
        <f>IF(AND(ISNUMBER(AT562),ISNUMBER(AU562)),AT562-AU562,"")</f>
        <v/>
      </c>
      <c r="AW562" s="17">
        <f>IF(AND(ISNUMBER(L562),ISNUMBER(M562),ISNUMBER(AF562)),L562-M562*(1-AF562),IF(ISNUMBER(L562),L562,""))</f>
        <v/>
      </c>
      <c r="AX562" s="17">
        <f>IF(E562="금융","",IF(AND(ISNUMBER(AW562),ISNUMBER(N562),ISNUMBER(O562),ISNUMBER(AV562)),AW562+N562-O562-AV562,IF(AND(ISNUMBER(P562),ISNUMBER(O562)),P562-O562-IF(ISNUMBER(Q562),Q562,0),"")))</f>
        <v/>
      </c>
      <c r="AY562" s="8">
        <f>IF(E562="금융","금융업 - 정의되지 않음",IF(AND(ISNUMBER(AW562),ISNUMBER(N562),ISNUMBER(O562),ISNUMBER(AV562)),"영업순이익+감가상각-설비투자-운전자본증감",IF(AND(ISNUMBER(P562),ISNUMBER(O562)),IF(ISNUMBER(Q562),"영업현금흐름-설비투자-주식보상비용","영업현금흐름-설비투자(주식보상비용 미태깅)"),"산출불가")))</f>
        <v/>
      </c>
      <c r="AZ562" s="19">
        <f>IF(AND(ISNUMBER(AX562),ISNUMBER(G562),G562&lt;&gt;0),AX562/G562,"")</f>
        <v/>
      </c>
      <c r="BA562" s="19">
        <f>IF(AND(ISNUMBER(AE562),ISNUMBER(G562),G562&lt;&gt;0),AE562/G562,"")</f>
        <v/>
      </c>
    </row>
    <row r="563">
      <c r="A563" s="8" t="inlineStr">
        <is>
          <t>AXP</t>
        </is>
      </c>
      <c r="B563" s="8" t="inlineStr">
        <is>
          <t>AMERICAN EXPRESS CO</t>
        </is>
      </c>
      <c r="C563" s="8" t="n">
        <v>2022</v>
      </c>
      <c r="D563" s="8" t="inlineStr">
        <is>
          <t>2022-12-31</t>
        </is>
      </c>
      <c r="E563" s="8" t="inlineStr">
        <is>
          <t>금융</t>
        </is>
      </c>
      <c r="F563" s="8" t="inlineStr">
        <is>
          <t>0000004962-25-000016</t>
        </is>
      </c>
      <c r="G563" s="15" t="n">
        <v>52.862</v>
      </c>
      <c r="H563" s="15" t="n">
        <v>9.585000000000001</v>
      </c>
      <c r="I563" s="15" t="n">
        <v>9.895</v>
      </c>
      <c r="J563" s="15" t="n">
        <v>2.071</v>
      </c>
      <c r="K563" s="15" t="n"/>
      <c r="L563" s="15" t="n">
        <v>7.514</v>
      </c>
      <c r="M563" s="15" t="n"/>
      <c r="N563" s="15" t="n">
        <v>1.626</v>
      </c>
      <c r="O563" s="15" t="n">
        <v>1.855</v>
      </c>
      <c r="P563" s="15" t="n">
        <v>21.079</v>
      </c>
      <c r="Q563" s="15" t="n">
        <v>0.375</v>
      </c>
      <c r="R563" s="15" t="n">
        <v>24.711</v>
      </c>
      <c r="S563" s="15" t="n">
        <v>22.177</v>
      </c>
      <c r="T563" s="15" t="n">
        <v>34.221</v>
      </c>
      <c r="U563" s="15" t="n">
        <v>22.216</v>
      </c>
      <c r="V563" s="15" t="n">
        <v>1.348</v>
      </c>
      <c r="W563" s="15" t="n">
        <v>2.243</v>
      </c>
      <c r="X563" s="15" t="n">
        <v>42.573</v>
      </c>
      <c r="Y563" s="15" t="n"/>
      <c r="Z563" s="15" t="n"/>
      <c r="AA563" s="15" t="n"/>
      <c r="AB563" s="15" t="n"/>
      <c r="AC563" s="15" t="n"/>
      <c r="AD563" s="16" t="n">
        <v>743</v>
      </c>
      <c r="AE563" s="17">
        <f>IF(ISNUMBER(K563),K563,IF(AND(ISNUMBER(H563),ISNUMBER(I563)),H563+I563,IF(ISNUMBER(H563),H563,"")))</f>
        <v/>
      </c>
      <c r="AF563" s="18">
        <f>IF(OR(NOT(ISNUMBER(J563)),NOT(ISNUMBER(H563)),H563&lt;=0),기준표!$B$8,MIN(MAX(J563/H563,기준표!$B$6),기준표!$B$7))</f>
        <v/>
      </c>
      <c r="AG563" s="17">
        <f>IF(ISNUMBER(AE563),AE563*(1-AF563),"")</f>
        <v/>
      </c>
      <c r="AH563" s="17">
        <f>IF(AND(NOT(ISNUMBER(V563)),NOT(ISNUMBER(X563))),"",IF(ISNUMBER(V563),V563,0)+IF(ISNUMBER(X563),X563,0))</f>
        <v/>
      </c>
      <c r="AI563" s="17">
        <f>IF(E563="금융","",IF(AND(ISNUMBER(R563),ISNUMBER(AH563),ISNUMBER(T563)),R563+AH563-T563,""))</f>
        <v/>
      </c>
      <c r="AJ563" s="17">
        <f>IF(E563="금융","",IF(NOT(ISNUMBER(AI563)),"",IF(ISNUMBER(AC563),(AI563+AC563)/2,AI563)))</f>
        <v/>
      </c>
      <c r="AK563" s="19">
        <f>IF(AND(ISNUMBER(AG563),ISNUMBER(AJ563),AJ563&gt;0),AG563/AJ563,"")</f>
        <v/>
      </c>
      <c r="AL563" s="17">
        <f>IF(E563="금융","",IF(AND(ISNUMBER(R563),ISNUMBER(AH563)),R563+AH563,""))</f>
        <v/>
      </c>
      <c r="AM563" s="19">
        <f>IF(OR(NOT(ISNUMBER(AG563)),NOT(ISNUMBER(AL563)),AL563&lt;=0),"",IF(AND(ISNUMBER(G563),AL563&lt;0.1*G563),"",AG563/AL563))</f>
        <v/>
      </c>
      <c r="AN563" s="17">
        <f>IF(NOT(ISNUMBER(R563)),"",IF(ISNUMBER(S563),(R563+S563)/2,R563))</f>
        <v/>
      </c>
      <c r="AO563" s="19">
        <f>IF(AND(ISNUMBER(L563),ISNUMBER(AN563),AN563&gt;0),L563/AN563,"")</f>
        <v/>
      </c>
      <c r="AP563" s="19">
        <f>IF(AND(ISNUMBER(AO563),ISNUMBER({ROIC})),AO563-{ROIC},"")</f>
        <v/>
      </c>
      <c r="AQ563" s="17">
        <f>IF(AND(ISNUMBER(AE563),ISNUMBER(N563)),AE563+N563,"")</f>
        <v/>
      </c>
      <c r="AR563" s="20">
        <f>IF(AND(ISNUMBER(AH563),ISNUMBER(T563),ISNUMBER(AQ563),AQ563&gt;0),(AH563-T563)/AQ563,"")</f>
        <v/>
      </c>
      <c r="AS563" s="20">
        <f>IF(AND(ISNUMBER(AE563),ISNUMBER(I563),I563&lt;&gt;0,AE563&gt;0),AE563/I563,"")</f>
        <v/>
      </c>
      <c r="AT563" s="17">
        <f>IF(AND(ISNUMBER(Y563),ISNUMBER(AA563)),Y563-IF(ISNUMBER(T563),T563,0)-(AA563-IF(ISNUMBER(V563),V563,0)),"")</f>
        <v/>
      </c>
      <c r="AU563" s="17">
        <f>IF(AND(ISNUMBER(Z563),ISNUMBER(AB563)),Z563-IF(ISNUMBER(U563),U563,0)-(AB563-IF(ISNUMBER(W563),W563,0)),"")</f>
        <v/>
      </c>
      <c r="AV563" s="17">
        <f>IF(AND(ISNUMBER(AT563),ISNUMBER(AU563)),AT563-AU563,"")</f>
        <v/>
      </c>
      <c r="AW563" s="17">
        <f>IF(AND(ISNUMBER(L563),ISNUMBER(M563),ISNUMBER(AF563)),L563-M563*(1-AF563),IF(ISNUMBER(L563),L563,""))</f>
        <v/>
      </c>
      <c r="AX563" s="17">
        <f>IF(E563="금융","",IF(AND(ISNUMBER(AW563),ISNUMBER(N563),ISNUMBER(O563),ISNUMBER(AV563)),AW563+N563-O563-AV563,IF(AND(ISNUMBER(P563),ISNUMBER(O563)),P563-O563-IF(ISNUMBER(Q563),Q563,0),"")))</f>
        <v/>
      </c>
      <c r="AY563" s="8">
        <f>IF(E563="금융","금융업 - 정의되지 않음",IF(AND(ISNUMBER(AW563),ISNUMBER(N563),ISNUMBER(O563),ISNUMBER(AV563)),"영업순이익+감가상각-설비투자-운전자본증감",IF(AND(ISNUMBER(P563),ISNUMBER(O563)),IF(ISNUMBER(Q563),"영업현금흐름-설비투자-주식보상비용","영업현금흐름-설비투자(주식보상비용 미태깅)"),"산출불가")))</f>
        <v/>
      </c>
      <c r="AZ563" s="19">
        <f>IF(AND(ISNUMBER(AX563),ISNUMBER(G563),G563&lt;&gt;0),AX563/G563,"")</f>
        <v/>
      </c>
      <c r="BA563" s="19">
        <f>IF(AND(ISNUMBER(AE563),ISNUMBER(G563),G563&lt;&gt;0),AE563/G563,"")</f>
        <v/>
      </c>
    </row>
    <row r="564">
      <c r="A564" s="8" t="inlineStr">
        <is>
          <t>AXP</t>
        </is>
      </c>
      <c r="B564" s="8" t="inlineStr">
        <is>
          <t>AMERICAN EXPRESS CO</t>
        </is>
      </c>
      <c r="C564" s="8" t="n">
        <v>2023</v>
      </c>
      <c r="D564" s="8" t="inlineStr">
        <is>
          <t>2023-12-31</t>
        </is>
      </c>
      <c r="E564" s="8" t="inlineStr">
        <is>
          <t>금융</t>
        </is>
      </c>
      <c r="F564" s="8" t="inlineStr">
        <is>
          <t>0000004962-26-000080</t>
        </is>
      </c>
      <c r="G564" s="15" t="n">
        <v>60.515</v>
      </c>
      <c r="H564" s="15" t="n">
        <v>10.513</v>
      </c>
      <c r="I564" s="15" t="n">
        <v>13.134</v>
      </c>
      <c r="J564" s="15" t="n">
        <v>2.139</v>
      </c>
      <c r="K564" s="15" t="n"/>
      <c r="L564" s="15" t="n">
        <v>8.374000000000001</v>
      </c>
      <c r="M564" s="15" t="n"/>
      <c r="N564" s="15" t="n">
        <v>1.651</v>
      </c>
      <c r="O564" s="15" t="n">
        <v>1.563</v>
      </c>
      <c r="P564" s="15" t="n">
        <v>18.559</v>
      </c>
      <c r="Q564" s="15" t="n">
        <v>0.45</v>
      </c>
      <c r="R564" s="15" t="n">
        <v>28.057</v>
      </c>
      <c r="S564" s="15" t="n">
        <v>24.711</v>
      </c>
      <c r="T564" s="15" t="n">
        <v>46.762</v>
      </c>
      <c r="U564" s="15" t="n">
        <v>34.221</v>
      </c>
      <c r="V564" s="15" t="n">
        <v>1.293</v>
      </c>
      <c r="W564" s="15" t="n">
        <v>1.348</v>
      </c>
      <c r="X564" s="15" t="n">
        <v>47.866</v>
      </c>
      <c r="Y564" s="15" t="n"/>
      <c r="Z564" s="15" t="n"/>
      <c r="AA564" s="15" t="n"/>
      <c r="AB564" s="15" t="n"/>
      <c r="AC564" s="15" t="n"/>
      <c r="AD564" s="16" t="n">
        <v>723</v>
      </c>
      <c r="AE564" s="17">
        <f>IF(ISNUMBER(K564),K564,IF(AND(ISNUMBER(H564),ISNUMBER(I564)),H564+I564,IF(ISNUMBER(H564),H564,"")))</f>
        <v/>
      </c>
      <c r="AF564" s="18">
        <f>IF(OR(NOT(ISNUMBER(J564)),NOT(ISNUMBER(H564)),H564&lt;=0),기준표!$B$8,MIN(MAX(J564/H564,기준표!$B$6),기준표!$B$7))</f>
        <v/>
      </c>
      <c r="AG564" s="17">
        <f>IF(ISNUMBER(AE564),AE564*(1-AF564),"")</f>
        <v/>
      </c>
      <c r="AH564" s="17">
        <f>IF(AND(NOT(ISNUMBER(V564)),NOT(ISNUMBER(X564))),"",IF(ISNUMBER(V564),V564,0)+IF(ISNUMBER(X564),X564,0))</f>
        <v/>
      </c>
      <c r="AI564" s="17">
        <f>IF(E564="금융","",IF(AND(ISNUMBER(R564),ISNUMBER(AH564),ISNUMBER(T564)),R564+AH564-T564,""))</f>
        <v/>
      </c>
      <c r="AJ564" s="17">
        <f>IF(E564="금융","",IF(NOT(ISNUMBER(AI564)),"",IF(ISNUMBER(AC564),(AI564+AC564)/2,AI564)))</f>
        <v/>
      </c>
      <c r="AK564" s="19">
        <f>IF(AND(ISNUMBER(AG564),ISNUMBER(AJ564),AJ564&gt;0),AG564/AJ564,"")</f>
        <v/>
      </c>
      <c r="AL564" s="17">
        <f>IF(E564="금융","",IF(AND(ISNUMBER(R564),ISNUMBER(AH564)),R564+AH564,""))</f>
        <v/>
      </c>
      <c r="AM564" s="19">
        <f>IF(OR(NOT(ISNUMBER(AG564)),NOT(ISNUMBER(AL564)),AL564&lt;=0),"",IF(AND(ISNUMBER(G564),AL564&lt;0.1*G564),"",AG564/AL564))</f>
        <v/>
      </c>
      <c r="AN564" s="17">
        <f>IF(NOT(ISNUMBER(R564)),"",IF(ISNUMBER(S564),(R564+S564)/2,R564))</f>
        <v/>
      </c>
      <c r="AO564" s="19">
        <f>IF(AND(ISNUMBER(L564),ISNUMBER(AN564),AN564&gt;0),L564/AN564,"")</f>
        <v/>
      </c>
      <c r="AP564" s="19">
        <f>IF(AND(ISNUMBER(AO564),ISNUMBER({ROIC})),AO564-{ROIC},"")</f>
        <v/>
      </c>
      <c r="AQ564" s="17">
        <f>IF(AND(ISNUMBER(AE564),ISNUMBER(N564)),AE564+N564,"")</f>
        <v/>
      </c>
      <c r="AR564" s="20">
        <f>IF(AND(ISNUMBER(AH564),ISNUMBER(T564),ISNUMBER(AQ564),AQ564&gt;0),(AH564-T564)/AQ564,"")</f>
        <v/>
      </c>
      <c r="AS564" s="20">
        <f>IF(AND(ISNUMBER(AE564),ISNUMBER(I564),I564&lt;&gt;0,AE564&gt;0),AE564/I564,"")</f>
        <v/>
      </c>
      <c r="AT564" s="17">
        <f>IF(AND(ISNUMBER(Y564),ISNUMBER(AA564)),Y564-IF(ISNUMBER(T564),T564,0)-(AA564-IF(ISNUMBER(V564),V564,0)),"")</f>
        <v/>
      </c>
      <c r="AU564" s="17">
        <f>IF(AND(ISNUMBER(Z564),ISNUMBER(AB564)),Z564-IF(ISNUMBER(U564),U564,0)-(AB564-IF(ISNUMBER(W564),W564,0)),"")</f>
        <v/>
      </c>
      <c r="AV564" s="17">
        <f>IF(AND(ISNUMBER(AT564),ISNUMBER(AU564)),AT564-AU564,"")</f>
        <v/>
      </c>
      <c r="AW564" s="17">
        <f>IF(AND(ISNUMBER(L564),ISNUMBER(M564),ISNUMBER(AF564)),L564-M564*(1-AF564),IF(ISNUMBER(L564),L564,""))</f>
        <v/>
      </c>
      <c r="AX564" s="17">
        <f>IF(E564="금융","",IF(AND(ISNUMBER(AW564),ISNUMBER(N564),ISNUMBER(O564),ISNUMBER(AV564)),AW564+N564-O564-AV564,IF(AND(ISNUMBER(P564),ISNUMBER(O564)),P564-O564-IF(ISNUMBER(Q564),Q564,0),"")))</f>
        <v/>
      </c>
      <c r="AY564" s="8">
        <f>IF(E564="금융","금융업 - 정의되지 않음",IF(AND(ISNUMBER(AW564),ISNUMBER(N564),ISNUMBER(O564),ISNUMBER(AV564)),"영업순이익+감가상각-설비투자-운전자본증감",IF(AND(ISNUMBER(P564),ISNUMBER(O564)),IF(ISNUMBER(Q564),"영업현금흐름-설비투자-주식보상비용","영업현금흐름-설비투자(주식보상비용 미태깅)"),"산출불가")))</f>
        <v/>
      </c>
      <c r="AZ564" s="19">
        <f>IF(AND(ISNUMBER(AX564),ISNUMBER(G564),G564&lt;&gt;0),AX564/G564,"")</f>
        <v/>
      </c>
      <c r="BA564" s="19">
        <f>IF(AND(ISNUMBER(AE564),ISNUMBER(G564),G564&lt;&gt;0),AE564/G564,"")</f>
        <v/>
      </c>
    </row>
    <row r="565">
      <c r="A565" s="8" t="inlineStr">
        <is>
          <t>AXP</t>
        </is>
      </c>
      <c r="B565" s="8" t="inlineStr">
        <is>
          <t>AMERICAN EXPRESS CO</t>
        </is>
      </c>
      <c r="C565" s="8" t="n">
        <v>2024</v>
      </c>
      <c r="D565" s="8" t="inlineStr">
        <is>
          <t>2024-12-31</t>
        </is>
      </c>
      <c r="E565" s="8" t="inlineStr">
        <is>
          <t>금융</t>
        </is>
      </c>
      <c r="F565" s="8" t="inlineStr">
        <is>
          <t>0000004962-26-000080</t>
        </is>
      </c>
      <c r="G565" s="15" t="n">
        <v>65.949</v>
      </c>
      <c r="H565" s="15" t="n">
        <v>12.895</v>
      </c>
      <c r="I565" s="15" t="n">
        <v>15.543</v>
      </c>
      <c r="J565" s="15" t="n">
        <v>2.766</v>
      </c>
      <c r="K565" s="15" t="n"/>
      <c r="L565" s="15" t="n">
        <v>10.129</v>
      </c>
      <c r="M565" s="15" t="n"/>
      <c r="N565" s="15" t="n">
        <v>1.676</v>
      </c>
      <c r="O565" s="15" t="n">
        <v>1.911</v>
      </c>
      <c r="P565" s="15" t="n">
        <v>14.05</v>
      </c>
      <c r="Q565" s="15" t="n">
        <v>0.504</v>
      </c>
      <c r="R565" s="15" t="n">
        <v>30.264</v>
      </c>
      <c r="S565" s="15" t="n">
        <v>28.057</v>
      </c>
      <c r="T565" s="15" t="n">
        <v>40.861</v>
      </c>
      <c r="U565" s="15" t="n">
        <v>46.762</v>
      </c>
      <c r="V565" s="15" t="n">
        <v>1.374</v>
      </c>
      <c r="W565" s="15" t="n">
        <v>1.293</v>
      </c>
      <c r="X565" s="15" t="n">
        <v>49.715</v>
      </c>
      <c r="Y565" s="15" t="n"/>
      <c r="Z565" s="15" t="n"/>
      <c r="AA565" s="15" t="n"/>
      <c r="AB565" s="15" t="n"/>
      <c r="AC565" s="15" t="n"/>
      <c r="AD565" s="16" t="n">
        <v>702</v>
      </c>
      <c r="AE565" s="17">
        <f>IF(ISNUMBER(K565),K565,IF(AND(ISNUMBER(H565),ISNUMBER(I565)),H565+I565,IF(ISNUMBER(H565),H565,"")))</f>
        <v/>
      </c>
      <c r="AF565" s="18">
        <f>IF(OR(NOT(ISNUMBER(J565)),NOT(ISNUMBER(H565)),H565&lt;=0),기준표!$B$8,MIN(MAX(J565/H565,기준표!$B$6),기준표!$B$7))</f>
        <v/>
      </c>
      <c r="AG565" s="17">
        <f>IF(ISNUMBER(AE565),AE565*(1-AF565),"")</f>
        <v/>
      </c>
      <c r="AH565" s="17">
        <f>IF(AND(NOT(ISNUMBER(V565)),NOT(ISNUMBER(X565))),"",IF(ISNUMBER(V565),V565,0)+IF(ISNUMBER(X565),X565,0))</f>
        <v/>
      </c>
      <c r="AI565" s="17">
        <f>IF(E565="금융","",IF(AND(ISNUMBER(R565),ISNUMBER(AH565),ISNUMBER(T565)),R565+AH565-T565,""))</f>
        <v/>
      </c>
      <c r="AJ565" s="17">
        <f>IF(E565="금융","",IF(NOT(ISNUMBER(AI565)),"",IF(ISNUMBER(AC565),(AI565+AC565)/2,AI565)))</f>
        <v/>
      </c>
      <c r="AK565" s="19">
        <f>IF(AND(ISNUMBER(AG565),ISNUMBER(AJ565),AJ565&gt;0),AG565/AJ565,"")</f>
        <v/>
      </c>
      <c r="AL565" s="17">
        <f>IF(E565="금융","",IF(AND(ISNUMBER(R565),ISNUMBER(AH565)),R565+AH565,""))</f>
        <v/>
      </c>
      <c r="AM565" s="19">
        <f>IF(OR(NOT(ISNUMBER(AG565)),NOT(ISNUMBER(AL565)),AL565&lt;=0),"",IF(AND(ISNUMBER(G565),AL565&lt;0.1*G565),"",AG565/AL565))</f>
        <v/>
      </c>
      <c r="AN565" s="17">
        <f>IF(NOT(ISNUMBER(R565)),"",IF(ISNUMBER(S565),(R565+S565)/2,R565))</f>
        <v/>
      </c>
      <c r="AO565" s="19">
        <f>IF(AND(ISNUMBER(L565),ISNUMBER(AN565),AN565&gt;0),L565/AN565,"")</f>
        <v/>
      </c>
      <c r="AP565" s="19">
        <f>IF(AND(ISNUMBER(AO565),ISNUMBER({ROIC})),AO565-{ROIC},"")</f>
        <v/>
      </c>
      <c r="AQ565" s="17">
        <f>IF(AND(ISNUMBER(AE565),ISNUMBER(N565)),AE565+N565,"")</f>
        <v/>
      </c>
      <c r="AR565" s="20">
        <f>IF(AND(ISNUMBER(AH565),ISNUMBER(T565),ISNUMBER(AQ565),AQ565&gt;0),(AH565-T565)/AQ565,"")</f>
        <v/>
      </c>
      <c r="AS565" s="20">
        <f>IF(AND(ISNUMBER(AE565),ISNUMBER(I565),I565&lt;&gt;0,AE565&gt;0),AE565/I565,"")</f>
        <v/>
      </c>
      <c r="AT565" s="17">
        <f>IF(AND(ISNUMBER(Y565),ISNUMBER(AA565)),Y565-IF(ISNUMBER(T565),T565,0)-(AA565-IF(ISNUMBER(V565),V565,0)),"")</f>
        <v/>
      </c>
      <c r="AU565" s="17">
        <f>IF(AND(ISNUMBER(Z565),ISNUMBER(AB565)),Z565-IF(ISNUMBER(U565),U565,0)-(AB565-IF(ISNUMBER(W565),W565,0)),"")</f>
        <v/>
      </c>
      <c r="AV565" s="17">
        <f>IF(AND(ISNUMBER(AT565),ISNUMBER(AU565)),AT565-AU565,"")</f>
        <v/>
      </c>
      <c r="AW565" s="17">
        <f>IF(AND(ISNUMBER(L565),ISNUMBER(M565),ISNUMBER(AF565)),L565-M565*(1-AF565),IF(ISNUMBER(L565),L565,""))</f>
        <v/>
      </c>
      <c r="AX565" s="17">
        <f>IF(E565="금융","",IF(AND(ISNUMBER(AW565),ISNUMBER(N565),ISNUMBER(O565),ISNUMBER(AV565)),AW565+N565-O565-AV565,IF(AND(ISNUMBER(P565),ISNUMBER(O565)),P565-O565-IF(ISNUMBER(Q565),Q565,0),"")))</f>
        <v/>
      </c>
      <c r="AY565" s="8">
        <f>IF(E565="금융","금융업 - 정의되지 않음",IF(AND(ISNUMBER(AW565),ISNUMBER(N565),ISNUMBER(O565),ISNUMBER(AV565)),"영업순이익+감가상각-설비투자-운전자본증감",IF(AND(ISNUMBER(P565),ISNUMBER(O565)),IF(ISNUMBER(Q565),"영업현금흐름-설비투자-주식보상비용","영업현금흐름-설비투자(주식보상비용 미태깅)"),"산출불가")))</f>
        <v/>
      </c>
      <c r="AZ565" s="19">
        <f>IF(AND(ISNUMBER(AX565),ISNUMBER(G565),G565&lt;&gt;0),AX565/G565,"")</f>
        <v/>
      </c>
      <c r="BA565" s="19">
        <f>IF(AND(ISNUMBER(AE565),ISNUMBER(G565),G565&lt;&gt;0),AE565/G565,"")</f>
        <v/>
      </c>
    </row>
    <row r="566">
      <c r="A566" s="8" t="inlineStr">
        <is>
          <t>AXP</t>
        </is>
      </c>
      <c r="B566" s="8" t="inlineStr">
        <is>
          <t>AMERICAN EXPRESS CO</t>
        </is>
      </c>
      <c r="C566" s="8" t="n">
        <v>2025</v>
      </c>
      <c r="D566" s="8" t="inlineStr">
        <is>
          <t>2025-12-31</t>
        </is>
      </c>
      <c r="E566" s="8" t="inlineStr">
        <is>
          <t>금융</t>
        </is>
      </c>
      <c r="F566" s="8" t="inlineStr">
        <is>
          <t>0000004962-26-000080</t>
        </is>
      </c>
      <c r="G566" s="15" t="n">
        <v>72.229</v>
      </c>
      <c r="H566" s="15" t="n">
        <v>13.795</v>
      </c>
      <c r="I566" s="15" t="n">
        <v>17.364</v>
      </c>
      <c r="J566" s="15" t="n">
        <v>2.962</v>
      </c>
      <c r="K566" s="15" t="n"/>
      <c r="L566" s="15" t="n">
        <v>10.833</v>
      </c>
      <c r="M566" s="15" t="n"/>
      <c r="N566" s="15" t="n">
        <v>1.777</v>
      </c>
      <c r="O566" s="15" t="n">
        <v>2.425</v>
      </c>
      <c r="P566" s="15" t="n">
        <v>18.428</v>
      </c>
      <c r="Q566" s="15" t="n">
        <v>0.551</v>
      </c>
      <c r="R566" s="15" t="n">
        <v>33.474</v>
      </c>
      <c r="S566" s="15" t="n">
        <v>30.264</v>
      </c>
      <c r="T566" s="15" t="n">
        <v>48.534</v>
      </c>
      <c r="U566" s="15" t="n">
        <v>40.861</v>
      </c>
      <c r="V566" s="15" t="n">
        <v>1.371</v>
      </c>
      <c r="W566" s="15" t="n">
        <v>1.374</v>
      </c>
      <c r="X566" s="15" t="n">
        <v>56.387</v>
      </c>
      <c r="Y566" s="15" t="n"/>
      <c r="Z566" s="15" t="n"/>
      <c r="AA566" s="15" t="n"/>
      <c r="AB566" s="15" t="n"/>
      <c r="AC566" s="15" t="n"/>
      <c r="AD566" s="16" t="n">
        <v>686</v>
      </c>
      <c r="AE566" s="17">
        <f>IF(ISNUMBER(K566),K566,IF(AND(ISNUMBER(H566),ISNUMBER(I566)),H566+I566,IF(ISNUMBER(H566),H566,"")))</f>
        <v/>
      </c>
      <c r="AF566" s="18">
        <f>IF(OR(NOT(ISNUMBER(J566)),NOT(ISNUMBER(H566)),H566&lt;=0),기준표!$B$8,MIN(MAX(J566/H566,기준표!$B$6),기준표!$B$7))</f>
        <v/>
      </c>
      <c r="AG566" s="17">
        <f>IF(ISNUMBER(AE566),AE566*(1-AF566),"")</f>
        <v/>
      </c>
      <c r="AH566" s="17">
        <f>IF(AND(NOT(ISNUMBER(V566)),NOT(ISNUMBER(X566))),"",IF(ISNUMBER(V566),V566,0)+IF(ISNUMBER(X566),X566,0))</f>
        <v/>
      </c>
      <c r="AI566" s="17">
        <f>IF(E566="금융","",IF(AND(ISNUMBER(R566),ISNUMBER(AH566),ISNUMBER(T566)),R566+AH566-T566,""))</f>
        <v/>
      </c>
      <c r="AJ566" s="17">
        <f>IF(E566="금융","",IF(NOT(ISNUMBER(AI566)),"",IF(ISNUMBER(AC566),(AI566+AC566)/2,AI566)))</f>
        <v/>
      </c>
      <c r="AK566" s="19">
        <f>IF(AND(ISNUMBER(AG566),ISNUMBER(AJ566),AJ566&gt;0),AG566/AJ566,"")</f>
        <v/>
      </c>
      <c r="AL566" s="17">
        <f>IF(E566="금융","",IF(AND(ISNUMBER(R566),ISNUMBER(AH566)),R566+AH566,""))</f>
        <v/>
      </c>
      <c r="AM566" s="19">
        <f>IF(OR(NOT(ISNUMBER(AG566)),NOT(ISNUMBER(AL566)),AL566&lt;=0),"",IF(AND(ISNUMBER(G566),AL566&lt;0.1*G566),"",AG566/AL566))</f>
        <v/>
      </c>
      <c r="AN566" s="17">
        <f>IF(NOT(ISNUMBER(R566)),"",IF(ISNUMBER(S566),(R566+S566)/2,R566))</f>
        <v/>
      </c>
      <c r="AO566" s="19">
        <f>IF(AND(ISNUMBER(L566),ISNUMBER(AN566),AN566&gt;0),L566/AN566,"")</f>
        <v/>
      </c>
      <c r="AP566" s="19">
        <f>IF(AND(ISNUMBER(AO566),ISNUMBER({ROIC})),AO566-{ROIC},"")</f>
        <v/>
      </c>
      <c r="AQ566" s="17">
        <f>IF(AND(ISNUMBER(AE566),ISNUMBER(N566)),AE566+N566,"")</f>
        <v/>
      </c>
      <c r="AR566" s="20">
        <f>IF(AND(ISNUMBER(AH566),ISNUMBER(T566),ISNUMBER(AQ566),AQ566&gt;0),(AH566-T566)/AQ566,"")</f>
        <v/>
      </c>
      <c r="AS566" s="20">
        <f>IF(AND(ISNUMBER(AE566),ISNUMBER(I566),I566&lt;&gt;0,AE566&gt;0),AE566/I566,"")</f>
        <v/>
      </c>
      <c r="AT566" s="17">
        <f>IF(AND(ISNUMBER(Y566),ISNUMBER(AA566)),Y566-IF(ISNUMBER(T566),T566,0)-(AA566-IF(ISNUMBER(V566),V566,0)),"")</f>
        <v/>
      </c>
      <c r="AU566" s="17">
        <f>IF(AND(ISNUMBER(Z566),ISNUMBER(AB566)),Z566-IF(ISNUMBER(U566),U566,0)-(AB566-IF(ISNUMBER(W566),W566,0)),"")</f>
        <v/>
      </c>
      <c r="AV566" s="17">
        <f>IF(AND(ISNUMBER(AT566),ISNUMBER(AU566)),AT566-AU566,"")</f>
        <v/>
      </c>
      <c r="AW566" s="17">
        <f>IF(AND(ISNUMBER(L566),ISNUMBER(M566),ISNUMBER(AF566)),L566-M566*(1-AF566),IF(ISNUMBER(L566),L566,""))</f>
        <v/>
      </c>
      <c r="AX566" s="17">
        <f>IF(E566="금융","",IF(AND(ISNUMBER(AW566),ISNUMBER(N566),ISNUMBER(O566),ISNUMBER(AV566)),AW566+N566-O566-AV566,IF(AND(ISNUMBER(P566),ISNUMBER(O566)),P566-O566-IF(ISNUMBER(Q566),Q566,0),"")))</f>
        <v/>
      </c>
      <c r="AY566" s="8">
        <f>IF(E566="금융","금융업 - 정의되지 않음",IF(AND(ISNUMBER(AW566),ISNUMBER(N566),ISNUMBER(O566),ISNUMBER(AV566)),"영업순이익+감가상각-설비투자-운전자본증감",IF(AND(ISNUMBER(P566),ISNUMBER(O566)),IF(ISNUMBER(Q566),"영업현금흐름-설비투자-주식보상비용","영업현금흐름-설비투자(주식보상비용 미태깅)"),"산출불가")))</f>
        <v/>
      </c>
      <c r="AZ566" s="19">
        <f>IF(AND(ISNUMBER(AX566),ISNUMBER(G566),G566&lt;&gt;0),AX566/G566,"")</f>
        <v/>
      </c>
      <c r="BA566" s="19">
        <f>IF(AND(ISNUMBER(AE566),ISNUMBER(G566),G566&lt;&gt;0),AE566/G566,"")</f>
        <v/>
      </c>
    </row>
    <row r="567">
      <c r="A567" s="8" t="inlineStr">
        <is>
          <t>C</t>
        </is>
      </c>
      <c r="B567" s="8" t="inlineStr">
        <is>
          <t>CITIGROUP INC</t>
        </is>
      </c>
      <c r="C567" s="8" t="n">
        <v>2014</v>
      </c>
      <c r="D567" s="8" t="inlineStr">
        <is>
          <t>2014-12-31</t>
        </is>
      </c>
      <c r="E567" s="8" t="inlineStr">
        <is>
          <t>금융</t>
        </is>
      </c>
      <c r="F567" s="8" t="inlineStr">
        <is>
          <t>0000831001-17-000038</t>
        </is>
      </c>
      <c r="G567" s="15" t="n">
        <v>77.21899999999999</v>
      </c>
      <c r="H567" s="15" t="n">
        <v>14.701</v>
      </c>
      <c r="I567" s="15" t="n">
        <v>47.993</v>
      </c>
      <c r="J567" s="15" t="n">
        <v>7.197</v>
      </c>
      <c r="K567" s="15" t="n"/>
      <c r="L567" s="15" t="n">
        <v>7.31</v>
      </c>
      <c r="M567" s="15" t="n"/>
      <c r="N567" s="15" t="n">
        <v>3.589</v>
      </c>
      <c r="O567" s="15" t="n">
        <v>3.386</v>
      </c>
      <c r="P567" s="15" t="n"/>
      <c r="Q567" s="15" t="n"/>
      <c r="R567" s="15" t="n">
        <v>210.185</v>
      </c>
      <c r="S567" s="15" t="n"/>
      <c r="T567" s="15" t="n"/>
      <c r="U567" s="15" t="n"/>
      <c r="V567" s="15" t="n">
        <v>58.335</v>
      </c>
      <c r="W567" s="15" t="n"/>
      <c r="X567" s="15" t="n">
        <v>223.08</v>
      </c>
      <c r="Y567" s="15" t="n"/>
      <c r="Z567" s="15" t="n"/>
      <c r="AA567" s="15" t="n"/>
      <c r="AB567" s="15" t="n"/>
      <c r="AC567" s="15" t="n"/>
      <c r="AD567" s="16" t="n">
        <v>3037</v>
      </c>
      <c r="AE567" s="17">
        <f>IF(ISNUMBER(K567),K567,IF(AND(ISNUMBER(H567),ISNUMBER(I567)),H567+I567,IF(ISNUMBER(H567),H567,"")))</f>
        <v/>
      </c>
      <c r="AF567" s="18">
        <f>IF(OR(NOT(ISNUMBER(J567)),NOT(ISNUMBER(H567)),H567&lt;=0),기준표!$B$8,MIN(MAX(J567/H567,기준표!$B$6),기준표!$B$7))</f>
        <v/>
      </c>
      <c r="AG567" s="17">
        <f>IF(ISNUMBER(AE567),AE567*(1-AF567),"")</f>
        <v/>
      </c>
      <c r="AH567" s="17">
        <f>IF(AND(NOT(ISNUMBER(V567)),NOT(ISNUMBER(X567))),"",IF(ISNUMBER(V567),V567,0)+IF(ISNUMBER(X567),X567,0))</f>
        <v/>
      </c>
      <c r="AI567" s="17">
        <f>IF(E567="금융","",IF(AND(ISNUMBER(R567),ISNUMBER(AH567),ISNUMBER(T567)),R567+AH567-T567,""))</f>
        <v/>
      </c>
      <c r="AJ567" s="17">
        <f>IF(E567="금융","",IF(NOT(ISNUMBER(AI567)),"",IF(ISNUMBER(AC567),(AI567+AC567)/2,AI567)))</f>
        <v/>
      </c>
      <c r="AK567" s="19">
        <f>IF(AND(ISNUMBER(AG567),ISNUMBER(AJ567),AJ567&gt;0),AG567/AJ567,"")</f>
        <v/>
      </c>
      <c r="AL567" s="17">
        <f>IF(E567="금융","",IF(AND(ISNUMBER(R567),ISNUMBER(AH567)),R567+AH567,""))</f>
        <v/>
      </c>
      <c r="AM567" s="19">
        <f>IF(OR(NOT(ISNUMBER(AG567)),NOT(ISNUMBER(AL567)),AL567&lt;=0),"",IF(AND(ISNUMBER(G567),AL567&lt;0.1*G567),"",AG567/AL567))</f>
        <v/>
      </c>
      <c r="AN567" s="17">
        <f>IF(NOT(ISNUMBER(R567)),"",IF(ISNUMBER(S567),(R567+S567)/2,R567))</f>
        <v/>
      </c>
      <c r="AO567" s="19">
        <f>IF(AND(ISNUMBER(L567),ISNUMBER(AN567),AN567&gt;0),L567/AN567,"")</f>
        <v/>
      </c>
      <c r="AP567" s="19">
        <f>IF(AND(ISNUMBER(AO567),ISNUMBER({ROIC})),AO567-{ROIC},"")</f>
        <v/>
      </c>
      <c r="AQ567" s="17">
        <f>IF(AND(ISNUMBER(AE567),ISNUMBER(N567)),AE567+N567,"")</f>
        <v/>
      </c>
      <c r="AR567" s="20">
        <f>IF(AND(ISNUMBER(AH567),ISNUMBER(T567),ISNUMBER(AQ567),AQ567&gt;0),(AH567-T567)/AQ567,"")</f>
        <v/>
      </c>
      <c r="AS567" s="20">
        <f>IF(AND(ISNUMBER(AE567),ISNUMBER(I567),I567&lt;&gt;0,AE567&gt;0),AE567/I567,"")</f>
        <v/>
      </c>
      <c r="AT567" s="17">
        <f>IF(AND(ISNUMBER(Y567),ISNUMBER(AA567)),Y567-IF(ISNUMBER(T567),T567,0)-(AA567-IF(ISNUMBER(V567),V567,0)),"")</f>
        <v/>
      </c>
      <c r="AU567" s="17">
        <f>IF(AND(ISNUMBER(Z567),ISNUMBER(AB567)),Z567-IF(ISNUMBER(U567),U567,0)-(AB567-IF(ISNUMBER(W567),W567,0)),"")</f>
        <v/>
      </c>
      <c r="AV567" s="17">
        <f>IF(AND(ISNUMBER(AT567),ISNUMBER(AU567)),AT567-AU567,"")</f>
        <v/>
      </c>
      <c r="AW567" s="17">
        <f>IF(AND(ISNUMBER(L567),ISNUMBER(M567),ISNUMBER(AF567)),L567-M567*(1-AF567),IF(ISNUMBER(L567),L567,""))</f>
        <v/>
      </c>
      <c r="AX567" s="17">
        <f>IF(E567="금융","",IF(AND(ISNUMBER(AW567),ISNUMBER(N567),ISNUMBER(O567),ISNUMBER(AV567)),AW567+N567-O567-AV567,IF(AND(ISNUMBER(P567),ISNUMBER(O567)),P567-O567-IF(ISNUMBER(Q567),Q567,0),"")))</f>
        <v/>
      </c>
      <c r="AY567" s="8">
        <f>IF(E567="금융","금융업 - 정의되지 않음",IF(AND(ISNUMBER(AW567),ISNUMBER(N567),ISNUMBER(O567),ISNUMBER(AV567)),"영업순이익+감가상각-설비투자-운전자본증감",IF(AND(ISNUMBER(P567),ISNUMBER(O567)),IF(ISNUMBER(Q567),"영업현금흐름-설비투자-주식보상비용","영업현금흐름-설비투자(주식보상비용 미태깅)"),"산출불가")))</f>
        <v/>
      </c>
      <c r="AZ567" s="19">
        <f>IF(AND(ISNUMBER(AX567),ISNUMBER(G567),G567&lt;&gt;0),AX567/G567,"")</f>
        <v/>
      </c>
      <c r="BA567" s="19">
        <f>IF(AND(ISNUMBER(AE567),ISNUMBER(G567),G567&lt;&gt;0),AE567/G567,"")</f>
        <v/>
      </c>
    </row>
    <row r="568">
      <c r="A568" s="8" t="inlineStr">
        <is>
          <t>C</t>
        </is>
      </c>
      <c r="B568" s="8" t="inlineStr">
        <is>
          <t>CITIGROUP INC</t>
        </is>
      </c>
      <c r="C568" s="8" t="n">
        <v>2015</v>
      </c>
      <c r="D568" s="8" t="inlineStr">
        <is>
          <t>2015-12-31</t>
        </is>
      </c>
      <c r="E568" s="8" t="inlineStr">
        <is>
          <t>금융</t>
        </is>
      </c>
      <c r="F568" s="8" t="inlineStr">
        <is>
          <t>0000831001-18-000040</t>
        </is>
      </c>
      <c r="G568" s="15" t="n">
        <v>76.354</v>
      </c>
      <c r="H568" s="15" t="n">
        <v>24.826</v>
      </c>
      <c r="I568" s="15" t="n">
        <v>46.63</v>
      </c>
      <c r="J568" s="15" t="n">
        <v>7.44</v>
      </c>
      <c r="K568" s="15" t="n"/>
      <c r="L568" s="15" t="n">
        <v>17.242</v>
      </c>
      <c r="M568" s="15" t="n"/>
      <c r="N568" s="15" t="n">
        <v>3.506</v>
      </c>
      <c r="O568" s="15" t="n">
        <v>3.198</v>
      </c>
      <c r="P568" s="15" t="n"/>
      <c r="Q568" s="15" t="n"/>
      <c r="R568" s="15" t="n">
        <v>221.857</v>
      </c>
      <c r="S568" s="15" t="n">
        <v>210.185</v>
      </c>
      <c r="T568" s="15" t="n"/>
      <c r="U568" s="15" t="n"/>
      <c r="V568" s="15" t="n">
        <v>21.079</v>
      </c>
      <c r="W568" s="15" t="n">
        <v>58.335</v>
      </c>
      <c r="X568" s="15" t="n">
        <v>201.275</v>
      </c>
      <c r="Y568" s="15" t="n"/>
      <c r="Z568" s="15" t="n"/>
      <c r="AA568" s="15" t="n"/>
      <c r="AB568" s="15" t="n"/>
      <c r="AC568" s="15" t="n"/>
      <c r="AD568" s="16" t="n">
        <v>3007.7</v>
      </c>
      <c r="AE568" s="17">
        <f>IF(ISNUMBER(K568),K568,IF(AND(ISNUMBER(H568),ISNUMBER(I568)),H568+I568,IF(ISNUMBER(H568),H568,"")))</f>
        <v/>
      </c>
      <c r="AF568" s="18">
        <f>IF(OR(NOT(ISNUMBER(J568)),NOT(ISNUMBER(H568)),H568&lt;=0),기준표!$B$8,MIN(MAX(J568/H568,기준표!$B$6),기준표!$B$7))</f>
        <v/>
      </c>
      <c r="AG568" s="17">
        <f>IF(ISNUMBER(AE568),AE568*(1-AF568),"")</f>
        <v/>
      </c>
      <c r="AH568" s="17">
        <f>IF(AND(NOT(ISNUMBER(V568)),NOT(ISNUMBER(X568))),"",IF(ISNUMBER(V568),V568,0)+IF(ISNUMBER(X568),X568,0))</f>
        <v/>
      </c>
      <c r="AI568" s="17">
        <f>IF(E568="금융","",IF(AND(ISNUMBER(R568),ISNUMBER(AH568),ISNUMBER(T568)),R568+AH568-T568,""))</f>
        <v/>
      </c>
      <c r="AJ568" s="17">
        <f>IF(E568="금융","",IF(NOT(ISNUMBER(AI568)),"",IF(ISNUMBER(AC568),(AI568+AC568)/2,AI568)))</f>
        <v/>
      </c>
      <c r="AK568" s="19">
        <f>IF(AND(ISNUMBER(AG568),ISNUMBER(AJ568),AJ568&gt;0),AG568/AJ568,"")</f>
        <v/>
      </c>
      <c r="AL568" s="17">
        <f>IF(E568="금융","",IF(AND(ISNUMBER(R568),ISNUMBER(AH568)),R568+AH568,""))</f>
        <v/>
      </c>
      <c r="AM568" s="19">
        <f>IF(OR(NOT(ISNUMBER(AG568)),NOT(ISNUMBER(AL568)),AL568&lt;=0),"",IF(AND(ISNUMBER(G568),AL568&lt;0.1*G568),"",AG568/AL568))</f>
        <v/>
      </c>
      <c r="AN568" s="17">
        <f>IF(NOT(ISNUMBER(R568)),"",IF(ISNUMBER(S568),(R568+S568)/2,R568))</f>
        <v/>
      </c>
      <c r="AO568" s="19">
        <f>IF(AND(ISNUMBER(L568),ISNUMBER(AN568),AN568&gt;0),L568/AN568,"")</f>
        <v/>
      </c>
      <c r="AP568" s="19">
        <f>IF(AND(ISNUMBER(AO568),ISNUMBER({ROIC})),AO568-{ROIC},"")</f>
        <v/>
      </c>
      <c r="AQ568" s="17">
        <f>IF(AND(ISNUMBER(AE568),ISNUMBER(N568)),AE568+N568,"")</f>
        <v/>
      </c>
      <c r="AR568" s="20">
        <f>IF(AND(ISNUMBER(AH568),ISNUMBER(T568),ISNUMBER(AQ568),AQ568&gt;0),(AH568-T568)/AQ568,"")</f>
        <v/>
      </c>
      <c r="AS568" s="20">
        <f>IF(AND(ISNUMBER(AE568),ISNUMBER(I568),I568&lt;&gt;0,AE568&gt;0),AE568/I568,"")</f>
        <v/>
      </c>
      <c r="AT568" s="17">
        <f>IF(AND(ISNUMBER(Y568),ISNUMBER(AA568)),Y568-IF(ISNUMBER(T568),T568,0)-(AA568-IF(ISNUMBER(V568),V568,0)),"")</f>
        <v/>
      </c>
      <c r="AU568" s="17">
        <f>IF(AND(ISNUMBER(Z568),ISNUMBER(AB568)),Z568-IF(ISNUMBER(U568),U568,0)-(AB568-IF(ISNUMBER(W568),W568,0)),"")</f>
        <v/>
      </c>
      <c r="AV568" s="17">
        <f>IF(AND(ISNUMBER(AT568),ISNUMBER(AU568)),AT568-AU568,"")</f>
        <v/>
      </c>
      <c r="AW568" s="17">
        <f>IF(AND(ISNUMBER(L568),ISNUMBER(M568),ISNUMBER(AF568)),L568-M568*(1-AF568),IF(ISNUMBER(L568),L568,""))</f>
        <v/>
      </c>
      <c r="AX568" s="17">
        <f>IF(E568="금융","",IF(AND(ISNUMBER(AW568),ISNUMBER(N568),ISNUMBER(O568),ISNUMBER(AV568)),AW568+N568-O568-AV568,IF(AND(ISNUMBER(P568),ISNUMBER(O568)),P568-O568-IF(ISNUMBER(Q568),Q568,0),"")))</f>
        <v/>
      </c>
      <c r="AY568" s="8">
        <f>IF(E568="금융","금융업 - 정의되지 않음",IF(AND(ISNUMBER(AW568),ISNUMBER(N568),ISNUMBER(O568),ISNUMBER(AV568)),"영업순이익+감가상각-설비투자-운전자본증감",IF(AND(ISNUMBER(P568),ISNUMBER(O568)),IF(ISNUMBER(Q568),"영업현금흐름-설비투자-주식보상비용","영업현금흐름-설비투자(주식보상비용 미태깅)"),"산출불가")))</f>
        <v/>
      </c>
      <c r="AZ568" s="19">
        <f>IF(AND(ISNUMBER(AX568),ISNUMBER(G568),G568&lt;&gt;0),AX568/G568,"")</f>
        <v/>
      </c>
      <c r="BA568" s="19">
        <f>IF(AND(ISNUMBER(AE568),ISNUMBER(G568),G568&lt;&gt;0),AE568/G568,"")</f>
        <v/>
      </c>
    </row>
    <row r="569">
      <c r="A569" s="8" t="inlineStr">
        <is>
          <t>C</t>
        </is>
      </c>
      <c r="B569" s="8" t="inlineStr">
        <is>
          <t>CITIGROUP INC</t>
        </is>
      </c>
      <c r="C569" s="8" t="n">
        <v>2016</v>
      </c>
      <c r="D569" s="8" t="inlineStr">
        <is>
          <t>2016-12-31</t>
        </is>
      </c>
      <c r="E569" s="8" t="inlineStr">
        <is>
          <t>금융</t>
        </is>
      </c>
      <c r="F569" s="8" t="inlineStr">
        <is>
          <t>0000831001-19-000027</t>
        </is>
      </c>
      <c r="G569" s="15" t="n">
        <v>70.797</v>
      </c>
      <c r="H569" s="15" t="n">
        <v>21.477</v>
      </c>
      <c r="I569" s="15" t="n">
        <v>45.476</v>
      </c>
      <c r="J569" s="15" t="n">
        <v>6.444</v>
      </c>
      <c r="K569" s="15" t="n"/>
      <c r="L569" s="15" t="n">
        <v>14.912</v>
      </c>
      <c r="M569" s="15" t="n">
        <v>0.948</v>
      </c>
      <c r="N569" s="15" t="n">
        <v>3.72</v>
      </c>
      <c r="O569" s="15" t="n">
        <v>2.756</v>
      </c>
      <c r="P569" s="15" t="n"/>
      <c r="Q569" s="15" t="n"/>
      <c r="R569" s="15" t="n">
        <v>225.12</v>
      </c>
      <c r="S569" s="15" t="n">
        <v>221.857</v>
      </c>
      <c r="T569" s="15" t="n">
        <v>160.494</v>
      </c>
      <c r="U569" s="15" t="n"/>
      <c r="V569" s="15" t="n">
        <v>30.701</v>
      </c>
      <c r="W569" s="15" t="n">
        <v>21.079</v>
      </c>
      <c r="X569" s="15" t="n">
        <v>206.178</v>
      </c>
      <c r="Y569" s="15" t="n"/>
      <c r="Z569" s="15" t="n"/>
      <c r="AA569" s="15" t="n"/>
      <c r="AB569" s="15" t="n"/>
      <c r="AC569" s="15" t="n"/>
      <c r="AD569" s="16" t="n">
        <v>2888.3</v>
      </c>
      <c r="AE569" s="17">
        <f>IF(ISNUMBER(K569),K569,IF(AND(ISNUMBER(H569),ISNUMBER(I569)),H569+I569,IF(ISNUMBER(H569),H569,"")))</f>
        <v/>
      </c>
      <c r="AF569" s="18">
        <f>IF(OR(NOT(ISNUMBER(J569)),NOT(ISNUMBER(H569)),H569&lt;=0),기준표!$B$8,MIN(MAX(J569/H569,기준표!$B$6),기준표!$B$7))</f>
        <v/>
      </c>
      <c r="AG569" s="17">
        <f>IF(ISNUMBER(AE569),AE569*(1-AF569),"")</f>
        <v/>
      </c>
      <c r="AH569" s="17">
        <f>IF(AND(NOT(ISNUMBER(V569)),NOT(ISNUMBER(X569))),"",IF(ISNUMBER(V569),V569,0)+IF(ISNUMBER(X569),X569,0))</f>
        <v/>
      </c>
      <c r="AI569" s="17">
        <f>IF(E569="금융","",IF(AND(ISNUMBER(R569),ISNUMBER(AH569),ISNUMBER(T569)),R569+AH569-T569,""))</f>
        <v/>
      </c>
      <c r="AJ569" s="17">
        <f>IF(E569="금융","",IF(NOT(ISNUMBER(AI569)),"",IF(ISNUMBER(AC569),(AI569+AC569)/2,AI569)))</f>
        <v/>
      </c>
      <c r="AK569" s="19">
        <f>IF(AND(ISNUMBER(AG569),ISNUMBER(AJ569),AJ569&gt;0),AG569/AJ569,"")</f>
        <v/>
      </c>
      <c r="AL569" s="17">
        <f>IF(E569="금융","",IF(AND(ISNUMBER(R569),ISNUMBER(AH569)),R569+AH569,""))</f>
        <v/>
      </c>
      <c r="AM569" s="19">
        <f>IF(OR(NOT(ISNUMBER(AG569)),NOT(ISNUMBER(AL569)),AL569&lt;=0),"",IF(AND(ISNUMBER(G569),AL569&lt;0.1*G569),"",AG569/AL569))</f>
        <v/>
      </c>
      <c r="AN569" s="17">
        <f>IF(NOT(ISNUMBER(R569)),"",IF(ISNUMBER(S569),(R569+S569)/2,R569))</f>
        <v/>
      </c>
      <c r="AO569" s="19">
        <f>IF(AND(ISNUMBER(L569),ISNUMBER(AN569),AN569&gt;0),L569/AN569,"")</f>
        <v/>
      </c>
      <c r="AP569" s="19">
        <f>IF(AND(ISNUMBER(AO569),ISNUMBER({ROIC})),AO569-{ROIC},"")</f>
        <v/>
      </c>
      <c r="AQ569" s="17">
        <f>IF(AND(ISNUMBER(AE569),ISNUMBER(N569)),AE569+N569,"")</f>
        <v/>
      </c>
      <c r="AR569" s="20">
        <f>IF(AND(ISNUMBER(AH569),ISNUMBER(T569),ISNUMBER(AQ569),AQ569&gt;0),(AH569-T569)/AQ569,"")</f>
        <v/>
      </c>
      <c r="AS569" s="20">
        <f>IF(AND(ISNUMBER(AE569),ISNUMBER(I569),I569&lt;&gt;0,AE569&gt;0),AE569/I569,"")</f>
        <v/>
      </c>
      <c r="AT569" s="17">
        <f>IF(AND(ISNUMBER(Y569),ISNUMBER(AA569)),Y569-IF(ISNUMBER(T569),T569,0)-(AA569-IF(ISNUMBER(V569),V569,0)),"")</f>
        <v/>
      </c>
      <c r="AU569" s="17">
        <f>IF(AND(ISNUMBER(Z569),ISNUMBER(AB569)),Z569-IF(ISNUMBER(U569),U569,0)-(AB569-IF(ISNUMBER(W569),W569,0)),"")</f>
        <v/>
      </c>
      <c r="AV569" s="17">
        <f>IF(AND(ISNUMBER(AT569),ISNUMBER(AU569)),AT569-AU569,"")</f>
        <v/>
      </c>
      <c r="AW569" s="17">
        <f>IF(AND(ISNUMBER(L569),ISNUMBER(M569),ISNUMBER(AF569)),L569-M569*(1-AF569),IF(ISNUMBER(L569),L569,""))</f>
        <v/>
      </c>
      <c r="AX569" s="17">
        <f>IF(E569="금융","",IF(AND(ISNUMBER(AW569),ISNUMBER(N569),ISNUMBER(O569),ISNUMBER(AV569)),AW569+N569-O569-AV569,IF(AND(ISNUMBER(P569),ISNUMBER(O569)),P569-O569-IF(ISNUMBER(Q569),Q569,0),"")))</f>
        <v/>
      </c>
      <c r="AY569" s="8">
        <f>IF(E569="금융","금융업 - 정의되지 않음",IF(AND(ISNUMBER(AW569),ISNUMBER(N569),ISNUMBER(O569),ISNUMBER(AV569)),"영업순이익+감가상각-설비투자-운전자본증감",IF(AND(ISNUMBER(P569),ISNUMBER(O569)),IF(ISNUMBER(Q569),"영업현금흐름-설비투자-주식보상비용","영업현금흐름-설비투자(주식보상비용 미태깅)"),"산출불가")))</f>
        <v/>
      </c>
      <c r="AZ569" s="19">
        <f>IF(AND(ISNUMBER(AX569),ISNUMBER(G569),G569&lt;&gt;0),AX569/G569,"")</f>
        <v/>
      </c>
      <c r="BA569" s="19">
        <f>IF(AND(ISNUMBER(AE569),ISNUMBER(G569),G569&lt;&gt;0),AE569/G569,"")</f>
        <v/>
      </c>
    </row>
    <row r="570">
      <c r="A570" s="8" t="inlineStr">
        <is>
          <t>C</t>
        </is>
      </c>
      <c r="B570" s="8" t="inlineStr">
        <is>
          <t>CITIGROUP INC</t>
        </is>
      </c>
      <c r="C570" s="8" t="n">
        <v>2017</v>
      </c>
      <c r="D570" s="8" t="inlineStr">
        <is>
          <t>2017-12-31</t>
        </is>
      </c>
      <c r="E570" s="8" t="inlineStr">
        <is>
          <t>금융</t>
        </is>
      </c>
      <c r="F570" s="8" t="inlineStr">
        <is>
          <t>0000831001-20-000031</t>
        </is>
      </c>
      <c r="G570" s="15" t="n">
        <v>72.444</v>
      </c>
      <c r="H570" s="15" t="n">
        <v>22.761</v>
      </c>
      <c r="I570" s="15" t="n">
        <v>45.061</v>
      </c>
      <c r="J570" s="15" t="n">
        <v>29.388</v>
      </c>
      <c r="K570" s="15" t="n"/>
      <c r="L570" s="15" t="n">
        <v>-6.798</v>
      </c>
      <c r="M570" s="15" t="n">
        <v>0.778</v>
      </c>
      <c r="N570" s="15" t="n">
        <v>3.659</v>
      </c>
      <c r="O570" s="15" t="n">
        <v>3.361</v>
      </c>
      <c r="P570" s="15" t="n"/>
      <c r="Q570" s="15" t="n"/>
      <c r="R570" s="15" t="n">
        <v>200.74</v>
      </c>
      <c r="S570" s="15" t="n">
        <v>225.12</v>
      </c>
      <c r="T570" s="15" t="n">
        <v>180.516</v>
      </c>
      <c r="U570" s="15" t="n">
        <v>160.494</v>
      </c>
      <c r="V570" s="15" t="n">
        <v>44.452</v>
      </c>
      <c r="W570" s="15" t="n">
        <v>30.701</v>
      </c>
      <c r="X570" s="15" t="n">
        <v>236.709</v>
      </c>
      <c r="Y570" s="15" t="n"/>
      <c r="Z570" s="15" t="n"/>
      <c r="AA570" s="15" t="n"/>
      <c r="AB570" s="15" t="n"/>
      <c r="AC570" s="15" t="n"/>
      <c r="AD570" s="16" t="n">
        <v>2698.5</v>
      </c>
      <c r="AE570" s="17">
        <f>IF(ISNUMBER(K570),K570,IF(AND(ISNUMBER(H570),ISNUMBER(I570)),H570+I570,IF(ISNUMBER(H570),H570,"")))</f>
        <v/>
      </c>
      <c r="AF570" s="18">
        <f>IF(OR(NOT(ISNUMBER(J570)),NOT(ISNUMBER(H570)),H570&lt;=0),기준표!$B$8,MIN(MAX(J570/H570,기준표!$B$6),기준표!$B$7))</f>
        <v/>
      </c>
      <c r="AG570" s="17">
        <f>IF(ISNUMBER(AE570),AE570*(1-AF570),"")</f>
        <v/>
      </c>
      <c r="AH570" s="17">
        <f>IF(AND(NOT(ISNUMBER(V570)),NOT(ISNUMBER(X570))),"",IF(ISNUMBER(V570),V570,0)+IF(ISNUMBER(X570),X570,0))</f>
        <v/>
      </c>
      <c r="AI570" s="17">
        <f>IF(E570="금융","",IF(AND(ISNUMBER(R570),ISNUMBER(AH570),ISNUMBER(T570)),R570+AH570-T570,""))</f>
        <v/>
      </c>
      <c r="AJ570" s="17">
        <f>IF(E570="금융","",IF(NOT(ISNUMBER(AI570)),"",IF(ISNUMBER(AC570),(AI570+AC570)/2,AI570)))</f>
        <v/>
      </c>
      <c r="AK570" s="19">
        <f>IF(AND(ISNUMBER(AG570),ISNUMBER(AJ570),AJ570&gt;0),AG570/AJ570,"")</f>
        <v/>
      </c>
      <c r="AL570" s="17">
        <f>IF(E570="금융","",IF(AND(ISNUMBER(R570),ISNUMBER(AH570)),R570+AH570,""))</f>
        <v/>
      </c>
      <c r="AM570" s="19">
        <f>IF(OR(NOT(ISNUMBER(AG570)),NOT(ISNUMBER(AL570)),AL570&lt;=0),"",IF(AND(ISNUMBER(G570),AL570&lt;0.1*G570),"",AG570/AL570))</f>
        <v/>
      </c>
      <c r="AN570" s="17">
        <f>IF(NOT(ISNUMBER(R570)),"",IF(ISNUMBER(S570),(R570+S570)/2,R570))</f>
        <v/>
      </c>
      <c r="AO570" s="19">
        <f>IF(AND(ISNUMBER(L570),ISNUMBER(AN570),AN570&gt;0),L570/AN570,"")</f>
        <v/>
      </c>
      <c r="AP570" s="19">
        <f>IF(AND(ISNUMBER(AO570),ISNUMBER({ROIC})),AO570-{ROIC},"")</f>
        <v/>
      </c>
      <c r="AQ570" s="17">
        <f>IF(AND(ISNUMBER(AE570),ISNUMBER(N570)),AE570+N570,"")</f>
        <v/>
      </c>
      <c r="AR570" s="20">
        <f>IF(AND(ISNUMBER(AH570),ISNUMBER(T570),ISNUMBER(AQ570),AQ570&gt;0),(AH570-T570)/AQ570,"")</f>
        <v/>
      </c>
      <c r="AS570" s="20">
        <f>IF(AND(ISNUMBER(AE570),ISNUMBER(I570),I570&lt;&gt;0,AE570&gt;0),AE570/I570,"")</f>
        <v/>
      </c>
      <c r="AT570" s="17">
        <f>IF(AND(ISNUMBER(Y570),ISNUMBER(AA570)),Y570-IF(ISNUMBER(T570),T570,0)-(AA570-IF(ISNUMBER(V570),V570,0)),"")</f>
        <v/>
      </c>
      <c r="AU570" s="17">
        <f>IF(AND(ISNUMBER(Z570),ISNUMBER(AB570)),Z570-IF(ISNUMBER(U570),U570,0)-(AB570-IF(ISNUMBER(W570),W570,0)),"")</f>
        <v/>
      </c>
      <c r="AV570" s="17">
        <f>IF(AND(ISNUMBER(AT570),ISNUMBER(AU570)),AT570-AU570,"")</f>
        <v/>
      </c>
      <c r="AW570" s="17">
        <f>IF(AND(ISNUMBER(L570),ISNUMBER(M570),ISNUMBER(AF570)),L570-M570*(1-AF570),IF(ISNUMBER(L570),L570,""))</f>
        <v/>
      </c>
      <c r="AX570" s="17">
        <f>IF(E570="금융","",IF(AND(ISNUMBER(AW570),ISNUMBER(N570),ISNUMBER(O570),ISNUMBER(AV570)),AW570+N570-O570-AV570,IF(AND(ISNUMBER(P570),ISNUMBER(O570)),P570-O570-IF(ISNUMBER(Q570),Q570,0),"")))</f>
        <v/>
      </c>
      <c r="AY570" s="8">
        <f>IF(E570="금융","금융업 - 정의되지 않음",IF(AND(ISNUMBER(AW570),ISNUMBER(N570),ISNUMBER(O570),ISNUMBER(AV570)),"영업순이익+감가상각-설비투자-운전자본증감",IF(AND(ISNUMBER(P570),ISNUMBER(O570)),IF(ISNUMBER(Q570),"영업현금흐름-설비투자-주식보상비용","영업현금흐름-설비투자(주식보상비용 미태깅)"),"산출불가")))</f>
        <v/>
      </c>
      <c r="AZ570" s="19">
        <f>IF(AND(ISNUMBER(AX570),ISNUMBER(G570),G570&lt;&gt;0),AX570/G570,"")</f>
        <v/>
      </c>
      <c r="BA570" s="19">
        <f>IF(AND(ISNUMBER(AE570),ISNUMBER(G570),G570&lt;&gt;0),AE570/G570,"")</f>
        <v/>
      </c>
    </row>
    <row r="571">
      <c r="A571" s="8" t="inlineStr">
        <is>
          <t>C</t>
        </is>
      </c>
      <c r="B571" s="8" t="inlineStr">
        <is>
          <t>CITIGROUP INC</t>
        </is>
      </c>
      <c r="C571" s="8" t="n">
        <v>2018</v>
      </c>
      <c r="D571" s="8" t="inlineStr">
        <is>
          <t>2018-12-31</t>
        </is>
      </c>
      <c r="E571" s="8" t="inlineStr">
        <is>
          <t>금융</t>
        </is>
      </c>
      <c r="F571" s="8" t="inlineStr">
        <is>
          <t>0000831001-21-000042</t>
        </is>
      </c>
      <c r="G571" s="15" t="n">
        <v>72.854</v>
      </c>
      <c r="H571" s="15" t="n">
        <v>23.445</v>
      </c>
      <c r="I571" s="15" t="n">
        <v>46.562</v>
      </c>
      <c r="J571" s="15" t="n">
        <v>5.357</v>
      </c>
      <c r="K571" s="15" t="n"/>
      <c r="L571" s="15" t="n">
        <v>18.045</v>
      </c>
      <c r="M571" s="15" t="n">
        <v>0.421</v>
      </c>
      <c r="N571" s="15" t="n">
        <v>3.754</v>
      </c>
      <c r="O571" s="15" t="n">
        <v>3.774</v>
      </c>
      <c r="P571" s="15" t="n">
        <v>36.952</v>
      </c>
      <c r="Q571" s="15" t="n"/>
      <c r="R571" s="15" t="n">
        <v>196.22</v>
      </c>
      <c r="S571" s="15" t="n">
        <v>200.74</v>
      </c>
      <c r="T571" s="15" t="n">
        <v>188.105</v>
      </c>
      <c r="U571" s="15" t="n">
        <v>180.516</v>
      </c>
      <c r="V571" s="15" t="n">
        <v>32.346</v>
      </c>
      <c r="W571" s="15" t="n">
        <v>44.452</v>
      </c>
      <c r="X571" s="15" t="n">
        <v>231.999</v>
      </c>
      <c r="Y571" s="15" t="n"/>
      <c r="Z571" s="15" t="n"/>
      <c r="AA571" s="15" t="n"/>
      <c r="AB571" s="15" t="n"/>
      <c r="AC571" s="15" t="n"/>
      <c r="AD571" s="16" t="n">
        <v>2494.8</v>
      </c>
      <c r="AE571" s="17">
        <f>IF(ISNUMBER(K571),K571,IF(AND(ISNUMBER(H571),ISNUMBER(I571)),H571+I571,IF(ISNUMBER(H571),H571,"")))</f>
        <v/>
      </c>
      <c r="AF571" s="18">
        <f>IF(OR(NOT(ISNUMBER(J571)),NOT(ISNUMBER(H571)),H571&lt;=0),기준표!$B$8,MIN(MAX(J571/H571,기준표!$B$6),기준표!$B$7))</f>
        <v/>
      </c>
      <c r="AG571" s="17">
        <f>IF(ISNUMBER(AE571),AE571*(1-AF571),"")</f>
        <v/>
      </c>
      <c r="AH571" s="17">
        <f>IF(AND(NOT(ISNUMBER(V571)),NOT(ISNUMBER(X571))),"",IF(ISNUMBER(V571),V571,0)+IF(ISNUMBER(X571),X571,0))</f>
        <v/>
      </c>
      <c r="AI571" s="17">
        <f>IF(E571="금융","",IF(AND(ISNUMBER(R571),ISNUMBER(AH571),ISNUMBER(T571)),R571+AH571-T571,""))</f>
        <v/>
      </c>
      <c r="AJ571" s="17">
        <f>IF(E571="금융","",IF(NOT(ISNUMBER(AI571)),"",IF(ISNUMBER(AC571),(AI571+AC571)/2,AI571)))</f>
        <v/>
      </c>
      <c r="AK571" s="19">
        <f>IF(AND(ISNUMBER(AG571),ISNUMBER(AJ571),AJ571&gt;0),AG571/AJ571,"")</f>
        <v/>
      </c>
      <c r="AL571" s="17">
        <f>IF(E571="금융","",IF(AND(ISNUMBER(R571),ISNUMBER(AH571)),R571+AH571,""))</f>
        <v/>
      </c>
      <c r="AM571" s="19">
        <f>IF(OR(NOT(ISNUMBER(AG571)),NOT(ISNUMBER(AL571)),AL571&lt;=0),"",IF(AND(ISNUMBER(G571),AL571&lt;0.1*G571),"",AG571/AL571))</f>
        <v/>
      </c>
      <c r="AN571" s="17">
        <f>IF(NOT(ISNUMBER(R571)),"",IF(ISNUMBER(S571),(R571+S571)/2,R571))</f>
        <v/>
      </c>
      <c r="AO571" s="19">
        <f>IF(AND(ISNUMBER(L571),ISNUMBER(AN571),AN571&gt;0),L571/AN571,"")</f>
        <v/>
      </c>
      <c r="AP571" s="19">
        <f>IF(AND(ISNUMBER(AO571),ISNUMBER({ROIC})),AO571-{ROIC},"")</f>
        <v/>
      </c>
      <c r="AQ571" s="17">
        <f>IF(AND(ISNUMBER(AE571),ISNUMBER(N571)),AE571+N571,"")</f>
        <v/>
      </c>
      <c r="AR571" s="20">
        <f>IF(AND(ISNUMBER(AH571),ISNUMBER(T571),ISNUMBER(AQ571),AQ571&gt;0),(AH571-T571)/AQ571,"")</f>
        <v/>
      </c>
      <c r="AS571" s="20">
        <f>IF(AND(ISNUMBER(AE571),ISNUMBER(I571),I571&lt;&gt;0,AE571&gt;0),AE571/I571,"")</f>
        <v/>
      </c>
      <c r="AT571" s="17">
        <f>IF(AND(ISNUMBER(Y571),ISNUMBER(AA571)),Y571-IF(ISNUMBER(T571),T571,0)-(AA571-IF(ISNUMBER(V571),V571,0)),"")</f>
        <v/>
      </c>
      <c r="AU571" s="17">
        <f>IF(AND(ISNUMBER(Z571),ISNUMBER(AB571)),Z571-IF(ISNUMBER(U571),U571,0)-(AB571-IF(ISNUMBER(W571),W571,0)),"")</f>
        <v/>
      </c>
      <c r="AV571" s="17">
        <f>IF(AND(ISNUMBER(AT571),ISNUMBER(AU571)),AT571-AU571,"")</f>
        <v/>
      </c>
      <c r="AW571" s="17">
        <f>IF(AND(ISNUMBER(L571),ISNUMBER(M571),ISNUMBER(AF571)),L571-M571*(1-AF571),IF(ISNUMBER(L571),L571,""))</f>
        <v/>
      </c>
      <c r="AX571" s="17">
        <f>IF(E571="금융","",IF(AND(ISNUMBER(AW571),ISNUMBER(N571),ISNUMBER(O571),ISNUMBER(AV571)),AW571+N571-O571-AV571,IF(AND(ISNUMBER(P571),ISNUMBER(O571)),P571-O571-IF(ISNUMBER(Q571),Q571,0),"")))</f>
        <v/>
      </c>
      <c r="AY571" s="8">
        <f>IF(E571="금융","금융업 - 정의되지 않음",IF(AND(ISNUMBER(AW571),ISNUMBER(N571),ISNUMBER(O571),ISNUMBER(AV571)),"영업순이익+감가상각-설비투자-운전자본증감",IF(AND(ISNUMBER(P571),ISNUMBER(O571)),IF(ISNUMBER(Q571),"영업현금흐름-설비투자-주식보상비용","영업현금흐름-설비투자(주식보상비용 미태깅)"),"산출불가")))</f>
        <v/>
      </c>
      <c r="AZ571" s="19">
        <f>IF(AND(ISNUMBER(AX571),ISNUMBER(G571),G571&lt;&gt;0),AX571/G571,"")</f>
        <v/>
      </c>
      <c r="BA571" s="19">
        <f>IF(AND(ISNUMBER(AE571),ISNUMBER(G571),G571&lt;&gt;0),AE571/G571,"")</f>
        <v/>
      </c>
    </row>
    <row r="572">
      <c r="A572" s="8" t="inlineStr">
        <is>
          <t>C</t>
        </is>
      </c>
      <c r="B572" s="8" t="inlineStr">
        <is>
          <t>CITIGROUP INC</t>
        </is>
      </c>
      <c r="C572" s="8" t="n">
        <v>2019</v>
      </c>
      <c r="D572" s="8" t="inlineStr">
        <is>
          <t>2019-12-31</t>
        </is>
      </c>
      <c r="E572" s="8" t="inlineStr">
        <is>
          <t>금융</t>
        </is>
      </c>
      <c r="F572" s="8" t="inlineStr">
        <is>
          <t>0000831001-22-000036</t>
        </is>
      </c>
      <c r="G572" s="15" t="n">
        <v>75.06699999999999</v>
      </c>
      <c r="H572" s="15" t="n">
        <v>23.901</v>
      </c>
      <c r="I572" s="15" t="n">
        <v>48.128</v>
      </c>
      <c r="J572" s="15" t="n">
        <v>4.43</v>
      </c>
      <c r="K572" s="15" t="n"/>
      <c r="L572" s="15" t="n">
        <v>19.401</v>
      </c>
      <c r="M572" s="15" t="n">
        <v>1.474</v>
      </c>
      <c r="N572" s="15" t="n">
        <v>3.905</v>
      </c>
      <c r="O572" s="15" t="n">
        <v>5.336</v>
      </c>
      <c r="P572" s="15" t="n">
        <v>-12.837</v>
      </c>
      <c r="Q572" s="15" t="n"/>
      <c r="R572" s="15" t="n">
        <v>193.242</v>
      </c>
      <c r="S572" s="15" t="n">
        <v>196.22</v>
      </c>
      <c r="T572" s="15" t="n">
        <v>193.919</v>
      </c>
      <c r="U572" s="15" t="n">
        <v>188.105</v>
      </c>
      <c r="V572" s="15" t="n">
        <v>45.049</v>
      </c>
      <c r="W572" s="15" t="n">
        <v>32.346</v>
      </c>
      <c r="X572" s="15" t="n">
        <v>248.76</v>
      </c>
      <c r="Y572" s="15" t="n"/>
      <c r="Z572" s="15" t="n"/>
      <c r="AA572" s="15" t="n"/>
      <c r="AB572" s="15" t="n"/>
      <c r="AC572" s="15" t="n"/>
      <c r="AD572" s="16" t="n">
        <v>2265.3</v>
      </c>
      <c r="AE572" s="17">
        <f>IF(ISNUMBER(K572),K572,IF(AND(ISNUMBER(H572),ISNUMBER(I572)),H572+I572,IF(ISNUMBER(H572),H572,"")))</f>
        <v/>
      </c>
      <c r="AF572" s="18">
        <f>IF(OR(NOT(ISNUMBER(J572)),NOT(ISNUMBER(H572)),H572&lt;=0),기준표!$B$8,MIN(MAX(J572/H572,기준표!$B$6),기준표!$B$7))</f>
        <v/>
      </c>
      <c r="AG572" s="17">
        <f>IF(ISNUMBER(AE572),AE572*(1-AF572),"")</f>
        <v/>
      </c>
      <c r="AH572" s="17">
        <f>IF(AND(NOT(ISNUMBER(V572)),NOT(ISNUMBER(X572))),"",IF(ISNUMBER(V572),V572,0)+IF(ISNUMBER(X572),X572,0))</f>
        <v/>
      </c>
      <c r="AI572" s="17">
        <f>IF(E572="금융","",IF(AND(ISNUMBER(R572),ISNUMBER(AH572),ISNUMBER(T572)),R572+AH572-T572,""))</f>
        <v/>
      </c>
      <c r="AJ572" s="17">
        <f>IF(E572="금융","",IF(NOT(ISNUMBER(AI572)),"",IF(ISNUMBER(AC572),(AI572+AC572)/2,AI572)))</f>
        <v/>
      </c>
      <c r="AK572" s="19">
        <f>IF(AND(ISNUMBER(AG572),ISNUMBER(AJ572),AJ572&gt;0),AG572/AJ572,"")</f>
        <v/>
      </c>
      <c r="AL572" s="17">
        <f>IF(E572="금융","",IF(AND(ISNUMBER(R572),ISNUMBER(AH572)),R572+AH572,""))</f>
        <v/>
      </c>
      <c r="AM572" s="19">
        <f>IF(OR(NOT(ISNUMBER(AG572)),NOT(ISNUMBER(AL572)),AL572&lt;=0),"",IF(AND(ISNUMBER(G572),AL572&lt;0.1*G572),"",AG572/AL572))</f>
        <v/>
      </c>
      <c r="AN572" s="17">
        <f>IF(NOT(ISNUMBER(R572)),"",IF(ISNUMBER(S572),(R572+S572)/2,R572))</f>
        <v/>
      </c>
      <c r="AO572" s="19">
        <f>IF(AND(ISNUMBER(L572),ISNUMBER(AN572),AN572&gt;0),L572/AN572,"")</f>
        <v/>
      </c>
      <c r="AP572" s="19">
        <f>IF(AND(ISNUMBER(AO572),ISNUMBER({ROIC})),AO572-{ROIC},"")</f>
        <v/>
      </c>
      <c r="AQ572" s="17">
        <f>IF(AND(ISNUMBER(AE572),ISNUMBER(N572)),AE572+N572,"")</f>
        <v/>
      </c>
      <c r="AR572" s="20">
        <f>IF(AND(ISNUMBER(AH572),ISNUMBER(T572),ISNUMBER(AQ572),AQ572&gt;0),(AH572-T572)/AQ572,"")</f>
        <v/>
      </c>
      <c r="AS572" s="20">
        <f>IF(AND(ISNUMBER(AE572),ISNUMBER(I572),I572&lt;&gt;0,AE572&gt;0),AE572/I572,"")</f>
        <v/>
      </c>
      <c r="AT572" s="17">
        <f>IF(AND(ISNUMBER(Y572),ISNUMBER(AA572)),Y572-IF(ISNUMBER(T572),T572,0)-(AA572-IF(ISNUMBER(V572),V572,0)),"")</f>
        <v/>
      </c>
      <c r="AU572" s="17">
        <f>IF(AND(ISNUMBER(Z572),ISNUMBER(AB572)),Z572-IF(ISNUMBER(U572),U572,0)-(AB572-IF(ISNUMBER(W572),W572,0)),"")</f>
        <v/>
      </c>
      <c r="AV572" s="17">
        <f>IF(AND(ISNUMBER(AT572),ISNUMBER(AU572)),AT572-AU572,"")</f>
        <v/>
      </c>
      <c r="AW572" s="17">
        <f>IF(AND(ISNUMBER(L572),ISNUMBER(M572),ISNUMBER(AF572)),L572-M572*(1-AF572),IF(ISNUMBER(L572),L572,""))</f>
        <v/>
      </c>
      <c r="AX572" s="17">
        <f>IF(E572="금융","",IF(AND(ISNUMBER(AW572),ISNUMBER(N572),ISNUMBER(O572),ISNUMBER(AV572)),AW572+N572-O572-AV572,IF(AND(ISNUMBER(P572),ISNUMBER(O572)),P572-O572-IF(ISNUMBER(Q572),Q572,0),"")))</f>
        <v/>
      </c>
      <c r="AY572" s="8">
        <f>IF(E572="금융","금융업 - 정의되지 않음",IF(AND(ISNUMBER(AW572),ISNUMBER(N572),ISNUMBER(O572),ISNUMBER(AV572)),"영업순이익+감가상각-설비투자-운전자본증감",IF(AND(ISNUMBER(P572),ISNUMBER(O572)),IF(ISNUMBER(Q572),"영업현금흐름-설비투자-주식보상비용","영업현금흐름-설비투자(주식보상비용 미태깅)"),"산출불가")))</f>
        <v/>
      </c>
      <c r="AZ572" s="19">
        <f>IF(AND(ISNUMBER(AX572),ISNUMBER(G572),G572&lt;&gt;0),AX572/G572,"")</f>
        <v/>
      </c>
      <c r="BA572" s="19">
        <f>IF(AND(ISNUMBER(AE572),ISNUMBER(G572),G572&lt;&gt;0),AE572/G572,"")</f>
        <v/>
      </c>
    </row>
    <row r="573">
      <c r="A573" s="8" t="inlineStr">
        <is>
          <t>C</t>
        </is>
      </c>
      <c r="B573" s="8" t="inlineStr">
        <is>
          <t>CITIGROUP INC</t>
        </is>
      </c>
      <c r="C573" s="8" t="n">
        <v>2020</v>
      </c>
      <c r="D573" s="8" t="inlineStr">
        <is>
          <t>2020-12-31</t>
        </is>
      </c>
      <c r="E573" s="8" t="inlineStr">
        <is>
          <t>금융</t>
        </is>
      </c>
      <c r="F573" s="8" t="inlineStr">
        <is>
          <t>0000831001-23-000037</t>
        </is>
      </c>
      <c r="G573" s="15" t="n">
        <v>75.501</v>
      </c>
      <c r="H573" s="15" t="n">
        <v>13.632</v>
      </c>
      <c r="I573" s="15" t="n">
        <v>44.751</v>
      </c>
      <c r="J573" s="15" t="n">
        <v>2.525</v>
      </c>
      <c r="K573" s="15" t="n"/>
      <c r="L573" s="15" t="n">
        <v>11.047</v>
      </c>
      <c r="M573" s="15" t="n">
        <v>1.756</v>
      </c>
      <c r="N573" s="15" t="n">
        <v>3.937</v>
      </c>
      <c r="O573" s="15" t="n">
        <v>3.446</v>
      </c>
      <c r="P573" s="15" t="n">
        <v>-23.488</v>
      </c>
      <c r="Q573" s="15" t="n"/>
      <c r="R573" s="15" t="n">
        <v>199.442</v>
      </c>
      <c r="S573" s="15" t="n">
        <v>193.242</v>
      </c>
      <c r="T573" s="15" t="n">
        <v>309.615</v>
      </c>
      <c r="U573" s="15" t="n">
        <v>193.919</v>
      </c>
      <c r="V573" s="15" t="n">
        <v>29.514</v>
      </c>
      <c r="W573" s="15" t="n">
        <v>45.049</v>
      </c>
      <c r="X573" s="15" t="n">
        <v>271.686</v>
      </c>
      <c r="Y573" s="15" t="n"/>
      <c r="Z573" s="15" t="n"/>
      <c r="AA573" s="15" t="n"/>
      <c r="AB573" s="15" t="n"/>
      <c r="AC573" s="15" t="n"/>
      <c r="AD573" s="16" t="n">
        <v>2099</v>
      </c>
      <c r="AE573" s="17">
        <f>IF(ISNUMBER(K573),K573,IF(AND(ISNUMBER(H573),ISNUMBER(I573)),H573+I573,IF(ISNUMBER(H573),H573,"")))</f>
        <v/>
      </c>
      <c r="AF573" s="18">
        <f>IF(OR(NOT(ISNUMBER(J573)),NOT(ISNUMBER(H573)),H573&lt;=0),기준표!$B$8,MIN(MAX(J573/H573,기준표!$B$6),기준표!$B$7))</f>
        <v/>
      </c>
      <c r="AG573" s="17">
        <f>IF(ISNUMBER(AE573),AE573*(1-AF573),"")</f>
        <v/>
      </c>
      <c r="AH573" s="17">
        <f>IF(AND(NOT(ISNUMBER(V573)),NOT(ISNUMBER(X573))),"",IF(ISNUMBER(V573),V573,0)+IF(ISNUMBER(X573),X573,0))</f>
        <v/>
      </c>
      <c r="AI573" s="17">
        <f>IF(E573="금융","",IF(AND(ISNUMBER(R573),ISNUMBER(AH573),ISNUMBER(T573)),R573+AH573-T573,""))</f>
        <v/>
      </c>
      <c r="AJ573" s="17">
        <f>IF(E573="금융","",IF(NOT(ISNUMBER(AI573)),"",IF(ISNUMBER(AC573),(AI573+AC573)/2,AI573)))</f>
        <v/>
      </c>
      <c r="AK573" s="19">
        <f>IF(AND(ISNUMBER(AG573),ISNUMBER(AJ573),AJ573&gt;0),AG573/AJ573,"")</f>
        <v/>
      </c>
      <c r="AL573" s="17">
        <f>IF(E573="금융","",IF(AND(ISNUMBER(R573),ISNUMBER(AH573)),R573+AH573,""))</f>
        <v/>
      </c>
      <c r="AM573" s="19">
        <f>IF(OR(NOT(ISNUMBER(AG573)),NOT(ISNUMBER(AL573)),AL573&lt;=0),"",IF(AND(ISNUMBER(G573),AL573&lt;0.1*G573),"",AG573/AL573))</f>
        <v/>
      </c>
      <c r="AN573" s="17">
        <f>IF(NOT(ISNUMBER(R573)),"",IF(ISNUMBER(S573),(R573+S573)/2,R573))</f>
        <v/>
      </c>
      <c r="AO573" s="19">
        <f>IF(AND(ISNUMBER(L573),ISNUMBER(AN573),AN573&gt;0),L573/AN573,"")</f>
        <v/>
      </c>
      <c r="AP573" s="19">
        <f>IF(AND(ISNUMBER(AO573),ISNUMBER({ROIC})),AO573-{ROIC},"")</f>
        <v/>
      </c>
      <c r="AQ573" s="17">
        <f>IF(AND(ISNUMBER(AE573),ISNUMBER(N573)),AE573+N573,"")</f>
        <v/>
      </c>
      <c r="AR573" s="20">
        <f>IF(AND(ISNUMBER(AH573),ISNUMBER(T573),ISNUMBER(AQ573),AQ573&gt;0),(AH573-T573)/AQ573,"")</f>
        <v/>
      </c>
      <c r="AS573" s="20">
        <f>IF(AND(ISNUMBER(AE573),ISNUMBER(I573),I573&lt;&gt;0,AE573&gt;0),AE573/I573,"")</f>
        <v/>
      </c>
      <c r="AT573" s="17">
        <f>IF(AND(ISNUMBER(Y573),ISNUMBER(AA573)),Y573-IF(ISNUMBER(T573),T573,0)-(AA573-IF(ISNUMBER(V573),V573,0)),"")</f>
        <v/>
      </c>
      <c r="AU573" s="17">
        <f>IF(AND(ISNUMBER(Z573),ISNUMBER(AB573)),Z573-IF(ISNUMBER(U573),U573,0)-(AB573-IF(ISNUMBER(W573),W573,0)),"")</f>
        <v/>
      </c>
      <c r="AV573" s="17">
        <f>IF(AND(ISNUMBER(AT573),ISNUMBER(AU573)),AT573-AU573,"")</f>
        <v/>
      </c>
      <c r="AW573" s="17">
        <f>IF(AND(ISNUMBER(L573),ISNUMBER(M573),ISNUMBER(AF573)),L573-M573*(1-AF573),IF(ISNUMBER(L573),L573,""))</f>
        <v/>
      </c>
      <c r="AX573" s="17">
        <f>IF(E573="금융","",IF(AND(ISNUMBER(AW573),ISNUMBER(N573),ISNUMBER(O573),ISNUMBER(AV573)),AW573+N573-O573-AV573,IF(AND(ISNUMBER(P573),ISNUMBER(O573)),P573-O573-IF(ISNUMBER(Q573),Q573,0),"")))</f>
        <v/>
      </c>
      <c r="AY573" s="8">
        <f>IF(E573="금융","금융업 - 정의되지 않음",IF(AND(ISNUMBER(AW573),ISNUMBER(N573),ISNUMBER(O573),ISNUMBER(AV573)),"영업순이익+감가상각-설비투자-운전자본증감",IF(AND(ISNUMBER(P573),ISNUMBER(O573)),IF(ISNUMBER(Q573),"영업현금흐름-설비투자-주식보상비용","영업현금흐름-설비투자(주식보상비용 미태깅)"),"산출불가")))</f>
        <v/>
      </c>
      <c r="AZ573" s="19">
        <f>IF(AND(ISNUMBER(AX573),ISNUMBER(G573),G573&lt;&gt;0),AX573/G573,"")</f>
        <v/>
      </c>
      <c r="BA573" s="19">
        <f>IF(AND(ISNUMBER(AE573),ISNUMBER(G573),G573&lt;&gt;0),AE573/G573,"")</f>
        <v/>
      </c>
    </row>
    <row r="574">
      <c r="A574" s="8" t="inlineStr">
        <is>
          <t>C</t>
        </is>
      </c>
      <c r="B574" s="8" t="inlineStr">
        <is>
          <t>CITIGROUP INC</t>
        </is>
      </c>
      <c r="C574" s="8" t="n">
        <v>2021</v>
      </c>
      <c r="D574" s="8" t="inlineStr">
        <is>
          <t>2021-12-31</t>
        </is>
      </c>
      <c r="E574" s="8" t="inlineStr">
        <is>
          <t>금융</t>
        </is>
      </c>
      <c r="F574" s="8" t="inlineStr">
        <is>
          <t>0000831001-24-000033</t>
        </is>
      </c>
      <c r="G574" s="15" t="n">
        <v>71.884</v>
      </c>
      <c r="H574" s="15" t="n">
        <v>27.469</v>
      </c>
      <c r="I574" s="15" t="n">
        <v>42.494</v>
      </c>
      <c r="J574" s="15" t="n">
        <v>5.451</v>
      </c>
      <c r="K574" s="15" t="n"/>
      <c r="L574" s="15" t="n">
        <v>21.952</v>
      </c>
      <c r="M574" s="15" t="n">
        <v>0.665</v>
      </c>
      <c r="N574" s="15" t="n">
        <v>3.964</v>
      </c>
      <c r="O574" s="15" t="n">
        <v>4.119</v>
      </c>
      <c r="P574" s="15" t="n">
        <v>47.09</v>
      </c>
      <c r="Q574" s="15" t="n"/>
      <c r="R574" s="15" t="n">
        <v>201.972</v>
      </c>
      <c r="S574" s="15" t="n">
        <v>199.442</v>
      </c>
      <c r="T574" s="15" t="n">
        <v>262.033</v>
      </c>
      <c r="U574" s="15" t="n">
        <v>309.615</v>
      </c>
      <c r="V574" s="15" t="n">
        <v>27.973</v>
      </c>
      <c r="W574" s="15" t="n">
        <v>29.514</v>
      </c>
      <c r="X574" s="15" t="n">
        <v>254.374</v>
      </c>
      <c r="Y574" s="15" t="n"/>
      <c r="Z574" s="15" t="n"/>
      <c r="AA574" s="15" t="n"/>
      <c r="AB574" s="15" t="n"/>
      <c r="AC574" s="15" t="n"/>
      <c r="AD574" s="16" t="n">
        <v>2049.4</v>
      </c>
      <c r="AE574" s="17">
        <f>IF(ISNUMBER(K574),K574,IF(AND(ISNUMBER(H574),ISNUMBER(I574)),H574+I574,IF(ISNUMBER(H574),H574,"")))</f>
        <v/>
      </c>
      <c r="AF574" s="18">
        <f>IF(OR(NOT(ISNUMBER(J574)),NOT(ISNUMBER(H574)),H574&lt;=0),기준표!$B$8,MIN(MAX(J574/H574,기준표!$B$6),기준표!$B$7))</f>
        <v/>
      </c>
      <c r="AG574" s="17">
        <f>IF(ISNUMBER(AE574),AE574*(1-AF574),"")</f>
        <v/>
      </c>
      <c r="AH574" s="17">
        <f>IF(AND(NOT(ISNUMBER(V574)),NOT(ISNUMBER(X574))),"",IF(ISNUMBER(V574),V574,0)+IF(ISNUMBER(X574),X574,0))</f>
        <v/>
      </c>
      <c r="AI574" s="17">
        <f>IF(E574="금융","",IF(AND(ISNUMBER(R574),ISNUMBER(AH574),ISNUMBER(T574)),R574+AH574-T574,""))</f>
        <v/>
      </c>
      <c r="AJ574" s="17">
        <f>IF(E574="금융","",IF(NOT(ISNUMBER(AI574)),"",IF(ISNUMBER(AC574),(AI574+AC574)/2,AI574)))</f>
        <v/>
      </c>
      <c r="AK574" s="19">
        <f>IF(AND(ISNUMBER(AG574),ISNUMBER(AJ574),AJ574&gt;0),AG574/AJ574,"")</f>
        <v/>
      </c>
      <c r="AL574" s="17">
        <f>IF(E574="금융","",IF(AND(ISNUMBER(R574),ISNUMBER(AH574)),R574+AH574,""))</f>
        <v/>
      </c>
      <c r="AM574" s="19">
        <f>IF(OR(NOT(ISNUMBER(AG574)),NOT(ISNUMBER(AL574)),AL574&lt;=0),"",IF(AND(ISNUMBER(G574),AL574&lt;0.1*G574),"",AG574/AL574))</f>
        <v/>
      </c>
      <c r="AN574" s="17">
        <f>IF(NOT(ISNUMBER(R574)),"",IF(ISNUMBER(S574),(R574+S574)/2,R574))</f>
        <v/>
      </c>
      <c r="AO574" s="19">
        <f>IF(AND(ISNUMBER(L574),ISNUMBER(AN574),AN574&gt;0),L574/AN574,"")</f>
        <v/>
      </c>
      <c r="AP574" s="19">
        <f>IF(AND(ISNUMBER(AO574),ISNUMBER({ROIC})),AO574-{ROIC},"")</f>
        <v/>
      </c>
      <c r="AQ574" s="17">
        <f>IF(AND(ISNUMBER(AE574),ISNUMBER(N574)),AE574+N574,"")</f>
        <v/>
      </c>
      <c r="AR574" s="20">
        <f>IF(AND(ISNUMBER(AH574),ISNUMBER(T574),ISNUMBER(AQ574),AQ574&gt;0),(AH574-T574)/AQ574,"")</f>
        <v/>
      </c>
      <c r="AS574" s="20">
        <f>IF(AND(ISNUMBER(AE574),ISNUMBER(I574),I574&lt;&gt;0,AE574&gt;0),AE574/I574,"")</f>
        <v/>
      </c>
      <c r="AT574" s="17">
        <f>IF(AND(ISNUMBER(Y574),ISNUMBER(AA574)),Y574-IF(ISNUMBER(T574),T574,0)-(AA574-IF(ISNUMBER(V574),V574,0)),"")</f>
        <v/>
      </c>
      <c r="AU574" s="17">
        <f>IF(AND(ISNUMBER(Z574),ISNUMBER(AB574)),Z574-IF(ISNUMBER(U574),U574,0)-(AB574-IF(ISNUMBER(W574),W574,0)),"")</f>
        <v/>
      </c>
      <c r="AV574" s="17">
        <f>IF(AND(ISNUMBER(AT574),ISNUMBER(AU574)),AT574-AU574,"")</f>
        <v/>
      </c>
      <c r="AW574" s="17">
        <f>IF(AND(ISNUMBER(L574),ISNUMBER(M574),ISNUMBER(AF574)),L574-M574*(1-AF574),IF(ISNUMBER(L574),L574,""))</f>
        <v/>
      </c>
      <c r="AX574" s="17">
        <f>IF(E574="금융","",IF(AND(ISNUMBER(AW574),ISNUMBER(N574),ISNUMBER(O574),ISNUMBER(AV574)),AW574+N574-O574-AV574,IF(AND(ISNUMBER(P574),ISNUMBER(O574)),P574-O574-IF(ISNUMBER(Q574),Q574,0),"")))</f>
        <v/>
      </c>
      <c r="AY574" s="8">
        <f>IF(E574="금융","금융업 - 정의되지 않음",IF(AND(ISNUMBER(AW574),ISNUMBER(N574),ISNUMBER(O574),ISNUMBER(AV574)),"영업순이익+감가상각-설비투자-운전자본증감",IF(AND(ISNUMBER(P574),ISNUMBER(O574)),IF(ISNUMBER(Q574),"영업현금흐름-설비투자-주식보상비용","영업현금흐름-설비투자(주식보상비용 미태깅)"),"산출불가")))</f>
        <v/>
      </c>
      <c r="AZ574" s="19">
        <f>IF(AND(ISNUMBER(AX574),ISNUMBER(G574),G574&lt;&gt;0),AX574/G574,"")</f>
        <v/>
      </c>
      <c r="BA574" s="19">
        <f>IF(AND(ISNUMBER(AE574),ISNUMBER(G574),G574&lt;&gt;0),AE574/G574,"")</f>
        <v/>
      </c>
    </row>
    <row r="575">
      <c r="A575" s="8" t="inlineStr">
        <is>
          <t>C</t>
        </is>
      </c>
      <c r="B575" s="8" t="inlineStr">
        <is>
          <t>CITIGROUP INC</t>
        </is>
      </c>
      <c r="C575" s="8" t="n">
        <v>2022</v>
      </c>
      <c r="D575" s="8" t="inlineStr">
        <is>
          <t>2022-12-31</t>
        </is>
      </c>
      <c r="E575" s="8" t="inlineStr">
        <is>
          <t>금융</t>
        </is>
      </c>
      <c r="F575" s="8" t="inlineStr">
        <is>
          <t>0000831001-25-000067</t>
        </is>
      </c>
      <c r="G575" s="15" t="n">
        <v>75.33799999999999</v>
      </c>
      <c r="H575" s="15" t="n">
        <v>18.807</v>
      </c>
      <c r="I575" s="15" t="n">
        <v>48.668</v>
      </c>
      <c r="J575" s="15" t="n">
        <v>3.642</v>
      </c>
      <c r="K575" s="15" t="n"/>
      <c r="L575" s="15" t="n">
        <v>14.845</v>
      </c>
      <c r="M575" s="15" t="n">
        <v>0.067</v>
      </c>
      <c r="N575" s="15" t="n">
        <v>4.262</v>
      </c>
      <c r="O575" s="15" t="n">
        <v>5.632</v>
      </c>
      <c r="P575" s="15" t="n">
        <v>25.069</v>
      </c>
      <c r="Q575" s="15" t="n"/>
      <c r="R575" s="15" t="n">
        <v>201.189</v>
      </c>
      <c r="S575" s="15" t="n">
        <v>201.972</v>
      </c>
      <c r="T575" s="15" t="n">
        <v>342.025</v>
      </c>
      <c r="U575" s="15" t="n">
        <v>262.033</v>
      </c>
      <c r="V575" s="15" t="n">
        <v>47.096</v>
      </c>
      <c r="W575" s="15" t="n">
        <v>27.973</v>
      </c>
      <c r="X575" s="15" t="n">
        <v>271.606</v>
      </c>
      <c r="Y575" s="15" t="n"/>
      <c r="Z575" s="15" t="n"/>
      <c r="AA575" s="15" t="n"/>
      <c r="AB575" s="15" t="n"/>
      <c r="AC575" s="15" t="n"/>
      <c r="AD575" s="16" t="n">
        <v>1964.3</v>
      </c>
      <c r="AE575" s="17">
        <f>IF(ISNUMBER(K575),K575,IF(AND(ISNUMBER(H575),ISNUMBER(I575)),H575+I575,IF(ISNUMBER(H575),H575,"")))</f>
        <v/>
      </c>
      <c r="AF575" s="18">
        <f>IF(OR(NOT(ISNUMBER(J575)),NOT(ISNUMBER(H575)),H575&lt;=0),기준표!$B$8,MIN(MAX(J575/H575,기준표!$B$6),기준표!$B$7))</f>
        <v/>
      </c>
      <c r="AG575" s="17">
        <f>IF(ISNUMBER(AE575),AE575*(1-AF575),"")</f>
        <v/>
      </c>
      <c r="AH575" s="17">
        <f>IF(AND(NOT(ISNUMBER(V575)),NOT(ISNUMBER(X575))),"",IF(ISNUMBER(V575),V575,0)+IF(ISNUMBER(X575),X575,0))</f>
        <v/>
      </c>
      <c r="AI575" s="17">
        <f>IF(E575="금융","",IF(AND(ISNUMBER(R575),ISNUMBER(AH575),ISNUMBER(T575)),R575+AH575-T575,""))</f>
        <v/>
      </c>
      <c r="AJ575" s="17">
        <f>IF(E575="금융","",IF(NOT(ISNUMBER(AI575)),"",IF(ISNUMBER(AC575),(AI575+AC575)/2,AI575)))</f>
        <v/>
      </c>
      <c r="AK575" s="19">
        <f>IF(AND(ISNUMBER(AG575),ISNUMBER(AJ575),AJ575&gt;0),AG575/AJ575,"")</f>
        <v/>
      </c>
      <c r="AL575" s="17">
        <f>IF(E575="금융","",IF(AND(ISNUMBER(R575),ISNUMBER(AH575)),R575+AH575,""))</f>
        <v/>
      </c>
      <c r="AM575" s="19">
        <f>IF(OR(NOT(ISNUMBER(AG575)),NOT(ISNUMBER(AL575)),AL575&lt;=0),"",IF(AND(ISNUMBER(G575),AL575&lt;0.1*G575),"",AG575/AL575))</f>
        <v/>
      </c>
      <c r="AN575" s="17">
        <f>IF(NOT(ISNUMBER(R575)),"",IF(ISNUMBER(S575),(R575+S575)/2,R575))</f>
        <v/>
      </c>
      <c r="AO575" s="19">
        <f>IF(AND(ISNUMBER(L575),ISNUMBER(AN575),AN575&gt;0),L575/AN575,"")</f>
        <v/>
      </c>
      <c r="AP575" s="19">
        <f>IF(AND(ISNUMBER(AO575),ISNUMBER({ROIC})),AO575-{ROIC},"")</f>
        <v/>
      </c>
      <c r="AQ575" s="17">
        <f>IF(AND(ISNUMBER(AE575),ISNUMBER(N575)),AE575+N575,"")</f>
        <v/>
      </c>
      <c r="AR575" s="20">
        <f>IF(AND(ISNUMBER(AH575),ISNUMBER(T575),ISNUMBER(AQ575),AQ575&gt;0),(AH575-T575)/AQ575,"")</f>
        <v/>
      </c>
      <c r="AS575" s="20">
        <f>IF(AND(ISNUMBER(AE575),ISNUMBER(I575),I575&lt;&gt;0,AE575&gt;0),AE575/I575,"")</f>
        <v/>
      </c>
      <c r="AT575" s="17">
        <f>IF(AND(ISNUMBER(Y575),ISNUMBER(AA575)),Y575-IF(ISNUMBER(T575),T575,0)-(AA575-IF(ISNUMBER(V575),V575,0)),"")</f>
        <v/>
      </c>
      <c r="AU575" s="17">
        <f>IF(AND(ISNUMBER(Z575),ISNUMBER(AB575)),Z575-IF(ISNUMBER(U575),U575,0)-(AB575-IF(ISNUMBER(W575),W575,0)),"")</f>
        <v/>
      </c>
      <c r="AV575" s="17">
        <f>IF(AND(ISNUMBER(AT575),ISNUMBER(AU575)),AT575-AU575,"")</f>
        <v/>
      </c>
      <c r="AW575" s="17">
        <f>IF(AND(ISNUMBER(L575),ISNUMBER(M575),ISNUMBER(AF575)),L575-M575*(1-AF575),IF(ISNUMBER(L575),L575,""))</f>
        <v/>
      </c>
      <c r="AX575" s="17">
        <f>IF(E575="금융","",IF(AND(ISNUMBER(AW575),ISNUMBER(N575),ISNUMBER(O575),ISNUMBER(AV575)),AW575+N575-O575-AV575,IF(AND(ISNUMBER(P575),ISNUMBER(O575)),P575-O575-IF(ISNUMBER(Q575),Q575,0),"")))</f>
        <v/>
      </c>
      <c r="AY575" s="8">
        <f>IF(E575="금융","금융업 - 정의되지 않음",IF(AND(ISNUMBER(AW575),ISNUMBER(N575),ISNUMBER(O575),ISNUMBER(AV575)),"영업순이익+감가상각-설비투자-운전자본증감",IF(AND(ISNUMBER(P575),ISNUMBER(O575)),IF(ISNUMBER(Q575),"영업현금흐름-설비투자-주식보상비용","영업현금흐름-설비투자(주식보상비용 미태깅)"),"산출불가")))</f>
        <v/>
      </c>
      <c r="AZ575" s="19">
        <f>IF(AND(ISNUMBER(AX575),ISNUMBER(G575),G575&lt;&gt;0),AX575/G575,"")</f>
        <v/>
      </c>
      <c r="BA575" s="19">
        <f>IF(AND(ISNUMBER(AE575),ISNUMBER(G575),G575&lt;&gt;0),AE575/G575,"")</f>
        <v/>
      </c>
    </row>
    <row r="576">
      <c r="A576" s="8" t="inlineStr">
        <is>
          <t>C</t>
        </is>
      </c>
      <c r="B576" s="8" t="inlineStr">
        <is>
          <t>CITIGROUP INC</t>
        </is>
      </c>
      <c r="C576" s="8" t="n">
        <v>2023</v>
      </c>
      <c r="D576" s="8" t="inlineStr">
        <is>
          <t>2023-12-31</t>
        </is>
      </c>
      <c r="E576" s="8" t="inlineStr">
        <is>
          <t>금융</t>
        </is>
      </c>
      <c r="F576" s="8" t="inlineStr">
        <is>
          <t>0000831001-26-000011</t>
        </is>
      </c>
      <c r="G576" s="15" t="n">
        <v>78.066</v>
      </c>
      <c r="H576" s="15" t="n">
        <v>12.91</v>
      </c>
      <c r="I576" s="15" t="n">
        <v>54.9</v>
      </c>
      <c r="J576" s="15" t="n">
        <v>3.528</v>
      </c>
      <c r="K576" s="15" t="n"/>
      <c r="L576" s="15" t="n">
        <v>9.228</v>
      </c>
      <c r="M576" s="15" t="n">
        <v>0.188</v>
      </c>
      <c r="N576" s="15" t="n">
        <v>4.56</v>
      </c>
      <c r="O576" s="15" t="n">
        <v>6.583</v>
      </c>
      <c r="P576" s="15" t="n">
        <v>-73.416</v>
      </c>
      <c r="Q576" s="15" t="n"/>
      <c r="R576" s="15" t="n">
        <v>205.453</v>
      </c>
      <c r="S576" s="15" t="n">
        <v>201.189</v>
      </c>
      <c r="T576" s="15" t="n">
        <v>260.932</v>
      </c>
      <c r="U576" s="15" t="n">
        <v>342.025</v>
      </c>
      <c r="V576" s="15" t="n">
        <v>37.457</v>
      </c>
      <c r="W576" s="15" t="n">
        <v>47.096</v>
      </c>
      <c r="X576" s="15" t="n">
        <v>286.619</v>
      </c>
      <c r="Y576" s="15" t="n"/>
      <c r="Z576" s="15" t="n"/>
      <c r="AA576" s="15" t="n"/>
      <c r="AB576" s="15" t="n"/>
      <c r="AC576" s="15" t="n"/>
      <c r="AD576" s="16" t="n">
        <v>1955.8</v>
      </c>
      <c r="AE576" s="17">
        <f>IF(ISNUMBER(K576),K576,IF(AND(ISNUMBER(H576),ISNUMBER(I576)),H576+I576,IF(ISNUMBER(H576),H576,"")))</f>
        <v/>
      </c>
      <c r="AF576" s="18">
        <f>IF(OR(NOT(ISNUMBER(J576)),NOT(ISNUMBER(H576)),H576&lt;=0),기준표!$B$8,MIN(MAX(J576/H576,기준표!$B$6),기준표!$B$7))</f>
        <v/>
      </c>
      <c r="AG576" s="17">
        <f>IF(ISNUMBER(AE576),AE576*(1-AF576),"")</f>
        <v/>
      </c>
      <c r="AH576" s="17">
        <f>IF(AND(NOT(ISNUMBER(V576)),NOT(ISNUMBER(X576))),"",IF(ISNUMBER(V576),V576,0)+IF(ISNUMBER(X576),X576,0))</f>
        <v/>
      </c>
      <c r="AI576" s="17">
        <f>IF(E576="금융","",IF(AND(ISNUMBER(R576),ISNUMBER(AH576),ISNUMBER(T576)),R576+AH576-T576,""))</f>
        <v/>
      </c>
      <c r="AJ576" s="17">
        <f>IF(E576="금융","",IF(NOT(ISNUMBER(AI576)),"",IF(ISNUMBER(AC576),(AI576+AC576)/2,AI576)))</f>
        <v/>
      </c>
      <c r="AK576" s="19">
        <f>IF(AND(ISNUMBER(AG576),ISNUMBER(AJ576),AJ576&gt;0),AG576/AJ576,"")</f>
        <v/>
      </c>
      <c r="AL576" s="17">
        <f>IF(E576="금융","",IF(AND(ISNUMBER(R576),ISNUMBER(AH576)),R576+AH576,""))</f>
        <v/>
      </c>
      <c r="AM576" s="19">
        <f>IF(OR(NOT(ISNUMBER(AG576)),NOT(ISNUMBER(AL576)),AL576&lt;=0),"",IF(AND(ISNUMBER(G576),AL576&lt;0.1*G576),"",AG576/AL576))</f>
        <v/>
      </c>
      <c r="AN576" s="17">
        <f>IF(NOT(ISNUMBER(R576)),"",IF(ISNUMBER(S576),(R576+S576)/2,R576))</f>
        <v/>
      </c>
      <c r="AO576" s="19">
        <f>IF(AND(ISNUMBER(L576),ISNUMBER(AN576),AN576&gt;0),L576/AN576,"")</f>
        <v/>
      </c>
      <c r="AP576" s="19">
        <f>IF(AND(ISNUMBER(AO576),ISNUMBER({ROIC})),AO576-{ROIC},"")</f>
        <v/>
      </c>
      <c r="AQ576" s="17">
        <f>IF(AND(ISNUMBER(AE576),ISNUMBER(N576)),AE576+N576,"")</f>
        <v/>
      </c>
      <c r="AR576" s="20">
        <f>IF(AND(ISNUMBER(AH576),ISNUMBER(T576),ISNUMBER(AQ576),AQ576&gt;0),(AH576-T576)/AQ576,"")</f>
        <v/>
      </c>
      <c r="AS576" s="20">
        <f>IF(AND(ISNUMBER(AE576),ISNUMBER(I576),I576&lt;&gt;0,AE576&gt;0),AE576/I576,"")</f>
        <v/>
      </c>
      <c r="AT576" s="17">
        <f>IF(AND(ISNUMBER(Y576),ISNUMBER(AA576)),Y576-IF(ISNUMBER(T576),T576,0)-(AA576-IF(ISNUMBER(V576),V576,0)),"")</f>
        <v/>
      </c>
      <c r="AU576" s="17">
        <f>IF(AND(ISNUMBER(Z576),ISNUMBER(AB576)),Z576-IF(ISNUMBER(U576),U576,0)-(AB576-IF(ISNUMBER(W576),W576,0)),"")</f>
        <v/>
      </c>
      <c r="AV576" s="17">
        <f>IF(AND(ISNUMBER(AT576),ISNUMBER(AU576)),AT576-AU576,"")</f>
        <v/>
      </c>
      <c r="AW576" s="17">
        <f>IF(AND(ISNUMBER(L576),ISNUMBER(M576),ISNUMBER(AF576)),L576-M576*(1-AF576),IF(ISNUMBER(L576),L576,""))</f>
        <v/>
      </c>
      <c r="AX576" s="17">
        <f>IF(E576="금융","",IF(AND(ISNUMBER(AW576),ISNUMBER(N576),ISNUMBER(O576),ISNUMBER(AV576)),AW576+N576-O576-AV576,IF(AND(ISNUMBER(P576),ISNUMBER(O576)),P576-O576-IF(ISNUMBER(Q576),Q576,0),"")))</f>
        <v/>
      </c>
      <c r="AY576" s="8">
        <f>IF(E576="금융","금융업 - 정의되지 않음",IF(AND(ISNUMBER(AW576),ISNUMBER(N576),ISNUMBER(O576),ISNUMBER(AV576)),"영업순이익+감가상각-설비투자-운전자본증감",IF(AND(ISNUMBER(P576),ISNUMBER(O576)),IF(ISNUMBER(Q576),"영업현금흐름-설비투자-주식보상비용","영업현금흐름-설비투자(주식보상비용 미태깅)"),"산출불가")))</f>
        <v/>
      </c>
      <c r="AZ576" s="19">
        <f>IF(AND(ISNUMBER(AX576),ISNUMBER(G576),G576&lt;&gt;0),AX576/G576,"")</f>
        <v/>
      </c>
      <c r="BA576" s="19">
        <f>IF(AND(ISNUMBER(AE576),ISNUMBER(G576),G576&lt;&gt;0),AE576/G576,"")</f>
        <v/>
      </c>
    </row>
    <row r="577">
      <c r="A577" s="8" t="inlineStr">
        <is>
          <t>C</t>
        </is>
      </c>
      <c r="B577" s="8" t="inlineStr">
        <is>
          <t>CITIGROUP INC</t>
        </is>
      </c>
      <c r="C577" s="8" t="n">
        <v>2024</v>
      </c>
      <c r="D577" s="8" t="inlineStr">
        <is>
          <t>2024-12-31</t>
        </is>
      </c>
      <c r="E577" s="8" t="inlineStr">
        <is>
          <t>금융</t>
        </is>
      </c>
      <c r="F577" s="8" t="inlineStr">
        <is>
          <t>0000831001-26-000011</t>
        </is>
      </c>
      <c r="G577" s="15" t="n">
        <v>80.72199999999999</v>
      </c>
      <c r="H577" s="15" t="n">
        <v>17.046</v>
      </c>
      <c r="I577" s="15" t="n">
        <v>54.095</v>
      </c>
      <c r="J577" s="15" t="n">
        <v>4.211</v>
      </c>
      <c r="K577" s="15" t="n"/>
      <c r="L577" s="15" t="n">
        <v>12.682</v>
      </c>
      <c r="M577" s="15" t="n">
        <v>0.328</v>
      </c>
      <c r="N577" s="15" t="n">
        <v>4.311</v>
      </c>
      <c r="O577" s="15" t="n">
        <v>6.5</v>
      </c>
      <c r="P577" s="15" t="n">
        <v>-19.669</v>
      </c>
      <c r="Q577" s="15" t="n"/>
      <c r="R577" s="15" t="n">
        <v>208.598</v>
      </c>
      <c r="S577" s="15" t="n">
        <v>205.453</v>
      </c>
      <c r="T577" s="15" t="n">
        <v>276.532</v>
      </c>
      <c r="U577" s="15" t="n">
        <v>260.932</v>
      </c>
      <c r="V577" s="15" t="n">
        <v>48.505</v>
      </c>
      <c r="W577" s="15" t="n">
        <v>37.457</v>
      </c>
      <c r="X577" s="15" t="n">
        <v>287.3</v>
      </c>
      <c r="Y577" s="15" t="n"/>
      <c r="Z577" s="15" t="n"/>
      <c r="AA577" s="15" t="n"/>
      <c r="AB577" s="15" t="n"/>
      <c r="AC577" s="15" t="n"/>
      <c r="AD577" s="16" t="n">
        <v>1940.1</v>
      </c>
      <c r="AE577" s="17">
        <f>IF(ISNUMBER(K577),K577,IF(AND(ISNUMBER(H577),ISNUMBER(I577)),H577+I577,IF(ISNUMBER(H577),H577,"")))</f>
        <v/>
      </c>
      <c r="AF577" s="18">
        <f>IF(OR(NOT(ISNUMBER(J577)),NOT(ISNUMBER(H577)),H577&lt;=0),기준표!$B$8,MIN(MAX(J577/H577,기준표!$B$6),기준표!$B$7))</f>
        <v/>
      </c>
      <c r="AG577" s="17">
        <f>IF(ISNUMBER(AE577),AE577*(1-AF577),"")</f>
        <v/>
      </c>
      <c r="AH577" s="17">
        <f>IF(AND(NOT(ISNUMBER(V577)),NOT(ISNUMBER(X577))),"",IF(ISNUMBER(V577),V577,0)+IF(ISNUMBER(X577),X577,0))</f>
        <v/>
      </c>
      <c r="AI577" s="17">
        <f>IF(E577="금융","",IF(AND(ISNUMBER(R577),ISNUMBER(AH577),ISNUMBER(T577)),R577+AH577-T577,""))</f>
        <v/>
      </c>
      <c r="AJ577" s="17">
        <f>IF(E577="금융","",IF(NOT(ISNUMBER(AI577)),"",IF(ISNUMBER(AC577),(AI577+AC577)/2,AI577)))</f>
        <v/>
      </c>
      <c r="AK577" s="19">
        <f>IF(AND(ISNUMBER(AG577),ISNUMBER(AJ577),AJ577&gt;0),AG577/AJ577,"")</f>
        <v/>
      </c>
      <c r="AL577" s="17">
        <f>IF(E577="금융","",IF(AND(ISNUMBER(R577),ISNUMBER(AH577)),R577+AH577,""))</f>
        <v/>
      </c>
      <c r="AM577" s="19">
        <f>IF(OR(NOT(ISNUMBER(AG577)),NOT(ISNUMBER(AL577)),AL577&lt;=0),"",IF(AND(ISNUMBER(G577),AL577&lt;0.1*G577),"",AG577/AL577))</f>
        <v/>
      </c>
      <c r="AN577" s="17">
        <f>IF(NOT(ISNUMBER(R577)),"",IF(ISNUMBER(S577),(R577+S577)/2,R577))</f>
        <v/>
      </c>
      <c r="AO577" s="19">
        <f>IF(AND(ISNUMBER(L577),ISNUMBER(AN577),AN577&gt;0),L577/AN577,"")</f>
        <v/>
      </c>
      <c r="AP577" s="19">
        <f>IF(AND(ISNUMBER(AO577),ISNUMBER({ROIC})),AO577-{ROIC},"")</f>
        <v/>
      </c>
      <c r="AQ577" s="17">
        <f>IF(AND(ISNUMBER(AE577),ISNUMBER(N577)),AE577+N577,"")</f>
        <v/>
      </c>
      <c r="AR577" s="20">
        <f>IF(AND(ISNUMBER(AH577),ISNUMBER(T577),ISNUMBER(AQ577),AQ577&gt;0),(AH577-T577)/AQ577,"")</f>
        <v/>
      </c>
      <c r="AS577" s="20">
        <f>IF(AND(ISNUMBER(AE577),ISNUMBER(I577),I577&lt;&gt;0,AE577&gt;0),AE577/I577,"")</f>
        <v/>
      </c>
      <c r="AT577" s="17">
        <f>IF(AND(ISNUMBER(Y577),ISNUMBER(AA577)),Y577-IF(ISNUMBER(T577),T577,0)-(AA577-IF(ISNUMBER(V577),V577,0)),"")</f>
        <v/>
      </c>
      <c r="AU577" s="17">
        <f>IF(AND(ISNUMBER(Z577),ISNUMBER(AB577)),Z577-IF(ISNUMBER(U577),U577,0)-(AB577-IF(ISNUMBER(W577),W577,0)),"")</f>
        <v/>
      </c>
      <c r="AV577" s="17">
        <f>IF(AND(ISNUMBER(AT577),ISNUMBER(AU577)),AT577-AU577,"")</f>
        <v/>
      </c>
      <c r="AW577" s="17">
        <f>IF(AND(ISNUMBER(L577),ISNUMBER(M577),ISNUMBER(AF577)),L577-M577*(1-AF577),IF(ISNUMBER(L577),L577,""))</f>
        <v/>
      </c>
      <c r="AX577" s="17">
        <f>IF(E577="금융","",IF(AND(ISNUMBER(AW577),ISNUMBER(N577),ISNUMBER(O577),ISNUMBER(AV577)),AW577+N577-O577-AV577,IF(AND(ISNUMBER(P577),ISNUMBER(O577)),P577-O577-IF(ISNUMBER(Q577),Q577,0),"")))</f>
        <v/>
      </c>
      <c r="AY577" s="8">
        <f>IF(E577="금융","금융업 - 정의되지 않음",IF(AND(ISNUMBER(AW577),ISNUMBER(N577),ISNUMBER(O577),ISNUMBER(AV577)),"영업순이익+감가상각-설비투자-운전자본증감",IF(AND(ISNUMBER(P577),ISNUMBER(O577)),IF(ISNUMBER(Q577),"영업현금흐름-설비투자-주식보상비용","영업현금흐름-설비투자(주식보상비용 미태깅)"),"산출불가")))</f>
        <v/>
      </c>
      <c r="AZ577" s="19">
        <f>IF(AND(ISNUMBER(AX577),ISNUMBER(G577),G577&lt;&gt;0),AX577/G577,"")</f>
        <v/>
      </c>
      <c r="BA577" s="19">
        <f>IF(AND(ISNUMBER(AE577),ISNUMBER(G577),G577&lt;&gt;0),AE577/G577,"")</f>
        <v/>
      </c>
    </row>
    <row r="578">
      <c r="A578" s="8" t="inlineStr">
        <is>
          <t>C</t>
        </is>
      </c>
      <c r="B578" s="8" t="inlineStr">
        <is>
          <t>CITIGROUP INC</t>
        </is>
      </c>
      <c r="C578" s="8" t="n">
        <v>2025</v>
      </c>
      <c r="D578" s="8" t="inlineStr">
        <is>
          <t>2025-12-31</t>
        </is>
      </c>
      <c r="E578" s="8" t="inlineStr">
        <is>
          <t>금융</t>
        </is>
      </c>
      <c r="F578" s="8" t="inlineStr">
        <is>
          <t>0000831001-26-000011</t>
        </is>
      </c>
      <c r="G578" s="15" t="n">
        <v>85.22499999999999</v>
      </c>
      <c r="H578" s="15" t="n">
        <v>19.828</v>
      </c>
      <c r="I578" s="15" t="n">
        <v>59.792</v>
      </c>
      <c r="J578" s="15" t="n">
        <v>5.373</v>
      </c>
      <c r="K578" s="15" t="n"/>
      <c r="L578" s="15" t="n">
        <v>14.306</v>
      </c>
      <c r="M578" s="15" t="n">
        <v>0.471</v>
      </c>
      <c r="N578" s="15" t="n">
        <v>4.373</v>
      </c>
      <c r="O578" s="15" t="n">
        <v>6.52</v>
      </c>
      <c r="P578" s="15" t="n">
        <v>-67.63200000000001</v>
      </c>
      <c r="Q578" s="15" t="n"/>
      <c r="R578" s="15" t="n">
        <v>212.291</v>
      </c>
      <c r="S578" s="15" t="n">
        <v>208.598</v>
      </c>
      <c r="T578" s="15" t="n">
        <v>349.579</v>
      </c>
      <c r="U578" s="15" t="n">
        <v>276.532</v>
      </c>
      <c r="V578" s="15" t="n">
        <v>51.878</v>
      </c>
      <c r="W578" s="15" t="n">
        <v>48.505</v>
      </c>
      <c r="X578" s="15" t="n">
        <v>315.827</v>
      </c>
      <c r="Y578" s="15" t="n"/>
      <c r="Z578" s="15" t="n"/>
      <c r="AA578" s="15" t="n"/>
      <c r="AB578" s="15" t="n"/>
      <c r="AC578" s="15" t="n"/>
      <c r="AD578" s="16" t="n">
        <v>1873.1</v>
      </c>
      <c r="AE578" s="17">
        <f>IF(ISNUMBER(K578),K578,IF(AND(ISNUMBER(H578),ISNUMBER(I578)),H578+I578,IF(ISNUMBER(H578),H578,"")))</f>
        <v/>
      </c>
      <c r="AF578" s="18">
        <f>IF(OR(NOT(ISNUMBER(J578)),NOT(ISNUMBER(H578)),H578&lt;=0),기준표!$B$8,MIN(MAX(J578/H578,기준표!$B$6),기준표!$B$7))</f>
        <v/>
      </c>
      <c r="AG578" s="17">
        <f>IF(ISNUMBER(AE578),AE578*(1-AF578),"")</f>
        <v/>
      </c>
      <c r="AH578" s="17">
        <f>IF(AND(NOT(ISNUMBER(V578)),NOT(ISNUMBER(X578))),"",IF(ISNUMBER(V578),V578,0)+IF(ISNUMBER(X578),X578,0))</f>
        <v/>
      </c>
      <c r="AI578" s="17">
        <f>IF(E578="금융","",IF(AND(ISNUMBER(R578),ISNUMBER(AH578),ISNUMBER(T578)),R578+AH578-T578,""))</f>
        <v/>
      </c>
      <c r="AJ578" s="17">
        <f>IF(E578="금융","",IF(NOT(ISNUMBER(AI578)),"",IF(ISNUMBER(AC578),(AI578+AC578)/2,AI578)))</f>
        <v/>
      </c>
      <c r="AK578" s="19">
        <f>IF(AND(ISNUMBER(AG578),ISNUMBER(AJ578),AJ578&gt;0),AG578/AJ578,"")</f>
        <v/>
      </c>
      <c r="AL578" s="17">
        <f>IF(E578="금융","",IF(AND(ISNUMBER(R578),ISNUMBER(AH578)),R578+AH578,""))</f>
        <v/>
      </c>
      <c r="AM578" s="19">
        <f>IF(OR(NOT(ISNUMBER(AG578)),NOT(ISNUMBER(AL578)),AL578&lt;=0),"",IF(AND(ISNUMBER(G578),AL578&lt;0.1*G578),"",AG578/AL578))</f>
        <v/>
      </c>
      <c r="AN578" s="17">
        <f>IF(NOT(ISNUMBER(R578)),"",IF(ISNUMBER(S578),(R578+S578)/2,R578))</f>
        <v/>
      </c>
      <c r="AO578" s="19">
        <f>IF(AND(ISNUMBER(L578),ISNUMBER(AN578),AN578&gt;0),L578/AN578,"")</f>
        <v/>
      </c>
      <c r="AP578" s="19">
        <f>IF(AND(ISNUMBER(AO578),ISNUMBER({ROIC})),AO578-{ROIC},"")</f>
        <v/>
      </c>
      <c r="AQ578" s="17">
        <f>IF(AND(ISNUMBER(AE578),ISNUMBER(N578)),AE578+N578,"")</f>
        <v/>
      </c>
      <c r="AR578" s="20">
        <f>IF(AND(ISNUMBER(AH578),ISNUMBER(T578),ISNUMBER(AQ578),AQ578&gt;0),(AH578-T578)/AQ578,"")</f>
        <v/>
      </c>
      <c r="AS578" s="20">
        <f>IF(AND(ISNUMBER(AE578),ISNUMBER(I578),I578&lt;&gt;0,AE578&gt;0),AE578/I578,"")</f>
        <v/>
      </c>
      <c r="AT578" s="17">
        <f>IF(AND(ISNUMBER(Y578),ISNUMBER(AA578)),Y578-IF(ISNUMBER(T578),T578,0)-(AA578-IF(ISNUMBER(V578),V578,0)),"")</f>
        <v/>
      </c>
      <c r="AU578" s="17">
        <f>IF(AND(ISNUMBER(Z578),ISNUMBER(AB578)),Z578-IF(ISNUMBER(U578),U578,0)-(AB578-IF(ISNUMBER(W578),W578,0)),"")</f>
        <v/>
      </c>
      <c r="AV578" s="17">
        <f>IF(AND(ISNUMBER(AT578),ISNUMBER(AU578)),AT578-AU578,"")</f>
        <v/>
      </c>
      <c r="AW578" s="17">
        <f>IF(AND(ISNUMBER(L578),ISNUMBER(M578),ISNUMBER(AF578)),L578-M578*(1-AF578),IF(ISNUMBER(L578),L578,""))</f>
        <v/>
      </c>
      <c r="AX578" s="17">
        <f>IF(E578="금융","",IF(AND(ISNUMBER(AW578),ISNUMBER(N578),ISNUMBER(O578),ISNUMBER(AV578)),AW578+N578-O578-AV578,IF(AND(ISNUMBER(P578),ISNUMBER(O578)),P578-O578-IF(ISNUMBER(Q578),Q578,0),"")))</f>
        <v/>
      </c>
      <c r="AY578" s="8">
        <f>IF(E578="금융","금융업 - 정의되지 않음",IF(AND(ISNUMBER(AW578),ISNUMBER(N578),ISNUMBER(O578),ISNUMBER(AV578)),"영업순이익+감가상각-설비투자-운전자본증감",IF(AND(ISNUMBER(P578),ISNUMBER(O578)),IF(ISNUMBER(Q578),"영업현금흐름-설비투자-주식보상비용","영업현금흐름-설비투자(주식보상비용 미태깅)"),"산출불가")))</f>
        <v/>
      </c>
      <c r="AZ578" s="19">
        <f>IF(AND(ISNUMBER(AX578),ISNUMBER(G578),G578&lt;&gt;0),AX578/G578,"")</f>
        <v/>
      </c>
      <c r="BA578" s="19">
        <f>IF(AND(ISNUMBER(AE578),ISNUMBER(G578),G578&lt;&gt;0),AE578/G578,"")</f>
        <v/>
      </c>
    </row>
    <row r="579">
      <c r="A579" s="8" t="inlineStr">
        <is>
          <t>IBM</t>
        </is>
      </c>
      <c r="B579" s="8" t="inlineStr">
        <is>
          <t>INTERNATIONAL BUSINESS MACHINES CORP</t>
        </is>
      </c>
      <c r="C579" s="8" t="n">
        <v>2014</v>
      </c>
      <c r="D579" s="8" t="n"/>
      <c r="E579" s="8" t="inlineStr">
        <is>
          <t>일반</t>
        </is>
      </c>
      <c r="F579" s="8" t="n"/>
      <c r="G579" s="15" t="n">
        <v>92.79300000000001</v>
      </c>
      <c r="H579" s="15" t="n">
        <v>19.986</v>
      </c>
      <c r="I579" s="15" t="n">
        <v>0.484</v>
      </c>
      <c r="J579" s="15" t="n">
        <v>4.234</v>
      </c>
      <c r="K579" s="15" t="n"/>
      <c r="L579" s="15" t="n"/>
      <c r="M579" s="15" t="n"/>
      <c r="N579" s="15" t="n">
        <v>3.145</v>
      </c>
      <c r="O579" s="15" t="n">
        <v>3.74</v>
      </c>
      <c r="P579" s="15" t="n">
        <v>16.868</v>
      </c>
      <c r="Q579" s="15" t="n">
        <v>0.512</v>
      </c>
      <c r="R579" s="15" t="n">
        <v>11.868</v>
      </c>
      <c r="S579" s="15" t="n"/>
      <c r="T579" s="15" t="n">
        <v>8.476000000000001</v>
      </c>
      <c r="U579" s="15" t="n"/>
      <c r="V579" s="15" t="n"/>
      <c r="W579" s="15" t="n"/>
      <c r="X579" s="15" t="n">
        <v>34.991</v>
      </c>
      <c r="Y579" s="15" t="n">
        <v>47.377</v>
      </c>
      <c r="Z579" s="15" t="n"/>
      <c r="AA579" s="15" t="n">
        <v>39.581</v>
      </c>
      <c r="AB579" s="15" t="n"/>
      <c r="AC579" s="15" t="n"/>
      <c r="AD579" s="16" t="n">
        <v>990.523759</v>
      </c>
      <c r="AE579" s="17">
        <f>IF(ISNUMBER(K579),K579,IF(AND(ISNUMBER(H579),ISNUMBER(I579)),H579+I579,IF(ISNUMBER(H579),H579,"")))</f>
        <v/>
      </c>
      <c r="AF579" s="18">
        <f>IF(OR(NOT(ISNUMBER(J579)),NOT(ISNUMBER(H579)),H579&lt;=0),기준표!$B$8,MIN(MAX(J579/H579,기준표!$B$6),기준표!$B$7))</f>
        <v/>
      </c>
      <c r="AG579" s="17">
        <f>IF(ISNUMBER(AE579),AE579*(1-AF579),"")</f>
        <v/>
      </c>
      <c r="AH579" s="17">
        <f>IF(AND(NOT(ISNUMBER(V579)),NOT(ISNUMBER(X579))),"",IF(ISNUMBER(V579),V579,0)+IF(ISNUMBER(X579),X579,0))</f>
        <v/>
      </c>
      <c r="AI579" s="17">
        <f>IF(E579="금융","",IF(AND(ISNUMBER(R579),ISNUMBER(AH579),ISNUMBER(T579)),R579+AH579-T579,""))</f>
        <v/>
      </c>
      <c r="AJ579" s="17">
        <f>IF(E579="금융","",IF(NOT(ISNUMBER(AI579)),"",IF(ISNUMBER(AC579),(AI579+AC579)/2,AI579)))</f>
        <v/>
      </c>
      <c r="AK579" s="19">
        <f>IF(AND(ISNUMBER(AG579),ISNUMBER(AJ579),AJ579&gt;0),AG579/AJ579,"")</f>
        <v/>
      </c>
      <c r="AL579" s="17">
        <f>IF(E579="금융","",IF(AND(ISNUMBER(R579),ISNUMBER(AH579)),R579+AH579,""))</f>
        <v/>
      </c>
      <c r="AM579" s="19">
        <f>IF(OR(NOT(ISNUMBER(AG579)),NOT(ISNUMBER(AL579)),AL579&lt;=0),"",IF(AND(ISNUMBER(G579),AL579&lt;0.1*G579),"",AG579/AL579))</f>
        <v/>
      </c>
      <c r="AN579" s="17">
        <f>IF(NOT(ISNUMBER(R579)),"",IF(ISNUMBER(S579),(R579+S579)/2,R579))</f>
        <v/>
      </c>
      <c r="AO579" s="19">
        <f>IF(AND(ISNUMBER(L579),ISNUMBER(AN579),AN579&gt;0),L579/AN579,"")</f>
        <v/>
      </c>
      <c r="AP579" s="19">
        <f>IF(AND(ISNUMBER(AO579),ISNUMBER({ROIC})),AO579-{ROIC},"")</f>
        <v/>
      </c>
      <c r="AQ579" s="17">
        <f>IF(AND(ISNUMBER(AE579),ISNUMBER(N579)),AE579+N579,"")</f>
        <v/>
      </c>
      <c r="AR579" s="20">
        <f>IF(AND(ISNUMBER(AH579),ISNUMBER(T579),ISNUMBER(AQ579),AQ579&gt;0),(AH579-T579)/AQ579,"")</f>
        <v/>
      </c>
      <c r="AS579" s="20">
        <f>IF(AND(ISNUMBER(AE579),ISNUMBER(I579),I579&lt;&gt;0,AE579&gt;0),AE579/I579,"")</f>
        <v/>
      </c>
      <c r="AT579" s="17">
        <f>IF(AND(ISNUMBER(Y579),ISNUMBER(AA579)),Y579-IF(ISNUMBER(T579),T579,0)-(AA579-IF(ISNUMBER(V579),V579,0)),"")</f>
        <v/>
      </c>
      <c r="AU579" s="17">
        <f>IF(AND(ISNUMBER(Z579),ISNUMBER(AB579)),Z579-IF(ISNUMBER(U579),U579,0)-(AB579-IF(ISNUMBER(W579),W579,0)),"")</f>
        <v/>
      </c>
      <c r="AV579" s="17">
        <f>IF(AND(ISNUMBER(AT579),ISNUMBER(AU579)),AT579-AU579,"")</f>
        <v/>
      </c>
      <c r="AW579" s="17">
        <f>IF(AND(ISNUMBER(L579),ISNUMBER(M579),ISNUMBER(AF579)),L579-M579*(1-AF579),IF(ISNUMBER(L579),L579,""))</f>
        <v/>
      </c>
      <c r="AX579" s="17">
        <f>IF(E579="금융","",IF(AND(ISNUMBER(AW579),ISNUMBER(N579),ISNUMBER(O579),ISNUMBER(AV579)),AW579+N579-O579-AV579,IF(AND(ISNUMBER(P579),ISNUMBER(O579)),P579-O579-IF(ISNUMBER(Q579),Q579,0),"")))</f>
        <v/>
      </c>
      <c r="AY579" s="8">
        <f>IF(E579="금융","금융업 - 정의되지 않음",IF(AND(ISNUMBER(AW579),ISNUMBER(N579),ISNUMBER(O579),ISNUMBER(AV579)),"영업순이익+감가상각-설비투자-운전자본증감",IF(AND(ISNUMBER(P579),ISNUMBER(O579)),IF(ISNUMBER(Q579),"영업현금흐름-설비투자-주식보상비용","영업현금흐름-설비투자(주식보상비용 미태깅)"),"산출불가")))</f>
        <v/>
      </c>
      <c r="AZ579" s="19">
        <f>IF(AND(ISNUMBER(AX579),ISNUMBER(G579),G579&lt;&gt;0),AX579/G579,"")</f>
        <v/>
      </c>
      <c r="BA579" s="19">
        <f>IF(AND(ISNUMBER(AE579),ISNUMBER(G579),G579&lt;&gt;0),AE579/G579,"")</f>
        <v/>
      </c>
    </row>
    <row r="580">
      <c r="A580" s="8" t="inlineStr">
        <is>
          <t>IBM</t>
        </is>
      </c>
      <c r="B580" s="8" t="inlineStr">
        <is>
          <t>INTERNATIONAL BUSINESS MACHINES CORP</t>
        </is>
      </c>
      <c r="C580" s="8" t="n">
        <v>2015</v>
      </c>
      <c r="D580" s="8" t="inlineStr">
        <is>
          <t>2015-12-31</t>
        </is>
      </c>
      <c r="E580" s="8" t="inlineStr">
        <is>
          <t>일반</t>
        </is>
      </c>
      <c r="F580" s="8" t="inlineStr">
        <is>
          <t>0001047469-18-001117</t>
        </is>
      </c>
      <c r="G580" s="15" t="n">
        <v>81.741</v>
      </c>
      <c r="H580" s="15" t="n">
        <v>15.945</v>
      </c>
      <c r="I580" s="15" t="n">
        <v>0.468</v>
      </c>
      <c r="J580" s="15" t="n">
        <v>2.581</v>
      </c>
      <c r="K580" s="15" t="n"/>
      <c r="L580" s="15" t="n">
        <v>13.19</v>
      </c>
      <c r="M580" s="15" t="n"/>
      <c r="N580" s="15" t="n">
        <v>2.662</v>
      </c>
      <c r="O580" s="15" t="n">
        <v>3.579</v>
      </c>
      <c r="P580" s="15" t="n">
        <v>17.255</v>
      </c>
      <c r="Q580" s="15" t="n">
        <v>0.468</v>
      </c>
      <c r="R580" s="15" t="n">
        <v>14.262</v>
      </c>
      <c r="S580" s="15" t="n">
        <v>11.868</v>
      </c>
      <c r="T580" s="15" t="n">
        <v>7.686</v>
      </c>
      <c r="U580" s="15" t="n">
        <v>8.476000000000001</v>
      </c>
      <c r="V580" s="15" t="n"/>
      <c r="W580" s="15" t="n"/>
      <c r="X580" s="15" t="n">
        <v>33.428</v>
      </c>
      <c r="Y580" s="15" t="n">
        <v>42.504</v>
      </c>
      <c r="Z580" s="15" t="n">
        <v>47.377</v>
      </c>
      <c r="AA580" s="15" t="n">
        <v>34.269</v>
      </c>
      <c r="AB580" s="15" t="n">
        <v>39.581</v>
      </c>
      <c r="AC580" s="15" t="n">
        <v>38.383</v>
      </c>
      <c r="AD580" s="16" t="n">
        <v>965.7287250000001</v>
      </c>
      <c r="AE580" s="17">
        <f>IF(ISNUMBER(K580),K580,IF(AND(ISNUMBER(H580),ISNUMBER(I580)),H580+I580,IF(ISNUMBER(H580),H580,"")))</f>
        <v/>
      </c>
      <c r="AF580" s="18">
        <f>IF(OR(NOT(ISNUMBER(J580)),NOT(ISNUMBER(H580)),H580&lt;=0),기준표!$B$8,MIN(MAX(J580/H580,기준표!$B$6),기준표!$B$7))</f>
        <v/>
      </c>
      <c r="AG580" s="17">
        <f>IF(ISNUMBER(AE580),AE580*(1-AF580),"")</f>
        <v/>
      </c>
      <c r="AH580" s="17">
        <f>IF(AND(NOT(ISNUMBER(V580)),NOT(ISNUMBER(X580))),"",IF(ISNUMBER(V580),V580,0)+IF(ISNUMBER(X580),X580,0))</f>
        <v/>
      </c>
      <c r="AI580" s="17">
        <f>IF(E580="금융","",IF(AND(ISNUMBER(R580),ISNUMBER(AH580),ISNUMBER(T580)),R580+AH580-T580,""))</f>
        <v/>
      </c>
      <c r="AJ580" s="17">
        <f>IF(E580="금융","",IF(NOT(ISNUMBER(AI580)),"",IF(ISNUMBER(AC580),(AI580+AC580)/2,AI580)))</f>
        <v/>
      </c>
      <c r="AK580" s="19">
        <f>IF(AND(ISNUMBER(AG580),ISNUMBER(AJ580),AJ580&gt;0),AG580/AJ580,"")</f>
        <v/>
      </c>
      <c r="AL580" s="17">
        <f>IF(E580="금융","",IF(AND(ISNUMBER(R580),ISNUMBER(AH580)),R580+AH580,""))</f>
        <v/>
      </c>
      <c r="AM580" s="19">
        <f>IF(OR(NOT(ISNUMBER(AG580)),NOT(ISNUMBER(AL580)),AL580&lt;=0),"",IF(AND(ISNUMBER(G580),AL580&lt;0.1*G580),"",AG580/AL580))</f>
        <v/>
      </c>
      <c r="AN580" s="17">
        <f>IF(NOT(ISNUMBER(R580)),"",IF(ISNUMBER(S580),(R580+S580)/2,R580))</f>
        <v/>
      </c>
      <c r="AO580" s="19">
        <f>IF(AND(ISNUMBER(L580),ISNUMBER(AN580),AN580&gt;0),L580/AN580,"")</f>
        <v/>
      </c>
      <c r="AP580" s="19">
        <f>IF(AND(ISNUMBER(AO580),ISNUMBER({ROIC})),AO580-{ROIC},"")</f>
        <v/>
      </c>
      <c r="AQ580" s="17">
        <f>IF(AND(ISNUMBER(AE580),ISNUMBER(N580)),AE580+N580,"")</f>
        <v/>
      </c>
      <c r="AR580" s="20">
        <f>IF(AND(ISNUMBER(AH580),ISNUMBER(T580),ISNUMBER(AQ580),AQ580&gt;0),(AH580-T580)/AQ580,"")</f>
        <v/>
      </c>
      <c r="AS580" s="20">
        <f>IF(AND(ISNUMBER(AE580),ISNUMBER(I580),I580&lt;&gt;0,AE580&gt;0),AE580/I580,"")</f>
        <v/>
      </c>
      <c r="AT580" s="17">
        <f>IF(AND(ISNUMBER(Y580),ISNUMBER(AA580)),Y580-IF(ISNUMBER(T580),T580,0)-(AA580-IF(ISNUMBER(V580),V580,0)),"")</f>
        <v/>
      </c>
      <c r="AU580" s="17">
        <f>IF(AND(ISNUMBER(Z580),ISNUMBER(AB580)),Z580-IF(ISNUMBER(U580),U580,0)-(AB580-IF(ISNUMBER(W580),W580,0)),"")</f>
        <v/>
      </c>
      <c r="AV580" s="17">
        <f>IF(AND(ISNUMBER(AT580),ISNUMBER(AU580)),AT580-AU580,"")</f>
        <v/>
      </c>
      <c r="AW580" s="17">
        <f>IF(AND(ISNUMBER(L580),ISNUMBER(M580),ISNUMBER(AF580)),L580-M580*(1-AF580),IF(ISNUMBER(L580),L580,""))</f>
        <v/>
      </c>
      <c r="AX580" s="17">
        <f>IF(E580="금융","",IF(AND(ISNUMBER(AW580),ISNUMBER(N580),ISNUMBER(O580),ISNUMBER(AV580)),AW580+N580-O580-AV580,IF(AND(ISNUMBER(P580),ISNUMBER(O580)),P580-O580-IF(ISNUMBER(Q580),Q580,0),"")))</f>
        <v/>
      </c>
      <c r="AY580" s="8">
        <f>IF(E580="금융","금융업 - 정의되지 않음",IF(AND(ISNUMBER(AW580),ISNUMBER(N580),ISNUMBER(O580),ISNUMBER(AV580)),"영업순이익+감가상각-설비투자-운전자본증감",IF(AND(ISNUMBER(P580),ISNUMBER(O580)),IF(ISNUMBER(Q580),"영업현금흐름-설비투자-주식보상비용","영업현금흐름-설비투자(주식보상비용 미태깅)"),"산출불가")))</f>
        <v/>
      </c>
      <c r="AZ580" s="19">
        <f>IF(AND(ISNUMBER(AX580),ISNUMBER(G580),G580&lt;&gt;0),AX580/G580,"")</f>
        <v/>
      </c>
      <c r="BA580" s="19">
        <f>IF(AND(ISNUMBER(AE580),ISNUMBER(G580),G580&lt;&gt;0),AE580/G580,"")</f>
        <v/>
      </c>
    </row>
    <row r="581">
      <c r="A581" s="8" t="inlineStr">
        <is>
          <t>IBM</t>
        </is>
      </c>
      <c r="B581" s="8" t="inlineStr">
        <is>
          <t>INTERNATIONAL BUSINESS MACHINES CORP</t>
        </is>
      </c>
      <c r="C581" s="8" t="n">
        <v>2016</v>
      </c>
      <c r="D581" s="8" t="inlineStr">
        <is>
          <t>2016-12-31</t>
        </is>
      </c>
      <c r="E581" s="8" t="inlineStr">
        <is>
          <t>일반</t>
        </is>
      </c>
      <c r="F581" s="8" t="inlineStr">
        <is>
          <t>0001047469-19-000712</t>
        </is>
      </c>
      <c r="G581" s="15" t="n">
        <v>79.919</v>
      </c>
      <c r="H581" s="15" t="n">
        <v>12.33</v>
      </c>
      <c r="I581" s="15" t="n">
        <v>0.63</v>
      </c>
      <c r="J581" s="15" t="n">
        <v>0.449</v>
      </c>
      <c r="K581" s="15" t="n"/>
      <c r="L581" s="15" t="n">
        <v>11.872</v>
      </c>
      <c r="M581" s="15" t="n"/>
      <c r="N581" s="15" t="n">
        <v>2.837</v>
      </c>
      <c r="O581" s="15" t="n">
        <v>3.567</v>
      </c>
      <c r="P581" s="15" t="n">
        <v>17.084</v>
      </c>
      <c r="Q581" s="15" t="n">
        <v>0.544</v>
      </c>
      <c r="R581" s="15" t="n">
        <v>18.246</v>
      </c>
      <c r="S581" s="15" t="n">
        <v>14.262</v>
      </c>
      <c r="T581" s="15" t="n">
        <v>7.826</v>
      </c>
      <c r="U581" s="15" t="n">
        <v>7.686</v>
      </c>
      <c r="V581" s="15" t="n"/>
      <c r="W581" s="15" t="n"/>
      <c r="X581" s="15" t="n">
        <v>34.655</v>
      </c>
      <c r="Y581" s="15" t="n">
        <v>43.888</v>
      </c>
      <c r="Z581" s="15" t="n">
        <v>42.504</v>
      </c>
      <c r="AA581" s="15" t="n">
        <v>36.275</v>
      </c>
      <c r="AB581" s="15" t="n">
        <v>34.269</v>
      </c>
      <c r="AC581" s="15" t="n">
        <v>40.004</v>
      </c>
      <c r="AD581" s="16" t="n">
        <v>945.867403</v>
      </c>
      <c r="AE581" s="17">
        <f>IF(ISNUMBER(K581),K581,IF(AND(ISNUMBER(H581),ISNUMBER(I581)),H581+I581,IF(ISNUMBER(H581),H581,"")))</f>
        <v/>
      </c>
      <c r="AF581" s="18">
        <f>IF(OR(NOT(ISNUMBER(J581)),NOT(ISNUMBER(H581)),H581&lt;=0),기준표!$B$8,MIN(MAX(J581/H581,기준표!$B$6),기준표!$B$7))</f>
        <v/>
      </c>
      <c r="AG581" s="17">
        <f>IF(ISNUMBER(AE581),AE581*(1-AF581),"")</f>
        <v/>
      </c>
      <c r="AH581" s="17">
        <f>IF(AND(NOT(ISNUMBER(V581)),NOT(ISNUMBER(X581))),"",IF(ISNUMBER(V581),V581,0)+IF(ISNUMBER(X581),X581,0))</f>
        <v/>
      </c>
      <c r="AI581" s="17">
        <f>IF(E581="금융","",IF(AND(ISNUMBER(R581),ISNUMBER(AH581),ISNUMBER(T581)),R581+AH581-T581,""))</f>
        <v/>
      </c>
      <c r="AJ581" s="17">
        <f>IF(E581="금융","",IF(NOT(ISNUMBER(AI581)),"",IF(ISNUMBER(AC581),(AI581+AC581)/2,AI581)))</f>
        <v/>
      </c>
      <c r="AK581" s="19">
        <f>IF(AND(ISNUMBER(AG581),ISNUMBER(AJ581),AJ581&gt;0),AG581/AJ581,"")</f>
        <v/>
      </c>
      <c r="AL581" s="17">
        <f>IF(E581="금융","",IF(AND(ISNUMBER(R581),ISNUMBER(AH581)),R581+AH581,""))</f>
        <v/>
      </c>
      <c r="AM581" s="19">
        <f>IF(OR(NOT(ISNUMBER(AG581)),NOT(ISNUMBER(AL581)),AL581&lt;=0),"",IF(AND(ISNUMBER(G581),AL581&lt;0.1*G581),"",AG581/AL581))</f>
        <v/>
      </c>
      <c r="AN581" s="17">
        <f>IF(NOT(ISNUMBER(R581)),"",IF(ISNUMBER(S581),(R581+S581)/2,R581))</f>
        <v/>
      </c>
      <c r="AO581" s="19">
        <f>IF(AND(ISNUMBER(L581),ISNUMBER(AN581),AN581&gt;0),L581/AN581,"")</f>
        <v/>
      </c>
      <c r="AP581" s="19">
        <f>IF(AND(ISNUMBER(AO581),ISNUMBER({ROIC})),AO581-{ROIC},"")</f>
        <v/>
      </c>
      <c r="AQ581" s="17">
        <f>IF(AND(ISNUMBER(AE581),ISNUMBER(N581)),AE581+N581,"")</f>
        <v/>
      </c>
      <c r="AR581" s="20">
        <f>IF(AND(ISNUMBER(AH581),ISNUMBER(T581),ISNUMBER(AQ581),AQ581&gt;0),(AH581-T581)/AQ581,"")</f>
        <v/>
      </c>
      <c r="AS581" s="20">
        <f>IF(AND(ISNUMBER(AE581),ISNUMBER(I581),I581&lt;&gt;0,AE581&gt;0),AE581/I581,"")</f>
        <v/>
      </c>
      <c r="AT581" s="17">
        <f>IF(AND(ISNUMBER(Y581),ISNUMBER(AA581)),Y581-IF(ISNUMBER(T581),T581,0)-(AA581-IF(ISNUMBER(V581),V581,0)),"")</f>
        <v/>
      </c>
      <c r="AU581" s="17">
        <f>IF(AND(ISNUMBER(Z581),ISNUMBER(AB581)),Z581-IF(ISNUMBER(U581),U581,0)-(AB581-IF(ISNUMBER(W581),W581,0)),"")</f>
        <v/>
      </c>
      <c r="AV581" s="17">
        <f>IF(AND(ISNUMBER(AT581),ISNUMBER(AU581)),AT581-AU581,"")</f>
        <v/>
      </c>
      <c r="AW581" s="17">
        <f>IF(AND(ISNUMBER(L581),ISNUMBER(M581),ISNUMBER(AF581)),L581-M581*(1-AF581),IF(ISNUMBER(L581),L581,""))</f>
        <v/>
      </c>
      <c r="AX581" s="17">
        <f>IF(E581="금융","",IF(AND(ISNUMBER(AW581),ISNUMBER(N581),ISNUMBER(O581),ISNUMBER(AV581)),AW581+N581-O581-AV581,IF(AND(ISNUMBER(P581),ISNUMBER(O581)),P581-O581-IF(ISNUMBER(Q581),Q581,0),"")))</f>
        <v/>
      </c>
      <c r="AY581" s="8">
        <f>IF(E581="금융","금융업 - 정의되지 않음",IF(AND(ISNUMBER(AW581),ISNUMBER(N581),ISNUMBER(O581),ISNUMBER(AV581)),"영업순이익+감가상각-설비투자-운전자본증감",IF(AND(ISNUMBER(P581),ISNUMBER(O581)),IF(ISNUMBER(Q581),"영업현금흐름-설비투자-주식보상비용","영업현금흐름-설비투자(주식보상비용 미태깅)"),"산출불가")))</f>
        <v/>
      </c>
      <c r="AZ581" s="19">
        <f>IF(AND(ISNUMBER(AX581),ISNUMBER(G581),G581&lt;&gt;0),AX581/G581,"")</f>
        <v/>
      </c>
      <c r="BA581" s="19">
        <f>IF(AND(ISNUMBER(AE581),ISNUMBER(G581),G581&lt;&gt;0),AE581/G581,"")</f>
        <v/>
      </c>
    </row>
    <row r="582">
      <c r="A582" s="8" t="inlineStr">
        <is>
          <t>IBM</t>
        </is>
      </c>
      <c r="B582" s="8" t="inlineStr">
        <is>
          <t>INTERNATIONAL BUSINESS MACHINES CORP</t>
        </is>
      </c>
      <c r="C582" s="8" t="n">
        <v>2017</v>
      </c>
      <c r="D582" s="8" t="inlineStr">
        <is>
          <t>2017-12-31</t>
        </is>
      </c>
      <c r="E582" s="8" t="inlineStr">
        <is>
          <t>일반</t>
        </is>
      </c>
      <c r="F582" s="8" t="inlineStr">
        <is>
          <t>0001558370-20-001334</t>
        </is>
      </c>
      <c r="G582" s="15" t="n">
        <v>79.139</v>
      </c>
      <c r="H582" s="15" t="n">
        <v>11.4</v>
      </c>
      <c r="I582" s="15" t="n">
        <v>0.615</v>
      </c>
      <c r="J582" s="15" t="n">
        <v>5.642</v>
      </c>
      <c r="K582" s="15" t="n"/>
      <c r="L582" s="15" t="n">
        <v>5.753</v>
      </c>
      <c r="M582" s="15" t="n"/>
      <c r="N582" s="15" t="n">
        <v>3.021</v>
      </c>
      <c r="O582" s="15" t="n">
        <v>3.229</v>
      </c>
      <c r="P582" s="15" t="n">
        <v>16.724</v>
      </c>
      <c r="Q582" s="15" t="n">
        <v>0.534</v>
      </c>
      <c r="R582" s="15" t="n">
        <v>17.594</v>
      </c>
      <c r="S582" s="15" t="n">
        <v>18.246</v>
      </c>
      <c r="T582" s="15" t="n">
        <v>12.58</v>
      </c>
      <c r="U582" s="15" t="n">
        <v>7.826</v>
      </c>
      <c r="V582" s="15" t="n"/>
      <c r="W582" s="15" t="n"/>
      <c r="X582" s="15" t="n">
        <v>39.837</v>
      </c>
      <c r="Y582" s="15" t="n">
        <v>49.735</v>
      </c>
      <c r="Z582" s="15" t="n">
        <v>43.888</v>
      </c>
      <c r="AA582" s="15" t="n">
        <v>37.363</v>
      </c>
      <c r="AB582" s="15" t="n">
        <v>36.275</v>
      </c>
      <c r="AC582" s="15" t="n">
        <v>45.075</v>
      </c>
      <c r="AD582" s="16" t="n">
        <v>922.179225</v>
      </c>
      <c r="AE582" s="17">
        <f>IF(ISNUMBER(K582),K582,IF(AND(ISNUMBER(H582),ISNUMBER(I582)),H582+I582,IF(ISNUMBER(H582),H582,"")))</f>
        <v/>
      </c>
      <c r="AF582" s="18">
        <f>IF(OR(NOT(ISNUMBER(J582)),NOT(ISNUMBER(H582)),H582&lt;=0),기준표!$B$8,MIN(MAX(J582/H582,기준표!$B$6),기준표!$B$7))</f>
        <v/>
      </c>
      <c r="AG582" s="17">
        <f>IF(ISNUMBER(AE582),AE582*(1-AF582),"")</f>
        <v/>
      </c>
      <c r="AH582" s="17">
        <f>IF(AND(NOT(ISNUMBER(V582)),NOT(ISNUMBER(X582))),"",IF(ISNUMBER(V582),V582,0)+IF(ISNUMBER(X582),X582,0))</f>
        <v/>
      </c>
      <c r="AI582" s="17">
        <f>IF(E582="금융","",IF(AND(ISNUMBER(R582),ISNUMBER(AH582),ISNUMBER(T582)),R582+AH582-T582,""))</f>
        <v/>
      </c>
      <c r="AJ582" s="17">
        <f>IF(E582="금융","",IF(NOT(ISNUMBER(AI582)),"",IF(ISNUMBER(AC582),(AI582+AC582)/2,AI582)))</f>
        <v/>
      </c>
      <c r="AK582" s="19">
        <f>IF(AND(ISNUMBER(AG582),ISNUMBER(AJ582),AJ582&gt;0),AG582/AJ582,"")</f>
        <v/>
      </c>
      <c r="AL582" s="17">
        <f>IF(E582="금융","",IF(AND(ISNUMBER(R582),ISNUMBER(AH582)),R582+AH582,""))</f>
        <v/>
      </c>
      <c r="AM582" s="19">
        <f>IF(OR(NOT(ISNUMBER(AG582)),NOT(ISNUMBER(AL582)),AL582&lt;=0),"",IF(AND(ISNUMBER(G582),AL582&lt;0.1*G582),"",AG582/AL582))</f>
        <v/>
      </c>
      <c r="AN582" s="17">
        <f>IF(NOT(ISNUMBER(R582)),"",IF(ISNUMBER(S582),(R582+S582)/2,R582))</f>
        <v/>
      </c>
      <c r="AO582" s="19">
        <f>IF(AND(ISNUMBER(L582),ISNUMBER(AN582),AN582&gt;0),L582/AN582,"")</f>
        <v/>
      </c>
      <c r="AP582" s="19">
        <f>IF(AND(ISNUMBER(AO582),ISNUMBER({ROIC})),AO582-{ROIC},"")</f>
        <v/>
      </c>
      <c r="AQ582" s="17">
        <f>IF(AND(ISNUMBER(AE582),ISNUMBER(N582)),AE582+N582,"")</f>
        <v/>
      </c>
      <c r="AR582" s="20">
        <f>IF(AND(ISNUMBER(AH582),ISNUMBER(T582),ISNUMBER(AQ582),AQ582&gt;0),(AH582-T582)/AQ582,"")</f>
        <v/>
      </c>
      <c r="AS582" s="20">
        <f>IF(AND(ISNUMBER(AE582),ISNUMBER(I582),I582&lt;&gt;0,AE582&gt;0),AE582/I582,"")</f>
        <v/>
      </c>
      <c r="AT582" s="17">
        <f>IF(AND(ISNUMBER(Y582),ISNUMBER(AA582)),Y582-IF(ISNUMBER(T582),T582,0)-(AA582-IF(ISNUMBER(V582),V582,0)),"")</f>
        <v/>
      </c>
      <c r="AU582" s="17">
        <f>IF(AND(ISNUMBER(Z582),ISNUMBER(AB582)),Z582-IF(ISNUMBER(U582),U582,0)-(AB582-IF(ISNUMBER(W582),W582,0)),"")</f>
        <v/>
      </c>
      <c r="AV582" s="17">
        <f>IF(AND(ISNUMBER(AT582),ISNUMBER(AU582)),AT582-AU582,"")</f>
        <v/>
      </c>
      <c r="AW582" s="17">
        <f>IF(AND(ISNUMBER(L582),ISNUMBER(M582),ISNUMBER(AF582)),L582-M582*(1-AF582),IF(ISNUMBER(L582),L582,""))</f>
        <v/>
      </c>
      <c r="AX582" s="17">
        <f>IF(E582="금융","",IF(AND(ISNUMBER(AW582),ISNUMBER(N582),ISNUMBER(O582),ISNUMBER(AV582)),AW582+N582-O582-AV582,IF(AND(ISNUMBER(P582),ISNUMBER(O582)),P582-O582-IF(ISNUMBER(Q582),Q582,0),"")))</f>
        <v/>
      </c>
      <c r="AY582" s="8">
        <f>IF(E582="금융","금융업 - 정의되지 않음",IF(AND(ISNUMBER(AW582),ISNUMBER(N582),ISNUMBER(O582),ISNUMBER(AV582)),"영업순이익+감가상각-설비투자-운전자본증감",IF(AND(ISNUMBER(P582),ISNUMBER(O582)),IF(ISNUMBER(Q582),"영업현금흐름-설비투자-주식보상비용","영업현금흐름-설비투자(주식보상비용 미태깅)"),"산출불가")))</f>
        <v/>
      </c>
      <c r="AZ582" s="19">
        <f>IF(AND(ISNUMBER(AX582),ISNUMBER(G582),G582&lt;&gt;0),AX582/G582,"")</f>
        <v/>
      </c>
      <c r="BA582" s="19">
        <f>IF(AND(ISNUMBER(AE582),ISNUMBER(G582),G582&lt;&gt;0),AE582/G582,"")</f>
        <v/>
      </c>
    </row>
    <row r="583">
      <c r="A583" s="8" t="inlineStr">
        <is>
          <t>IBM</t>
        </is>
      </c>
      <c r="B583" s="8" t="inlineStr">
        <is>
          <t>INTERNATIONAL BUSINESS MACHINES CORP</t>
        </is>
      </c>
      <c r="C583" s="8" t="n">
        <v>2018</v>
      </c>
      <c r="D583" s="8" t="inlineStr">
        <is>
          <t>2018-12-31</t>
        </is>
      </c>
      <c r="E583" s="8" t="inlineStr">
        <is>
          <t>일반</t>
        </is>
      </c>
      <c r="F583" s="8" t="inlineStr">
        <is>
          <t>0001558370-21-001489</t>
        </is>
      </c>
      <c r="G583" s="15" t="n">
        <v>79.59099999999999</v>
      </c>
      <c r="H583" s="15" t="n">
        <v>11.342</v>
      </c>
      <c r="I583" s="15" t="n">
        <v>0.723</v>
      </c>
      <c r="J583" s="15" t="n">
        <v>2.619</v>
      </c>
      <c r="K583" s="15" t="n"/>
      <c r="L583" s="15" t="n">
        <v>8.728</v>
      </c>
      <c r="M583" s="15" t="n"/>
      <c r="N583" s="15" t="n">
        <v>3.127</v>
      </c>
      <c r="O583" s="15" t="n">
        <v>3.395</v>
      </c>
      <c r="P583" s="15" t="n">
        <v>15.247</v>
      </c>
      <c r="Q583" s="15" t="n">
        <v>0.51</v>
      </c>
      <c r="R583" s="15" t="n">
        <v>16.796</v>
      </c>
      <c r="S583" s="15" t="n">
        <v>17.594</v>
      </c>
      <c r="T583" s="15" t="n">
        <v>11.997</v>
      </c>
      <c r="U583" s="15" t="n">
        <v>12.58</v>
      </c>
      <c r="V583" s="15" t="n">
        <v>10.207</v>
      </c>
      <c r="W583" s="15" t="n"/>
      <c r="X583" s="15" t="n">
        <v>35.605</v>
      </c>
      <c r="Y583" s="15" t="n">
        <v>49.146</v>
      </c>
      <c r="Z583" s="15" t="n">
        <v>49.735</v>
      </c>
      <c r="AA583" s="15" t="n">
        <v>38.227</v>
      </c>
      <c r="AB583" s="15" t="n">
        <v>37.363</v>
      </c>
      <c r="AC583" s="15" t="n">
        <v>44.851</v>
      </c>
      <c r="AD583" s="16" t="n">
        <v>892.479411</v>
      </c>
      <c r="AE583" s="17">
        <f>IF(ISNUMBER(K583),K583,IF(AND(ISNUMBER(H583),ISNUMBER(I583)),H583+I583,IF(ISNUMBER(H583),H583,"")))</f>
        <v/>
      </c>
      <c r="AF583" s="18">
        <f>IF(OR(NOT(ISNUMBER(J583)),NOT(ISNUMBER(H583)),H583&lt;=0),기준표!$B$8,MIN(MAX(J583/H583,기준표!$B$6),기준표!$B$7))</f>
        <v/>
      </c>
      <c r="AG583" s="17">
        <f>IF(ISNUMBER(AE583),AE583*(1-AF583),"")</f>
        <v/>
      </c>
      <c r="AH583" s="17">
        <f>IF(AND(NOT(ISNUMBER(V583)),NOT(ISNUMBER(X583))),"",IF(ISNUMBER(V583),V583,0)+IF(ISNUMBER(X583),X583,0))</f>
        <v/>
      </c>
      <c r="AI583" s="17">
        <f>IF(E583="금융","",IF(AND(ISNUMBER(R583),ISNUMBER(AH583),ISNUMBER(T583)),R583+AH583-T583,""))</f>
        <v/>
      </c>
      <c r="AJ583" s="17">
        <f>IF(E583="금융","",IF(NOT(ISNUMBER(AI583)),"",IF(ISNUMBER(AC583),(AI583+AC583)/2,AI583)))</f>
        <v/>
      </c>
      <c r="AK583" s="19">
        <f>IF(AND(ISNUMBER(AG583),ISNUMBER(AJ583),AJ583&gt;0),AG583/AJ583,"")</f>
        <v/>
      </c>
      <c r="AL583" s="17">
        <f>IF(E583="금융","",IF(AND(ISNUMBER(R583),ISNUMBER(AH583)),R583+AH583,""))</f>
        <v/>
      </c>
      <c r="AM583" s="19">
        <f>IF(OR(NOT(ISNUMBER(AG583)),NOT(ISNUMBER(AL583)),AL583&lt;=0),"",IF(AND(ISNUMBER(G583),AL583&lt;0.1*G583),"",AG583/AL583))</f>
        <v/>
      </c>
      <c r="AN583" s="17">
        <f>IF(NOT(ISNUMBER(R583)),"",IF(ISNUMBER(S583),(R583+S583)/2,R583))</f>
        <v/>
      </c>
      <c r="AO583" s="19">
        <f>IF(AND(ISNUMBER(L583),ISNUMBER(AN583),AN583&gt;0),L583/AN583,"")</f>
        <v/>
      </c>
      <c r="AP583" s="19">
        <f>IF(AND(ISNUMBER(AO583),ISNUMBER({ROIC})),AO583-{ROIC},"")</f>
        <v/>
      </c>
      <c r="AQ583" s="17">
        <f>IF(AND(ISNUMBER(AE583),ISNUMBER(N583)),AE583+N583,"")</f>
        <v/>
      </c>
      <c r="AR583" s="20">
        <f>IF(AND(ISNUMBER(AH583),ISNUMBER(T583),ISNUMBER(AQ583),AQ583&gt;0),(AH583-T583)/AQ583,"")</f>
        <v/>
      </c>
      <c r="AS583" s="20">
        <f>IF(AND(ISNUMBER(AE583),ISNUMBER(I583),I583&lt;&gt;0,AE583&gt;0),AE583/I583,"")</f>
        <v/>
      </c>
      <c r="AT583" s="17">
        <f>IF(AND(ISNUMBER(Y583),ISNUMBER(AA583)),Y583-IF(ISNUMBER(T583),T583,0)-(AA583-IF(ISNUMBER(V583),V583,0)),"")</f>
        <v/>
      </c>
      <c r="AU583" s="17">
        <f>IF(AND(ISNUMBER(Z583),ISNUMBER(AB583)),Z583-IF(ISNUMBER(U583),U583,0)-(AB583-IF(ISNUMBER(W583),W583,0)),"")</f>
        <v/>
      </c>
      <c r="AV583" s="17">
        <f>IF(AND(ISNUMBER(AT583),ISNUMBER(AU583)),AT583-AU583,"")</f>
        <v/>
      </c>
      <c r="AW583" s="17">
        <f>IF(AND(ISNUMBER(L583),ISNUMBER(M583),ISNUMBER(AF583)),L583-M583*(1-AF583),IF(ISNUMBER(L583),L583,""))</f>
        <v/>
      </c>
      <c r="AX583" s="17">
        <f>IF(E583="금융","",IF(AND(ISNUMBER(AW583),ISNUMBER(N583),ISNUMBER(O583),ISNUMBER(AV583)),AW583+N583-O583-AV583,IF(AND(ISNUMBER(P583),ISNUMBER(O583)),P583-O583-IF(ISNUMBER(Q583),Q583,0),"")))</f>
        <v/>
      </c>
      <c r="AY583" s="8">
        <f>IF(E583="금융","금융업 - 정의되지 않음",IF(AND(ISNUMBER(AW583),ISNUMBER(N583),ISNUMBER(O583),ISNUMBER(AV583)),"영업순이익+감가상각-설비투자-운전자본증감",IF(AND(ISNUMBER(P583),ISNUMBER(O583)),IF(ISNUMBER(Q583),"영업현금흐름-설비투자-주식보상비용","영업현금흐름-설비투자(주식보상비용 미태깅)"),"산출불가")))</f>
        <v/>
      </c>
      <c r="AZ583" s="19">
        <f>IF(AND(ISNUMBER(AX583),ISNUMBER(G583),G583&lt;&gt;0),AX583/G583,"")</f>
        <v/>
      </c>
      <c r="BA583" s="19">
        <f>IF(AND(ISNUMBER(AE583),ISNUMBER(G583),G583&lt;&gt;0),AE583/G583,"")</f>
        <v/>
      </c>
    </row>
    <row r="584">
      <c r="A584" s="8" t="inlineStr">
        <is>
          <t>IBM</t>
        </is>
      </c>
      <c r="B584" s="8" t="inlineStr">
        <is>
          <t>INTERNATIONAL BUSINESS MACHINES CORP</t>
        </is>
      </c>
      <c r="C584" s="8" t="n">
        <v>2019</v>
      </c>
      <c r="D584" s="8" t="inlineStr">
        <is>
          <t>2019-12-31</t>
        </is>
      </c>
      <c r="E584" s="8" t="inlineStr">
        <is>
          <t>일반</t>
        </is>
      </c>
      <c r="F584" s="8" t="inlineStr">
        <is>
          <t>0001558370-22-001584</t>
        </is>
      </c>
      <c r="G584" s="15" t="n">
        <v>57.714</v>
      </c>
      <c r="H584" s="15" t="n">
        <v>7.206</v>
      </c>
      <c r="I584" s="15" t="n">
        <v>1.344</v>
      </c>
      <c r="J584" s="15" t="n">
        <v>0.06</v>
      </c>
      <c r="K584" s="15" t="n"/>
      <c r="L584" s="15" t="n">
        <v>9.430999999999999</v>
      </c>
      <c r="M584" s="15" t="n"/>
      <c r="N584" s="15" t="n">
        <v>4.209</v>
      </c>
      <c r="O584" s="15" t="n">
        <v>2.286</v>
      </c>
      <c r="P584" s="15" t="n">
        <v>14.77</v>
      </c>
      <c r="Q584" s="15" t="n">
        <v>0.679</v>
      </c>
      <c r="R584" s="15" t="n">
        <v>20.841</v>
      </c>
      <c r="S584" s="15" t="n">
        <v>16.796</v>
      </c>
      <c r="T584" s="15" t="n">
        <v>8.868</v>
      </c>
      <c r="U584" s="15" t="n">
        <v>11.997</v>
      </c>
      <c r="V584" s="15" t="n">
        <v>8.797000000000001</v>
      </c>
      <c r="W584" s="15" t="n">
        <v>10.207</v>
      </c>
      <c r="X584" s="15" t="n">
        <v>54.102</v>
      </c>
      <c r="Y584" s="15" t="n">
        <v>38.42</v>
      </c>
      <c r="Z584" s="15" t="n">
        <v>49.146</v>
      </c>
      <c r="AA584" s="15" t="n">
        <v>37.701</v>
      </c>
      <c r="AB584" s="15" t="n">
        <v>38.227</v>
      </c>
      <c r="AC584" s="15" t="n">
        <v>50.611</v>
      </c>
      <c r="AD584" s="16" t="n">
        <v>887.110455</v>
      </c>
      <c r="AE584" s="17">
        <f>IF(ISNUMBER(K584),K584,IF(AND(ISNUMBER(H584),ISNUMBER(I584)),H584+I584,IF(ISNUMBER(H584),H584,"")))</f>
        <v/>
      </c>
      <c r="AF584" s="18">
        <f>IF(OR(NOT(ISNUMBER(J584)),NOT(ISNUMBER(H584)),H584&lt;=0),기준표!$B$8,MIN(MAX(J584/H584,기준표!$B$6),기준표!$B$7))</f>
        <v/>
      </c>
      <c r="AG584" s="17">
        <f>IF(ISNUMBER(AE584),AE584*(1-AF584),"")</f>
        <v/>
      </c>
      <c r="AH584" s="17">
        <f>IF(AND(NOT(ISNUMBER(V584)),NOT(ISNUMBER(X584))),"",IF(ISNUMBER(V584),V584,0)+IF(ISNUMBER(X584),X584,0))</f>
        <v/>
      </c>
      <c r="AI584" s="17">
        <f>IF(E584="금융","",IF(AND(ISNUMBER(R584),ISNUMBER(AH584),ISNUMBER(T584)),R584+AH584-T584,""))</f>
        <v/>
      </c>
      <c r="AJ584" s="17">
        <f>IF(E584="금융","",IF(NOT(ISNUMBER(AI584)),"",IF(ISNUMBER(AC584),(AI584+AC584)/2,AI584)))</f>
        <v/>
      </c>
      <c r="AK584" s="19">
        <f>IF(AND(ISNUMBER(AG584),ISNUMBER(AJ584),AJ584&gt;0),AG584/AJ584,"")</f>
        <v/>
      </c>
      <c r="AL584" s="17">
        <f>IF(E584="금융","",IF(AND(ISNUMBER(R584),ISNUMBER(AH584)),R584+AH584,""))</f>
        <v/>
      </c>
      <c r="AM584" s="19">
        <f>IF(OR(NOT(ISNUMBER(AG584)),NOT(ISNUMBER(AL584)),AL584&lt;=0),"",IF(AND(ISNUMBER(G584),AL584&lt;0.1*G584),"",AG584/AL584))</f>
        <v/>
      </c>
      <c r="AN584" s="17">
        <f>IF(NOT(ISNUMBER(R584)),"",IF(ISNUMBER(S584),(R584+S584)/2,R584))</f>
        <v/>
      </c>
      <c r="AO584" s="19">
        <f>IF(AND(ISNUMBER(L584),ISNUMBER(AN584),AN584&gt;0),L584/AN584,"")</f>
        <v/>
      </c>
      <c r="AP584" s="19">
        <f>IF(AND(ISNUMBER(AO584),ISNUMBER({ROIC})),AO584-{ROIC},"")</f>
        <v/>
      </c>
      <c r="AQ584" s="17">
        <f>IF(AND(ISNUMBER(AE584),ISNUMBER(N584)),AE584+N584,"")</f>
        <v/>
      </c>
      <c r="AR584" s="20">
        <f>IF(AND(ISNUMBER(AH584),ISNUMBER(T584),ISNUMBER(AQ584),AQ584&gt;0),(AH584-T584)/AQ584,"")</f>
        <v/>
      </c>
      <c r="AS584" s="20">
        <f>IF(AND(ISNUMBER(AE584),ISNUMBER(I584),I584&lt;&gt;0,AE584&gt;0),AE584/I584,"")</f>
        <v/>
      </c>
      <c r="AT584" s="17">
        <f>IF(AND(ISNUMBER(Y584),ISNUMBER(AA584)),Y584-IF(ISNUMBER(T584),T584,0)-(AA584-IF(ISNUMBER(V584),V584,0)),"")</f>
        <v/>
      </c>
      <c r="AU584" s="17">
        <f>IF(AND(ISNUMBER(Z584),ISNUMBER(AB584)),Z584-IF(ISNUMBER(U584),U584,0)-(AB584-IF(ISNUMBER(W584),W584,0)),"")</f>
        <v/>
      </c>
      <c r="AV584" s="17">
        <f>IF(AND(ISNUMBER(AT584),ISNUMBER(AU584)),AT584-AU584,"")</f>
        <v/>
      </c>
      <c r="AW584" s="17">
        <f>IF(AND(ISNUMBER(L584),ISNUMBER(M584),ISNUMBER(AF584)),L584-M584*(1-AF584),IF(ISNUMBER(L584),L584,""))</f>
        <v/>
      </c>
      <c r="AX584" s="17">
        <f>IF(E584="금융","",IF(AND(ISNUMBER(AW584),ISNUMBER(N584),ISNUMBER(O584),ISNUMBER(AV584)),AW584+N584-O584-AV584,IF(AND(ISNUMBER(P584),ISNUMBER(O584)),P584-O584-IF(ISNUMBER(Q584),Q584,0),"")))</f>
        <v/>
      </c>
      <c r="AY584" s="8">
        <f>IF(E584="금융","금융업 - 정의되지 않음",IF(AND(ISNUMBER(AW584),ISNUMBER(N584),ISNUMBER(O584),ISNUMBER(AV584)),"영업순이익+감가상각-설비투자-운전자본증감",IF(AND(ISNUMBER(P584),ISNUMBER(O584)),IF(ISNUMBER(Q584),"영업현금흐름-설비투자-주식보상비용","영업현금흐름-설비투자(주식보상비용 미태깅)"),"산출불가")))</f>
        <v/>
      </c>
      <c r="AZ584" s="19">
        <f>IF(AND(ISNUMBER(AX584),ISNUMBER(G584),G584&lt;&gt;0),AX584/G584,"")</f>
        <v/>
      </c>
      <c r="BA584" s="19">
        <f>IF(AND(ISNUMBER(AE584),ISNUMBER(G584),G584&lt;&gt;0),AE584/G584,"")</f>
        <v/>
      </c>
    </row>
    <row r="585">
      <c r="A585" s="8" t="inlineStr">
        <is>
          <t>IBM</t>
        </is>
      </c>
      <c r="B585" s="8" t="inlineStr">
        <is>
          <t>INTERNATIONAL BUSINESS MACHINES CORP</t>
        </is>
      </c>
      <c r="C585" s="8" t="n">
        <v>2020</v>
      </c>
      <c r="D585" s="8" t="inlineStr">
        <is>
          <t>2020-12-31</t>
        </is>
      </c>
      <c r="E585" s="8" t="inlineStr">
        <is>
          <t>일반</t>
        </is>
      </c>
      <c r="F585" s="8" t="inlineStr">
        <is>
          <t>0001558370-23-002376</t>
        </is>
      </c>
      <c r="G585" s="15" t="n">
        <v>55.179</v>
      </c>
      <c r="H585" s="15" t="n">
        <v>2.572</v>
      </c>
      <c r="I585" s="15" t="n">
        <v>1.288</v>
      </c>
      <c r="J585" s="15" t="n">
        <v>-1.36</v>
      </c>
      <c r="K585" s="15" t="n"/>
      <c r="L585" s="15" t="n">
        <v>5.59</v>
      </c>
      <c r="M585" s="15" t="n"/>
      <c r="N585" s="15" t="n">
        <v>4.227</v>
      </c>
      <c r="O585" s="15" t="n">
        <v>2.618</v>
      </c>
      <c r="P585" s="15" t="n">
        <v>18.197</v>
      </c>
      <c r="Q585" s="15" t="n">
        <v>0.9370000000000001</v>
      </c>
      <c r="R585" s="15" t="n">
        <v>20.597</v>
      </c>
      <c r="S585" s="15" t="n">
        <v>20.841</v>
      </c>
      <c r="T585" s="15" t="n">
        <v>13.788</v>
      </c>
      <c r="U585" s="15" t="n">
        <v>8.868</v>
      </c>
      <c r="V585" s="15" t="n">
        <v>7.116</v>
      </c>
      <c r="W585" s="15" t="n">
        <v>8.797000000000001</v>
      </c>
      <c r="X585" s="15" t="n">
        <v>54.217</v>
      </c>
      <c r="Y585" s="15" t="n">
        <v>39.165</v>
      </c>
      <c r="Z585" s="15" t="n">
        <v>38.42</v>
      </c>
      <c r="AA585" s="15" t="n">
        <v>39.869</v>
      </c>
      <c r="AB585" s="15" t="n">
        <v>37.701</v>
      </c>
      <c r="AC585" s="15" t="n">
        <v>74.872</v>
      </c>
      <c r="AD585" s="16" t="n">
        <v>892.653424</v>
      </c>
      <c r="AE585" s="17">
        <f>IF(ISNUMBER(K585),K585,IF(AND(ISNUMBER(H585),ISNUMBER(I585)),H585+I585,IF(ISNUMBER(H585),H585,"")))</f>
        <v/>
      </c>
      <c r="AF585" s="18">
        <f>IF(OR(NOT(ISNUMBER(J585)),NOT(ISNUMBER(H585)),H585&lt;=0),기준표!$B$8,MIN(MAX(J585/H585,기준표!$B$6),기준표!$B$7))</f>
        <v/>
      </c>
      <c r="AG585" s="17">
        <f>IF(ISNUMBER(AE585),AE585*(1-AF585),"")</f>
        <v/>
      </c>
      <c r="AH585" s="17">
        <f>IF(AND(NOT(ISNUMBER(V585)),NOT(ISNUMBER(X585))),"",IF(ISNUMBER(V585),V585,0)+IF(ISNUMBER(X585),X585,0))</f>
        <v/>
      </c>
      <c r="AI585" s="17">
        <f>IF(E585="금융","",IF(AND(ISNUMBER(R585),ISNUMBER(AH585),ISNUMBER(T585)),R585+AH585-T585,""))</f>
        <v/>
      </c>
      <c r="AJ585" s="17">
        <f>IF(E585="금융","",IF(NOT(ISNUMBER(AI585)),"",IF(ISNUMBER(AC585),(AI585+AC585)/2,AI585)))</f>
        <v/>
      </c>
      <c r="AK585" s="19">
        <f>IF(AND(ISNUMBER(AG585),ISNUMBER(AJ585),AJ585&gt;0),AG585/AJ585,"")</f>
        <v/>
      </c>
      <c r="AL585" s="17">
        <f>IF(E585="금융","",IF(AND(ISNUMBER(R585),ISNUMBER(AH585)),R585+AH585,""))</f>
        <v/>
      </c>
      <c r="AM585" s="19">
        <f>IF(OR(NOT(ISNUMBER(AG585)),NOT(ISNUMBER(AL585)),AL585&lt;=0),"",IF(AND(ISNUMBER(G585),AL585&lt;0.1*G585),"",AG585/AL585))</f>
        <v/>
      </c>
      <c r="AN585" s="17">
        <f>IF(NOT(ISNUMBER(R585)),"",IF(ISNUMBER(S585),(R585+S585)/2,R585))</f>
        <v/>
      </c>
      <c r="AO585" s="19">
        <f>IF(AND(ISNUMBER(L585),ISNUMBER(AN585),AN585&gt;0),L585/AN585,"")</f>
        <v/>
      </c>
      <c r="AP585" s="19">
        <f>IF(AND(ISNUMBER(AO585),ISNUMBER({ROIC})),AO585-{ROIC},"")</f>
        <v/>
      </c>
      <c r="AQ585" s="17">
        <f>IF(AND(ISNUMBER(AE585),ISNUMBER(N585)),AE585+N585,"")</f>
        <v/>
      </c>
      <c r="AR585" s="20">
        <f>IF(AND(ISNUMBER(AH585),ISNUMBER(T585),ISNUMBER(AQ585),AQ585&gt;0),(AH585-T585)/AQ585,"")</f>
        <v/>
      </c>
      <c r="AS585" s="20">
        <f>IF(AND(ISNUMBER(AE585),ISNUMBER(I585),I585&lt;&gt;0,AE585&gt;0),AE585/I585,"")</f>
        <v/>
      </c>
      <c r="AT585" s="17">
        <f>IF(AND(ISNUMBER(Y585),ISNUMBER(AA585)),Y585-IF(ISNUMBER(T585),T585,0)-(AA585-IF(ISNUMBER(V585),V585,0)),"")</f>
        <v/>
      </c>
      <c r="AU585" s="17">
        <f>IF(AND(ISNUMBER(Z585),ISNUMBER(AB585)),Z585-IF(ISNUMBER(U585),U585,0)-(AB585-IF(ISNUMBER(W585),W585,0)),"")</f>
        <v/>
      </c>
      <c r="AV585" s="17">
        <f>IF(AND(ISNUMBER(AT585),ISNUMBER(AU585)),AT585-AU585,"")</f>
        <v/>
      </c>
      <c r="AW585" s="17">
        <f>IF(AND(ISNUMBER(L585),ISNUMBER(M585),ISNUMBER(AF585)),L585-M585*(1-AF585),IF(ISNUMBER(L585),L585,""))</f>
        <v/>
      </c>
      <c r="AX585" s="17">
        <f>IF(E585="금융","",IF(AND(ISNUMBER(AW585),ISNUMBER(N585),ISNUMBER(O585),ISNUMBER(AV585)),AW585+N585-O585-AV585,IF(AND(ISNUMBER(P585),ISNUMBER(O585)),P585-O585-IF(ISNUMBER(Q585),Q585,0),"")))</f>
        <v/>
      </c>
      <c r="AY585" s="8">
        <f>IF(E585="금융","금융업 - 정의되지 않음",IF(AND(ISNUMBER(AW585),ISNUMBER(N585),ISNUMBER(O585),ISNUMBER(AV585)),"영업순이익+감가상각-설비투자-운전자본증감",IF(AND(ISNUMBER(P585),ISNUMBER(O585)),IF(ISNUMBER(Q585),"영업현금흐름-설비투자-주식보상비용","영업현금흐름-설비투자(주식보상비용 미태깅)"),"산출불가")))</f>
        <v/>
      </c>
      <c r="AZ585" s="19">
        <f>IF(AND(ISNUMBER(AX585),ISNUMBER(G585),G585&lt;&gt;0),AX585/G585,"")</f>
        <v/>
      </c>
      <c r="BA585" s="19">
        <f>IF(AND(ISNUMBER(AE585),ISNUMBER(G585),G585&lt;&gt;0),AE585/G585,"")</f>
        <v/>
      </c>
    </row>
    <row r="586">
      <c r="A586" s="8" t="inlineStr">
        <is>
          <t>IBM</t>
        </is>
      </c>
      <c r="B586" s="8" t="inlineStr">
        <is>
          <t>INTERNATIONAL BUSINESS MACHINES CORP</t>
        </is>
      </c>
      <c r="C586" s="8" t="n">
        <v>2021</v>
      </c>
      <c r="D586" s="8" t="inlineStr">
        <is>
          <t>2021-12-31</t>
        </is>
      </c>
      <c r="E586" s="8" t="inlineStr">
        <is>
          <t>일반</t>
        </is>
      </c>
      <c r="F586" s="8" t="inlineStr">
        <is>
          <t>0000051143-24-000012</t>
        </is>
      </c>
      <c r="G586" s="15" t="n">
        <v>57.35</v>
      </c>
      <c r="H586" s="15" t="n">
        <v>4.837</v>
      </c>
      <c r="I586" s="15" t="n">
        <v>1.155</v>
      </c>
      <c r="J586" s="15" t="n">
        <v>0.124</v>
      </c>
      <c r="K586" s="15" t="n"/>
      <c r="L586" s="15" t="n">
        <v>5.743</v>
      </c>
      <c r="M586" s="15" t="n"/>
      <c r="N586" s="15" t="n">
        <v>3.888</v>
      </c>
      <c r="O586" s="15" t="n">
        <v>2.062</v>
      </c>
      <c r="P586" s="15" t="n">
        <v>12.796</v>
      </c>
      <c r="Q586" s="15" t="n">
        <v>0.982</v>
      </c>
      <c r="R586" s="15" t="n">
        <v>18.901</v>
      </c>
      <c r="S586" s="15" t="n">
        <v>20.597</v>
      </c>
      <c r="T586" s="15" t="n">
        <v>6.65</v>
      </c>
      <c r="U586" s="15" t="n">
        <v>13.788</v>
      </c>
      <c r="V586" s="15" t="n">
        <v>6.787</v>
      </c>
      <c r="W586" s="15" t="n">
        <v>7.116</v>
      </c>
      <c r="X586" s="15" t="n">
        <v>44.917</v>
      </c>
      <c r="Y586" s="15" t="n">
        <v>29.539</v>
      </c>
      <c r="Z586" s="15" t="n">
        <v>39.165</v>
      </c>
      <c r="AA586" s="15" t="n">
        <v>33.619</v>
      </c>
      <c r="AB586" s="15" t="n">
        <v>39.869</v>
      </c>
      <c r="AC586" s="15" t="n">
        <v>68.142</v>
      </c>
      <c r="AD586" s="16" t="n">
        <v>898.0685999999999</v>
      </c>
      <c r="AE586" s="17">
        <f>IF(ISNUMBER(K586),K586,IF(AND(ISNUMBER(H586),ISNUMBER(I586)),H586+I586,IF(ISNUMBER(H586),H586,"")))</f>
        <v/>
      </c>
      <c r="AF586" s="18">
        <f>IF(OR(NOT(ISNUMBER(J586)),NOT(ISNUMBER(H586)),H586&lt;=0),기준표!$B$8,MIN(MAX(J586/H586,기준표!$B$6),기준표!$B$7))</f>
        <v/>
      </c>
      <c r="AG586" s="17">
        <f>IF(ISNUMBER(AE586),AE586*(1-AF586),"")</f>
        <v/>
      </c>
      <c r="AH586" s="17">
        <f>IF(AND(NOT(ISNUMBER(V586)),NOT(ISNUMBER(X586))),"",IF(ISNUMBER(V586),V586,0)+IF(ISNUMBER(X586),X586,0))</f>
        <v/>
      </c>
      <c r="AI586" s="17">
        <f>IF(E586="금융","",IF(AND(ISNUMBER(R586),ISNUMBER(AH586),ISNUMBER(T586)),R586+AH586-T586,""))</f>
        <v/>
      </c>
      <c r="AJ586" s="17">
        <f>IF(E586="금융","",IF(NOT(ISNUMBER(AI586)),"",IF(ISNUMBER(AC586),(AI586+AC586)/2,AI586)))</f>
        <v/>
      </c>
      <c r="AK586" s="19">
        <f>IF(AND(ISNUMBER(AG586),ISNUMBER(AJ586),AJ586&gt;0),AG586/AJ586,"")</f>
        <v/>
      </c>
      <c r="AL586" s="17">
        <f>IF(E586="금융","",IF(AND(ISNUMBER(R586),ISNUMBER(AH586)),R586+AH586,""))</f>
        <v/>
      </c>
      <c r="AM586" s="19">
        <f>IF(OR(NOT(ISNUMBER(AG586)),NOT(ISNUMBER(AL586)),AL586&lt;=0),"",IF(AND(ISNUMBER(G586),AL586&lt;0.1*G586),"",AG586/AL586))</f>
        <v/>
      </c>
      <c r="AN586" s="17">
        <f>IF(NOT(ISNUMBER(R586)),"",IF(ISNUMBER(S586),(R586+S586)/2,R586))</f>
        <v/>
      </c>
      <c r="AO586" s="19">
        <f>IF(AND(ISNUMBER(L586),ISNUMBER(AN586),AN586&gt;0),L586/AN586,"")</f>
        <v/>
      </c>
      <c r="AP586" s="19">
        <f>IF(AND(ISNUMBER(AO586),ISNUMBER({ROIC})),AO586-{ROIC},"")</f>
        <v/>
      </c>
      <c r="AQ586" s="17">
        <f>IF(AND(ISNUMBER(AE586),ISNUMBER(N586)),AE586+N586,"")</f>
        <v/>
      </c>
      <c r="AR586" s="20">
        <f>IF(AND(ISNUMBER(AH586),ISNUMBER(T586),ISNUMBER(AQ586),AQ586&gt;0),(AH586-T586)/AQ586,"")</f>
        <v/>
      </c>
      <c r="AS586" s="20">
        <f>IF(AND(ISNUMBER(AE586),ISNUMBER(I586),I586&lt;&gt;0,AE586&gt;0),AE586/I586,"")</f>
        <v/>
      </c>
      <c r="AT586" s="17">
        <f>IF(AND(ISNUMBER(Y586),ISNUMBER(AA586)),Y586-IF(ISNUMBER(T586),T586,0)-(AA586-IF(ISNUMBER(V586),V586,0)),"")</f>
        <v/>
      </c>
      <c r="AU586" s="17">
        <f>IF(AND(ISNUMBER(Z586),ISNUMBER(AB586)),Z586-IF(ISNUMBER(U586),U586,0)-(AB586-IF(ISNUMBER(W586),W586,0)),"")</f>
        <v/>
      </c>
      <c r="AV586" s="17">
        <f>IF(AND(ISNUMBER(AT586),ISNUMBER(AU586)),AT586-AU586,"")</f>
        <v/>
      </c>
      <c r="AW586" s="17">
        <f>IF(AND(ISNUMBER(L586),ISNUMBER(M586),ISNUMBER(AF586)),L586-M586*(1-AF586),IF(ISNUMBER(L586),L586,""))</f>
        <v/>
      </c>
      <c r="AX586" s="17">
        <f>IF(E586="금융","",IF(AND(ISNUMBER(AW586),ISNUMBER(N586),ISNUMBER(O586),ISNUMBER(AV586)),AW586+N586-O586-AV586,IF(AND(ISNUMBER(P586),ISNUMBER(O586)),P586-O586-IF(ISNUMBER(Q586),Q586,0),"")))</f>
        <v/>
      </c>
      <c r="AY586" s="8">
        <f>IF(E586="금융","금융업 - 정의되지 않음",IF(AND(ISNUMBER(AW586),ISNUMBER(N586),ISNUMBER(O586),ISNUMBER(AV586)),"영업순이익+감가상각-설비투자-운전자본증감",IF(AND(ISNUMBER(P586),ISNUMBER(O586)),IF(ISNUMBER(Q586),"영업현금흐름-설비투자-주식보상비용","영업현금흐름-설비투자(주식보상비용 미태깅)"),"산출불가")))</f>
        <v/>
      </c>
      <c r="AZ586" s="19">
        <f>IF(AND(ISNUMBER(AX586),ISNUMBER(G586),G586&lt;&gt;0),AX586/G586,"")</f>
        <v/>
      </c>
      <c r="BA586" s="19">
        <f>IF(AND(ISNUMBER(AE586),ISNUMBER(G586),G586&lt;&gt;0),AE586/G586,"")</f>
        <v/>
      </c>
    </row>
    <row r="587">
      <c r="A587" s="8" t="inlineStr">
        <is>
          <t>IBM</t>
        </is>
      </c>
      <c r="B587" s="8" t="inlineStr">
        <is>
          <t>INTERNATIONAL BUSINESS MACHINES CORP</t>
        </is>
      </c>
      <c r="C587" s="8" t="n">
        <v>2022</v>
      </c>
      <c r="D587" s="8" t="inlineStr">
        <is>
          <t>2022-12-31</t>
        </is>
      </c>
      <c r="E587" s="8" t="inlineStr">
        <is>
          <t>일반</t>
        </is>
      </c>
      <c r="F587" s="8" t="inlineStr">
        <is>
          <t>0000051143-25-000015</t>
        </is>
      </c>
      <c r="G587" s="15" t="n">
        <v>60.53</v>
      </c>
      <c r="H587" s="15" t="n">
        <v>1.156</v>
      </c>
      <c r="I587" s="15" t="n">
        <v>1.216</v>
      </c>
      <c r="J587" s="15" t="n">
        <v>-0.626</v>
      </c>
      <c r="K587" s="15" t="n"/>
      <c r="L587" s="15" t="n">
        <v>1.639</v>
      </c>
      <c r="M587" s="15" t="n"/>
      <c r="N587" s="15" t="n">
        <v>2.407</v>
      </c>
      <c r="O587" s="15" t="n">
        <v>1.346</v>
      </c>
      <c r="P587" s="15" t="n">
        <v>10.435</v>
      </c>
      <c r="Q587" s="15" t="n">
        <v>0.987</v>
      </c>
      <c r="R587" s="15" t="n">
        <v>21.944</v>
      </c>
      <c r="S587" s="15" t="n">
        <v>18.901</v>
      </c>
      <c r="T587" s="15" t="n">
        <v>7.886</v>
      </c>
      <c r="U587" s="15" t="n">
        <v>6.65</v>
      </c>
      <c r="V587" s="15" t="n">
        <v>4.76</v>
      </c>
      <c r="W587" s="15" t="n">
        <v>6.787</v>
      </c>
      <c r="X587" s="15" t="n">
        <v>46.189</v>
      </c>
      <c r="Y587" s="15" t="n">
        <v>29.118</v>
      </c>
      <c r="Z587" s="15" t="n">
        <v>29.539</v>
      </c>
      <c r="AA587" s="15" t="n">
        <v>31.505</v>
      </c>
      <c r="AB587" s="15" t="n">
        <v>33.619</v>
      </c>
      <c r="AC587" s="15" t="n">
        <v>63.955</v>
      </c>
      <c r="AD587" s="16" t="n">
        <v>906.091977</v>
      </c>
      <c r="AE587" s="17">
        <f>IF(ISNUMBER(K587),K587,IF(AND(ISNUMBER(H587),ISNUMBER(I587)),H587+I587,IF(ISNUMBER(H587),H587,"")))</f>
        <v/>
      </c>
      <c r="AF587" s="18">
        <f>IF(OR(NOT(ISNUMBER(J587)),NOT(ISNUMBER(H587)),H587&lt;=0),기준표!$B$8,MIN(MAX(J587/H587,기준표!$B$6),기준표!$B$7))</f>
        <v/>
      </c>
      <c r="AG587" s="17">
        <f>IF(ISNUMBER(AE587),AE587*(1-AF587),"")</f>
        <v/>
      </c>
      <c r="AH587" s="17">
        <f>IF(AND(NOT(ISNUMBER(V587)),NOT(ISNUMBER(X587))),"",IF(ISNUMBER(V587),V587,0)+IF(ISNUMBER(X587),X587,0))</f>
        <v/>
      </c>
      <c r="AI587" s="17">
        <f>IF(E587="금융","",IF(AND(ISNUMBER(R587),ISNUMBER(AH587),ISNUMBER(T587)),R587+AH587-T587,""))</f>
        <v/>
      </c>
      <c r="AJ587" s="17">
        <f>IF(E587="금융","",IF(NOT(ISNUMBER(AI587)),"",IF(ISNUMBER(AC587),(AI587+AC587)/2,AI587)))</f>
        <v/>
      </c>
      <c r="AK587" s="19">
        <f>IF(AND(ISNUMBER(AG587),ISNUMBER(AJ587),AJ587&gt;0),AG587/AJ587,"")</f>
        <v/>
      </c>
      <c r="AL587" s="17">
        <f>IF(E587="금융","",IF(AND(ISNUMBER(R587),ISNUMBER(AH587)),R587+AH587,""))</f>
        <v/>
      </c>
      <c r="AM587" s="19">
        <f>IF(OR(NOT(ISNUMBER(AG587)),NOT(ISNUMBER(AL587)),AL587&lt;=0),"",IF(AND(ISNUMBER(G587),AL587&lt;0.1*G587),"",AG587/AL587))</f>
        <v/>
      </c>
      <c r="AN587" s="17">
        <f>IF(NOT(ISNUMBER(R587)),"",IF(ISNUMBER(S587),(R587+S587)/2,R587))</f>
        <v/>
      </c>
      <c r="AO587" s="19">
        <f>IF(AND(ISNUMBER(L587),ISNUMBER(AN587),AN587&gt;0),L587/AN587,"")</f>
        <v/>
      </c>
      <c r="AP587" s="19">
        <f>IF(AND(ISNUMBER(AO587),ISNUMBER({ROIC})),AO587-{ROIC},"")</f>
        <v/>
      </c>
      <c r="AQ587" s="17">
        <f>IF(AND(ISNUMBER(AE587),ISNUMBER(N587)),AE587+N587,"")</f>
        <v/>
      </c>
      <c r="AR587" s="20">
        <f>IF(AND(ISNUMBER(AH587),ISNUMBER(T587),ISNUMBER(AQ587),AQ587&gt;0),(AH587-T587)/AQ587,"")</f>
        <v/>
      </c>
      <c r="AS587" s="20">
        <f>IF(AND(ISNUMBER(AE587),ISNUMBER(I587),I587&lt;&gt;0,AE587&gt;0),AE587/I587,"")</f>
        <v/>
      </c>
      <c r="AT587" s="17">
        <f>IF(AND(ISNUMBER(Y587),ISNUMBER(AA587)),Y587-IF(ISNUMBER(T587),T587,0)-(AA587-IF(ISNUMBER(V587),V587,0)),"")</f>
        <v/>
      </c>
      <c r="AU587" s="17">
        <f>IF(AND(ISNUMBER(Z587),ISNUMBER(AB587)),Z587-IF(ISNUMBER(U587),U587,0)-(AB587-IF(ISNUMBER(W587),W587,0)),"")</f>
        <v/>
      </c>
      <c r="AV587" s="17">
        <f>IF(AND(ISNUMBER(AT587),ISNUMBER(AU587)),AT587-AU587,"")</f>
        <v/>
      </c>
      <c r="AW587" s="17">
        <f>IF(AND(ISNUMBER(L587),ISNUMBER(M587),ISNUMBER(AF587)),L587-M587*(1-AF587),IF(ISNUMBER(L587),L587,""))</f>
        <v/>
      </c>
      <c r="AX587" s="17">
        <f>IF(E587="금융","",IF(AND(ISNUMBER(AW587),ISNUMBER(N587),ISNUMBER(O587),ISNUMBER(AV587)),AW587+N587-O587-AV587,IF(AND(ISNUMBER(P587),ISNUMBER(O587)),P587-O587-IF(ISNUMBER(Q587),Q587,0),"")))</f>
        <v/>
      </c>
      <c r="AY587" s="8">
        <f>IF(E587="금융","금융업 - 정의되지 않음",IF(AND(ISNUMBER(AW587),ISNUMBER(N587),ISNUMBER(O587),ISNUMBER(AV587)),"영업순이익+감가상각-설비투자-운전자본증감",IF(AND(ISNUMBER(P587),ISNUMBER(O587)),IF(ISNUMBER(Q587),"영업현금흐름-설비투자-주식보상비용","영업현금흐름-설비투자(주식보상비용 미태깅)"),"산출불가")))</f>
        <v/>
      </c>
      <c r="AZ587" s="19">
        <f>IF(AND(ISNUMBER(AX587),ISNUMBER(G587),G587&lt;&gt;0),AX587/G587,"")</f>
        <v/>
      </c>
      <c r="BA587" s="19">
        <f>IF(AND(ISNUMBER(AE587),ISNUMBER(G587),G587&lt;&gt;0),AE587/G587,"")</f>
        <v/>
      </c>
    </row>
    <row r="588">
      <c r="A588" s="8" t="inlineStr">
        <is>
          <t>IBM</t>
        </is>
      </c>
      <c r="B588" s="8" t="inlineStr">
        <is>
          <t>INTERNATIONAL BUSINESS MACHINES CORP</t>
        </is>
      </c>
      <c r="C588" s="8" t="n">
        <v>2023</v>
      </c>
      <c r="D588" s="8" t="inlineStr">
        <is>
          <t>2023-12-31</t>
        </is>
      </c>
      <c r="E588" s="8" t="inlineStr">
        <is>
          <t>일반</t>
        </is>
      </c>
      <c r="F588" s="8" t="inlineStr">
        <is>
          <t>0000051143-26-000010</t>
        </is>
      </c>
      <c r="G588" s="15" t="n">
        <v>61.86</v>
      </c>
      <c r="H588" s="15" t="n">
        <v>8.69</v>
      </c>
      <c r="I588" s="15" t="n">
        <v>1.607</v>
      </c>
      <c r="J588" s="15" t="n">
        <v>1.176</v>
      </c>
      <c r="K588" s="15" t="n"/>
      <c r="L588" s="15" t="n">
        <v>7.502</v>
      </c>
      <c r="M588" s="15" t="n"/>
      <c r="N588" s="15" t="n">
        <v>2.109</v>
      </c>
      <c r="O588" s="15" t="n">
        <v>1.245</v>
      </c>
      <c r="P588" s="15" t="n">
        <v>13.931</v>
      </c>
      <c r="Q588" s="15" t="n">
        <v>1.133</v>
      </c>
      <c r="R588" s="15" t="n">
        <v>22.533</v>
      </c>
      <c r="S588" s="15" t="n">
        <v>21.944</v>
      </c>
      <c r="T588" s="15" t="n">
        <v>13.068</v>
      </c>
      <c r="U588" s="15" t="n">
        <v>7.886</v>
      </c>
      <c r="V588" s="15" t="n">
        <v>6.426</v>
      </c>
      <c r="W588" s="15" t="n">
        <v>4.76</v>
      </c>
      <c r="X588" s="15" t="n">
        <v>50.121</v>
      </c>
      <c r="Y588" s="15" t="n">
        <v>32.908</v>
      </c>
      <c r="Z588" s="15" t="n">
        <v>29.118</v>
      </c>
      <c r="AA588" s="15" t="n">
        <v>34.122</v>
      </c>
      <c r="AB588" s="15" t="n">
        <v>31.505</v>
      </c>
      <c r="AC588" s="15" t="n">
        <v>65.00700000000001</v>
      </c>
      <c r="AD588" s="16" t="n">
        <v>915.013646</v>
      </c>
      <c r="AE588" s="17">
        <f>IF(ISNUMBER(K588),K588,IF(AND(ISNUMBER(H588),ISNUMBER(I588)),H588+I588,IF(ISNUMBER(H588),H588,"")))</f>
        <v/>
      </c>
      <c r="AF588" s="18">
        <f>IF(OR(NOT(ISNUMBER(J588)),NOT(ISNUMBER(H588)),H588&lt;=0),기준표!$B$8,MIN(MAX(J588/H588,기준표!$B$6),기준표!$B$7))</f>
        <v/>
      </c>
      <c r="AG588" s="17">
        <f>IF(ISNUMBER(AE588),AE588*(1-AF588),"")</f>
        <v/>
      </c>
      <c r="AH588" s="17">
        <f>IF(AND(NOT(ISNUMBER(V588)),NOT(ISNUMBER(X588))),"",IF(ISNUMBER(V588),V588,0)+IF(ISNUMBER(X588),X588,0))</f>
        <v/>
      </c>
      <c r="AI588" s="17">
        <f>IF(E588="금융","",IF(AND(ISNUMBER(R588),ISNUMBER(AH588),ISNUMBER(T588)),R588+AH588-T588,""))</f>
        <v/>
      </c>
      <c r="AJ588" s="17">
        <f>IF(E588="금융","",IF(NOT(ISNUMBER(AI588)),"",IF(ISNUMBER(AC588),(AI588+AC588)/2,AI588)))</f>
        <v/>
      </c>
      <c r="AK588" s="19">
        <f>IF(AND(ISNUMBER(AG588),ISNUMBER(AJ588),AJ588&gt;0),AG588/AJ588,"")</f>
        <v/>
      </c>
      <c r="AL588" s="17">
        <f>IF(E588="금융","",IF(AND(ISNUMBER(R588),ISNUMBER(AH588)),R588+AH588,""))</f>
        <v/>
      </c>
      <c r="AM588" s="19">
        <f>IF(OR(NOT(ISNUMBER(AG588)),NOT(ISNUMBER(AL588)),AL588&lt;=0),"",IF(AND(ISNUMBER(G588),AL588&lt;0.1*G588),"",AG588/AL588))</f>
        <v/>
      </c>
      <c r="AN588" s="17">
        <f>IF(NOT(ISNUMBER(R588)),"",IF(ISNUMBER(S588),(R588+S588)/2,R588))</f>
        <v/>
      </c>
      <c r="AO588" s="19">
        <f>IF(AND(ISNUMBER(L588),ISNUMBER(AN588),AN588&gt;0),L588/AN588,"")</f>
        <v/>
      </c>
      <c r="AP588" s="19">
        <f>IF(AND(ISNUMBER(AO588),ISNUMBER({ROIC})),AO588-{ROIC},"")</f>
        <v/>
      </c>
      <c r="AQ588" s="17">
        <f>IF(AND(ISNUMBER(AE588),ISNUMBER(N588)),AE588+N588,"")</f>
        <v/>
      </c>
      <c r="AR588" s="20">
        <f>IF(AND(ISNUMBER(AH588),ISNUMBER(T588),ISNUMBER(AQ588),AQ588&gt;0),(AH588-T588)/AQ588,"")</f>
        <v/>
      </c>
      <c r="AS588" s="20">
        <f>IF(AND(ISNUMBER(AE588),ISNUMBER(I588),I588&lt;&gt;0,AE588&gt;0),AE588/I588,"")</f>
        <v/>
      </c>
      <c r="AT588" s="17">
        <f>IF(AND(ISNUMBER(Y588),ISNUMBER(AA588)),Y588-IF(ISNUMBER(T588),T588,0)-(AA588-IF(ISNUMBER(V588),V588,0)),"")</f>
        <v/>
      </c>
      <c r="AU588" s="17">
        <f>IF(AND(ISNUMBER(Z588),ISNUMBER(AB588)),Z588-IF(ISNUMBER(U588),U588,0)-(AB588-IF(ISNUMBER(W588),W588,0)),"")</f>
        <v/>
      </c>
      <c r="AV588" s="17">
        <f>IF(AND(ISNUMBER(AT588),ISNUMBER(AU588)),AT588-AU588,"")</f>
        <v/>
      </c>
      <c r="AW588" s="17">
        <f>IF(AND(ISNUMBER(L588),ISNUMBER(M588),ISNUMBER(AF588)),L588-M588*(1-AF588),IF(ISNUMBER(L588),L588,""))</f>
        <v/>
      </c>
      <c r="AX588" s="17">
        <f>IF(E588="금융","",IF(AND(ISNUMBER(AW588),ISNUMBER(N588),ISNUMBER(O588),ISNUMBER(AV588)),AW588+N588-O588-AV588,IF(AND(ISNUMBER(P588),ISNUMBER(O588)),P588-O588-IF(ISNUMBER(Q588),Q588,0),"")))</f>
        <v/>
      </c>
      <c r="AY588" s="8">
        <f>IF(E588="금융","금융업 - 정의되지 않음",IF(AND(ISNUMBER(AW588),ISNUMBER(N588),ISNUMBER(O588),ISNUMBER(AV588)),"영업순이익+감가상각-설비투자-운전자본증감",IF(AND(ISNUMBER(P588),ISNUMBER(O588)),IF(ISNUMBER(Q588),"영업현금흐름-설비투자-주식보상비용","영업현금흐름-설비투자(주식보상비용 미태깅)"),"산출불가")))</f>
        <v/>
      </c>
      <c r="AZ588" s="19">
        <f>IF(AND(ISNUMBER(AX588),ISNUMBER(G588),G588&lt;&gt;0),AX588/G588,"")</f>
        <v/>
      </c>
      <c r="BA588" s="19">
        <f>IF(AND(ISNUMBER(AE588),ISNUMBER(G588),G588&lt;&gt;0),AE588/G588,"")</f>
        <v/>
      </c>
    </row>
    <row r="589">
      <c r="A589" s="8" t="inlineStr">
        <is>
          <t>IBM</t>
        </is>
      </c>
      <c r="B589" s="8" t="inlineStr">
        <is>
          <t>INTERNATIONAL BUSINESS MACHINES CORP</t>
        </is>
      </c>
      <c r="C589" s="8" t="n">
        <v>2024</v>
      </c>
      <c r="D589" s="8" t="inlineStr">
        <is>
          <t>2024-12-31</t>
        </is>
      </c>
      <c r="E589" s="8" t="inlineStr">
        <is>
          <t>일반</t>
        </is>
      </c>
      <c r="F589" s="8" t="inlineStr">
        <is>
          <t>0000051143-26-000010</t>
        </is>
      </c>
      <c r="G589" s="15" t="n">
        <v>62.753</v>
      </c>
      <c r="H589" s="15" t="n">
        <v>5.797</v>
      </c>
      <c r="I589" s="15" t="n">
        <v>1.712</v>
      </c>
      <c r="J589" s="15" t="n">
        <v>-0.218</v>
      </c>
      <c r="K589" s="15" t="n"/>
      <c r="L589" s="15" t="n">
        <v>6.023</v>
      </c>
      <c r="M589" s="15" t="n"/>
      <c r="N589" s="15" t="n">
        <v>2.168</v>
      </c>
      <c r="O589" s="15" t="n">
        <v>1.048</v>
      </c>
      <c r="P589" s="15" t="n">
        <v>13.445</v>
      </c>
      <c r="Q589" s="15" t="n">
        <v>1.311</v>
      </c>
      <c r="R589" s="15" t="n">
        <v>27.307</v>
      </c>
      <c r="S589" s="15" t="n">
        <v>22.533</v>
      </c>
      <c r="T589" s="15" t="n">
        <v>13.947</v>
      </c>
      <c r="U589" s="15" t="n">
        <v>13.068</v>
      </c>
      <c r="V589" s="15" t="n">
        <v>5.089</v>
      </c>
      <c r="W589" s="15" t="n">
        <v>6.426</v>
      </c>
      <c r="X589" s="15" t="n">
        <v>49.884</v>
      </c>
      <c r="Y589" s="15" t="n">
        <v>34.482</v>
      </c>
      <c r="Z589" s="15" t="n">
        <v>32.908</v>
      </c>
      <c r="AA589" s="15" t="n">
        <v>33.142</v>
      </c>
      <c r="AB589" s="15" t="n">
        <v>34.122</v>
      </c>
      <c r="AC589" s="15" t="n">
        <v>66.012</v>
      </c>
      <c r="AD589" s="16" t="n">
        <v>926.29007</v>
      </c>
      <c r="AE589" s="17">
        <f>IF(ISNUMBER(K589),K589,IF(AND(ISNUMBER(H589),ISNUMBER(I589)),H589+I589,IF(ISNUMBER(H589),H589,"")))</f>
        <v/>
      </c>
      <c r="AF589" s="18">
        <f>IF(OR(NOT(ISNUMBER(J589)),NOT(ISNUMBER(H589)),H589&lt;=0),기준표!$B$8,MIN(MAX(J589/H589,기준표!$B$6),기준표!$B$7))</f>
        <v/>
      </c>
      <c r="AG589" s="17">
        <f>IF(ISNUMBER(AE589),AE589*(1-AF589),"")</f>
        <v/>
      </c>
      <c r="AH589" s="17">
        <f>IF(AND(NOT(ISNUMBER(V589)),NOT(ISNUMBER(X589))),"",IF(ISNUMBER(V589),V589,0)+IF(ISNUMBER(X589),X589,0))</f>
        <v/>
      </c>
      <c r="AI589" s="17">
        <f>IF(E589="금융","",IF(AND(ISNUMBER(R589),ISNUMBER(AH589),ISNUMBER(T589)),R589+AH589-T589,""))</f>
        <v/>
      </c>
      <c r="AJ589" s="17">
        <f>IF(E589="금융","",IF(NOT(ISNUMBER(AI589)),"",IF(ISNUMBER(AC589),(AI589+AC589)/2,AI589)))</f>
        <v/>
      </c>
      <c r="AK589" s="19">
        <f>IF(AND(ISNUMBER(AG589),ISNUMBER(AJ589),AJ589&gt;0),AG589/AJ589,"")</f>
        <v/>
      </c>
      <c r="AL589" s="17">
        <f>IF(E589="금융","",IF(AND(ISNUMBER(R589),ISNUMBER(AH589)),R589+AH589,""))</f>
        <v/>
      </c>
      <c r="AM589" s="19">
        <f>IF(OR(NOT(ISNUMBER(AG589)),NOT(ISNUMBER(AL589)),AL589&lt;=0),"",IF(AND(ISNUMBER(G589),AL589&lt;0.1*G589),"",AG589/AL589))</f>
        <v/>
      </c>
      <c r="AN589" s="17">
        <f>IF(NOT(ISNUMBER(R589)),"",IF(ISNUMBER(S589),(R589+S589)/2,R589))</f>
        <v/>
      </c>
      <c r="AO589" s="19">
        <f>IF(AND(ISNUMBER(L589),ISNUMBER(AN589),AN589&gt;0),L589/AN589,"")</f>
        <v/>
      </c>
      <c r="AP589" s="19">
        <f>IF(AND(ISNUMBER(AO589),ISNUMBER({ROIC})),AO589-{ROIC},"")</f>
        <v/>
      </c>
      <c r="AQ589" s="17">
        <f>IF(AND(ISNUMBER(AE589),ISNUMBER(N589)),AE589+N589,"")</f>
        <v/>
      </c>
      <c r="AR589" s="20">
        <f>IF(AND(ISNUMBER(AH589),ISNUMBER(T589),ISNUMBER(AQ589),AQ589&gt;0),(AH589-T589)/AQ589,"")</f>
        <v/>
      </c>
      <c r="AS589" s="20">
        <f>IF(AND(ISNUMBER(AE589),ISNUMBER(I589),I589&lt;&gt;0,AE589&gt;0),AE589/I589,"")</f>
        <v/>
      </c>
      <c r="AT589" s="17">
        <f>IF(AND(ISNUMBER(Y589),ISNUMBER(AA589)),Y589-IF(ISNUMBER(T589),T589,0)-(AA589-IF(ISNUMBER(V589),V589,0)),"")</f>
        <v/>
      </c>
      <c r="AU589" s="17">
        <f>IF(AND(ISNUMBER(Z589),ISNUMBER(AB589)),Z589-IF(ISNUMBER(U589),U589,0)-(AB589-IF(ISNUMBER(W589),W589,0)),"")</f>
        <v/>
      </c>
      <c r="AV589" s="17">
        <f>IF(AND(ISNUMBER(AT589),ISNUMBER(AU589)),AT589-AU589,"")</f>
        <v/>
      </c>
      <c r="AW589" s="17">
        <f>IF(AND(ISNUMBER(L589),ISNUMBER(M589),ISNUMBER(AF589)),L589-M589*(1-AF589),IF(ISNUMBER(L589),L589,""))</f>
        <v/>
      </c>
      <c r="AX589" s="17">
        <f>IF(E589="금융","",IF(AND(ISNUMBER(AW589),ISNUMBER(N589),ISNUMBER(O589),ISNUMBER(AV589)),AW589+N589-O589-AV589,IF(AND(ISNUMBER(P589),ISNUMBER(O589)),P589-O589-IF(ISNUMBER(Q589),Q589,0),"")))</f>
        <v/>
      </c>
      <c r="AY589" s="8">
        <f>IF(E589="금융","금융업 - 정의되지 않음",IF(AND(ISNUMBER(AW589),ISNUMBER(N589),ISNUMBER(O589),ISNUMBER(AV589)),"영업순이익+감가상각-설비투자-운전자본증감",IF(AND(ISNUMBER(P589),ISNUMBER(O589)),IF(ISNUMBER(Q589),"영업현금흐름-설비투자-주식보상비용","영업현금흐름-설비투자(주식보상비용 미태깅)"),"산출불가")))</f>
        <v/>
      </c>
      <c r="AZ589" s="19">
        <f>IF(AND(ISNUMBER(AX589),ISNUMBER(G589),G589&lt;&gt;0),AX589/G589,"")</f>
        <v/>
      </c>
      <c r="BA589" s="19">
        <f>IF(AND(ISNUMBER(AE589),ISNUMBER(G589),G589&lt;&gt;0),AE589/G589,"")</f>
        <v/>
      </c>
    </row>
    <row r="590">
      <c r="A590" s="8" t="inlineStr">
        <is>
          <t>IBM</t>
        </is>
      </c>
      <c r="B590" s="8" t="inlineStr">
        <is>
          <t>INTERNATIONAL BUSINESS MACHINES CORP</t>
        </is>
      </c>
      <c r="C590" s="8" t="n">
        <v>2025</v>
      </c>
      <c r="D590" s="8" t="inlineStr">
        <is>
          <t>2025-12-31</t>
        </is>
      </c>
      <c r="E590" s="8" t="inlineStr">
        <is>
          <t>일반</t>
        </is>
      </c>
      <c r="F590" s="8" t="inlineStr">
        <is>
          <t>0000051143-26-000010</t>
        </is>
      </c>
      <c r="G590" s="15" t="n">
        <v>67.535</v>
      </c>
      <c r="H590" s="15" t="n">
        <v>10.328</v>
      </c>
      <c r="I590" s="15" t="n">
        <v>1.935</v>
      </c>
      <c r="J590" s="15" t="n">
        <v>-0.242</v>
      </c>
      <c r="K590" s="15" t="n"/>
      <c r="L590" s="15" t="n">
        <v>10.593</v>
      </c>
      <c r="M590" s="15" t="n"/>
      <c r="N590" s="15" t="n">
        <v>2.284</v>
      </c>
      <c r="O590" s="15" t="n">
        <v>1.091</v>
      </c>
      <c r="P590" s="15" t="n">
        <v>13.193</v>
      </c>
      <c r="Q590" s="15" t="n">
        <v>1.715</v>
      </c>
      <c r="R590" s="15" t="n">
        <v>32.648</v>
      </c>
      <c r="S590" s="15" t="n">
        <v>27.307</v>
      </c>
      <c r="T590" s="15" t="n">
        <v>13.587</v>
      </c>
      <c r="U590" s="15" t="n">
        <v>13.947</v>
      </c>
      <c r="V590" s="15" t="n">
        <v>6.424</v>
      </c>
      <c r="W590" s="15" t="n">
        <v>5.089</v>
      </c>
      <c r="X590" s="15" t="n">
        <v>54.836</v>
      </c>
      <c r="Y590" s="15" t="n">
        <v>36.944</v>
      </c>
      <c r="Z590" s="15" t="n">
        <v>34.482</v>
      </c>
      <c r="AA590" s="15" t="n">
        <v>38.658</v>
      </c>
      <c r="AB590" s="15" t="n">
        <v>33.142</v>
      </c>
      <c r="AC590" s="15" t="n">
        <v>68.333</v>
      </c>
      <c r="AD590" s="16" t="n">
        <v>936.952129</v>
      </c>
      <c r="AE590" s="17">
        <f>IF(ISNUMBER(K590),K590,IF(AND(ISNUMBER(H590),ISNUMBER(I590)),H590+I590,IF(ISNUMBER(H590),H590,"")))</f>
        <v/>
      </c>
      <c r="AF590" s="18">
        <f>IF(OR(NOT(ISNUMBER(J590)),NOT(ISNUMBER(H590)),H590&lt;=0),기준표!$B$8,MIN(MAX(J590/H590,기준표!$B$6),기준표!$B$7))</f>
        <v/>
      </c>
      <c r="AG590" s="17">
        <f>IF(ISNUMBER(AE590),AE590*(1-AF590),"")</f>
        <v/>
      </c>
      <c r="AH590" s="17">
        <f>IF(AND(NOT(ISNUMBER(V590)),NOT(ISNUMBER(X590))),"",IF(ISNUMBER(V590),V590,0)+IF(ISNUMBER(X590),X590,0))</f>
        <v/>
      </c>
      <c r="AI590" s="17">
        <f>IF(E590="금융","",IF(AND(ISNUMBER(R590),ISNUMBER(AH590),ISNUMBER(T590)),R590+AH590-T590,""))</f>
        <v/>
      </c>
      <c r="AJ590" s="17">
        <f>IF(E590="금융","",IF(NOT(ISNUMBER(AI590)),"",IF(ISNUMBER(AC590),(AI590+AC590)/2,AI590)))</f>
        <v/>
      </c>
      <c r="AK590" s="19">
        <f>IF(AND(ISNUMBER(AG590),ISNUMBER(AJ590),AJ590&gt;0),AG590/AJ590,"")</f>
        <v/>
      </c>
      <c r="AL590" s="17">
        <f>IF(E590="금융","",IF(AND(ISNUMBER(R590),ISNUMBER(AH590)),R590+AH590,""))</f>
        <v/>
      </c>
      <c r="AM590" s="19">
        <f>IF(OR(NOT(ISNUMBER(AG590)),NOT(ISNUMBER(AL590)),AL590&lt;=0),"",IF(AND(ISNUMBER(G590),AL590&lt;0.1*G590),"",AG590/AL590))</f>
        <v/>
      </c>
      <c r="AN590" s="17">
        <f>IF(NOT(ISNUMBER(R590)),"",IF(ISNUMBER(S590),(R590+S590)/2,R590))</f>
        <v/>
      </c>
      <c r="AO590" s="19">
        <f>IF(AND(ISNUMBER(L590),ISNUMBER(AN590),AN590&gt;0),L590/AN590,"")</f>
        <v/>
      </c>
      <c r="AP590" s="19">
        <f>IF(AND(ISNUMBER(AO590),ISNUMBER({ROIC})),AO590-{ROIC},"")</f>
        <v/>
      </c>
      <c r="AQ590" s="17">
        <f>IF(AND(ISNUMBER(AE590),ISNUMBER(N590)),AE590+N590,"")</f>
        <v/>
      </c>
      <c r="AR590" s="20">
        <f>IF(AND(ISNUMBER(AH590),ISNUMBER(T590),ISNUMBER(AQ590),AQ590&gt;0),(AH590-T590)/AQ590,"")</f>
        <v/>
      </c>
      <c r="AS590" s="20">
        <f>IF(AND(ISNUMBER(AE590),ISNUMBER(I590),I590&lt;&gt;0,AE590&gt;0),AE590/I590,"")</f>
        <v/>
      </c>
      <c r="AT590" s="17">
        <f>IF(AND(ISNUMBER(Y590),ISNUMBER(AA590)),Y590-IF(ISNUMBER(T590),T590,0)-(AA590-IF(ISNUMBER(V590),V590,0)),"")</f>
        <v/>
      </c>
      <c r="AU590" s="17">
        <f>IF(AND(ISNUMBER(Z590),ISNUMBER(AB590)),Z590-IF(ISNUMBER(U590),U590,0)-(AB590-IF(ISNUMBER(W590),W590,0)),"")</f>
        <v/>
      </c>
      <c r="AV590" s="17">
        <f>IF(AND(ISNUMBER(AT590),ISNUMBER(AU590)),AT590-AU590,"")</f>
        <v/>
      </c>
      <c r="AW590" s="17">
        <f>IF(AND(ISNUMBER(L590),ISNUMBER(M590),ISNUMBER(AF590)),L590-M590*(1-AF590),IF(ISNUMBER(L590),L590,""))</f>
        <v/>
      </c>
      <c r="AX590" s="17">
        <f>IF(E590="금융","",IF(AND(ISNUMBER(AW590),ISNUMBER(N590),ISNUMBER(O590),ISNUMBER(AV590)),AW590+N590-O590-AV590,IF(AND(ISNUMBER(P590),ISNUMBER(O590)),P590-O590-IF(ISNUMBER(Q590),Q590,0),"")))</f>
        <v/>
      </c>
      <c r="AY590" s="8">
        <f>IF(E590="금융","금융업 - 정의되지 않음",IF(AND(ISNUMBER(AW590),ISNUMBER(N590),ISNUMBER(O590),ISNUMBER(AV590)),"영업순이익+감가상각-설비투자-운전자본증감",IF(AND(ISNUMBER(P590),ISNUMBER(O590)),IF(ISNUMBER(Q590),"영업현금흐름-설비투자-주식보상비용","영업현금흐름-설비투자(주식보상비용 미태깅)"),"산출불가")))</f>
        <v/>
      </c>
      <c r="AZ590" s="19">
        <f>IF(AND(ISNUMBER(AX590),ISNUMBER(G590),G590&lt;&gt;0),AX590/G590,"")</f>
        <v/>
      </c>
      <c r="BA590" s="19">
        <f>IF(AND(ISNUMBER(AE590),ISNUMBER(G590),G590&lt;&gt;0),AE590/G590,"")</f>
        <v/>
      </c>
    </row>
  </sheetData>
  <autoFilter ref="A4:BA59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8" customWidth="1" min="4" max="4"/>
    <col width="13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  <col width="11" customWidth="1" min="11" max="11"/>
    <col width="12" customWidth="1" min="12" max="12"/>
    <col width="11" customWidth="1" min="13" max="13"/>
    <col width="9" customWidth="1" min="14" max="14"/>
    <col width="12" customWidth="1" min="15" max="15"/>
    <col width="13" customWidth="1" min="16" max="16"/>
    <col width="12" customWidth="1" min="17" max="17"/>
    <col width="38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품질 순위 — 사업의 질</t>
        </is>
      </c>
    </row>
    <row r="2">
      <c r="A2" s="2" t="inlineStr">
        <is>
          <t>총점은 오른쪽 7개 배점의 합계이고, 각 배점은 왼쪽 지표와 '기준표'의 문턱값으로 계산한 수식입니다. 배점 셀을 클릭하면 어떤 조건으로 몇 점이 됐는지 그대로 보입니다. 가격은 여기에 들어가지 않습니다 — 'DCF계산'과 '밸류에이션'에서 따로 다룹니다.</t>
        </is>
      </c>
    </row>
    <row r="4" ht="34" customHeight="1">
      <c r="A4" s="6" t="inlineStr">
        <is>
          <t>순위</t>
        </is>
      </c>
      <c r="B4" s="6" t="inlineStr">
        <is>
          <t>티커</t>
        </is>
      </c>
      <c r="C4" s="6" t="inlineStr">
        <is>
          <t>기업</t>
        </is>
      </c>
      <c r="D4" s="6" t="inlineStr">
        <is>
          <t>총점</t>
        </is>
      </c>
      <c r="E4" s="6" t="inlineStr">
        <is>
          <t>ROIC 중앙값</t>
        </is>
      </c>
      <c r="F4" s="6" t="inlineStr">
        <is>
          <t>자본 불필요 년수</t>
        </is>
      </c>
      <c r="G4" s="6" t="inlineStr">
        <is>
          <t>자본집약도</t>
        </is>
      </c>
      <c r="H4" s="6" t="inlineStr">
        <is>
          <t>유형자산 ROIC</t>
        </is>
      </c>
      <c r="I4" s="6" t="inlineStr">
        <is>
          <t>두자릿수 년수</t>
        </is>
      </c>
      <c r="J4" s="6" t="inlineStr">
        <is>
          <t>관측 년수</t>
        </is>
      </c>
      <c r="K4" s="6" t="inlineStr">
        <is>
          <t>지속성 비율</t>
        </is>
      </c>
      <c r="L4" s="6" t="inlineStr">
        <is>
          <t>신규 ROIC</t>
        </is>
      </c>
      <c r="M4" s="6" t="inlineStr">
        <is>
          <t>ROIC−WACC</t>
        </is>
      </c>
      <c r="N4" s="6" t="inlineStr">
        <is>
          <t>WACC</t>
        </is>
      </c>
      <c r="O4" s="6" t="inlineStr">
        <is>
          <t>주주이익률</t>
        </is>
      </c>
      <c r="P4" s="6" t="inlineStr">
        <is>
          <t>순부채/EBITDA</t>
        </is>
      </c>
      <c r="Q4" s="6" t="inlineStr">
        <is>
          <t>이자보상배율</t>
        </is>
      </c>
      <c r="R4" s="6" t="inlineStr">
        <is>
          <t>해자 판정</t>
        </is>
      </c>
      <c r="S4" s="6" t="inlineStr">
        <is>
          <t>배점:ROIC</t>
        </is>
      </c>
      <c r="T4" s="6" t="inlineStr">
        <is>
          <t>배점:지속성</t>
        </is>
      </c>
      <c r="U4" s="6" t="inlineStr">
        <is>
          <t>배점:신규ROIC</t>
        </is>
      </c>
      <c r="V4" s="6" t="inlineStr">
        <is>
          <t>배점:스프레드</t>
        </is>
      </c>
      <c r="W4" s="6" t="inlineStr">
        <is>
          <t>배점:주주이익</t>
        </is>
      </c>
      <c r="X4" s="6" t="inlineStr">
        <is>
          <t>배점:순부채</t>
        </is>
      </c>
      <c r="Y4" s="6" t="inlineStr">
        <is>
          <t>배점:이자보상</t>
        </is>
      </c>
    </row>
    <row r="5">
      <c r="A5" s="21" t="n">
        <v>1</v>
      </c>
      <c r="B5" s="8" t="inlineStr">
        <is>
          <t>ANET</t>
        </is>
      </c>
      <c r="C5" s="8" t="inlineStr">
        <is>
          <t>Arista Networks, Inc.</t>
        </is>
      </c>
      <c r="D5" s="22">
        <f>SUM(S5:Y5)</f>
        <v/>
      </c>
      <c r="E5" s="23" t="n">
        <v>1.479902439813047</v>
      </c>
      <c r="F5" s="16" t="n">
        <v>0</v>
      </c>
      <c r="G5" s="23" t="n">
        <v>0.1617605998129785</v>
      </c>
      <c r="H5" s="23" t="n">
        <v>1.944434243258451</v>
      </c>
      <c r="I5" s="16" t="n">
        <v>12</v>
      </c>
      <c r="J5" s="16" t="n">
        <v>12</v>
      </c>
      <c r="K5" s="19">
        <f>I5/J5</f>
        <v/>
      </c>
      <c r="L5" s="23" t="n">
        <v>2.035410164514666</v>
      </c>
      <c r="M5" s="23" t="n">
        <v>1.801960980683332</v>
      </c>
      <c r="N5" s="23" t="n">
        <v>0.118118622011875</v>
      </c>
      <c r="O5" s="23" t="n">
        <v>0.3187966356612794</v>
      </c>
      <c r="P5" s="24" t="n">
        <v>-2.734492325705704</v>
      </c>
      <c r="Q5" s="24" t="n">
        <v>101.2021473528323</v>
      </c>
      <c r="R5" s="8" t="inlineStr">
        <is>
          <t>강함 - 장기간 두 자릿수 ROIC, 마진 변동은 있음</t>
        </is>
      </c>
      <c r="S5" s="25">
        <f>IF(AND(NOT(ISNUMBER(E5)),F5&gt;0),25,IF(NOT(ISNUMBER(E5)),0,IF(E5&gt;=기준표!$B$10,25,IF(E5&gt;=기준표!$B$11,20,IF(E5&gt;=기준표!$B$12,15,IF(E5&gt;=기준표!$B$13,10,0))))))</f>
        <v/>
      </c>
      <c r="T5" s="21">
        <f>IF(N(J5)=0,0,ROUND(20*I5/J5,0))</f>
        <v/>
      </c>
      <c r="U5" s="25">
        <f>IF(NOT(ISNUMBER(L5)),0,IF(L5&gt;=기준표!$B$14,20,IF(L5&gt;=기준표!$B$15,15,IF(L5&gt;=기준표!$B$16,10,IF(L5&gt;0,5,0)))))</f>
        <v/>
      </c>
      <c r="V5" s="25">
        <f>IF(NOT(ISNUMBER(M5)),0,IF(M5&gt;=기준표!$B$17,15,IF(M5&gt;=기준표!$B$18,12,IF(M5&gt;=기준표!$B$19,8,IF(M5&gt;0,4,0)))))</f>
        <v/>
      </c>
      <c r="W5" s="25">
        <f>IF(NOT(ISNUMBER(O5)),0,IF(O5&gt;=기준표!$B$20,10,IF(O5&gt;=기준표!$B$21,7,IF(O5&gt;=기준표!$B$22,4,IF(O5&gt;0,2,0)))))</f>
        <v/>
      </c>
      <c r="X5" s="25">
        <f>IF(NOT(ISNUMBER(P5)),5,IF(P5&lt;=기준표!$B$23,5,IF(P5&lt;=기준표!$B$24,4,IF(P5&lt;=기준표!$B$25,2,0))))</f>
        <v/>
      </c>
      <c r="Y5" s="25">
        <f>IF(NOT(ISNUMBER(Q5)),0,IF(Q5&gt;=기준표!$B$26,5,IF(Q5&gt;=기준표!$B$27,3,IF(Q5&gt;=기준표!$B$28,1,0))))</f>
        <v/>
      </c>
    </row>
    <row r="6">
      <c r="A6" s="21" t="n">
        <v>2</v>
      </c>
      <c r="B6" s="8" t="inlineStr">
        <is>
          <t>NVDA</t>
        </is>
      </c>
      <c r="C6" s="8" t="inlineStr">
        <is>
          <t>NVIDIA CORP</t>
        </is>
      </c>
      <c r="D6" s="22">
        <f>SUM(S6:Y6)</f>
        <v/>
      </c>
      <c r="E6" s="23" t="n">
        <v>1.129009190268503</v>
      </c>
      <c r="F6" s="16" t="n">
        <v>0</v>
      </c>
      <c r="G6" s="23" t="n">
        <v>0.3039580494104435</v>
      </c>
      <c r="H6" s="23" t="n">
        <v>1.382804902515004</v>
      </c>
      <c r="I6" s="16" t="n">
        <v>12</v>
      </c>
      <c r="J6" s="16" t="n">
        <v>12</v>
      </c>
      <c r="K6" s="19">
        <f>I6/J6</f>
        <v/>
      </c>
      <c r="L6" s="23" t="n">
        <v>0.7100586602918013</v>
      </c>
      <c r="M6" s="23" t="n">
        <v>0.9573663502877695</v>
      </c>
      <c r="N6" s="23" t="n">
        <v>0.1453451248783932</v>
      </c>
      <c r="O6" s="23" t="n">
        <v>0.2814148770156796</v>
      </c>
      <c r="P6" s="24" t="n">
        <v>-0.008570116050516993</v>
      </c>
      <c r="Q6" s="24" t="n">
        <v>503.4247104247104</v>
      </c>
      <c r="R6" s="8" t="inlineStr">
        <is>
          <t>강함 - 장기간 두 자릿수 ROIC, 마진 변동은 있음</t>
        </is>
      </c>
      <c r="S6" s="25">
        <f>IF(AND(NOT(ISNUMBER(E6)),F6&gt;0),25,IF(NOT(ISNUMBER(E6)),0,IF(E6&gt;=기준표!$B$10,25,IF(E6&gt;=기준표!$B$11,20,IF(E6&gt;=기준표!$B$12,15,IF(E6&gt;=기준표!$B$13,10,0))))))</f>
        <v/>
      </c>
      <c r="T6" s="21">
        <f>IF(N(J6)=0,0,ROUND(20*I6/J6,0))</f>
        <v/>
      </c>
      <c r="U6" s="25">
        <f>IF(NOT(ISNUMBER(L6)),0,IF(L6&gt;=기준표!$B$14,20,IF(L6&gt;=기준표!$B$15,15,IF(L6&gt;=기준표!$B$16,10,IF(L6&gt;0,5,0)))))</f>
        <v/>
      </c>
      <c r="V6" s="25">
        <f>IF(NOT(ISNUMBER(M6)),0,IF(M6&gt;=기준표!$B$17,15,IF(M6&gt;=기준표!$B$18,12,IF(M6&gt;=기준표!$B$19,8,IF(M6&gt;0,4,0)))))</f>
        <v/>
      </c>
      <c r="W6" s="25">
        <f>IF(NOT(ISNUMBER(O6)),0,IF(O6&gt;=기준표!$B$20,10,IF(O6&gt;=기준표!$B$21,7,IF(O6&gt;=기준표!$B$22,4,IF(O6&gt;0,2,0)))))</f>
        <v/>
      </c>
      <c r="X6" s="25">
        <f>IF(NOT(ISNUMBER(P6)),5,IF(P6&lt;=기준표!$B$23,5,IF(P6&lt;=기준표!$B$24,4,IF(P6&lt;=기준표!$B$25,2,0))))</f>
        <v/>
      </c>
      <c r="Y6" s="25">
        <f>IF(NOT(ISNUMBER(Q6)),0,IF(Q6&gt;=기준표!$B$26,5,IF(Q6&gt;=기준표!$B$27,3,IF(Q6&gt;=기준표!$B$28,1,0))))</f>
        <v/>
      </c>
    </row>
    <row r="7">
      <c r="A7" s="21" t="n">
        <v>3</v>
      </c>
      <c r="B7" s="8" t="inlineStr">
        <is>
          <t>MA</t>
        </is>
      </c>
      <c r="C7" s="8" t="inlineStr">
        <is>
          <t>Mastercard Inc</t>
        </is>
      </c>
      <c r="D7" s="22">
        <f>SUM(S7:Y7)</f>
        <v/>
      </c>
      <c r="E7" s="23" t="n">
        <v>0.9073962403838067</v>
      </c>
      <c r="F7" s="16" t="n">
        <v>0</v>
      </c>
      <c r="G7" s="23" t="n">
        <v>0.4946479216858284</v>
      </c>
      <c r="H7" s="23" t="n">
        <v>4.572466065858714</v>
      </c>
      <c r="I7" s="16" t="n">
        <v>12</v>
      </c>
      <c r="J7" s="16" t="n">
        <v>12</v>
      </c>
      <c r="K7" s="19">
        <f>I7/J7</f>
        <v/>
      </c>
      <c r="L7" s="23" t="n">
        <v>0.8898023068052114</v>
      </c>
      <c r="M7" s="23" t="n">
        <v>0.860314120971145</v>
      </c>
      <c r="N7" s="23" t="n">
        <v>0.07834267566685758</v>
      </c>
      <c r="O7" s="23" t="n">
        <v>0.5314443690717919</v>
      </c>
      <c r="P7" s="24" t="n">
        <v>0.4208582834331338</v>
      </c>
      <c r="Q7" s="24" t="n">
        <v>26.17313019390582</v>
      </c>
      <c r="R7" s="8" t="inlineStr">
        <is>
          <t>강함 - 장기간 두 자릿수 ROIC + 안정적 마진</t>
        </is>
      </c>
      <c r="S7" s="25">
        <f>IF(AND(NOT(ISNUMBER(E7)),F7&gt;0),25,IF(NOT(ISNUMBER(E7)),0,IF(E7&gt;=기준표!$B$10,25,IF(E7&gt;=기준표!$B$11,20,IF(E7&gt;=기준표!$B$12,15,IF(E7&gt;=기준표!$B$13,10,0))))))</f>
        <v/>
      </c>
      <c r="T7" s="21">
        <f>IF(N(J7)=0,0,ROUND(20*I7/J7,0))</f>
        <v/>
      </c>
      <c r="U7" s="25">
        <f>IF(NOT(ISNUMBER(L7)),0,IF(L7&gt;=기준표!$B$14,20,IF(L7&gt;=기준표!$B$15,15,IF(L7&gt;=기준표!$B$16,10,IF(L7&gt;0,5,0)))))</f>
        <v/>
      </c>
      <c r="V7" s="25">
        <f>IF(NOT(ISNUMBER(M7)),0,IF(M7&gt;=기준표!$B$17,15,IF(M7&gt;=기준표!$B$18,12,IF(M7&gt;=기준표!$B$19,8,IF(M7&gt;0,4,0)))))</f>
        <v/>
      </c>
      <c r="W7" s="25">
        <f>IF(NOT(ISNUMBER(O7)),0,IF(O7&gt;=기준표!$B$20,10,IF(O7&gt;=기준표!$B$21,7,IF(O7&gt;=기준표!$B$22,4,IF(O7&gt;0,2,0)))))</f>
        <v/>
      </c>
      <c r="X7" s="25">
        <f>IF(NOT(ISNUMBER(P7)),5,IF(P7&lt;=기준표!$B$23,5,IF(P7&lt;=기준표!$B$24,4,IF(P7&lt;=기준표!$B$25,2,0))))</f>
        <v/>
      </c>
      <c r="Y7" s="25">
        <f>IF(NOT(ISNUMBER(Q7)),0,IF(Q7&gt;=기준표!$B$26,5,IF(Q7&gt;=기준표!$B$27,3,IF(Q7&gt;=기준표!$B$28,1,0))))</f>
        <v/>
      </c>
    </row>
    <row r="8">
      <c r="A8" s="21" t="n">
        <v>4</v>
      </c>
      <c r="B8" s="8" t="inlineStr">
        <is>
          <t>MSFT</t>
        </is>
      </c>
      <c r="C8" s="8" t="inlineStr">
        <is>
          <t>MICROSOFT CORP</t>
        </is>
      </c>
      <c r="D8" s="22">
        <f>SUM(S8:Y8)</f>
        <v/>
      </c>
      <c r="E8" s="23" t="n">
        <v>0.8309759972711221</v>
      </c>
      <c r="F8" s="16" t="n">
        <v>0</v>
      </c>
      <c r="G8" s="23" t="n">
        <v>0.3417971538717814</v>
      </c>
      <c r="H8" s="23" t="n">
        <v>1.307787195977732</v>
      </c>
      <c r="I8" s="16" t="n">
        <v>12</v>
      </c>
      <c r="J8" s="16" t="n">
        <v>12</v>
      </c>
      <c r="K8" s="19">
        <f>I8/J8</f>
        <v/>
      </c>
      <c r="L8" s="23" t="n">
        <v>0.2886971441293361</v>
      </c>
      <c r="M8" s="23" t="n">
        <v>0.2636394888601846</v>
      </c>
      <c r="N8" s="23" t="n">
        <v>0.09493990848427288</v>
      </c>
      <c r="O8" s="23" t="n">
        <v>0.2526689683394694</v>
      </c>
      <c r="P8" s="24" t="n">
        <v>-0.1928330616185758</v>
      </c>
      <c r="Q8" s="24" t="n">
        <v>50.88069485414618</v>
      </c>
      <c r="R8" s="8" t="inlineStr">
        <is>
          <t>강함 - 장기간 두 자릿수 ROIC, 마진 변동은 있음</t>
        </is>
      </c>
      <c r="S8" s="25">
        <f>IF(AND(NOT(ISNUMBER(E8)),F8&gt;0),25,IF(NOT(ISNUMBER(E8)),0,IF(E8&gt;=기준표!$B$10,25,IF(E8&gt;=기준표!$B$11,20,IF(E8&gt;=기준표!$B$12,15,IF(E8&gt;=기준표!$B$13,10,0))))))</f>
        <v/>
      </c>
      <c r="T8" s="21">
        <f>IF(N(J8)=0,0,ROUND(20*I8/J8,0))</f>
        <v/>
      </c>
      <c r="U8" s="25">
        <f>IF(NOT(ISNUMBER(L8)),0,IF(L8&gt;=기준표!$B$14,20,IF(L8&gt;=기준표!$B$15,15,IF(L8&gt;=기준표!$B$16,10,IF(L8&gt;0,5,0)))))</f>
        <v/>
      </c>
      <c r="V8" s="25">
        <f>IF(NOT(ISNUMBER(M8)),0,IF(M8&gt;=기준표!$B$17,15,IF(M8&gt;=기준표!$B$18,12,IF(M8&gt;=기준표!$B$19,8,IF(M8&gt;0,4,0)))))</f>
        <v/>
      </c>
      <c r="W8" s="25">
        <f>IF(NOT(ISNUMBER(O8)),0,IF(O8&gt;=기준표!$B$20,10,IF(O8&gt;=기준표!$B$21,7,IF(O8&gt;=기준표!$B$22,4,IF(O8&gt;0,2,0)))))</f>
        <v/>
      </c>
      <c r="X8" s="25">
        <f>IF(NOT(ISNUMBER(P8)),5,IF(P8&lt;=기준표!$B$23,5,IF(P8&lt;=기준표!$B$24,4,IF(P8&lt;=기준표!$B$25,2,0))))</f>
        <v/>
      </c>
      <c r="Y8" s="25">
        <f>IF(NOT(ISNUMBER(Q8)),0,IF(Q8&gt;=기준표!$B$26,5,IF(Q8&gt;=기준표!$B$27,3,IF(Q8&gt;=기준표!$B$28,1,0))))</f>
        <v/>
      </c>
    </row>
    <row r="9">
      <c r="A9" s="21" t="n">
        <v>5</v>
      </c>
      <c r="B9" s="8" t="inlineStr">
        <is>
          <t>LRCX</t>
        </is>
      </c>
      <c r="C9" s="8" t="inlineStr">
        <is>
          <t>LAM RESEARCH CORP</t>
        </is>
      </c>
      <c r="D9" s="22">
        <f>SUM(S9:Y9)</f>
        <v/>
      </c>
      <c r="E9" s="23" t="n">
        <v>0.4635656070456931</v>
      </c>
      <c r="F9" s="16" t="n">
        <v>0</v>
      </c>
      <c r="G9" s="23" t="n">
        <v>0.4806636478697235</v>
      </c>
      <c r="H9" s="23" t="n">
        <v>0.6556292245451188</v>
      </c>
      <c r="I9" s="16" t="n">
        <v>12</v>
      </c>
      <c r="J9" s="16" t="n">
        <v>12</v>
      </c>
      <c r="K9" s="19">
        <f>I9/J9</f>
        <v/>
      </c>
      <c r="L9" s="23" t="n">
        <v>0.9001916940160553</v>
      </c>
      <c r="M9" s="23" t="n">
        <v>0.6483191417003396</v>
      </c>
      <c r="N9" s="23" t="n">
        <v>0.1288964699079736</v>
      </c>
      <c r="O9" s="23" t="n">
        <v>0.2779015149654738</v>
      </c>
      <c r="P9" s="24" t="n">
        <v>-0.2149102545349511</v>
      </c>
      <c r="Q9" s="24" t="n">
        <v>52.59549206878636</v>
      </c>
      <c r="R9" s="8" t="inlineStr">
        <is>
          <t>강함 - 장기간 두 자릿수 ROIC + 안정적 마진</t>
        </is>
      </c>
      <c r="S9" s="25">
        <f>IF(AND(NOT(ISNUMBER(E9)),F9&gt;0),25,IF(NOT(ISNUMBER(E9)),0,IF(E9&gt;=기준표!$B$10,25,IF(E9&gt;=기준표!$B$11,20,IF(E9&gt;=기준표!$B$12,15,IF(E9&gt;=기준표!$B$13,10,0))))))</f>
        <v/>
      </c>
      <c r="T9" s="21">
        <f>IF(N(J9)=0,0,ROUND(20*I9/J9,0))</f>
        <v/>
      </c>
      <c r="U9" s="25">
        <f>IF(NOT(ISNUMBER(L9)),0,IF(L9&gt;=기준표!$B$14,20,IF(L9&gt;=기준표!$B$15,15,IF(L9&gt;=기준표!$B$16,10,IF(L9&gt;0,5,0)))))</f>
        <v/>
      </c>
      <c r="V9" s="25">
        <f>IF(NOT(ISNUMBER(M9)),0,IF(M9&gt;=기준표!$B$17,15,IF(M9&gt;=기준표!$B$18,12,IF(M9&gt;=기준표!$B$19,8,IF(M9&gt;0,4,0)))))</f>
        <v/>
      </c>
      <c r="W9" s="25">
        <f>IF(NOT(ISNUMBER(O9)),0,IF(O9&gt;=기준표!$B$20,10,IF(O9&gt;=기준표!$B$21,7,IF(O9&gt;=기준표!$B$22,4,IF(O9&gt;0,2,0)))))</f>
        <v/>
      </c>
      <c r="X9" s="25">
        <f>IF(NOT(ISNUMBER(P9)),5,IF(P9&lt;=기준표!$B$23,5,IF(P9&lt;=기준표!$B$24,4,IF(P9&lt;=기준표!$B$25,2,0))))</f>
        <v/>
      </c>
      <c r="Y9" s="25">
        <f>IF(NOT(ISNUMBER(Q9)),0,IF(Q9&gt;=기준표!$B$26,5,IF(Q9&gt;=기준표!$B$27,3,IF(Q9&gt;=기준표!$B$28,1,0))))</f>
        <v/>
      </c>
    </row>
    <row r="10">
      <c r="A10" s="21" t="n">
        <v>6</v>
      </c>
      <c r="B10" s="8" t="inlineStr">
        <is>
          <t>KLAC</t>
        </is>
      </c>
      <c r="C10" s="8" t="inlineStr">
        <is>
          <t>KLA CORP</t>
        </is>
      </c>
      <c r="D10" s="22">
        <f>SUM(S10:Y10)</f>
        <v/>
      </c>
      <c r="E10" s="23" t="n">
        <v>0.414322102931096</v>
      </c>
      <c r="F10" s="16" t="n">
        <v>0</v>
      </c>
      <c r="G10" s="23" t="n">
        <v>0.6837332225810709</v>
      </c>
      <c r="H10" s="23" t="n">
        <v>0.7158776308413326</v>
      </c>
      <c r="I10" s="16" t="n">
        <v>12</v>
      </c>
      <c r="J10" s="16" t="n">
        <v>12</v>
      </c>
      <c r="K10" s="19">
        <f>I10/J10</f>
        <v/>
      </c>
      <c r="L10" s="23" t="n">
        <v>0.6040752636054009</v>
      </c>
      <c r="M10" s="23" t="n">
        <v>0.4210387383046959</v>
      </c>
      <c r="N10" s="23" t="n">
        <v>0.1108793612348816</v>
      </c>
      <c r="O10" s="23" t="n">
        <v>0.3065185152698965</v>
      </c>
      <c r="P10" s="24" t="n">
        <v>0.6743064469905605</v>
      </c>
      <c r="Q10" s="24" t="n">
        <v>20.70863802559415</v>
      </c>
      <c r="R10" s="8" t="inlineStr">
        <is>
          <t>강함 - 장기간 두 자릿수 ROIC, 마진 변동은 있음</t>
        </is>
      </c>
      <c r="S10" s="25">
        <f>IF(AND(NOT(ISNUMBER(E10)),F10&gt;0),25,IF(NOT(ISNUMBER(E10)),0,IF(E10&gt;=기준표!$B$10,25,IF(E10&gt;=기준표!$B$11,20,IF(E10&gt;=기준표!$B$12,15,IF(E10&gt;=기준표!$B$13,10,0))))))</f>
        <v/>
      </c>
      <c r="T10" s="21">
        <f>IF(N(J10)=0,0,ROUND(20*I10/J10,0))</f>
        <v/>
      </c>
      <c r="U10" s="25">
        <f>IF(NOT(ISNUMBER(L10)),0,IF(L10&gt;=기준표!$B$14,20,IF(L10&gt;=기준표!$B$15,15,IF(L10&gt;=기준표!$B$16,10,IF(L10&gt;0,5,0)))))</f>
        <v/>
      </c>
      <c r="V10" s="25">
        <f>IF(NOT(ISNUMBER(M10)),0,IF(M10&gt;=기준표!$B$17,15,IF(M10&gt;=기준표!$B$18,12,IF(M10&gt;=기준표!$B$19,8,IF(M10&gt;0,4,0)))))</f>
        <v/>
      </c>
      <c r="W10" s="25">
        <f>IF(NOT(ISNUMBER(O10)),0,IF(O10&gt;=기준표!$B$20,10,IF(O10&gt;=기준표!$B$21,7,IF(O10&gt;=기준표!$B$22,4,IF(O10&gt;0,2,0)))))</f>
        <v/>
      </c>
      <c r="X10" s="25">
        <f>IF(NOT(ISNUMBER(P10)),5,IF(P10&lt;=기준표!$B$23,5,IF(P10&lt;=기준표!$B$24,4,IF(P10&lt;=기준표!$B$25,2,0))))</f>
        <v/>
      </c>
      <c r="Y10" s="25">
        <f>IF(NOT(ISNUMBER(Q10)),0,IF(Q10&gt;=기준표!$B$26,5,IF(Q10&gt;=기준표!$B$27,3,IF(Q10&gt;=기준표!$B$28,1,0))))</f>
        <v/>
      </c>
    </row>
    <row r="11">
      <c r="A11" s="21" t="n">
        <v>7</v>
      </c>
      <c r="B11" s="8" t="inlineStr">
        <is>
          <t>V</t>
        </is>
      </c>
      <c r="C11" s="8" t="inlineStr">
        <is>
          <t>VISA INC.</t>
        </is>
      </c>
      <c r="D11" s="22">
        <f>SUM(S11:Y11)</f>
        <v/>
      </c>
      <c r="E11" s="23" t="n">
        <v>0.3805522097033154</v>
      </c>
      <c r="F11" s="16" t="n">
        <v>0</v>
      </c>
      <c r="G11" s="23" t="n">
        <v>1.346455150802977</v>
      </c>
      <c r="H11" s="23" t="n">
        <v>55.52186415982656</v>
      </c>
      <c r="I11" s="16" t="n">
        <v>10</v>
      </c>
      <c r="J11" s="16" t="n">
        <v>10</v>
      </c>
      <c r="K11" s="19">
        <f>I11/J11</f>
        <v/>
      </c>
      <c r="L11" s="23" t="n">
        <v>0.7516324158211569</v>
      </c>
      <c r="M11" s="23" t="n">
        <v>0.3454283369829781</v>
      </c>
      <c r="N11" s="23" t="n">
        <v>0.07819732681825473</v>
      </c>
      <c r="O11" s="23" t="n">
        <v>0.5308466438119387</v>
      </c>
      <c r="P11" s="24" t="n">
        <v>0.3175616720869358</v>
      </c>
      <c r="Q11" s="24" t="n">
        <v>40.73684210526316</v>
      </c>
      <c r="R11" s="8" t="inlineStr">
        <is>
          <t>강함 - 장기간 두 자릿수 ROIC + 안정적 마진</t>
        </is>
      </c>
      <c r="S11" s="25">
        <f>IF(AND(NOT(ISNUMBER(E11)),F11&gt;0),25,IF(NOT(ISNUMBER(E11)),0,IF(E11&gt;=기준표!$B$10,25,IF(E11&gt;=기준표!$B$11,20,IF(E11&gt;=기준표!$B$12,15,IF(E11&gt;=기준표!$B$13,10,0))))))</f>
        <v/>
      </c>
      <c r="T11" s="21">
        <f>IF(N(J11)=0,0,ROUND(20*I11/J11,0))</f>
        <v/>
      </c>
      <c r="U11" s="25">
        <f>IF(NOT(ISNUMBER(L11)),0,IF(L11&gt;=기준표!$B$14,20,IF(L11&gt;=기준표!$B$15,15,IF(L11&gt;=기준표!$B$16,10,IF(L11&gt;0,5,0)))))</f>
        <v/>
      </c>
      <c r="V11" s="25">
        <f>IF(NOT(ISNUMBER(M11)),0,IF(M11&gt;=기준표!$B$17,15,IF(M11&gt;=기준표!$B$18,12,IF(M11&gt;=기준표!$B$19,8,IF(M11&gt;0,4,0)))))</f>
        <v/>
      </c>
      <c r="W11" s="25">
        <f>IF(NOT(ISNUMBER(O11)),0,IF(O11&gt;=기준표!$B$20,10,IF(O11&gt;=기준표!$B$21,7,IF(O11&gt;=기준표!$B$22,4,IF(O11&gt;0,2,0)))))</f>
        <v/>
      </c>
      <c r="X11" s="25">
        <f>IF(NOT(ISNUMBER(P11)),5,IF(P11&lt;=기준표!$B$23,5,IF(P11&lt;=기준표!$B$24,4,IF(P11&lt;=기준표!$B$25,2,0))))</f>
        <v/>
      </c>
      <c r="Y11" s="25">
        <f>IF(NOT(ISNUMBER(Q11)),0,IF(Q11&gt;=기준표!$B$26,5,IF(Q11&gt;=기준표!$B$27,3,IF(Q11&gt;=기준표!$B$28,1,0))))</f>
        <v/>
      </c>
    </row>
    <row r="12">
      <c r="A12" s="21" t="n">
        <v>8</v>
      </c>
      <c r="B12" s="8" t="inlineStr">
        <is>
          <t>META</t>
        </is>
      </c>
      <c r="C12" s="8" t="inlineStr">
        <is>
          <t>Meta Platforms, Inc.</t>
        </is>
      </c>
      <c r="D12" s="22">
        <f>SUM(S12:Y12)</f>
        <v/>
      </c>
      <c r="E12" s="23" t="n">
        <v>0.3606002832699952</v>
      </c>
      <c r="F12" s="16" t="n">
        <v>0</v>
      </c>
      <c r="G12" s="23" t="n">
        <v>0.7408614703705576</v>
      </c>
      <c r="H12" s="23" t="n">
        <v>0.6523104973585429</v>
      </c>
      <c r="I12" s="16" t="n">
        <v>8</v>
      </c>
      <c r="J12" s="16" t="n">
        <v>8</v>
      </c>
      <c r="K12" s="19">
        <f>I12/J12</f>
        <v/>
      </c>
      <c r="L12" s="23" t="n">
        <v>0.3279859022898335</v>
      </c>
      <c r="M12" s="23" t="n">
        <v>0.259614635604534</v>
      </c>
      <c r="N12" s="23" t="n">
        <v>0.09759069702760384</v>
      </c>
      <c r="O12" s="23" t="n">
        <v>0.2002490696950379</v>
      </c>
      <c r="P12" s="24" t="n">
        <v>-0.224237427864798</v>
      </c>
      <c r="Q12" s="24" t="n">
        <v>76.40000000000001</v>
      </c>
      <c r="R12" s="8" t="inlineStr">
        <is>
          <t>강함 - 장기간 두 자릿수 ROIC, 마진 변동은 있음</t>
        </is>
      </c>
      <c r="S12" s="25">
        <f>IF(AND(NOT(ISNUMBER(E12)),F12&gt;0),25,IF(NOT(ISNUMBER(E12)),0,IF(E12&gt;=기준표!$B$10,25,IF(E12&gt;=기준표!$B$11,20,IF(E12&gt;=기준표!$B$12,15,IF(E12&gt;=기준표!$B$13,10,0))))))</f>
        <v/>
      </c>
      <c r="T12" s="21">
        <f>IF(N(J12)=0,0,ROUND(20*I12/J12,0))</f>
        <v/>
      </c>
      <c r="U12" s="25">
        <f>IF(NOT(ISNUMBER(L12)),0,IF(L12&gt;=기준표!$B$14,20,IF(L12&gt;=기준표!$B$15,15,IF(L12&gt;=기준표!$B$16,10,IF(L12&gt;0,5,0)))))</f>
        <v/>
      </c>
      <c r="V12" s="25">
        <f>IF(NOT(ISNUMBER(M12)),0,IF(M12&gt;=기준표!$B$17,15,IF(M12&gt;=기준표!$B$18,12,IF(M12&gt;=기준표!$B$19,8,IF(M12&gt;0,4,0)))))</f>
        <v/>
      </c>
      <c r="W12" s="25">
        <f>IF(NOT(ISNUMBER(O12)),0,IF(O12&gt;=기준표!$B$20,10,IF(O12&gt;=기준표!$B$21,7,IF(O12&gt;=기준표!$B$22,4,IF(O12&gt;0,2,0)))))</f>
        <v/>
      </c>
      <c r="X12" s="25">
        <f>IF(NOT(ISNUMBER(P12)),5,IF(P12&lt;=기준표!$B$23,5,IF(P12&lt;=기준표!$B$24,4,IF(P12&lt;=기준표!$B$25,2,0))))</f>
        <v/>
      </c>
      <c r="Y12" s="25">
        <f>IF(NOT(ISNUMBER(Q12)),0,IF(Q12&gt;=기준표!$B$26,5,IF(Q12&gt;=기준표!$B$27,3,IF(Q12&gt;=기준표!$B$28,1,0))))</f>
        <v/>
      </c>
    </row>
    <row r="13">
      <c r="A13" s="21" t="n">
        <v>9</v>
      </c>
      <c r="B13" s="8" t="inlineStr">
        <is>
          <t>AMAT</t>
        </is>
      </c>
      <c r="C13" s="8" t="inlineStr">
        <is>
          <t>APPLIED MATERIALS INC /DE</t>
        </is>
      </c>
      <c r="D13" s="22">
        <f>SUM(S13:Y13)</f>
        <v/>
      </c>
      <c r="E13" s="23" t="n">
        <v>0.38440204007583</v>
      </c>
      <c r="F13" s="16" t="n">
        <v>0</v>
      </c>
      <c r="G13" s="23" t="n">
        <v>0.5647246911266004</v>
      </c>
      <c r="H13" s="23" t="n">
        <v>0.6017425518120365</v>
      </c>
      <c r="I13" s="16" t="n">
        <v>12</v>
      </c>
      <c r="J13" s="16" t="n">
        <v>12</v>
      </c>
      <c r="K13" s="19">
        <f>I13/J13</f>
        <v/>
      </c>
      <c r="L13" s="23" t="n">
        <v>0.4406953054715918</v>
      </c>
      <c r="M13" s="23" t="n">
        <v>0.2502758708493495</v>
      </c>
      <c r="N13" s="23" t="n">
        <v>0.1179096120890992</v>
      </c>
      <c r="O13" s="23" t="n">
        <v>0.1943372501409183</v>
      </c>
      <c r="P13" s="24" t="n">
        <v>-0.2427785419532325</v>
      </c>
      <c r="Q13" s="24" t="n">
        <v>30.81412639405205</v>
      </c>
      <c r="R13" s="8" t="inlineStr">
        <is>
          <t>강함 - 장기간 두 자릿수 ROIC + 안정적 마진</t>
        </is>
      </c>
      <c r="S13" s="25">
        <f>IF(AND(NOT(ISNUMBER(E13)),F13&gt;0),25,IF(NOT(ISNUMBER(E13)),0,IF(E13&gt;=기준표!$B$10,25,IF(E13&gt;=기준표!$B$11,20,IF(E13&gt;=기준표!$B$12,15,IF(E13&gt;=기준표!$B$13,10,0))))))</f>
        <v/>
      </c>
      <c r="T13" s="21">
        <f>IF(N(J13)=0,0,ROUND(20*I13/J13,0))</f>
        <v/>
      </c>
      <c r="U13" s="25">
        <f>IF(NOT(ISNUMBER(L13)),0,IF(L13&gt;=기준표!$B$14,20,IF(L13&gt;=기준표!$B$15,15,IF(L13&gt;=기준표!$B$16,10,IF(L13&gt;0,5,0)))))</f>
        <v/>
      </c>
      <c r="V13" s="25">
        <f>IF(NOT(ISNUMBER(M13)),0,IF(M13&gt;=기준표!$B$17,15,IF(M13&gt;=기준표!$B$18,12,IF(M13&gt;=기준표!$B$19,8,IF(M13&gt;0,4,0)))))</f>
        <v/>
      </c>
      <c r="W13" s="25">
        <f>IF(NOT(ISNUMBER(O13)),0,IF(O13&gt;=기준표!$B$20,10,IF(O13&gt;=기준표!$B$21,7,IF(O13&gt;=기준표!$B$22,4,IF(O13&gt;0,2,0)))))</f>
        <v/>
      </c>
      <c r="X13" s="25">
        <f>IF(NOT(ISNUMBER(P13)),5,IF(P13&lt;=기준표!$B$23,5,IF(P13&lt;=기준표!$B$24,4,IF(P13&lt;=기준표!$B$25,2,0))))</f>
        <v/>
      </c>
      <c r="Y13" s="25">
        <f>IF(NOT(ISNUMBER(Q13)),0,IF(Q13&gt;=기준표!$B$26,5,IF(Q13&gt;=기준표!$B$27,3,IF(Q13&gt;=기준표!$B$28,1,0))))</f>
        <v/>
      </c>
    </row>
    <row r="14">
      <c r="A14" s="21" t="n">
        <v>10</v>
      </c>
      <c r="B14" s="8" t="inlineStr">
        <is>
          <t>GOOG</t>
        </is>
      </c>
      <c r="C14" s="8" t="inlineStr">
        <is>
          <t>Alphabet Inc.</t>
        </is>
      </c>
      <c r="D14" s="22">
        <f>SUM(S14:Y14)</f>
        <v/>
      </c>
      <c r="E14" s="23" t="n">
        <v>0.3713376124992748</v>
      </c>
      <c r="F14" s="16" t="n">
        <v>0</v>
      </c>
      <c r="G14" s="23" t="n">
        <v>0.5360626859948147</v>
      </c>
      <c r="H14" s="23" t="n">
        <v>0.5304522210320955</v>
      </c>
      <c r="I14" s="16" t="n">
        <v>12</v>
      </c>
      <c r="J14" s="16" t="n">
        <v>12</v>
      </c>
      <c r="K14" s="19">
        <f>I14/J14</f>
        <v/>
      </c>
      <c r="L14" s="23" t="n">
        <v>0.3187531495812651</v>
      </c>
      <c r="M14" s="23" t="n">
        <v>0.2699238581745214</v>
      </c>
      <c r="N14" s="23" t="n">
        <v>0.09957343826435333</v>
      </c>
      <c r="O14" s="23" t="n">
        <v>0.1736318224583598</v>
      </c>
      <c r="P14" s="24" t="n">
        <v>-0.5177825869818545</v>
      </c>
      <c r="Q14" s="24" t="n">
        <v>175.3247282608696</v>
      </c>
      <c r="R14" s="8" t="inlineStr">
        <is>
          <t>강함 - 장기간 두 자릿수 ROIC + 안정적 마진</t>
        </is>
      </c>
      <c r="S14" s="25">
        <f>IF(AND(NOT(ISNUMBER(E14)),F14&gt;0),25,IF(NOT(ISNUMBER(E14)),0,IF(E14&gt;=기준표!$B$10,25,IF(E14&gt;=기준표!$B$11,20,IF(E14&gt;=기준표!$B$12,15,IF(E14&gt;=기준표!$B$13,10,0))))))</f>
        <v/>
      </c>
      <c r="T14" s="21">
        <f>IF(N(J14)=0,0,ROUND(20*I14/J14,0))</f>
        <v/>
      </c>
      <c r="U14" s="25">
        <f>IF(NOT(ISNUMBER(L14)),0,IF(L14&gt;=기준표!$B$14,20,IF(L14&gt;=기준표!$B$15,15,IF(L14&gt;=기준표!$B$16,10,IF(L14&gt;0,5,0)))))</f>
        <v/>
      </c>
      <c r="V14" s="25">
        <f>IF(NOT(ISNUMBER(M14)),0,IF(M14&gt;=기준표!$B$17,15,IF(M14&gt;=기준표!$B$18,12,IF(M14&gt;=기준표!$B$19,8,IF(M14&gt;0,4,0)))))</f>
        <v/>
      </c>
      <c r="W14" s="25">
        <f>IF(NOT(ISNUMBER(O14)),0,IF(O14&gt;=기준표!$B$20,10,IF(O14&gt;=기준표!$B$21,7,IF(O14&gt;=기준표!$B$22,4,IF(O14&gt;0,2,0)))))</f>
        <v/>
      </c>
      <c r="X14" s="25">
        <f>IF(NOT(ISNUMBER(P14)),5,IF(P14&lt;=기준표!$B$23,5,IF(P14&lt;=기준표!$B$24,4,IF(P14&lt;=기준표!$B$25,2,0))))</f>
        <v/>
      </c>
      <c r="Y14" s="25">
        <f>IF(NOT(ISNUMBER(Q14)),0,IF(Q14&gt;=기준표!$B$26,5,IF(Q14&gt;=기준표!$B$27,3,IF(Q14&gt;=기준표!$B$28,1,0))))</f>
        <v/>
      </c>
    </row>
    <row r="15">
      <c r="A15" s="21" t="n">
        <v>11</v>
      </c>
      <c r="B15" s="8" t="inlineStr">
        <is>
          <t>PM</t>
        </is>
      </c>
      <c r="C15" s="8" t="inlineStr">
        <is>
          <t>Philip Morris International Inc.</t>
        </is>
      </c>
      <c r="D15" s="22">
        <f>SUM(S15:Y15)</f>
        <v/>
      </c>
      <c r="E15" s="23" t="n">
        <v>0.6623062258634751</v>
      </c>
      <c r="F15" s="16" t="n">
        <v>0</v>
      </c>
      <c r="G15" s="23" t="n">
        <v>0.3592894181244898</v>
      </c>
      <c r="H15" s="23" t="n">
        <v>13.93331773815002</v>
      </c>
      <c r="I15" s="16" t="n">
        <v>12</v>
      </c>
      <c r="J15" s="16" t="n">
        <v>12</v>
      </c>
      <c r="K15" s="19">
        <f>I15/J15</f>
        <v/>
      </c>
      <c r="L15" s="23" t="n">
        <v>0.2201302312018837</v>
      </c>
      <c r="M15" s="23" t="n">
        <v>0.3636651599012935</v>
      </c>
      <c r="N15" s="23" t="n">
        <v>0.05750136347602119</v>
      </c>
      <c r="O15" s="23" t="n">
        <v>0.2634279957181538</v>
      </c>
      <c r="P15" s="24" t="n">
        <v>2.545168397859616</v>
      </c>
      <c r="Q15" s="24" t="n">
        <v>9.383742911153119</v>
      </c>
      <c r="R15" s="8" t="inlineStr">
        <is>
          <t>강함 - 장기간 두 자릿수 ROIC + 안정적 마진</t>
        </is>
      </c>
      <c r="S15" s="25">
        <f>IF(AND(NOT(ISNUMBER(E15)),F15&gt;0),25,IF(NOT(ISNUMBER(E15)),0,IF(E15&gt;=기준표!$B$10,25,IF(E15&gt;=기준표!$B$11,20,IF(E15&gt;=기준표!$B$12,15,IF(E15&gt;=기준표!$B$13,10,0))))))</f>
        <v/>
      </c>
      <c r="T15" s="21">
        <f>IF(N(J15)=0,0,ROUND(20*I15/J15,0))</f>
        <v/>
      </c>
      <c r="U15" s="25">
        <f>IF(NOT(ISNUMBER(L15)),0,IF(L15&gt;=기준표!$B$14,20,IF(L15&gt;=기준표!$B$15,15,IF(L15&gt;=기준표!$B$16,10,IF(L15&gt;0,5,0)))))</f>
        <v/>
      </c>
      <c r="V15" s="25">
        <f>IF(NOT(ISNUMBER(M15)),0,IF(M15&gt;=기준표!$B$17,15,IF(M15&gt;=기준표!$B$18,12,IF(M15&gt;=기준표!$B$19,8,IF(M15&gt;0,4,0)))))</f>
        <v/>
      </c>
      <c r="W15" s="25">
        <f>IF(NOT(ISNUMBER(O15)),0,IF(O15&gt;=기준표!$B$20,10,IF(O15&gt;=기준표!$B$21,7,IF(O15&gt;=기준표!$B$22,4,IF(O15&gt;0,2,0)))))</f>
        <v/>
      </c>
      <c r="X15" s="25">
        <f>IF(NOT(ISNUMBER(P15)),5,IF(P15&lt;=기준표!$B$23,5,IF(P15&lt;=기준표!$B$24,4,IF(P15&lt;=기준표!$B$25,2,0))))</f>
        <v/>
      </c>
      <c r="Y15" s="25">
        <f>IF(NOT(ISNUMBER(Q15)),0,IF(Q15&gt;=기준표!$B$26,5,IF(Q15&gt;=기준표!$B$27,3,IF(Q15&gt;=기준표!$B$28,1,0))))</f>
        <v/>
      </c>
    </row>
    <row r="16">
      <c r="A16" s="21" t="n">
        <v>12</v>
      </c>
      <c r="B16" s="8" t="inlineStr">
        <is>
          <t>COST</t>
        </is>
      </c>
      <c r="C16" s="8" t="inlineStr">
        <is>
          <t>COSTCO WHOLESALE CORP /NEW</t>
        </is>
      </c>
      <c r="D16" s="22">
        <f>SUM(S16:Y16)</f>
        <v/>
      </c>
      <c r="E16" s="23" t="n">
        <v>0.3118908147298602</v>
      </c>
      <c r="F16" s="16" t="n">
        <v>0</v>
      </c>
      <c r="G16" s="23" t="n">
        <v>0.0723486254395686</v>
      </c>
      <c r="H16" s="23" t="n">
        <v>0.3192331100377677</v>
      </c>
      <c r="I16" s="16" t="n">
        <v>12</v>
      </c>
      <c r="J16" s="16" t="n">
        <v>12</v>
      </c>
      <c r="K16" s="19">
        <f>I16/J16</f>
        <v/>
      </c>
      <c r="L16" s="23" t="n">
        <v>0.5914583783544315</v>
      </c>
      <c r="M16" s="23" t="n">
        <v>0.3237699628814364</v>
      </c>
      <c r="N16" s="23" t="n">
        <v>0.08489039807946297</v>
      </c>
      <c r="O16" s="23" t="n">
        <v>0.02321598084939535</v>
      </c>
      <c r="P16" s="24" t="n">
        <v>-0.7413537356546178</v>
      </c>
      <c r="Q16" s="24" t="n">
        <v>67.42207792207792</v>
      </c>
      <c r="R16" s="8" t="inlineStr">
        <is>
          <t>강함 - 장기간 두 자릿수 ROIC + 안정적 마진</t>
        </is>
      </c>
      <c r="S16" s="25">
        <f>IF(AND(NOT(ISNUMBER(E16)),F16&gt;0),25,IF(NOT(ISNUMBER(E16)),0,IF(E16&gt;=기준표!$B$10,25,IF(E16&gt;=기준표!$B$11,20,IF(E16&gt;=기준표!$B$12,15,IF(E16&gt;=기준표!$B$13,10,0))))))</f>
        <v/>
      </c>
      <c r="T16" s="21">
        <f>IF(N(J16)=0,0,ROUND(20*I16/J16,0))</f>
        <v/>
      </c>
      <c r="U16" s="25">
        <f>IF(NOT(ISNUMBER(L16)),0,IF(L16&gt;=기준표!$B$14,20,IF(L16&gt;=기준표!$B$15,15,IF(L16&gt;=기준표!$B$16,10,IF(L16&gt;0,5,0)))))</f>
        <v/>
      </c>
      <c r="V16" s="25">
        <f>IF(NOT(ISNUMBER(M16)),0,IF(M16&gt;=기준표!$B$17,15,IF(M16&gt;=기준표!$B$18,12,IF(M16&gt;=기준표!$B$19,8,IF(M16&gt;0,4,0)))))</f>
        <v/>
      </c>
      <c r="W16" s="25">
        <f>IF(NOT(ISNUMBER(O16)),0,IF(O16&gt;=기준표!$B$20,10,IF(O16&gt;=기준표!$B$21,7,IF(O16&gt;=기준표!$B$22,4,IF(O16&gt;0,2,0)))))</f>
        <v/>
      </c>
      <c r="X16" s="25">
        <f>IF(NOT(ISNUMBER(P16)),5,IF(P16&lt;=기준표!$B$23,5,IF(P16&lt;=기준표!$B$24,4,IF(P16&lt;=기준표!$B$25,2,0))))</f>
        <v/>
      </c>
      <c r="Y16" s="25">
        <f>IF(NOT(ISNUMBER(Q16)),0,IF(Q16&gt;=기준표!$B$26,5,IF(Q16&gt;=기준표!$B$27,3,IF(Q16&gt;=기준표!$B$28,1,0))))</f>
        <v/>
      </c>
    </row>
    <row r="17">
      <c r="A17" s="21" t="n">
        <v>13</v>
      </c>
      <c r="B17" s="8" t="inlineStr">
        <is>
          <t>JNJ</t>
        </is>
      </c>
      <c r="C17" s="8" t="inlineStr">
        <is>
          <t>JOHNSON &amp; JOHNSON</t>
        </is>
      </c>
      <c r="D17" s="22">
        <f>SUM(S17:Y17)</f>
        <v/>
      </c>
      <c r="E17" s="23" t="n">
        <v>0.2134223931095791</v>
      </c>
      <c r="F17" s="16" t="n">
        <v>0</v>
      </c>
      <c r="G17" s="23" t="n">
        <v>0.8975344223300716</v>
      </c>
      <c r="H17" s="23" t="n">
        <v>2.70703476937816</v>
      </c>
      <c r="I17" s="16" t="n">
        <v>12</v>
      </c>
      <c r="J17" s="16" t="n">
        <v>12</v>
      </c>
      <c r="K17" s="19">
        <f>I17/J17</f>
        <v/>
      </c>
      <c r="L17" s="23" t="n">
        <v>0.1938067041536897</v>
      </c>
      <c r="M17" s="23" t="n">
        <v>0.2329239293662164</v>
      </c>
      <c r="N17" s="23" t="n">
        <v>0.05311724303065211</v>
      </c>
      <c r="O17" s="23" t="n">
        <v>0.2827067828819551</v>
      </c>
      <c r="P17" s="24" t="n">
        <v>0.6780172938740714</v>
      </c>
      <c r="Q17" s="24" t="n">
        <v>34.55406797116375</v>
      </c>
      <c r="R17" s="8" t="inlineStr">
        <is>
          <t>강함 - 장기간 두 자릿수 ROIC + 안정적 마진</t>
        </is>
      </c>
      <c r="S17" s="25">
        <f>IF(AND(NOT(ISNUMBER(E17)),F17&gt;0),25,IF(NOT(ISNUMBER(E17)),0,IF(E17&gt;=기준표!$B$10,25,IF(E17&gt;=기준표!$B$11,20,IF(E17&gt;=기준표!$B$12,15,IF(E17&gt;=기준표!$B$13,10,0))))))</f>
        <v/>
      </c>
      <c r="T17" s="21">
        <f>IF(N(J17)=0,0,ROUND(20*I17/J17,0))</f>
        <v/>
      </c>
      <c r="U17" s="25">
        <f>IF(NOT(ISNUMBER(L17)),0,IF(L17&gt;=기준표!$B$14,20,IF(L17&gt;=기준표!$B$15,15,IF(L17&gt;=기준표!$B$16,10,IF(L17&gt;0,5,0)))))</f>
        <v/>
      </c>
      <c r="V17" s="25">
        <f>IF(NOT(ISNUMBER(M17)),0,IF(M17&gt;=기준표!$B$17,15,IF(M17&gt;=기준표!$B$18,12,IF(M17&gt;=기준표!$B$19,8,IF(M17&gt;0,4,0)))))</f>
        <v/>
      </c>
      <c r="W17" s="25">
        <f>IF(NOT(ISNUMBER(O17)),0,IF(O17&gt;=기준표!$B$20,10,IF(O17&gt;=기준표!$B$21,7,IF(O17&gt;=기준표!$B$22,4,IF(O17&gt;0,2,0)))))</f>
        <v/>
      </c>
      <c r="X17" s="25">
        <f>IF(NOT(ISNUMBER(P17)),5,IF(P17&lt;=기준표!$B$23,5,IF(P17&lt;=기준표!$B$24,4,IF(P17&lt;=기준표!$B$25,2,0))))</f>
        <v/>
      </c>
      <c r="Y17" s="25">
        <f>IF(NOT(ISNUMBER(Q17)),0,IF(Q17&gt;=기준표!$B$26,5,IF(Q17&gt;=기준표!$B$27,3,IF(Q17&gt;=기준표!$B$28,1,0))))</f>
        <v/>
      </c>
    </row>
    <row r="18">
      <c r="A18" s="21" t="n">
        <v>14</v>
      </c>
      <c r="B18" s="8" t="inlineStr">
        <is>
          <t>HD</t>
        </is>
      </c>
      <c r="C18" s="8" t="inlineStr">
        <is>
          <t>HOME DEPOT, INC.</t>
        </is>
      </c>
      <c r="D18" s="22">
        <f>SUM(S18:Y18)</f>
        <v/>
      </c>
      <c r="E18" s="23" t="n">
        <v>0.3903098190749258</v>
      </c>
      <c r="F18" s="16" t="n">
        <v>0</v>
      </c>
      <c r="G18" s="23" t="n">
        <v>0.2412730299451635</v>
      </c>
      <c r="H18" s="23" t="n">
        <v>0.5413841360863267</v>
      </c>
      <c r="I18" s="16" t="n">
        <v>12</v>
      </c>
      <c r="J18" s="16" t="n">
        <v>12</v>
      </c>
      <c r="K18" s="19">
        <f>I18/J18</f>
        <v/>
      </c>
      <c r="L18" s="23" t="n">
        <v>0.2386061610008022</v>
      </c>
      <c r="M18" s="23" t="n">
        <v>0.1795827449946265</v>
      </c>
      <c r="N18" s="23" t="n">
        <v>0.08365873528856085</v>
      </c>
      <c r="O18" s="23" t="n">
        <v>0.08826811439748235</v>
      </c>
      <c r="P18" s="24" t="n">
        <v>2.045525323717424</v>
      </c>
      <c r="Q18" s="24" t="n">
        <v>8.660862354892206</v>
      </c>
      <c r="R18" s="8" t="inlineStr">
        <is>
          <t>강함 - 장기간 두 자릿수 ROIC + 안정적 마진</t>
        </is>
      </c>
      <c r="S18" s="25">
        <f>IF(AND(NOT(ISNUMBER(E18)),F18&gt;0),25,IF(NOT(ISNUMBER(E18)),0,IF(E18&gt;=기준표!$B$10,25,IF(E18&gt;=기준표!$B$11,20,IF(E18&gt;=기준표!$B$12,15,IF(E18&gt;=기준표!$B$13,10,0))))))</f>
        <v/>
      </c>
      <c r="T18" s="21">
        <f>IF(N(J18)=0,0,ROUND(20*I18/J18,0))</f>
        <v/>
      </c>
      <c r="U18" s="25">
        <f>IF(NOT(ISNUMBER(L18)),0,IF(L18&gt;=기준표!$B$14,20,IF(L18&gt;=기준표!$B$15,15,IF(L18&gt;=기준표!$B$16,10,IF(L18&gt;0,5,0)))))</f>
        <v/>
      </c>
      <c r="V18" s="25">
        <f>IF(NOT(ISNUMBER(M18)),0,IF(M18&gt;=기준표!$B$17,15,IF(M18&gt;=기준표!$B$18,12,IF(M18&gt;=기준표!$B$19,8,IF(M18&gt;0,4,0)))))</f>
        <v/>
      </c>
      <c r="W18" s="25">
        <f>IF(NOT(ISNUMBER(O18)),0,IF(O18&gt;=기준표!$B$20,10,IF(O18&gt;=기준표!$B$21,7,IF(O18&gt;=기준표!$B$22,4,IF(O18&gt;0,2,0)))))</f>
        <v/>
      </c>
      <c r="X18" s="25">
        <f>IF(NOT(ISNUMBER(P18)),5,IF(P18&lt;=기준표!$B$23,5,IF(P18&lt;=기준표!$B$24,4,IF(P18&lt;=기준표!$B$25,2,0))))</f>
        <v/>
      </c>
      <c r="Y18" s="25">
        <f>IF(NOT(ISNUMBER(Q18)),0,IF(Q18&gt;=기준표!$B$26,5,IF(Q18&gt;=기준표!$B$27,3,IF(Q18&gt;=기준표!$B$28,1,0))))</f>
        <v/>
      </c>
    </row>
    <row r="19">
      <c r="A19" s="21" t="n">
        <v>15</v>
      </c>
      <c r="B19" s="8" t="inlineStr">
        <is>
          <t>LLY</t>
        </is>
      </c>
      <c r="C19" s="8" t="inlineStr">
        <is>
          <t>ELI LILLY &amp; Co</t>
        </is>
      </c>
      <c r="D19" s="22">
        <f>SUM(S19:Y19)</f>
        <v/>
      </c>
      <c r="E19" s="23" t="n">
        <v>0.2430708046174326</v>
      </c>
      <c r="F19" s="16" t="n">
        <v>0</v>
      </c>
      <c r="G19" s="23" t="n">
        <v>0.8315191638268872</v>
      </c>
      <c r="H19" s="23" t="n">
        <v>0.3740821729422991</v>
      </c>
      <c r="I19" s="16" t="n">
        <v>11</v>
      </c>
      <c r="J19" s="16" t="n">
        <v>12</v>
      </c>
      <c r="K19" s="19">
        <f>I19/J19</f>
        <v/>
      </c>
      <c r="L19" s="23" t="n">
        <v>0.4390372739102905</v>
      </c>
      <c r="M19" s="23" t="n">
        <v>0.3370211465566531</v>
      </c>
      <c r="N19" s="23" t="n">
        <v>0.06496034879930349</v>
      </c>
      <c r="O19" s="23" t="n">
        <v>0.09337670108470519</v>
      </c>
      <c r="P19" s="24" t="n">
        <v>1.231003039513678</v>
      </c>
      <c r="Q19" s="24" t="n">
        <v>29.74972067039106</v>
      </c>
      <c r="R19" s="8" t="inlineStr">
        <is>
          <t>강함 - 장기간 두 자릿수 ROIC, 마진 변동은 있음</t>
        </is>
      </c>
      <c r="S19" s="25">
        <f>IF(AND(NOT(ISNUMBER(E19)),F19&gt;0),25,IF(NOT(ISNUMBER(E19)),0,IF(E19&gt;=기준표!$B$10,25,IF(E19&gt;=기준표!$B$11,20,IF(E19&gt;=기준표!$B$12,15,IF(E19&gt;=기준표!$B$13,10,0))))))</f>
        <v/>
      </c>
      <c r="T19" s="21">
        <f>IF(N(J19)=0,0,ROUND(20*I19/J19,0))</f>
        <v/>
      </c>
      <c r="U19" s="25">
        <f>IF(NOT(ISNUMBER(L19)),0,IF(L19&gt;=기준표!$B$14,20,IF(L19&gt;=기준표!$B$15,15,IF(L19&gt;=기준표!$B$16,10,IF(L19&gt;0,5,0)))))</f>
        <v/>
      </c>
      <c r="V19" s="25">
        <f>IF(NOT(ISNUMBER(M19)),0,IF(M19&gt;=기준표!$B$17,15,IF(M19&gt;=기준표!$B$18,12,IF(M19&gt;=기준표!$B$19,8,IF(M19&gt;0,4,0)))))</f>
        <v/>
      </c>
      <c r="W19" s="25">
        <f>IF(NOT(ISNUMBER(O19)),0,IF(O19&gt;=기준표!$B$20,10,IF(O19&gt;=기준표!$B$21,7,IF(O19&gt;=기준표!$B$22,4,IF(O19&gt;0,2,0)))))</f>
        <v/>
      </c>
      <c r="X19" s="25">
        <f>IF(NOT(ISNUMBER(P19)),5,IF(P19&lt;=기준표!$B$23,5,IF(P19&lt;=기준표!$B$24,4,IF(P19&lt;=기준표!$B$25,2,0))))</f>
        <v/>
      </c>
      <c r="Y19" s="25">
        <f>IF(NOT(ISNUMBER(Q19)),0,IF(Q19&gt;=기준표!$B$26,5,IF(Q19&gt;=기준표!$B$27,3,IF(Q19&gt;=기준표!$B$28,1,0))))</f>
        <v/>
      </c>
    </row>
    <row r="20">
      <c r="A20" s="21" t="n">
        <v>16</v>
      </c>
      <c r="B20" s="8" t="inlineStr">
        <is>
          <t>TXN</t>
        </is>
      </c>
      <c r="C20" s="8" t="inlineStr">
        <is>
          <t>TEXAS INSTRUMENTS INC</t>
        </is>
      </c>
      <c r="D20" s="22">
        <f>SUM(S20:Y20)</f>
        <v/>
      </c>
      <c r="E20" s="23" t="n">
        <v>0.3697756134746475</v>
      </c>
      <c r="F20" s="16" t="n">
        <v>0</v>
      </c>
      <c r="G20" s="23" t="n">
        <v>0.6760685885459835</v>
      </c>
      <c r="H20" s="23" t="n">
        <v>0.7423413357436751</v>
      </c>
      <c r="I20" s="16" t="n">
        <v>12</v>
      </c>
      <c r="J20" s="16" t="n">
        <v>12</v>
      </c>
      <c r="K20" s="19">
        <f>I20/J20</f>
        <v/>
      </c>
      <c r="L20" s="23" t="n">
        <v>0.1719898036111457</v>
      </c>
      <c r="M20" s="23" t="n">
        <v>0.1141058529359062</v>
      </c>
      <c r="N20" s="23" t="n">
        <v>0.1040597574585353</v>
      </c>
      <c r="O20" s="23" t="n">
        <v>0.07175067070038244</v>
      </c>
      <c r="P20" s="24" t="n">
        <v>1.154388616043319</v>
      </c>
      <c r="Q20" s="24" t="n">
        <v>11.09208103130755</v>
      </c>
      <c r="R20" s="8" t="inlineStr">
        <is>
          <t>강함 - 장기간 두 자릿수 ROIC, 마진 변동은 있음</t>
        </is>
      </c>
      <c r="S20" s="25">
        <f>IF(AND(NOT(ISNUMBER(E20)),F20&gt;0),25,IF(NOT(ISNUMBER(E20)),0,IF(E20&gt;=기준표!$B$10,25,IF(E20&gt;=기준표!$B$11,20,IF(E20&gt;=기준표!$B$12,15,IF(E20&gt;=기준표!$B$13,10,0))))))</f>
        <v/>
      </c>
      <c r="T20" s="21">
        <f>IF(N(J20)=0,0,ROUND(20*I20/J20,0))</f>
        <v/>
      </c>
      <c r="U20" s="25">
        <f>IF(NOT(ISNUMBER(L20)),0,IF(L20&gt;=기준표!$B$14,20,IF(L20&gt;=기준표!$B$15,15,IF(L20&gt;=기준표!$B$16,10,IF(L20&gt;0,5,0)))))</f>
        <v/>
      </c>
      <c r="V20" s="25">
        <f>IF(NOT(ISNUMBER(M20)),0,IF(M20&gt;=기준표!$B$17,15,IF(M20&gt;=기준표!$B$18,12,IF(M20&gt;=기준표!$B$19,8,IF(M20&gt;0,4,0)))))</f>
        <v/>
      </c>
      <c r="W20" s="25">
        <f>IF(NOT(ISNUMBER(O20)),0,IF(O20&gt;=기준표!$B$20,10,IF(O20&gt;=기준표!$B$21,7,IF(O20&gt;=기준표!$B$22,4,IF(O20&gt;0,2,0)))))</f>
        <v/>
      </c>
      <c r="X20" s="25">
        <f>IF(NOT(ISNUMBER(P20)),5,IF(P20&lt;=기준표!$B$23,5,IF(P20&lt;=기준표!$B$24,4,IF(P20&lt;=기준표!$B$25,2,0))))</f>
        <v/>
      </c>
      <c r="Y20" s="25">
        <f>IF(NOT(ISNUMBER(Q20)),0,IF(Q20&gt;=기준표!$B$26,5,IF(Q20&gt;=기준표!$B$27,3,IF(Q20&gt;=기준표!$B$28,1,0))))</f>
        <v/>
      </c>
    </row>
    <row r="21">
      <c r="A21" s="21" t="n">
        <v>17</v>
      </c>
      <c r="B21" s="8" t="inlineStr">
        <is>
          <t>NFLX</t>
        </is>
      </c>
      <c r="C21" s="8" t="inlineStr">
        <is>
          <t>NETFLIX INC</t>
        </is>
      </c>
      <c r="D21" s="22">
        <f>SUM(S21:Y21)</f>
        <v/>
      </c>
      <c r="E21" s="23" t="n">
        <v>0.1828676548507633</v>
      </c>
      <c r="F21" s="16" t="n">
        <v>0</v>
      </c>
      <c r="G21" s="23" t="n">
        <v>0.7085120132164426</v>
      </c>
      <c r="H21" s="23" t="n">
        <v>0.1770876764120403</v>
      </c>
      <c r="I21" s="16" t="n">
        <v>11</v>
      </c>
      <c r="J21" s="16" t="n">
        <v>12</v>
      </c>
      <c r="K21" s="19">
        <f>I21/J21</f>
        <v/>
      </c>
      <c r="L21" s="23" t="n">
        <v>0.3684289770532591</v>
      </c>
      <c r="M21" s="23" t="n">
        <v>0.2525855443058031</v>
      </c>
      <c r="N21" s="23" t="n">
        <v>0.1139801650212084</v>
      </c>
      <c r="O21" s="23" t="n">
        <v>0.1890086844118474</v>
      </c>
      <c r="P21" s="24" t="n">
        <v>0.3953499387115307</v>
      </c>
      <c r="Q21" s="24" t="n">
        <v>17.16217820762128</v>
      </c>
      <c r="R21" s="8" t="inlineStr">
        <is>
          <t>강함 - 장기간 두 자릿수 ROIC, 마진 변동은 있음</t>
        </is>
      </c>
      <c r="S21" s="25">
        <f>IF(AND(NOT(ISNUMBER(E21)),F21&gt;0),25,IF(NOT(ISNUMBER(E21)),0,IF(E21&gt;=기준표!$B$10,25,IF(E21&gt;=기준표!$B$11,20,IF(E21&gt;=기준표!$B$12,15,IF(E21&gt;=기준표!$B$13,10,0))))))</f>
        <v/>
      </c>
      <c r="T21" s="21">
        <f>IF(N(J21)=0,0,ROUND(20*I21/J21,0))</f>
        <v/>
      </c>
      <c r="U21" s="25">
        <f>IF(NOT(ISNUMBER(L21)),0,IF(L21&gt;=기준표!$B$14,20,IF(L21&gt;=기준표!$B$15,15,IF(L21&gt;=기준표!$B$16,10,IF(L21&gt;0,5,0)))))</f>
        <v/>
      </c>
      <c r="V21" s="25">
        <f>IF(NOT(ISNUMBER(M21)),0,IF(M21&gt;=기준표!$B$17,15,IF(M21&gt;=기준표!$B$18,12,IF(M21&gt;=기준표!$B$19,8,IF(M21&gt;0,4,0)))))</f>
        <v/>
      </c>
      <c r="W21" s="25">
        <f>IF(NOT(ISNUMBER(O21)),0,IF(O21&gt;=기준표!$B$20,10,IF(O21&gt;=기준표!$B$21,7,IF(O21&gt;=기준표!$B$22,4,IF(O21&gt;0,2,0)))))</f>
        <v/>
      </c>
      <c r="X21" s="25">
        <f>IF(NOT(ISNUMBER(P21)),5,IF(P21&lt;=기준표!$B$23,5,IF(P21&lt;=기준표!$B$24,4,IF(P21&lt;=기준표!$B$25,2,0))))</f>
        <v/>
      </c>
      <c r="Y21" s="25">
        <f>IF(NOT(ISNUMBER(Q21)),0,IF(Q21&gt;=기준표!$B$26,5,IF(Q21&gt;=기준표!$B$27,3,IF(Q21&gt;=기준표!$B$28,1,0))))</f>
        <v/>
      </c>
    </row>
    <row r="22">
      <c r="A22" s="21" t="n">
        <v>18</v>
      </c>
      <c r="B22" s="8" t="inlineStr">
        <is>
          <t>KO</t>
        </is>
      </c>
      <c r="C22" s="8" t="inlineStr">
        <is>
          <t>COCA COLA CO</t>
        </is>
      </c>
      <c r="D22" s="22">
        <f>SUM(S22:Y22)</f>
        <v/>
      </c>
      <c r="E22" s="23" t="n">
        <v>0.3192906473353515</v>
      </c>
      <c r="F22" s="16" t="n">
        <v>0</v>
      </c>
      <c r="G22" s="23" t="n">
        <v>0.4954771635003862</v>
      </c>
      <c r="H22" s="23" t="n">
        <v>0.601708838998525</v>
      </c>
      <c r="I22" s="16" t="n">
        <v>12</v>
      </c>
      <c r="J22" s="16" t="n">
        <v>12</v>
      </c>
      <c r="K22" s="19">
        <f>I22/J22</f>
        <v/>
      </c>
      <c r="L22" s="23" t="n">
        <v>0.1269744387583803</v>
      </c>
      <c r="M22" s="23" t="n">
        <v>0.1349837899602135</v>
      </c>
      <c r="N22" s="23" t="n">
        <v>0.05748127070147097</v>
      </c>
      <c r="O22" s="23" t="n">
        <v>0.2137309867079219</v>
      </c>
      <c r="P22" s="24" t="n">
        <v>2.007966513637591</v>
      </c>
      <c r="Q22" s="24" t="n">
        <v>8.320435308343409</v>
      </c>
      <c r="R22" s="8" t="inlineStr">
        <is>
          <t>강함 - 장기간 두 자릿수 ROIC + 안정적 마진</t>
        </is>
      </c>
      <c r="S22" s="25">
        <f>IF(AND(NOT(ISNUMBER(E22)),F22&gt;0),25,IF(NOT(ISNUMBER(E22)),0,IF(E22&gt;=기준표!$B$10,25,IF(E22&gt;=기준표!$B$11,20,IF(E22&gt;=기준표!$B$12,15,IF(E22&gt;=기준표!$B$13,10,0))))))</f>
        <v/>
      </c>
      <c r="T22" s="21">
        <f>IF(N(J22)=0,0,ROUND(20*I22/J22,0))</f>
        <v/>
      </c>
      <c r="U22" s="25">
        <f>IF(NOT(ISNUMBER(L22)),0,IF(L22&gt;=기준표!$B$14,20,IF(L22&gt;=기준표!$B$15,15,IF(L22&gt;=기준표!$B$16,10,IF(L22&gt;0,5,0)))))</f>
        <v/>
      </c>
      <c r="V22" s="25">
        <f>IF(NOT(ISNUMBER(M22)),0,IF(M22&gt;=기준표!$B$17,15,IF(M22&gt;=기준표!$B$18,12,IF(M22&gt;=기준표!$B$19,8,IF(M22&gt;0,4,0)))))</f>
        <v/>
      </c>
      <c r="W22" s="25">
        <f>IF(NOT(ISNUMBER(O22)),0,IF(O22&gt;=기준표!$B$20,10,IF(O22&gt;=기준표!$B$21,7,IF(O22&gt;=기준표!$B$22,4,IF(O22&gt;0,2,0)))))</f>
        <v/>
      </c>
      <c r="X22" s="25">
        <f>IF(NOT(ISNUMBER(P22)),5,IF(P22&lt;=기준표!$B$23,5,IF(P22&lt;=기준표!$B$24,4,IF(P22&lt;=기준표!$B$25,2,0))))</f>
        <v/>
      </c>
      <c r="Y22" s="25">
        <f>IF(NOT(ISNUMBER(Q22)),0,IF(Q22&gt;=기준표!$B$26,5,IF(Q22&gt;=기준표!$B$27,3,IF(Q22&gt;=기준표!$B$28,1,0))))</f>
        <v/>
      </c>
    </row>
    <row r="23">
      <c r="A23" s="21" t="n">
        <v>19</v>
      </c>
      <c r="B23" s="8" t="inlineStr">
        <is>
          <t>PLTR</t>
        </is>
      </c>
      <c r="C23" s="8" t="inlineStr">
        <is>
          <t>Palantir Technologies Inc.</t>
        </is>
      </c>
      <c r="D23" s="22">
        <f>SUM(S23:Y23)</f>
        <v/>
      </c>
      <c r="E23" s="23" t="n"/>
      <c r="F23" s="16" t="n">
        <v>3</v>
      </c>
      <c r="G23" s="23" t="n">
        <v>-0.1697712737923135</v>
      </c>
      <c r="H23" s="23" t="n"/>
      <c r="I23" s="16" t="n">
        <v>3</v>
      </c>
      <c r="J23" s="16" t="n">
        <v>3</v>
      </c>
      <c r="K23" s="19">
        <f>I23/J23</f>
        <v/>
      </c>
      <c r="L23" s="23" t="n">
        <v>0.5735434925437203</v>
      </c>
      <c r="M23" s="23" t="n"/>
      <c r="N23" s="23" t="n">
        <v>0.1152983916390787</v>
      </c>
      <c r="O23" s="23" t="n">
        <v>0.1437610224124634</v>
      </c>
      <c r="P23" s="24" t="n">
        <v>-5.002688590156649</v>
      </c>
      <c r="Q23" s="24" t="n">
        <v>34.57233429394812</v>
      </c>
      <c r="R23" s="8" t="inlineStr">
        <is>
          <t>판정보류 — 관측 3년뿐 (분사·상장 이력)</t>
        </is>
      </c>
      <c r="S23" s="25">
        <f>IF(AND(NOT(ISNUMBER(E23)),F23&gt;0),25,IF(NOT(ISNUMBER(E23)),0,IF(E23&gt;=기준표!$B$10,25,IF(E23&gt;=기준표!$B$11,20,IF(E23&gt;=기준표!$B$12,15,IF(E23&gt;=기준표!$B$13,10,0))))))</f>
        <v/>
      </c>
      <c r="T23" s="21">
        <f>IF(N(J23)=0,0,ROUND(20*I23/J23,0))</f>
        <v/>
      </c>
      <c r="U23" s="25">
        <f>IF(NOT(ISNUMBER(L23)),0,IF(L23&gt;=기준표!$B$14,20,IF(L23&gt;=기준표!$B$15,15,IF(L23&gt;=기준표!$B$16,10,IF(L23&gt;0,5,0)))))</f>
        <v/>
      </c>
      <c r="V23" s="25">
        <f>IF(NOT(ISNUMBER(M23)),0,IF(M23&gt;=기준표!$B$17,15,IF(M23&gt;=기준표!$B$18,12,IF(M23&gt;=기준표!$B$19,8,IF(M23&gt;0,4,0)))))</f>
        <v/>
      </c>
      <c r="W23" s="25">
        <f>IF(NOT(ISNUMBER(O23)),0,IF(O23&gt;=기준표!$B$20,10,IF(O23&gt;=기준표!$B$21,7,IF(O23&gt;=기준표!$B$22,4,IF(O23&gt;0,2,0)))))</f>
        <v/>
      </c>
      <c r="X23" s="25">
        <f>IF(NOT(ISNUMBER(P23)),5,IF(P23&lt;=기준표!$B$23,5,IF(P23&lt;=기준표!$B$24,4,IF(P23&lt;=기준표!$B$25,2,0))))</f>
        <v/>
      </c>
      <c r="Y23" s="25">
        <f>IF(NOT(ISNUMBER(Q23)),0,IF(Q23&gt;=기준표!$B$26,5,IF(Q23&gt;=기준표!$B$27,3,IF(Q23&gt;=기준표!$B$28,1,0))))</f>
        <v/>
      </c>
    </row>
    <row r="24">
      <c r="A24" s="21" t="n">
        <v>20</v>
      </c>
      <c r="B24" s="8" t="inlineStr">
        <is>
          <t>AMZN</t>
        </is>
      </c>
      <c r="C24" s="8" t="inlineStr">
        <is>
          <t>AMAZON COM INC</t>
        </is>
      </c>
      <c r="D24" s="22">
        <f>SUM(S24:Y24)</f>
        <v/>
      </c>
      <c r="E24" s="23" t="n">
        <v>0.3016819145306177</v>
      </c>
      <c r="F24" s="16" t="n">
        <v>0</v>
      </c>
      <c r="G24" s="23" t="n">
        <v>0.124033692016909</v>
      </c>
      <c r="H24" s="23" t="n">
        <v>0.4631911099807857</v>
      </c>
      <c r="I24" s="16" t="n">
        <v>10</v>
      </c>
      <c r="J24" s="16" t="n">
        <v>12</v>
      </c>
      <c r="K24" s="19">
        <f>I24/J24</f>
        <v/>
      </c>
      <c r="L24" s="23" t="n">
        <v>0.1815560252266911</v>
      </c>
      <c r="M24" s="23" t="n">
        <v>0.1049611338082029</v>
      </c>
      <c r="N24" s="23" t="n">
        <v>0.109748497963706</v>
      </c>
      <c r="O24" s="23" t="n">
        <v>0.03613799682896302</v>
      </c>
      <c r="P24" s="24" t="n">
        <v>-0.3748893509273936</v>
      </c>
      <c r="Q24" s="24" t="n">
        <v>35.16930518909411</v>
      </c>
      <c r="R24" s="8" t="inlineStr">
        <is>
          <t>보통 - ROIC가 기간에 따라 흔들림</t>
        </is>
      </c>
      <c r="S24" s="25">
        <f>IF(AND(NOT(ISNUMBER(E24)),F24&gt;0),25,IF(NOT(ISNUMBER(E24)),0,IF(E24&gt;=기준표!$B$10,25,IF(E24&gt;=기준표!$B$11,20,IF(E24&gt;=기준표!$B$12,15,IF(E24&gt;=기준표!$B$13,10,0))))))</f>
        <v/>
      </c>
      <c r="T24" s="21">
        <f>IF(N(J24)=0,0,ROUND(20*I24/J24,0))</f>
        <v/>
      </c>
      <c r="U24" s="25">
        <f>IF(NOT(ISNUMBER(L24)),0,IF(L24&gt;=기준표!$B$14,20,IF(L24&gt;=기준표!$B$15,15,IF(L24&gt;=기준표!$B$16,10,IF(L24&gt;0,5,0)))))</f>
        <v/>
      </c>
      <c r="V24" s="25">
        <f>IF(NOT(ISNUMBER(M24)),0,IF(M24&gt;=기준표!$B$17,15,IF(M24&gt;=기준표!$B$18,12,IF(M24&gt;=기준표!$B$19,8,IF(M24&gt;0,4,0)))))</f>
        <v/>
      </c>
      <c r="W24" s="25">
        <f>IF(NOT(ISNUMBER(O24)),0,IF(O24&gt;=기준표!$B$20,10,IF(O24&gt;=기준표!$B$21,7,IF(O24&gt;=기준표!$B$22,4,IF(O24&gt;0,2,0)))))</f>
        <v/>
      </c>
      <c r="X24" s="25">
        <f>IF(NOT(ISNUMBER(P24)),5,IF(P24&lt;=기준표!$B$23,5,IF(P24&lt;=기준표!$B$24,4,IF(P24&lt;=기준표!$B$25,2,0))))</f>
        <v/>
      </c>
      <c r="Y24" s="25">
        <f>IF(NOT(ISNUMBER(Q24)),0,IF(Q24&gt;=기준표!$B$26,5,IF(Q24&gt;=기준표!$B$27,3,IF(Q24&gt;=기준표!$B$28,1,0))))</f>
        <v/>
      </c>
    </row>
    <row r="25">
      <c r="A25" s="21" t="n">
        <v>21</v>
      </c>
      <c r="B25" s="8" t="inlineStr">
        <is>
          <t>AAPL</t>
        </is>
      </c>
      <c r="C25" s="8" t="inlineStr">
        <is>
          <t>Apple Inc.</t>
        </is>
      </c>
      <c r="D25" s="22">
        <f>SUM(S25:Y25)</f>
        <v/>
      </c>
      <c r="E25" s="23" t="n">
        <v>0.5546263498946677</v>
      </c>
      <c r="F25" s="16" t="n">
        <v>0</v>
      </c>
      <c r="G25" s="23" t="n">
        <v>0.2936958572558885</v>
      </c>
      <c r="H25" s="23" t="n">
        <v>0.5546263498946677</v>
      </c>
      <c r="I25" s="16" t="n">
        <v>12</v>
      </c>
      <c r="J25" s="16" t="n">
        <v>12</v>
      </c>
      <c r="K25" s="19">
        <f>I25/J25</f>
        <v/>
      </c>
      <c r="L25" s="23" t="n"/>
      <c r="M25" s="23" t="n">
        <v>1.039748601566474</v>
      </c>
      <c r="N25" s="23" t="n">
        <v>0.09351467104842635</v>
      </c>
      <c r="O25" s="23" t="n">
        <v>0.2588753393089988</v>
      </c>
      <c r="P25" s="24" t="n">
        <v>0.2485768369856578</v>
      </c>
      <c r="Q25" s="24" t="n">
        <v>29.06203915586067</v>
      </c>
      <c r="R25" s="8" t="inlineStr">
        <is>
          <t>강함 - 장기간 두 자릿수 ROIC + 안정적 마진</t>
        </is>
      </c>
      <c r="S25" s="25">
        <f>IF(AND(NOT(ISNUMBER(E25)),F25&gt;0),25,IF(NOT(ISNUMBER(E25)),0,IF(E25&gt;=기준표!$B$10,25,IF(E25&gt;=기준표!$B$11,20,IF(E25&gt;=기준표!$B$12,15,IF(E25&gt;=기준표!$B$13,10,0))))))</f>
        <v/>
      </c>
      <c r="T25" s="21">
        <f>IF(N(J25)=0,0,ROUND(20*I25/J25,0))</f>
        <v/>
      </c>
      <c r="U25" s="25">
        <f>IF(NOT(ISNUMBER(L25)),0,IF(L25&gt;=기준표!$B$14,20,IF(L25&gt;=기준표!$B$15,15,IF(L25&gt;=기준표!$B$16,10,IF(L25&gt;0,5,0)))))</f>
        <v/>
      </c>
      <c r="V25" s="25">
        <f>IF(NOT(ISNUMBER(M25)),0,IF(M25&gt;=기준표!$B$17,15,IF(M25&gt;=기준표!$B$18,12,IF(M25&gt;=기준표!$B$19,8,IF(M25&gt;0,4,0)))))</f>
        <v/>
      </c>
      <c r="W25" s="25">
        <f>IF(NOT(ISNUMBER(O25)),0,IF(O25&gt;=기준표!$B$20,10,IF(O25&gt;=기준표!$B$21,7,IF(O25&gt;=기준표!$B$22,4,IF(O25&gt;0,2,0)))))</f>
        <v/>
      </c>
      <c r="X25" s="25">
        <f>IF(NOT(ISNUMBER(P25)),5,IF(P25&lt;=기준표!$B$23,5,IF(P25&lt;=기준표!$B$24,4,IF(P25&lt;=기준표!$B$25,2,0))))</f>
        <v/>
      </c>
      <c r="Y25" s="25">
        <f>IF(NOT(ISNUMBER(Q25)),0,IF(Q25&gt;=기준표!$B$26,5,IF(Q25&gt;=기준표!$B$27,3,IF(Q25&gt;=기준표!$B$28,1,0))))</f>
        <v/>
      </c>
    </row>
    <row r="26">
      <c r="A26" s="21" t="n">
        <v>22</v>
      </c>
      <c r="B26" s="8" t="inlineStr">
        <is>
          <t>AVGO</t>
        </is>
      </c>
      <c r="C26" s="8" t="inlineStr">
        <is>
          <t>Broadcom Inc.</t>
        </is>
      </c>
      <c r="D26" s="22">
        <f>SUM(S26:Y26)</f>
        <v/>
      </c>
      <c r="E26" s="23" t="n">
        <v>0.1918351946875943</v>
      </c>
      <c r="F26" s="16" t="n">
        <v>0</v>
      </c>
      <c r="G26" s="23" t="n">
        <v>1.267504553734062</v>
      </c>
      <c r="H26" s="23" t="n">
        <v>59.40028522821576</v>
      </c>
      <c r="I26" s="16" t="n">
        <v>8</v>
      </c>
      <c r="J26" s="16" t="n">
        <v>9</v>
      </c>
      <c r="K26" s="19">
        <f>I26/J26</f>
        <v/>
      </c>
      <c r="L26" s="23" t="n">
        <v>0.185841423263451</v>
      </c>
      <c r="M26" s="23" t="n">
        <v>0.07886228579876782</v>
      </c>
      <c r="N26" s="23" t="n">
        <v>0.1101881593050898</v>
      </c>
      <c r="O26" s="23" t="n">
        <v>0.2794801759356363</v>
      </c>
      <c r="P26" s="24" t="n">
        <v>1.87880881111367</v>
      </c>
      <c r="Q26" s="24" t="n">
        <v>7.938940809968847</v>
      </c>
      <c r="R26" s="8" t="inlineStr">
        <is>
          <t>보통 - ROIC가 기간에 따라 흔들림</t>
        </is>
      </c>
      <c r="S26" s="25">
        <f>IF(AND(NOT(ISNUMBER(E26)),F26&gt;0),25,IF(NOT(ISNUMBER(E26)),0,IF(E26&gt;=기준표!$B$10,25,IF(E26&gt;=기준표!$B$11,20,IF(E26&gt;=기준표!$B$12,15,IF(E26&gt;=기준표!$B$13,10,0))))))</f>
        <v/>
      </c>
      <c r="T26" s="21">
        <f>IF(N(J26)=0,0,ROUND(20*I26/J26,0))</f>
        <v/>
      </c>
      <c r="U26" s="25">
        <f>IF(NOT(ISNUMBER(L26)),0,IF(L26&gt;=기준표!$B$14,20,IF(L26&gt;=기준표!$B$15,15,IF(L26&gt;=기준표!$B$16,10,IF(L26&gt;0,5,0)))))</f>
        <v/>
      </c>
      <c r="V26" s="25">
        <f>IF(NOT(ISNUMBER(M26)),0,IF(M26&gt;=기준표!$B$17,15,IF(M26&gt;=기준표!$B$18,12,IF(M26&gt;=기준표!$B$19,8,IF(M26&gt;0,4,0)))))</f>
        <v/>
      </c>
      <c r="W26" s="25">
        <f>IF(NOT(ISNUMBER(O26)),0,IF(O26&gt;=기준표!$B$20,10,IF(O26&gt;=기준표!$B$21,7,IF(O26&gt;=기준표!$B$22,4,IF(O26&gt;0,2,0)))))</f>
        <v/>
      </c>
      <c r="X26" s="25">
        <f>IF(NOT(ISNUMBER(P26)),5,IF(P26&lt;=기준표!$B$23,5,IF(P26&lt;=기준표!$B$24,4,IF(P26&lt;=기준표!$B$25,2,0))))</f>
        <v/>
      </c>
      <c r="Y26" s="25">
        <f>IF(NOT(ISNUMBER(Q26)),0,IF(Q26&gt;=기준표!$B$26,5,IF(Q26&gt;=기준표!$B$27,3,IF(Q26&gt;=기준표!$B$28,1,0))))</f>
        <v/>
      </c>
    </row>
    <row r="27">
      <c r="A27" s="21" t="n">
        <v>23</v>
      </c>
      <c r="B27" s="8" t="inlineStr">
        <is>
          <t>MRK</t>
        </is>
      </c>
      <c r="C27" s="8" t="inlineStr">
        <is>
          <t>Merck &amp; Co., Inc.</t>
        </is>
      </c>
      <c r="D27" s="22">
        <f>SUM(S27:Y27)</f>
        <v/>
      </c>
      <c r="E27" s="23" t="n">
        <v>0.1325935815956038</v>
      </c>
      <c r="F27" s="16" t="n">
        <v>0</v>
      </c>
      <c r="G27" s="23" t="n">
        <v>1.098017772240408</v>
      </c>
      <c r="H27" s="23" t="n">
        <v>0.476110407932308</v>
      </c>
      <c r="I27" s="16" t="n">
        <v>7</v>
      </c>
      <c r="J27" s="16" t="n">
        <v>12</v>
      </c>
      <c r="K27" s="19">
        <f>I27/J27</f>
        <v/>
      </c>
      <c r="L27" s="23" t="n">
        <v>0.2270986849865236</v>
      </c>
      <c r="M27" s="23" t="n">
        <v>0.1966398508772781</v>
      </c>
      <c r="N27" s="23" t="n">
        <v>0.05081436342587072</v>
      </c>
      <c r="O27" s="23" t="n">
        <v>0.199612073200151</v>
      </c>
      <c r="P27" s="24" t="n">
        <v>1.365346107032078</v>
      </c>
      <c r="Q27" s="24" t="n">
        <v>16.5246868091378</v>
      </c>
      <c r="R27" s="8" t="inlineStr">
        <is>
          <t>약함 - 두 자릿수 ROIC를 지킨 해가 절반 미만</t>
        </is>
      </c>
      <c r="S27" s="25">
        <f>IF(AND(NOT(ISNUMBER(E27)),F27&gt;0),25,IF(NOT(ISNUMBER(E27)),0,IF(E27&gt;=기준표!$B$10,25,IF(E27&gt;=기준표!$B$11,20,IF(E27&gt;=기준표!$B$12,15,IF(E27&gt;=기준표!$B$13,10,0))))))</f>
        <v/>
      </c>
      <c r="T27" s="21">
        <f>IF(N(J27)=0,0,ROUND(20*I27/J27,0))</f>
        <v/>
      </c>
      <c r="U27" s="25">
        <f>IF(NOT(ISNUMBER(L27)),0,IF(L27&gt;=기준표!$B$14,20,IF(L27&gt;=기준표!$B$15,15,IF(L27&gt;=기준표!$B$16,10,IF(L27&gt;0,5,0)))))</f>
        <v/>
      </c>
      <c r="V27" s="25">
        <f>IF(NOT(ISNUMBER(M27)),0,IF(M27&gt;=기준표!$B$17,15,IF(M27&gt;=기준표!$B$18,12,IF(M27&gt;=기준표!$B$19,8,IF(M27&gt;0,4,0)))))</f>
        <v/>
      </c>
      <c r="W27" s="25">
        <f>IF(NOT(ISNUMBER(O27)),0,IF(O27&gt;=기준표!$B$20,10,IF(O27&gt;=기준표!$B$21,7,IF(O27&gt;=기준표!$B$22,4,IF(O27&gt;0,2,0)))))</f>
        <v/>
      </c>
      <c r="X27" s="25">
        <f>IF(NOT(ISNUMBER(P27)),5,IF(P27&lt;=기준표!$B$23,5,IF(P27&lt;=기준표!$B$24,4,IF(P27&lt;=기준표!$B$25,2,0))))</f>
        <v/>
      </c>
      <c r="Y27" s="25">
        <f>IF(NOT(ISNUMBER(Q27)),0,IF(Q27&gt;=기준표!$B$26,5,IF(Q27&gt;=기준표!$B$27,3,IF(Q27&gt;=기준표!$B$28,1,0))))</f>
        <v/>
      </c>
    </row>
    <row r="28">
      <c r="A28" s="21" t="n">
        <v>24</v>
      </c>
      <c r="B28" s="8" t="inlineStr">
        <is>
          <t>ORCL</t>
        </is>
      </c>
      <c r="C28" s="8" t="inlineStr">
        <is>
          <t>ORACLE CORP</t>
        </is>
      </c>
      <c r="D28" s="22">
        <f>SUM(S28:Y28)</f>
        <v/>
      </c>
      <c r="E28" s="23" t="n">
        <v>0.6248007850834151</v>
      </c>
      <c r="F28" s="16" t="n">
        <v>5</v>
      </c>
      <c r="G28" s="23" t="n">
        <v>-0.1302954496917776</v>
      </c>
      <c r="H28" s="23" t="n"/>
      <c r="I28" s="16" t="n">
        <v>12</v>
      </c>
      <c r="J28" s="16" t="n">
        <v>12</v>
      </c>
      <c r="K28" s="19">
        <f>I28/J28</f>
        <v/>
      </c>
      <c r="L28" s="23" t="n"/>
      <c r="M28" s="23" t="n">
        <v>0.9255234731781159</v>
      </c>
      <c r="N28" s="23" t="n">
        <v>0.123426547563461</v>
      </c>
      <c r="O28" s="23" t="n">
        <v>0.08098700845989121</v>
      </c>
      <c r="P28" s="24" t="n">
        <v>-0.8748095929717666</v>
      </c>
      <c r="Q28" s="24" t="n">
        <v>4.480539247662535</v>
      </c>
      <c r="R28" s="8" t="inlineStr">
        <is>
          <t>강함 - 장기간 두 자릿수 ROIC + 안정적 마진</t>
        </is>
      </c>
      <c r="S28" s="25">
        <f>IF(AND(NOT(ISNUMBER(E28)),F28&gt;0),25,IF(NOT(ISNUMBER(E28)),0,IF(E28&gt;=기준표!$B$10,25,IF(E28&gt;=기준표!$B$11,20,IF(E28&gt;=기준표!$B$12,15,IF(E28&gt;=기준표!$B$13,10,0))))))</f>
        <v/>
      </c>
      <c r="T28" s="21">
        <f>IF(N(J28)=0,0,ROUND(20*I28/J28,0))</f>
        <v/>
      </c>
      <c r="U28" s="25">
        <f>IF(NOT(ISNUMBER(L28)),0,IF(L28&gt;=기준표!$B$14,20,IF(L28&gt;=기준표!$B$15,15,IF(L28&gt;=기준표!$B$16,10,IF(L28&gt;0,5,0)))))</f>
        <v/>
      </c>
      <c r="V28" s="25">
        <f>IF(NOT(ISNUMBER(M28)),0,IF(M28&gt;=기준표!$B$17,15,IF(M28&gt;=기준표!$B$18,12,IF(M28&gt;=기준표!$B$19,8,IF(M28&gt;0,4,0)))))</f>
        <v/>
      </c>
      <c r="W28" s="25">
        <f>IF(NOT(ISNUMBER(O28)),0,IF(O28&gt;=기준표!$B$20,10,IF(O28&gt;=기준표!$B$21,7,IF(O28&gt;=기준표!$B$22,4,IF(O28&gt;0,2,0)))))</f>
        <v/>
      </c>
      <c r="X28" s="25">
        <f>IF(NOT(ISNUMBER(P28)),5,IF(P28&lt;=기준표!$B$23,5,IF(P28&lt;=기준표!$B$24,4,IF(P28&lt;=기준표!$B$25,2,0))))</f>
        <v/>
      </c>
      <c r="Y28" s="25">
        <f>IF(NOT(ISNUMBER(Q28)),0,IF(Q28&gt;=기준표!$B$26,5,IF(Q28&gt;=기준표!$B$27,3,IF(Q28&gt;=기준표!$B$28,1,0))))</f>
        <v/>
      </c>
    </row>
    <row r="29">
      <c r="A29" s="21" t="n">
        <v>25</v>
      </c>
      <c r="B29" s="8" t="inlineStr">
        <is>
          <t>ABBV</t>
        </is>
      </c>
      <c r="C29" s="8" t="inlineStr">
        <is>
          <t>AbbVie Inc.</t>
        </is>
      </c>
      <c r="D29" s="22">
        <f>SUM(S29:Y29)</f>
        <v/>
      </c>
      <c r="E29" s="23" t="n">
        <v>0.2274901024563398</v>
      </c>
      <c r="F29" s="16" t="n">
        <v>0</v>
      </c>
      <c r="G29" s="23" t="n">
        <v>1.067809729829875</v>
      </c>
      <c r="H29" s="23" t="n"/>
      <c r="I29" s="16" t="n">
        <v>12</v>
      </c>
      <c r="J29" s="16" t="n">
        <v>12</v>
      </c>
      <c r="K29" s="19">
        <f>I29/J29</f>
        <v/>
      </c>
      <c r="L29" s="23" t="n">
        <v>0.1465288213202796</v>
      </c>
      <c r="M29" s="23" t="n">
        <v>0.1202440362346218</v>
      </c>
      <c r="N29" s="23" t="n">
        <v>0.05400731015810178</v>
      </c>
      <c r="O29" s="23" t="n">
        <v>0.09115276742287073</v>
      </c>
      <c r="P29" s="24" t="n">
        <v>3.547578455515565</v>
      </c>
      <c r="Q29" s="24" t="n">
        <v>5.210853784998272</v>
      </c>
      <c r="R29" s="8" t="inlineStr">
        <is>
          <t>강함 - 장기간 두 자릿수 ROIC, 마진 변동은 있음</t>
        </is>
      </c>
      <c r="S29" s="25">
        <f>IF(AND(NOT(ISNUMBER(E29)),F29&gt;0),25,IF(NOT(ISNUMBER(E29)),0,IF(E29&gt;=기준표!$B$10,25,IF(E29&gt;=기준표!$B$11,20,IF(E29&gt;=기준표!$B$12,15,IF(E29&gt;=기준표!$B$13,10,0))))))</f>
        <v/>
      </c>
      <c r="T29" s="21">
        <f>IF(N(J29)=0,0,ROUND(20*I29/J29,0))</f>
        <v/>
      </c>
      <c r="U29" s="25">
        <f>IF(NOT(ISNUMBER(L29)),0,IF(L29&gt;=기준표!$B$14,20,IF(L29&gt;=기준표!$B$15,15,IF(L29&gt;=기준표!$B$16,10,IF(L29&gt;0,5,0)))))</f>
        <v/>
      </c>
      <c r="V29" s="25">
        <f>IF(NOT(ISNUMBER(M29)),0,IF(M29&gt;=기준표!$B$17,15,IF(M29&gt;=기준표!$B$18,12,IF(M29&gt;=기준표!$B$19,8,IF(M29&gt;0,4,0)))))</f>
        <v/>
      </c>
      <c r="W29" s="25">
        <f>IF(NOT(ISNUMBER(O29)),0,IF(O29&gt;=기준표!$B$20,10,IF(O29&gt;=기준표!$B$21,7,IF(O29&gt;=기준표!$B$22,4,IF(O29&gt;0,2,0)))))</f>
        <v/>
      </c>
      <c r="X29" s="25">
        <f>IF(NOT(ISNUMBER(P29)),5,IF(P29&lt;=기준표!$B$23,5,IF(P29&lt;=기준표!$B$24,4,IF(P29&lt;=기준표!$B$25,2,0))))</f>
        <v/>
      </c>
      <c r="Y29" s="25">
        <f>IF(NOT(ISNUMBER(Q29)),0,IF(Q29&gt;=기준표!$B$26,5,IF(Q29&gt;=기준표!$B$27,3,IF(Q29&gt;=기준표!$B$28,1,0))))</f>
        <v/>
      </c>
    </row>
    <row r="30">
      <c r="A30" s="21" t="n">
        <v>26</v>
      </c>
      <c r="B30" s="8" t="inlineStr">
        <is>
          <t>PG</t>
        </is>
      </c>
      <c r="C30" s="8" t="inlineStr">
        <is>
          <t>PROCTER &amp; GAMBLE Co</t>
        </is>
      </c>
      <c r="D30" s="22">
        <f>SUM(S30:Y30)</f>
        <v/>
      </c>
      <c r="E30" s="23" t="n">
        <v>0.2011747330472637</v>
      </c>
      <c r="F30" s="16" t="n">
        <v>0</v>
      </c>
      <c r="G30" s="23" t="n">
        <v>0.8945899521943348</v>
      </c>
      <c r="H30" s="23" t="n">
        <v>1.38904606528168</v>
      </c>
      <c r="I30" s="16" t="n">
        <v>9</v>
      </c>
      <c r="J30" s="16" t="n">
        <v>10</v>
      </c>
      <c r="K30" s="19">
        <f>I30/J30</f>
        <v/>
      </c>
      <c r="L30" s="23" t="n"/>
      <c r="M30" s="23" t="n">
        <v>0.1410988876230633</v>
      </c>
      <c r="N30" s="23" t="n">
        <v>0.05981755572498262</v>
      </c>
      <c r="O30" s="23" t="n">
        <v>0.1729792120325087</v>
      </c>
      <c r="P30" s="24" t="n">
        <v>1.056224899598394</v>
      </c>
      <c r="Q30" s="24" t="n">
        <v>22.51767388825542</v>
      </c>
      <c r="R30" s="8" t="inlineStr">
        <is>
          <t>강함 - 장기간 두 자릿수 ROIC + 안정적 마진</t>
        </is>
      </c>
      <c r="S30" s="25">
        <f>IF(AND(NOT(ISNUMBER(E30)),F30&gt;0),25,IF(NOT(ISNUMBER(E30)),0,IF(E30&gt;=기준표!$B$10,25,IF(E30&gt;=기준표!$B$11,20,IF(E30&gt;=기준표!$B$12,15,IF(E30&gt;=기준표!$B$13,10,0))))))</f>
        <v/>
      </c>
      <c r="T30" s="21">
        <f>IF(N(J30)=0,0,ROUND(20*I30/J30,0))</f>
        <v/>
      </c>
      <c r="U30" s="25">
        <f>IF(NOT(ISNUMBER(L30)),0,IF(L30&gt;=기준표!$B$14,20,IF(L30&gt;=기준표!$B$15,15,IF(L30&gt;=기준표!$B$16,10,IF(L30&gt;0,5,0)))))</f>
        <v/>
      </c>
      <c r="V30" s="25">
        <f>IF(NOT(ISNUMBER(M30)),0,IF(M30&gt;=기준표!$B$17,15,IF(M30&gt;=기준표!$B$18,12,IF(M30&gt;=기준표!$B$19,8,IF(M30&gt;0,4,0)))))</f>
        <v/>
      </c>
      <c r="W30" s="25">
        <f>IF(NOT(ISNUMBER(O30)),0,IF(O30&gt;=기준표!$B$20,10,IF(O30&gt;=기준표!$B$21,7,IF(O30&gt;=기준표!$B$22,4,IF(O30&gt;0,2,0)))))</f>
        <v/>
      </c>
      <c r="X30" s="25">
        <f>IF(NOT(ISNUMBER(P30)),5,IF(P30&lt;=기준표!$B$23,5,IF(P30&lt;=기준표!$B$24,4,IF(P30&lt;=기준표!$B$25,2,0))))</f>
        <v/>
      </c>
      <c r="Y30" s="25">
        <f>IF(NOT(ISNUMBER(Q30)),0,IF(Q30&gt;=기준표!$B$26,5,IF(Q30&gt;=기준표!$B$27,3,IF(Q30&gt;=기준표!$B$28,1,0))))</f>
        <v/>
      </c>
    </row>
    <row r="31">
      <c r="A31" s="21" t="n">
        <v>27</v>
      </c>
      <c r="B31" s="8" t="inlineStr">
        <is>
          <t>CSCO</t>
        </is>
      </c>
      <c r="C31" s="8" t="inlineStr">
        <is>
          <t>CISCO SYSTEMS, INC.</t>
        </is>
      </c>
      <c r="D31" s="22">
        <f>SUM(S31:Y31)</f>
        <v/>
      </c>
      <c r="E31" s="23" t="n">
        <v>0.2125294063647563</v>
      </c>
      <c r="F31" s="16" t="n">
        <v>0</v>
      </c>
      <c r="G31" s="23" t="n">
        <v>0.5654324340050818</v>
      </c>
      <c r="H31" s="23" t="n">
        <v>0.1825979601225024</v>
      </c>
      <c r="I31" s="16" t="n">
        <v>12</v>
      </c>
      <c r="J31" s="16" t="n">
        <v>12</v>
      </c>
      <c r="K31" s="19">
        <f>I31/J31</f>
        <v/>
      </c>
      <c r="L31" s="23" t="n"/>
      <c r="M31" s="23" t="n">
        <v>0.09486977625587562</v>
      </c>
      <c r="N31" s="23" t="n">
        <v>0.08888020964248622</v>
      </c>
      <c r="O31" s="23" t="n">
        <v>0.1881799969913784</v>
      </c>
      <c r="P31" s="24" t="n">
        <v>0.9617174959871589</v>
      </c>
      <c r="Q31" s="24" t="n">
        <v>7.382297551789077</v>
      </c>
      <c r="R31" s="8" t="inlineStr">
        <is>
          <t>강함 - 장기간 두 자릿수 ROIC + 안정적 마진</t>
        </is>
      </c>
      <c r="S31" s="25">
        <f>IF(AND(NOT(ISNUMBER(E31)),F31&gt;0),25,IF(NOT(ISNUMBER(E31)),0,IF(E31&gt;=기준표!$B$10,25,IF(E31&gt;=기준표!$B$11,20,IF(E31&gt;=기준표!$B$12,15,IF(E31&gt;=기준표!$B$13,10,0))))))</f>
        <v/>
      </c>
      <c r="T31" s="21">
        <f>IF(N(J31)=0,0,ROUND(20*I31/J31,0))</f>
        <v/>
      </c>
      <c r="U31" s="25">
        <f>IF(NOT(ISNUMBER(L31)),0,IF(L31&gt;=기준표!$B$14,20,IF(L31&gt;=기준표!$B$15,15,IF(L31&gt;=기준표!$B$16,10,IF(L31&gt;0,5,0)))))</f>
        <v/>
      </c>
      <c r="V31" s="25">
        <f>IF(NOT(ISNUMBER(M31)),0,IF(M31&gt;=기준표!$B$17,15,IF(M31&gt;=기준표!$B$18,12,IF(M31&gt;=기준표!$B$19,8,IF(M31&gt;0,4,0)))))</f>
        <v/>
      </c>
      <c r="W31" s="25">
        <f>IF(NOT(ISNUMBER(O31)),0,IF(O31&gt;=기준표!$B$20,10,IF(O31&gt;=기준표!$B$21,7,IF(O31&gt;=기준표!$B$22,4,IF(O31&gt;0,2,0)))))</f>
        <v/>
      </c>
      <c r="X31" s="25">
        <f>IF(NOT(ISNUMBER(P31)),5,IF(P31&lt;=기준표!$B$23,5,IF(P31&lt;=기준표!$B$24,4,IF(P31&lt;=기준표!$B$25,2,0))))</f>
        <v/>
      </c>
      <c r="Y31" s="25">
        <f>IF(NOT(ISNUMBER(Q31)),0,IF(Q31&gt;=기준표!$B$26,5,IF(Q31&gt;=기준표!$B$27,3,IF(Q31&gt;=기준표!$B$28,1,0))))</f>
        <v/>
      </c>
    </row>
    <row r="32">
      <c r="A32" s="21" t="n">
        <v>28</v>
      </c>
      <c r="B32" s="8" t="inlineStr">
        <is>
          <t>DELL</t>
        </is>
      </c>
      <c r="C32" s="8" t="inlineStr">
        <is>
          <t>Dell Technologies Inc.</t>
        </is>
      </c>
      <c r="D32" s="22">
        <f>SUM(S32:Y32)</f>
        <v/>
      </c>
      <c r="E32" s="23" t="n">
        <v>0.09542338462377169</v>
      </c>
      <c r="F32" s="16" t="n">
        <v>0</v>
      </c>
      <c r="G32" s="23" t="n">
        <v>0.3301882783321327</v>
      </c>
      <c r="H32" s="23" t="n">
        <v>1.410455278001612</v>
      </c>
      <c r="I32" s="16" t="n">
        <v>5</v>
      </c>
      <c r="J32" s="16" t="n">
        <v>11</v>
      </c>
      <c r="K32" s="19">
        <f>I32/J32</f>
        <v/>
      </c>
      <c r="L32" s="23" t="n">
        <v>0.8094137128053674</v>
      </c>
      <c r="M32" s="23" t="n">
        <v>0.2585763221451889</v>
      </c>
      <c r="N32" s="23" t="n">
        <v>0.1018491297470566</v>
      </c>
      <c r="O32" s="23" t="n">
        <v>0.05815152235455583</v>
      </c>
      <c r="P32" s="24" t="n">
        <v>1.786992306315978</v>
      </c>
      <c r="Q32" s="24" t="n">
        <v>5.223717948717948</v>
      </c>
      <c r="R32" s="8" t="inlineStr">
        <is>
          <t>약함 - 두 자릿수 ROIC를 지킨 해가 절반 미만</t>
        </is>
      </c>
      <c r="S32" s="25">
        <f>IF(AND(NOT(ISNUMBER(E32)),F32&gt;0),25,IF(NOT(ISNUMBER(E32)),0,IF(E32&gt;=기준표!$B$10,25,IF(E32&gt;=기준표!$B$11,20,IF(E32&gt;=기준표!$B$12,15,IF(E32&gt;=기준표!$B$13,10,0))))))</f>
        <v/>
      </c>
      <c r="T32" s="21">
        <f>IF(N(J32)=0,0,ROUND(20*I32/J32,0))</f>
        <v/>
      </c>
      <c r="U32" s="25">
        <f>IF(NOT(ISNUMBER(L32)),0,IF(L32&gt;=기준표!$B$14,20,IF(L32&gt;=기준표!$B$15,15,IF(L32&gt;=기준표!$B$16,10,IF(L32&gt;0,5,0)))))</f>
        <v/>
      </c>
      <c r="V32" s="25">
        <f>IF(NOT(ISNUMBER(M32)),0,IF(M32&gt;=기준표!$B$17,15,IF(M32&gt;=기준표!$B$18,12,IF(M32&gt;=기준표!$B$19,8,IF(M32&gt;0,4,0)))))</f>
        <v/>
      </c>
      <c r="W32" s="25">
        <f>IF(NOT(ISNUMBER(O32)),0,IF(O32&gt;=기준표!$B$20,10,IF(O32&gt;=기준표!$B$21,7,IF(O32&gt;=기준표!$B$22,4,IF(O32&gt;0,2,0)))))</f>
        <v/>
      </c>
      <c r="X32" s="25">
        <f>IF(NOT(ISNUMBER(P32)),5,IF(P32&lt;=기준표!$B$23,5,IF(P32&lt;=기준표!$B$24,4,IF(P32&lt;=기준표!$B$25,2,0))))</f>
        <v/>
      </c>
      <c r="Y32" s="25">
        <f>IF(NOT(ISNUMBER(Q32)),0,IF(Q32&gt;=기준표!$B$26,5,IF(Q32&gt;=기준표!$B$27,3,IF(Q32&gt;=기준표!$B$28,1,0))))</f>
        <v/>
      </c>
    </row>
    <row r="33">
      <c r="A33" s="21" t="n">
        <v>29</v>
      </c>
      <c r="B33" s="8" t="inlineStr">
        <is>
          <t>MU</t>
        </is>
      </c>
      <c r="C33" s="8" t="inlineStr">
        <is>
          <t>MICRON TECHNOLOGY INC</t>
        </is>
      </c>
      <c r="D33" s="22">
        <f>SUM(S33:Y33)</f>
        <v/>
      </c>
      <c r="E33" s="23" t="n">
        <v>0.1717509954225185</v>
      </c>
      <c r="F33" s="16" t="n">
        <v>0</v>
      </c>
      <c r="G33" s="23" t="n">
        <v>1.455848884842968</v>
      </c>
      <c r="H33" s="23" t="n">
        <v>0.1755111764246699</v>
      </c>
      <c r="I33" s="16" t="n">
        <v>8</v>
      </c>
      <c r="J33" s="16" t="n">
        <v>12</v>
      </c>
      <c r="K33" s="19">
        <f>I33/J33</f>
        <v/>
      </c>
      <c r="L33" s="23" t="n">
        <v>0.1257855034399884</v>
      </c>
      <c r="M33" s="23" t="n">
        <v>0.01423423196440846</v>
      </c>
      <c r="N33" s="23" t="n">
        <v>0.1443682337085319</v>
      </c>
      <c r="O33" s="23" t="n">
        <v>0.01520288333948938</v>
      </c>
      <c r="P33" s="24" t="n">
        <v>0.2356252069308023</v>
      </c>
      <c r="Q33" s="24" t="n">
        <v>20.48218029350105</v>
      </c>
      <c r="R33" s="8" t="inlineStr">
        <is>
          <t>보통 - ROIC가 기간에 따라 흔들림</t>
        </is>
      </c>
      <c r="S33" s="25">
        <f>IF(AND(NOT(ISNUMBER(E33)),F33&gt;0),25,IF(NOT(ISNUMBER(E33)),0,IF(E33&gt;=기준표!$B$10,25,IF(E33&gt;=기준표!$B$11,20,IF(E33&gt;=기준표!$B$12,15,IF(E33&gt;=기준표!$B$13,10,0))))))</f>
        <v/>
      </c>
      <c r="T33" s="21">
        <f>IF(N(J33)=0,0,ROUND(20*I33/J33,0))</f>
        <v/>
      </c>
      <c r="U33" s="25">
        <f>IF(NOT(ISNUMBER(L33)),0,IF(L33&gt;=기준표!$B$14,20,IF(L33&gt;=기준표!$B$15,15,IF(L33&gt;=기준표!$B$16,10,IF(L33&gt;0,5,0)))))</f>
        <v/>
      </c>
      <c r="V33" s="25">
        <f>IF(NOT(ISNUMBER(M33)),0,IF(M33&gt;=기준표!$B$17,15,IF(M33&gt;=기준표!$B$18,12,IF(M33&gt;=기준표!$B$19,8,IF(M33&gt;0,4,0)))))</f>
        <v/>
      </c>
      <c r="W33" s="25">
        <f>IF(NOT(ISNUMBER(O33)),0,IF(O33&gt;=기준표!$B$20,10,IF(O33&gt;=기준표!$B$21,7,IF(O33&gt;=기준표!$B$22,4,IF(O33&gt;0,2,0)))))</f>
        <v/>
      </c>
      <c r="X33" s="25">
        <f>IF(NOT(ISNUMBER(P33)),5,IF(P33&lt;=기준표!$B$23,5,IF(P33&lt;=기준표!$B$24,4,IF(P33&lt;=기준표!$B$25,2,0))))</f>
        <v/>
      </c>
      <c r="Y33" s="25">
        <f>IF(NOT(ISNUMBER(Q33)),0,IF(Q33&gt;=기준표!$B$26,5,IF(Q33&gt;=기준표!$B$27,3,IF(Q33&gt;=기준표!$B$28,1,0))))</f>
        <v/>
      </c>
    </row>
    <row r="34">
      <c r="A34" s="21" t="n">
        <v>30</v>
      </c>
      <c r="B34" s="8" t="inlineStr">
        <is>
          <t>WMT</t>
        </is>
      </c>
      <c r="C34" s="8" t="inlineStr">
        <is>
          <t>Walmart Inc.</t>
        </is>
      </c>
      <c r="D34" s="22">
        <f>SUM(S34:Y34)</f>
        <v/>
      </c>
      <c r="E34" s="23" t="n">
        <v>0.1457318651034693</v>
      </c>
      <c r="F34" s="16" t="n">
        <v>0</v>
      </c>
      <c r="G34" s="23" t="n">
        <v>0.1881488714488776</v>
      </c>
      <c r="H34" s="23" t="n">
        <v>0.1919145098964065</v>
      </c>
      <c r="I34" s="16" t="n">
        <v>12</v>
      </c>
      <c r="J34" s="16" t="n">
        <v>12</v>
      </c>
      <c r="K34" s="19">
        <f>I34/J34</f>
        <v/>
      </c>
      <c r="L34" s="23" t="n"/>
      <c r="M34" s="23" t="n">
        <v>0.1100430233054278</v>
      </c>
      <c r="N34" s="23" t="n">
        <v>0.07131750086565673</v>
      </c>
      <c r="O34" s="23" t="n">
        <v>0.0163480947578815</v>
      </c>
      <c r="P34" s="24" t="n">
        <v>0.6925819932770055</v>
      </c>
      <c r="Q34" s="24" t="n">
        <v>12.86669542709232</v>
      </c>
      <c r="R34" s="8" t="inlineStr">
        <is>
          <t>강함 - 장기간 두 자릿수 ROIC + 안정적 마진</t>
        </is>
      </c>
      <c r="S34" s="25">
        <f>IF(AND(NOT(ISNUMBER(E34)),F34&gt;0),25,IF(NOT(ISNUMBER(E34)),0,IF(E34&gt;=기준표!$B$10,25,IF(E34&gt;=기준표!$B$11,20,IF(E34&gt;=기준표!$B$12,15,IF(E34&gt;=기준표!$B$13,10,0))))))</f>
        <v/>
      </c>
      <c r="T34" s="21">
        <f>IF(N(J34)=0,0,ROUND(20*I34/J34,0))</f>
        <v/>
      </c>
      <c r="U34" s="25">
        <f>IF(NOT(ISNUMBER(L34)),0,IF(L34&gt;=기준표!$B$14,20,IF(L34&gt;=기준표!$B$15,15,IF(L34&gt;=기준표!$B$16,10,IF(L34&gt;0,5,0)))))</f>
        <v/>
      </c>
      <c r="V34" s="25">
        <f>IF(NOT(ISNUMBER(M34)),0,IF(M34&gt;=기준표!$B$17,15,IF(M34&gt;=기준표!$B$18,12,IF(M34&gt;=기준표!$B$19,8,IF(M34&gt;0,4,0)))))</f>
        <v/>
      </c>
      <c r="W34" s="25">
        <f>IF(NOT(ISNUMBER(O34)),0,IF(O34&gt;=기준표!$B$20,10,IF(O34&gt;=기준표!$B$21,7,IF(O34&gt;=기준표!$B$22,4,IF(O34&gt;0,2,0)))))</f>
        <v/>
      </c>
      <c r="X34" s="25">
        <f>IF(NOT(ISNUMBER(P34)),5,IF(P34&lt;=기준표!$B$23,5,IF(P34&lt;=기준표!$B$24,4,IF(P34&lt;=기준표!$B$25,2,0))))</f>
        <v/>
      </c>
      <c r="Y34" s="25">
        <f>IF(NOT(ISNUMBER(Q34)),0,IF(Q34&gt;=기준표!$B$26,5,IF(Q34&gt;=기준표!$B$27,3,IF(Q34&gt;=기준표!$B$28,1,0))))</f>
        <v/>
      </c>
    </row>
    <row r="35">
      <c r="A35" s="21" t="n">
        <v>31</v>
      </c>
      <c r="B35" s="8" t="inlineStr">
        <is>
          <t>PANW</t>
        </is>
      </c>
      <c r="C35" s="8" t="inlineStr">
        <is>
          <t>Palo Alto Networks Inc</t>
        </is>
      </c>
      <c r="D35" s="22">
        <f>SUM(S35:Y35)</f>
        <v/>
      </c>
      <c r="E35" s="23" t="n">
        <v>-0.1524198047686152</v>
      </c>
      <c r="F35" s="16" t="n">
        <v>0</v>
      </c>
      <c r="G35" s="23" t="n">
        <v>0.3471957895726134</v>
      </c>
      <c r="H35" s="23" t="n">
        <v>-0.2808371120626197</v>
      </c>
      <c r="I35" s="16" t="n">
        <v>2</v>
      </c>
      <c r="J35" s="16" t="n">
        <v>12</v>
      </c>
      <c r="K35" s="19">
        <f>I35/J35</f>
        <v/>
      </c>
      <c r="L35" s="23" t="n">
        <v>0.2270241970514164</v>
      </c>
      <c r="M35" s="23" t="n">
        <v>0.1209231091232021</v>
      </c>
      <c r="N35" s="23" t="n">
        <v>0.08747738574143277</v>
      </c>
      <c r="O35" s="23" t="n">
        <v>0.1181684971056335</v>
      </c>
      <c r="P35" s="24" t="n">
        <v>-1.830170837798651</v>
      </c>
      <c r="Q35" s="24" t="n">
        <v>414.3</v>
      </c>
      <c r="R35" s="8" t="inlineStr">
        <is>
          <t>약함 - 두 자릿수 ROIC를 지킨 해가 절반 미만</t>
        </is>
      </c>
      <c r="S35" s="25">
        <f>IF(AND(NOT(ISNUMBER(E35)),F35&gt;0),25,IF(NOT(ISNUMBER(E35)),0,IF(E35&gt;=기준표!$B$10,25,IF(E35&gt;=기준표!$B$11,20,IF(E35&gt;=기준표!$B$12,15,IF(E35&gt;=기준표!$B$13,10,0))))))</f>
        <v/>
      </c>
      <c r="T35" s="21">
        <f>IF(N(J35)=0,0,ROUND(20*I35/J35,0))</f>
        <v/>
      </c>
      <c r="U35" s="25">
        <f>IF(NOT(ISNUMBER(L35)),0,IF(L35&gt;=기준표!$B$14,20,IF(L35&gt;=기준표!$B$15,15,IF(L35&gt;=기준표!$B$16,10,IF(L35&gt;0,5,0)))))</f>
        <v/>
      </c>
      <c r="V35" s="25">
        <f>IF(NOT(ISNUMBER(M35)),0,IF(M35&gt;=기준표!$B$17,15,IF(M35&gt;=기준표!$B$18,12,IF(M35&gt;=기준표!$B$19,8,IF(M35&gt;0,4,0)))))</f>
        <v/>
      </c>
      <c r="W35" s="25">
        <f>IF(NOT(ISNUMBER(O35)),0,IF(O35&gt;=기준표!$B$20,10,IF(O35&gt;=기준표!$B$21,7,IF(O35&gt;=기준표!$B$22,4,IF(O35&gt;0,2,0)))))</f>
        <v/>
      </c>
      <c r="X35" s="25">
        <f>IF(NOT(ISNUMBER(P35)),5,IF(P35&lt;=기준표!$B$23,5,IF(P35&lt;=기준표!$B$24,4,IF(P35&lt;=기준표!$B$25,2,0))))</f>
        <v/>
      </c>
      <c r="Y35" s="25">
        <f>IF(NOT(ISNUMBER(Q35)),0,IF(Q35&gt;=기준표!$B$26,5,IF(Q35&gt;=기준표!$B$27,3,IF(Q35&gt;=기준표!$B$28,1,0))))</f>
        <v/>
      </c>
    </row>
    <row r="36">
      <c r="A36" s="21" t="n">
        <v>32</v>
      </c>
      <c r="B36" s="8" t="inlineStr">
        <is>
          <t>CAT</t>
        </is>
      </c>
      <c r="C36" s="8" t="inlineStr">
        <is>
          <t>CATERPILLAR INC</t>
        </is>
      </c>
      <c r="D36" s="22">
        <f>SUM(S36:Y36)</f>
        <v/>
      </c>
      <c r="E36" s="23" t="n">
        <v>0.1523814296290538</v>
      </c>
      <c r="F36" s="16" t="n">
        <v>0</v>
      </c>
      <c r="G36" s="23" t="n">
        <v>0.6963940520446097</v>
      </c>
      <c r="H36" s="23" t="n">
        <v>0.1879529836788861</v>
      </c>
      <c r="I36" s="16" t="n">
        <v>7</v>
      </c>
      <c r="J36" s="16" t="n">
        <v>11</v>
      </c>
      <c r="K36" s="19">
        <f>I36/J36</f>
        <v/>
      </c>
      <c r="L36" s="23" t="n"/>
      <c r="M36" s="23" t="n">
        <v>0.07290265042885984</v>
      </c>
      <c r="N36" s="23" t="n">
        <v>0.1116025479011918</v>
      </c>
      <c r="O36" s="23" t="n">
        <v>0.1146961076070403</v>
      </c>
      <c r="P36" s="24" t="n">
        <v>1.95511816894058</v>
      </c>
      <c r="Q36" s="24" t="n"/>
      <c r="R36" s="8" t="inlineStr">
        <is>
          <t>보통 - ROIC가 기간에 따라 흔들림</t>
        </is>
      </c>
      <c r="S36" s="25">
        <f>IF(AND(NOT(ISNUMBER(E36)),F36&gt;0),25,IF(NOT(ISNUMBER(E36)),0,IF(E36&gt;=기준표!$B$10,25,IF(E36&gt;=기준표!$B$11,20,IF(E36&gt;=기준표!$B$12,15,IF(E36&gt;=기준표!$B$13,10,0))))))</f>
        <v/>
      </c>
      <c r="T36" s="21">
        <f>IF(N(J36)=0,0,ROUND(20*I36/J36,0))</f>
        <v/>
      </c>
      <c r="U36" s="25">
        <f>IF(NOT(ISNUMBER(L36)),0,IF(L36&gt;=기준표!$B$14,20,IF(L36&gt;=기준표!$B$15,15,IF(L36&gt;=기준표!$B$16,10,IF(L36&gt;0,5,0)))))</f>
        <v/>
      </c>
      <c r="V36" s="25">
        <f>IF(NOT(ISNUMBER(M36)),0,IF(M36&gt;=기준표!$B$17,15,IF(M36&gt;=기준표!$B$18,12,IF(M36&gt;=기준표!$B$19,8,IF(M36&gt;0,4,0)))))</f>
        <v/>
      </c>
      <c r="W36" s="25">
        <f>IF(NOT(ISNUMBER(O36)),0,IF(O36&gt;=기준표!$B$20,10,IF(O36&gt;=기준표!$B$21,7,IF(O36&gt;=기준표!$B$22,4,IF(O36&gt;0,2,0)))))</f>
        <v/>
      </c>
      <c r="X36" s="25">
        <f>IF(NOT(ISNUMBER(P36)),5,IF(P36&lt;=기준표!$B$23,5,IF(P36&lt;=기준표!$B$24,4,IF(P36&lt;=기준표!$B$25,2,0))))</f>
        <v/>
      </c>
      <c r="Y36" s="25">
        <f>IF(NOT(ISNUMBER(Q36)),0,IF(Q36&gt;=기준표!$B$26,5,IF(Q36&gt;=기준표!$B$27,3,IF(Q36&gt;=기준표!$B$28,1,0))))</f>
        <v/>
      </c>
    </row>
    <row r="37">
      <c r="A37" s="21" t="n">
        <v>33</v>
      </c>
      <c r="B37" s="8" t="inlineStr">
        <is>
          <t>IBM</t>
        </is>
      </c>
      <c r="C37" s="8" t="inlineStr">
        <is>
          <t>INTERNATIONAL BUSINESS MACHINES CORP</t>
        </is>
      </c>
      <c r="D37" s="22">
        <f>SUM(S37:Y37)</f>
        <v/>
      </c>
      <c r="E37" s="23" t="n">
        <v>0.1463249030012257</v>
      </c>
      <c r="F37" s="16" t="n">
        <v>0</v>
      </c>
      <c r="G37" s="23" t="n">
        <v>1.062134769205673</v>
      </c>
      <c r="H37" s="23" t="n">
        <v>1.694441179927136</v>
      </c>
      <c r="I37" s="16" t="n">
        <v>9</v>
      </c>
      <c r="J37" s="16" t="n">
        <v>12</v>
      </c>
      <c r="K37" s="19">
        <f>I37/J37</f>
        <v/>
      </c>
      <c r="L37" s="23" t="n">
        <v>-0.1069105685964533</v>
      </c>
      <c r="M37" s="23" t="n">
        <v>0.08878854683683797</v>
      </c>
      <c r="N37" s="23" t="n">
        <v>0.0679492469662215</v>
      </c>
      <c r="O37" s="23" t="n">
        <v>0.1084410307076952</v>
      </c>
      <c r="P37" s="24" t="n">
        <v>3.277170550628996</v>
      </c>
      <c r="Q37" s="24" t="n">
        <v>6.337467700258398</v>
      </c>
      <c r="R37" s="8" t="inlineStr">
        <is>
          <t>보통 - ROIC가 기간에 따라 흔들림</t>
        </is>
      </c>
      <c r="S37" s="25">
        <f>IF(AND(NOT(ISNUMBER(E37)),F37&gt;0),25,IF(NOT(ISNUMBER(E37)),0,IF(E37&gt;=기준표!$B$10,25,IF(E37&gt;=기준표!$B$11,20,IF(E37&gt;=기준표!$B$12,15,IF(E37&gt;=기준표!$B$13,10,0))))))</f>
        <v/>
      </c>
      <c r="T37" s="21">
        <f>IF(N(J37)=0,0,ROUND(20*I37/J37,0))</f>
        <v/>
      </c>
      <c r="U37" s="25">
        <f>IF(NOT(ISNUMBER(L37)),0,IF(L37&gt;=기준표!$B$14,20,IF(L37&gt;=기준표!$B$15,15,IF(L37&gt;=기준표!$B$16,10,IF(L37&gt;0,5,0)))))</f>
        <v/>
      </c>
      <c r="V37" s="25">
        <f>IF(NOT(ISNUMBER(M37)),0,IF(M37&gt;=기준표!$B$17,15,IF(M37&gt;=기준표!$B$18,12,IF(M37&gt;=기준표!$B$19,8,IF(M37&gt;0,4,0)))))</f>
        <v/>
      </c>
      <c r="W37" s="25">
        <f>IF(NOT(ISNUMBER(O37)),0,IF(O37&gt;=기준표!$B$20,10,IF(O37&gt;=기준표!$B$21,7,IF(O37&gt;=기준표!$B$22,4,IF(O37&gt;0,2,0)))))</f>
        <v/>
      </c>
      <c r="X37" s="25">
        <f>IF(NOT(ISNUMBER(P37)),5,IF(P37&lt;=기준표!$B$23,5,IF(P37&lt;=기준표!$B$24,4,IF(P37&lt;=기준표!$B$25,2,0))))</f>
        <v/>
      </c>
      <c r="Y37" s="25">
        <f>IF(NOT(ISNUMBER(Q37)),0,IF(Q37&gt;=기준표!$B$26,5,IF(Q37&gt;=기준표!$B$27,3,IF(Q37&gt;=기준표!$B$28,1,0))))</f>
        <v/>
      </c>
    </row>
    <row r="38">
      <c r="A38" s="21" t="n">
        <v>34</v>
      </c>
      <c r="B38" s="8" t="inlineStr">
        <is>
          <t>XOM</t>
        </is>
      </c>
      <c r="C38" s="8" t="inlineStr">
        <is>
          <t>EXXON MOBIL CORP</t>
        </is>
      </c>
      <c r="D38" s="22">
        <f>SUM(S38:Y38)</f>
        <v/>
      </c>
      <c r="E38" s="23" t="n">
        <v>0.1009688158836083</v>
      </c>
      <c r="F38" s="16" t="n">
        <v>0</v>
      </c>
      <c r="G38" s="23" t="n">
        <v>0.8123882165685429</v>
      </c>
      <c r="H38" s="23" t="n">
        <v>0.1009688158836083</v>
      </c>
      <c r="I38" s="16" t="n">
        <v>6</v>
      </c>
      <c r="J38" s="16" t="n">
        <v>12</v>
      </c>
      <c r="K38" s="19">
        <f>I38/J38</f>
        <v/>
      </c>
      <c r="L38" s="23" t="n">
        <v>-0.03859415940957015</v>
      </c>
      <c r="M38" s="23" t="n">
        <v>0.05206577567020479</v>
      </c>
      <c r="N38" s="23" t="n">
        <v>0.05304189672503477</v>
      </c>
      <c r="O38" s="23" t="n">
        <v>0.09454353018579173</v>
      </c>
      <c r="P38" s="24" t="n">
        <v>0.4841447601084522</v>
      </c>
      <c r="Q38" s="24" t="n">
        <v>69.43781094527363</v>
      </c>
      <c r="R38" s="8" t="inlineStr">
        <is>
          <t>약함 - 두 자릿수 ROIC를 지킨 해가 절반 미만</t>
        </is>
      </c>
      <c r="S38" s="25">
        <f>IF(AND(NOT(ISNUMBER(E38)),F38&gt;0),25,IF(NOT(ISNUMBER(E38)),0,IF(E38&gt;=기준표!$B$10,25,IF(E38&gt;=기준표!$B$11,20,IF(E38&gt;=기준표!$B$12,15,IF(E38&gt;=기준표!$B$13,10,0))))))</f>
        <v/>
      </c>
      <c r="T38" s="21">
        <f>IF(N(J38)=0,0,ROUND(20*I38/J38,0))</f>
        <v/>
      </c>
      <c r="U38" s="25">
        <f>IF(NOT(ISNUMBER(L38)),0,IF(L38&gt;=기준표!$B$14,20,IF(L38&gt;=기준표!$B$15,15,IF(L38&gt;=기준표!$B$16,10,IF(L38&gt;0,5,0)))))</f>
        <v/>
      </c>
      <c r="V38" s="25">
        <f>IF(NOT(ISNUMBER(M38)),0,IF(M38&gt;=기준표!$B$17,15,IF(M38&gt;=기준표!$B$18,12,IF(M38&gt;=기준표!$B$19,8,IF(M38&gt;0,4,0)))))</f>
        <v/>
      </c>
      <c r="W38" s="25">
        <f>IF(NOT(ISNUMBER(O38)),0,IF(O38&gt;=기준표!$B$20,10,IF(O38&gt;=기준표!$B$21,7,IF(O38&gt;=기준표!$B$22,4,IF(O38&gt;0,2,0)))))</f>
        <v/>
      </c>
      <c r="X38" s="25">
        <f>IF(NOT(ISNUMBER(P38)),5,IF(P38&lt;=기준표!$B$23,5,IF(P38&lt;=기준표!$B$24,4,IF(P38&lt;=기준표!$B$25,2,0))))</f>
        <v/>
      </c>
      <c r="Y38" s="25">
        <f>IF(NOT(ISNUMBER(Q38)),0,IF(Q38&gt;=기준표!$B$26,5,IF(Q38&gt;=기준표!$B$27,3,IF(Q38&gt;=기준표!$B$28,1,0))))</f>
        <v/>
      </c>
    </row>
    <row r="39">
      <c r="A39" s="21" t="n">
        <v>35</v>
      </c>
      <c r="B39" s="8" t="inlineStr">
        <is>
          <t>CVX</t>
        </is>
      </c>
      <c r="C39" s="8" t="inlineStr">
        <is>
          <t>CHEVRON CORP</t>
        </is>
      </c>
      <c r="D39" s="22">
        <f>SUM(S39:Y39)</f>
        <v/>
      </c>
      <c r="E39" s="23" t="n">
        <v>0.06517945976852266</v>
      </c>
      <c r="F39" s="16" t="n">
        <v>0</v>
      </c>
      <c r="G39" s="23" t="n">
        <v>1.078463053580771</v>
      </c>
      <c r="H39" s="23" t="n">
        <v>0.06667891605628166</v>
      </c>
      <c r="I39" s="16" t="n">
        <v>3</v>
      </c>
      <c r="J39" s="16" t="n">
        <v>11</v>
      </c>
      <c r="K39" s="19">
        <f>I39/J39</f>
        <v/>
      </c>
      <c r="L39" s="23" t="n">
        <v>0.1129075395738955</v>
      </c>
      <c r="M39" s="23" t="n">
        <v>0.001595288630703143</v>
      </c>
      <c r="N39" s="23" t="n">
        <v>0.06358417113781951</v>
      </c>
      <c r="O39" s="23" t="n">
        <v>0.104747970878183</v>
      </c>
      <c r="P39" s="24" t="n">
        <v>1.056507349362406</v>
      </c>
      <c r="Q39" s="24" t="n">
        <v>17.22267871815941</v>
      </c>
      <c r="R39" s="8" t="inlineStr">
        <is>
          <t>약함 - 두 자릿수 ROIC를 지킨 해가 절반 미만</t>
        </is>
      </c>
      <c r="S39" s="25">
        <f>IF(AND(NOT(ISNUMBER(E39)),F39&gt;0),25,IF(NOT(ISNUMBER(E39)),0,IF(E39&gt;=기준표!$B$10,25,IF(E39&gt;=기준표!$B$11,20,IF(E39&gt;=기준표!$B$12,15,IF(E39&gt;=기준표!$B$13,10,0))))))</f>
        <v/>
      </c>
      <c r="T39" s="21">
        <f>IF(N(J39)=0,0,ROUND(20*I39/J39,0))</f>
        <v/>
      </c>
      <c r="U39" s="25">
        <f>IF(NOT(ISNUMBER(L39)),0,IF(L39&gt;=기준표!$B$14,20,IF(L39&gt;=기준표!$B$15,15,IF(L39&gt;=기준표!$B$16,10,IF(L39&gt;0,5,0)))))</f>
        <v/>
      </c>
      <c r="V39" s="25">
        <f>IF(NOT(ISNUMBER(M39)),0,IF(M39&gt;=기준표!$B$17,15,IF(M39&gt;=기준표!$B$18,12,IF(M39&gt;=기준표!$B$19,8,IF(M39&gt;0,4,0)))))</f>
        <v/>
      </c>
      <c r="W39" s="25">
        <f>IF(NOT(ISNUMBER(O39)),0,IF(O39&gt;=기준표!$B$20,10,IF(O39&gt;=기준표!$B$21,7,IF(O39&gt;=기준표!$B$22,4,IF(O39&gt;0,2,0)))))</f>
        <v/>
      </c>
      <c r="X39" s="25">
        <f>IF(NOT(ISNUMBER(P39)),5,IF(P39&lt;=기준표!$B$23,5,IF(P39&lt;=기준표!$B$24,4,IF(P39&lt;=기준표!$B$25,2,0))))</f>
        <v/>
      </c>
      <c r="Y39" s="25">
        <f>IF(NOT(ISNUMBER(Q39)),0,IF(Q39&gt;=기준표!$B$26,5,IF(Q39&gt;=기준표!$B$27,3,IF(Q39&gt;=기준표!$B$28,1,0))))</f>
        <v/>
      </c>
    </row>
    <row r="40">
      <c r="A40" s="21" t="n">
        <v>36</v>
      </c>
      <c r="B40" s="8" t="inlineStr">
        <is>
          <t>GE</t>
        </is>
      </c>
      <c r="C40" s="8" t="inlineStr">
        <is>
          <t>GENERAL ELECTRIC CO</t>
        </is>
      </c>
      <c r="D40" s="22">
        <f>SUM(S40:Y40)</f>
        <v/>
      </c>
      <c r="E40" s="23" t="n">
        <v>0.03570848230826214</v>
      </c>
      <c r="F40" s="16" t="n">
        <v>0</v>
      </c>
      <c r="G40" s="23" t="n">
        <v>1.091496875402185</v>
      </c>
      <c r="H40" s="23" t="n">
        <v>0.07166944121719482</v>
      </c>
      <c r="I40" s="16" t="n">
        <v>3</v>
      </c>
      <c r="J40" s="16" t="n">
        <v>10</v>
      </c>
      <c r="K40" s="19">
        <f>I40/J40</f>
        <v/>
      </c>
      <c r="L40" s="23" t="n"/>
      <c r="M40" s="23" t="n">
        <v>0.2517772885961318</v>
      </c>
      <c r="N40" s="23" t="n">
        <v>0.1057890140559743</v>
      </c>
      <c r="O40" s="23" t="n">
        <v>0.1795305637335078</v>
      </c>
      <c r="P40" s="24" t="n">
        <v>0.5929301297983982</v>
      </c>
      <c r="Q40" s="24" t="n"/>
      <c r="R40" s="8" t="inlineStr">
        <is>
          <t>약함 - 두 자릿수 ROIC를 지킨 해가 절반 미만</t>
        </is>
      </c>
      <c r="S40" s="25">
        <f>IF(AND(NOT(ISNUMBER(E40)),F40&gt;0),25,IF(NOT(ISNUMBER(E40)),0,IF(E40&gt;=기준표!$B$10,25,IF(E40&gt;=기준표!$B$11,20,IF(E40&gt;=기준표!$B$12,15,IF(E40&gt;=기준표!$B$13,10,0))))))</f>
        <v/>
      </c>
      <c r="T40" s="21">
        <f>IF(N(J40)=0,0,ROUND(20*I40/J40,0))</f>
        <v/>
      </c>
      <c r="U40" s="25">
        <f>IF(NOT(ISNUMBER(L40)),0,IF(L40&gt;=기준표!$B$14,20,IF(L40&gt;=기준표!$B$15,15,IF(L40&gt;=기준표!$B$16,10,IF(L40&gt;0,5,0)))))</f>
        <v/>
      </c>
      <c r="V40" s="25">
        <f>IF(NOT(ISNUMBER(M40)),0,IF(M40&gt;=기준표!$B$17,15,IF(M40&gt;=기준표!$B$18,12,IF(M40&gt;=기준표!$B$19,8,IF(M40&gt;0,4,0)))))</f>
        <v/>
      </c>
      <c r="W40" s="25">
        <f>IF(NOT(ISNUMBER(O40)),0,IF(O40&gt;=기준표!$B$20,10,IF(O40&gt;=기준표!$B$21,7,IF(O40&gt;=기준표!$B$22,4,IF(O40&gt;0,2,0)))))</f>
        <v/>
      </c>
      <c r="X40" s="25">
        <f>IF(NOT(ISNUMBER(P40)),5,IF(P40&lt;=기준표!$B$23,5,IF(P40&lt;=기준표!$B$24,4,IF(P40&lt;=기준표!$B$25,2,0))))</f>
        <v/>
      </c>
      <c r="Y40" s="25">
        <f>IF(NOT(ISNUMBER(Q40)),0,IF(Q40&gt;=기준표!$B$26,5,IF(Q40&gt;=기준표!$B$27,3,IF(Q40&gt;=기준표!$B$28,1,0))))</f>
        <v/>
      </c>
    </row>
    <row r="41">
      <c r="A41" s="21" t="n">
        <v>37</v>
      </c>
      <c r="B41" s="8" t="inlineStr">
        <is>
          <t>GEV</t>
        </is>
      </c>
      <c r="C41" s="8" t="inlineStr">
        <is>
          <t>GE Vernova Inc.</t>
        </is>
      </c>
      <c r="D41" s="22">
        <f>SUM(S41:Y41)</f>
        <v/>
      </c>
      <c r="E41" s="23" t="n">
        <v>0.08680075612239385</v>
      </c>
      <c r="F41" s="16" t="n">
        <v>0</v>
      </c>
      <c r="G41" s="23" t="n">
        <v>0.09693716902819521</v>
      </c>
      <c r="H41" s="23" t="n"/>
      <c r="I41" s="16" t="n">
        <v>1</v>
      </c>
      <c r="J41" s="16" t="n">
        <v>3</v>
      </c>
      <c r="K41" s="19">
        <f>I41/J41</f>
        <v/>
      </c>
      <c r="L41" s="23" t="n"/>
      <c r="M41" s="23" t="n">
        <v>0.3408510930804111</v>
      </c>
      <c r="N41" s="23" t="n">
        <v>0.1017063830061806</v>
      </c>
      <c r="O41" s="23" t="n">
        <v>0.02536929704279082</v>
      </c>
      <c r="P41" s="24" t="n">
        <v>-4.385921118322516</v>
      </c>
      <c r="Q41" s="24" t="n"/>
      <c r="R41" s="8" t="inlineStr">
        <is>
          <t>판정보류 — 관측 3년뿐 (분사·상장 이력)</t>
        </is>
      </c>
      <c r="S41" s="25">
        <f>IF(AND(NOT(ISNUMBER(E41)),F41&gt;0),25,IF(NOT(ISNUMBER(E41)),0,IF(E41&gt;=기준표!$B$10,25,IF(E41&gt;=기준표!$B$11,20,IF(E41&gt;=기준표!$B$12,15,IF(E41&gt;=기준표!$B$13,10,0))))))</f>
        <v/>
      </c>
      <c r="T41" s="21">
        <f>IF(N(J41)=0,0,ROUND(20*I41/J41,0))</f>
        <v/>
      </c>
      <c r="U41" s="25">
        <f>IF(NOT(ISNUMBER(L41)),0,IF(L41&gt;=기준표!$B$14,20,IF(L41&gt;=기준표!$B$15,15,IF(L41&gt;=기준표!$B$16,10,IF(L41&gt;0,5,0)))))</f>
        <v/>
      </c>
      <c r="V41" s="25">
        <f>IF(NOT(ISNUMBER(M41)),0,IF(M41&gt;=기준표!$B$17,15,IF(M41&gt;=기준표!$B$18,12,IF(M41&gt;=기준표!$B$19,8,IF(M41&gt;0,4,0)))))</f>
        <v/>
      </c>
      <c r="W41" s="25">
        <f>IF(NOT(ISNUMBER(O41)),0,IF(O41&gt;=기준표!$B$20,10,IF(O41&gt;=기준표!$B$21,7,IF(O41&gt;=기준표!$B$22,4,IF(O41&gt;0,2,0)))))</f>
        <v/>
      </c>
      <c r="X41" s="25">
        <f>IF(NOT(ISNUMBER(P41)),5,IF(P41&lt;=기준표!$B$23,5,IF(P41&lt;=기준표!$B$24,4,IF(P41&lt;=기준표!$B$25,2,0))))</f>
        <v/>
      </c>
      <c r="Y41" s="25">
        <f>IF(NOT(ISNUMBER(Q41)),0,IF(Q41&gt;=기준표!$B$26,5,IF(Q41&gt;=기준표!$B$27,3,IF(Q41&gt;=기준표!$B$28,1,0))))</f>
        <v/>
      </c>
    </row>
    <row r="42">
      <c r="A42" s="21" t="n">
        <v>38</v>
      </c>
      <c r="B42" s="8" t="inlineStr">
        <is>
          <t>TSLA</t>
        </is>
      </c>
      <c r="C42" s="8" t="inlineStr">
        <is>
          <t>Tesla, Inc.</t>
        </is>
      </c>
      <c r="D42" s="22">
        <f>SUM(S42:Y42)</f>
        <v/>
      </c>
      <c r="E42" s="23" t="n">
        <v>0.07032688297890938</v>
      </c>
      <c r="F42" s="16" t="n">
        <v>0</v>
      </c>
      <c r="G42" s="23" t="n">
        <v>0.4769685848967066</v>
      </c>
      <c r="H42" s="23" t="n">
        <v>0.07093460937724859</v>
      </c>
      <c r="I42" s="16" t="n">
        <v>5</v>
      </c>
      <c r="J42" s="16" t="n">
        <v>11</v>
      </c>
      <c r="K42" s="19">
        <f>I42/J42</f>
        <v/>
      </c>
      <c r="L42" s="23" t="n">
        <v>0.07519074718217932</v>
      </c>
      <c r="M42" s="23" t="n">
        <v>-0.05999419954499732</v>
      </c>
      <c r="N42" s="23" t="n">
        <v>0.1303210825239067</v>
      </c>
      <c r="O42" s="23" t="n">
        <v>0.06747048748341565</v>
      </c>
      <c r="P42" s="24" t="n">
        <v>-3.825892381459776</v>
      </c>
      <c r="Q42" s="24" t="n">
        <v>12.88461538461539</v>
      </c>
      <c r="R42" s="8" t="inlineStr">
        <is>
          <t>약함 - 두 자릿수 ROIC를 지킨 해가 절반 미만</t>
        </is>
      </c>
      <c r="S42" s="25">
        <f>IF(AND(NOT(ISNUMBER(E42)),F42&gt;0),25,IF(NOT(ISNUMBER(E42)),0,IF(E42&gt;=기준표!$B$10,25,IF(E42&gt;=기준표!$B$11,20,IF(E42&gt;=기준표!$B$12,15,IF(E42&gt;=기준표!$B$13,10,0))))))</f>
        <v/>
      </c>
      <c r="T42" s="21">
        <f>IF(N(J42)=0,0,ROUND(20*I42/J42,0))</f>
        <v/>
      </c>
      <c r="U42" s="25">
        <f>IF(NOT(ISNUMBER(L42)),0,IF(L42&gt;=기준표!$B$14,20,IF(L42&gt;=기준표!$B$15,15,IF(L42&gt;=기준표!$B$16,10,IF(L42&gt;0,5,0)))))</f>
        <v/>
      </c>
      <c r="V42" s="25">
        <f>IF(NOT(ISNUMBER(M42)),0,IF(M42&gt;=기준표!$B$17,15,IF(M42&gt;=기준표!$B$18,12,IF(M42&gt;=기준표!$B$19,8,IF(M42&gt;0,4,0)))))</f>
        <v/>
      </c>
      <c r="W42" s="25">
        <f>IF(NOT(ISNUMBER(O42)),0,IF(O42&gt;=기준표!$B$20,10,IF(O42&gt;=기준표!$B$21,7,IF(O42&gt;=기준표!$B$22,4,IF(O42&gt;0,2,0)))))</f>
        <v/>
      </c>
      <c r="X42" s="25">
        <f>IF(NOT(ISNUMBER(P42)),5,IF(P42&lt;=기준표!$B$23,5,IF(P42&lt;=기준표!$B$24,4,IF(P42&lt;=기준표!$B$25,2,0))))</f>
        <v/>
      </c>
      <c r="Y42" s="25">
        <f>IF(NOT(ISNUMBER(Q42)),0,IF(Q42&gt;=기준표!$B$26,5,IF(Q42&gt;=기준표!$B$27,3,IF(Q42&gt;=기준표!$B$28,1,0))))</f>
        <v/>
      </c>
    </row>
    <row r="43">
      <c r="A43" s="21" t="n">
        <v>39</v>
      </c>
      <c r="B43" s="8" t="inlineStr">
        <is>
          <t>RTX</t>
        </is>
      </c>
      <c r="C43" s="8" t="inlineStr">
        <is>
          <t>RTX Corp</t>
        </is>
      </c>
      <c r="D43" s="22">
        <f>SUM(S43:Y43)</f>
        <v/>
      </c>
      <c r="E43" s="23" t="n">
        <v>0.05681719437654569</v>
      </c>
      <c r="F43" s="16" t="n">
        <v>0</v>
      </c>
      <c r="G43" s="23" t="n">
        <v>1.392679918746373</v>
      </c>
      <c r="H43" s="23" t="n">
        <v>0.955612455430179</v>
      </c>
      <c r="I43" s="16" t="n">
        <v>4</v>
      </c>
      <c r="J43" s="16" t="n">
        <v>12</v>
      </c>
      <c r="K43" s="19">
        <f>I43/J43</f>
        <v/>
      </c>
      <c r="L43" s="23" t="n">
        <v>0.008516663346584947</v>
      </c>
      <c r="M43" s="23" t="n">
        <v>0.02316490546389129</v>
      </c>
      <c r="N43" s="23" t="n">
        <v>0.05854842239885507</v>
      </c>
      <c r="O43" s="23" t="n">
        <v>0.1000341678573647</v>
      </c>
      <c r="P43" s="24" t="n">
        <v>1.923307501096652</v>
      </c>
      <c r="Q43" s="24" t="n">
        <v>3.511278195488722</v>
      </c>
      <c r="R43" s="8" t="inlineStr">
        <is>
          <t>약함 - 두 자릿수 ROIC를 지킨 해가 절반 미만</t>
        </is>
      </c>
      <c r="S43" s="25">
        <f>IF(AND(NOT(ISNUMBER(E43)),F43&gt;0),25,IF(NOT(ISNUMBER(E43)),0,IF(E43&gt;=기준표!$B$10,25,IF(E43&gt;=기준표!$B$11,20,IF(E43&gt;=기준표!$B$12,15,IF(E43&gt;=기준표!$B$13,10,0))))))</f>
        <v/>
      </c>
      <c r="T43" s="21">
        <f>IF(N(J43)=0,0,ROUND(20*I43/J43,0))</f>
        <v/>
      </c>
      <c r="U43" s="25">
        <f>IF(NOT(ISNUMBER(L43)),0,IF(L43&gt;=기준표!$B$14,20,IF(L43&gt;=기준표!$B$15,15,IF(L43&gt;=기준표!$B$16,10,IF(L43&gt;0,5,0)))))</f>
        <v/>
      </c>
      <c r="V43" s="25">
        <f>IF(NOT(ISNUMBER(M43)),0,IF(M43&gt;=기준표!$B$17,15,IF(M43&gt;=기준표!$B$18,12,IF(M43&gt;=기준표!$B$19,8,IF(M43&gt;0,4,0)))))</f>
        <v/>
      </c>
      <c r="W43" s="25">
        <f>IF(NOT(ISNUMBER(O43)),0,IF(O43&gt;=기준표!$B$20,10,IF(O43&gt;=기준표!$B$21,7,IF(O43&gt;=기준표!$B$22,4,IF(O43&gt;0,2,0)))))</f>
        <v/>
      </c>
      <c r="X43" s="25">
        <f>IF(NOT(ISNUMBER(P43)),5,IF(P43&lt;=기준표!$B$23,5,IF(P43&lt;=기준표!$B$24,4,IF(P43&lt;=기준표!$B$25,2,0))))</f>
        <v/>
      </c>
      <c r="Y43" s="25">
        <f>IF(NOT(ISNUMBER(Q43)),0,IF(Q43&gt;=기준표!$B$26,5,IF(Q43&gt;=기준표!$B$27,3,IF(Q43&gt;=기준표!$B$28,1,0))))</f>
        <v/>
      </c>
    </row>
    <row r="44">
      <c r="A44" s="21" t="n">
        <v>40</v>
      </c>
      <c r="B44" s="8" t="inlineStr">
        <is>
          <t>INTC</t>
        </is>
      </c>
      <c r="C44" s="8" t="inlineStr">
        <is>
          <t>INTEL CORP</t>
        </is>
      </c>
      <c r="D44" s="22">
        <f>SUM(S44:Y44)</f>
        <v/>
      </c>
      <c r="E44" s="23" t="n">
        <v>0.1255632386770606</v>
      </c>
      <c r="F44" s="16" t="n">
        <v>0</v>
      </c>
      <c r="G44" s="23" t="n">
        <v>1.389360934357199</v>
      </c>
      <c r="H44" s="23" t="n">
        <v>0.1842163166860334</v>
      </c>
      <c r="I44" s="16" t="n">
        <v>6</v>
      </c>
      <c r="J44" s="16" t="n">
        <v>10</v>
      </c>
      <c r="K44" s="19">
        <f>I44/J44</f>
        <v/>
      </c>
      <c r="L44" s="23" t="n">
        <v>-0.2929938800551988</v>
      </c>
      <c r="M44" s="23" t="n">
        <v>-0.1470528841070035</v>
      </c>
      <c r="N44" s="23" t="n">
        <v>0.1364351126880235</v>
      </c>
      <c r="O44" s="23" t="n">
        <v>-0.1434166461695646</v>
      </c>
      <c r="P44" s="24" t="n">
        <v>1.020952826875805</v>
      </c>
      <c r="Q44" s="24" t="n">
        <v>0.1059225512528474</v>
      </c>
      <c r="R44" s="8" t="inlineStr">
        <is>
          <t>보통 - ROIC가 기간에 따라 흔들림</t>
        </is>
      </c>
      <c r="S44" s="25">
        <f>IF(AND(NOT(ISNUMBER(E44)),F44&gt;0),25,IF(NOT(ISNUMBER(E44)),0,IF(E44&gt;=기준표!$B$10,25,IF(E44&gt;=기준표!$B$11,20,IF(E44&gt;=기준표!$B$12,15,IF(E44&gt;=기준표!$B$13,10,0))))))</f>
        <v/>
      </c>
      <c r="T44" s="21">
        <f>IF(N(J44)=0,0,ROUND(20*I44/J44,0))</f>
        <v/>
      </c>
      <c r="U44" s="25">
        <f>IF(NOT(ISNUMBER(L44)),0,IF(L44&gt;=기준표!$B$14,20,IF(L44&gt;=기준표!$B$15,15,IF(L44&gt;=기준표!$B$16,10,IF(L44&gt;0,5,0)))))</f>
        <v/>
      </c>
      <c r="V44" s="25">
        <f>IF(NOT(ISNUMBER(M44)),0,IF(M44&gt;=기준표!$B$17,15,IF(M44&gt;=기준표!$B$18,12,IF(M44&gt;=기준표!$B$19,8,IF(M44&gt;0,4,0)))))</f>
        <v/>
      </c>
      <c r="W44" s="25">
        <f>IF(NOT(ISNUMBER(O44)),0,IF(O44&gt;=기준표!$B$20,10,IF(O44&gt;=기준표!$B$21,7,IF(O44&gt;=기준표!$B$22,4,IF(O44&gt;0,2,0)))))</f>
        <v/>
      </c>
      <c r="X44" s="25">
        <f>IF(NOT(ISNUMBER(P44)),5,IF(P44&lt;=기준표!$B$23,5,IF(P44&lt;=기준표!$B$24,4,IF(P44&lt;=기준표!$B$25,2,0))))</f>
        <v/>
      </c>
      <c r="Y44" s="25">
        <f>IF(NOT(ISNUMBER(Q44)),0,IF(Q44&gt;=기준표!$B$26,5,IF(Q44&gt;=기준표!$B$27,3,IF(Q44&gt;=기준표!$B$28,1,0))))</f>
        <v/>
      </c>
    </row>
    <row r="45">
      <c r="A45" s="21" t="n">
        <v>41</v>
      </c>
      <c r="B45" s="8" t="inlineStr">
        <is>
          <t>AMD</t>
        </is>
      </c>
      <c r="C45" s="8" t="inlineStr">
        <is>
          <t>ADVANCED MICRO DEVICES INC</t>
        </is>
      </c>
      <c r="D45" s="22">
        <f>SUM(S45:Y45)</f>
        <v/>
      </c>
      <c r="E45" s="23" t="n">
        <v>0.05356438664911883</v>
      </c>
      <c r="F45" s="16" t="n">
        <v>0</v>
      </c>
      <c r="G45" s="23" t="n">
        <v>0.2685270380451906</v>
      </c>
      <c r="H45" s="23" t="n">
        <v>0.2693356736471838</v>
      </c>
      <c r="I45" s="16" t="n">
        <v>5</v>
      </c>
      <c r="J45" s="16" t="n">
        <v>12</v>
      </c>
      <c r="K45" s="19">
        <f>I45/J45</f>
        <v/>
      </c>
      <c r="L45" s="23" t="n">
        <v>0.0671427250878166</v>
      </c>
      <c r="M45" s="23" t="n">
        <v>-0.09391500653520729</v>
      </c>
      <c r="N45" s="23" t="n">
        <v>0.1578215496124385</v>
      </c>
      <c r="O45" s="23" t="n">
        <v>-0.004653868528214078</v>
      </c>
      <c r="P45" s="24" t="n">
        <v>-1.739027283511269</v>
      </c>
      <c r="Q45" s="24" t="n">
        <v>28.19847328244275</v>
      </c>
      <c r="R45" s="8" t="inlineStr">
        <is>
          <t>약함 - 두 자릿수 ROIC를 지킨 해가 절반 미만</t>
        </is>
      </c>
      <c r="S45" s="25">
        <f>IF(AND(NOT(ISNUMBER(E45)),F45&gt;0),25,IF(NOT(ISNUMBER(E45)),0,IF(E45&gt;=기준표!$B$10,25,IF(E45&gt;=기준표!$B$11,20,IF(E45&gt;=기준표!$B$12,15,IF(E45&gt;=기준표!$B$13,10,0))))))</f>
        <v/>
      </c>
      <c r="T45" s="21">
        <f>IF(N(J45)=0,0,ROUND(20*I45/J45,0))</f>
        <v/>
      </c>
      <c r="U45" s="25">
        <f>IF(NOT(ISNUMBER(L45)),0,IF(L45&gt;=기준표!$B$14,20,IF(L45&gt;=기준표!$B$15,15,IF(L45&gt;=기준표!$B$16,10,IF(L45&gt;0,5,0)))))</f>
        <v/>
      </c>
      <c r="V45" s="25">
        <f>IF(NOT(ISNUMBER(M45)),0,IF(M45&gt;=기준표!$B$17,15,IF(M45&gt;=기준표!$B$18,12,IF(M45&gt;=기준표!$B$19,8,IF(M45&gt;0,4,0)))))</f>
        <v/>
      </c>
      <c r="W45" s="25">
        <f>IF(NOT(ISNUMBER(O45)),0,IF(O45&gt;=기준표!$B$20,10,IF(O45&gt;=기준표!$B$21,7,IF(O45&gt;=기준표!$B$22,4,IF(O45&gt;0,2,0)))))</f>
        <v/>
      </c>
      <c r="X45" s="25">
        <f>IF(NOT(ISNUMBER(P45)),5,IF(P45&lt;=기준표!$B$23,5,IF(P45&lt;=기준표!$B$24,4,IF(P45&lt;=기준표!$B$25,2,0))))</f>
        <v/>
      </c>
      <c r="Y45" s="25">
        <f>IF(NOT(ISNUMBER(Q45)),0,IF(Q45&gt;=기준표!$B$26,5,IF(Q45&gt;=기준표!$B$27,3,IF(Q45&gt;=기준표!$B$28,1,0))))</f>
        <v/>
      </c>
    </row>
  </sheetData>
  <autoFilter ref="A4:Y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4" customWidth="1" min="4" max="4"/>
    <col width="12" customWidth="1" min="5" max="5"/>
    <col width="12" customWidth="1" min="6" max="6"/>
    <col width="10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5" customWidth="1" min="19" max="19"/>
    <col width="15" customWidth="1" min="20" max="20"/>
    <col width="13" customWidth="1" min="21" max="21"/>
    <col width="14" customWidth="1" min="22" max="22"/>
    <col width="13" customWidth="1" min="23" max="23"/>
    <col width="13" customWidth="1" min="24" max="24"/>
    <col width="12" customWidth="1" min="25" max="25"/>
    <col width="12" customWidth="1" min="26" max="26"/>
  </cols>
  <sheetData>
    <row r="1">
      <c r="A1" s="1" t="inlineStr">
        <is>
          <t>DCF 계산 — 10년치 현금흐름과 할인 과정</t>
        </is>
      </c>
    </row>
    <row r="2">
      <c r="A2" s="2" t="inlineStr">
        <is>
          <t>회사마다 보수·기준·낙관 3개 행이 있습니다. 1~10년차 열은 각각 그 해 주주이익을 현재가치로 할인한 값이고, 적정가치는 그 합계에 영구가치의 현재가치를 더한 것입니다. 할인율·영구성장률·성장률 배수는 '기준표'에서 가져옵니다. 금액 단위는 십억 USD.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시나리오</t>
        </is>
      </c>
      <c r="D4" s="6" t="inlineStr">
        <is>
          <t>기준 주주이익</t>
        </is>
      </c>
      <c r="E4" s="6" t="inlineStr">
        <is>
          <t>과거 성장률</t>
        </is>
      </c>
      <c r="F4" s="6" t="inlineStr">
        <is>
          <t>적용 성장률</t>
        </is>
      </c>
      <c r="G4" s="6" t="inlineStr">
        <is>
          <t>할인율</t>
        </is>
      </c>
      <c r="H4" s="6" t="inlineStr">
        <is>
          <t>영구성장률</t>
        </is>
      </c>
      <c r="I4" s="6" t="inlineStr">
        <is>
          <t>1년차 PV</t>
        </is>
      </c>
      <c r="J4" s="6" t="inlineStr">
        <is>
          <t>2년차 PV</t>
        </is>
      </c>
      <c r="K4" s="6" t="inlineStr">
        <is>
          <t>3년차 PV</t>
        </is>
      </c>
      <c r="L4" s="6" t="inlineStr">
        <is>
          <t>4년차 PV</t>
        </is>
      </c>
      <c r="M4" s="6" t="inlineStr">
        <is>
          <t>5년차 PV</t>
        </is>
      </c>
      <c r="N4" s="6" t="inlineStr">
        <is>
          <t>6년차 PV</t>
        </is>
      </c>
      <c r="O4" s="6" t="inlineStr">
        <is>
          <t>7년차 PV</t>
        </is>
      </c>
      <c r="P4" s="6" t="inlineStr">
        <is>
          <t>8년차 PV</t>
        </is>
      </c>
      <c r="Q4" s="6" t="inlineStr">
        <is>
          <t>9년차 PV</t>
        </is>
      </c>
      <c r="R4" s="6" t="inlineStr">
        <is>
          <t>10년차 PV</t>
        </is>
      </c>
      <c r="S4" s="6" t="inlineStr">
        <is>
          <t>예측기간 PV 합계</t>
        </is>
      </c>
      <c r="T4" s="6" t="inlineStr">
        <is>
          <t>10년차 현금흐름</t>
        </is>
      </c>
      <c r="U4" s="6" t="inlineStr">
        <is>
          <t>영구가치</t>
        </is>
      </c>
      <c r="V4" s="6" t="inlineStr">
        <is>
          <t>영구가치 PV</t>
        </is>
      </c>
      <c r="W4" s="6" t="inlineStr">
        <is>
          <t>적정가치</t>
        </is>
      </c>
      <c r="X4" s="6" t="inlineStr">
        <is>
          <t>시가총액</t>
        </is>
      </c>
      <c r="Y4" s="6" t="inlineStr">
        <is>
          <t>안전마진</t>
        </is>
      </c>
      <c r="Z4" s="6" t="inlineStr">
        <is>
          <t>판정</t>
        </is>
      </c>
    </row>
    <row r="5">
      <c r="A5" s="8" t="inlineStr">
        <is>
          <t>MRK</t>
        </is>
      </c>
      <c r="B5" s="8" t="inlineStr">
        <is>
          <t>Merck &amp; Co., Inc.</t>
        </is>
      </c>
      <c r="C5" s="8" t="inlineStr">
        <is>
          <t>보수</t>
        </is>
      </c>
      <c r="D5" s="15" t="n">
        <v>12.97698049081502</v>
      </c>
      <c r="E5" s="23" t="n">
        <v>0.1859708007505814</v>
      </c>
      <c r="F5" s="18">
        <f>IF(NOT(ISNUMBER(E5)),0.03,MAX(0,MIN(E5*기준표!$B$33,기준표!$B$40)))</f>
        <v/>
      </c>
      <c r="G5" s="18">
        <f>기준표!$B$31</f>
        <v/>
      </c>
      <c r="H5" s="18">
        <f>기준표!$B$32</f>
        <v/>
      </c>
      <c r="I5" s="17">
        <f>$D5*(1+$F5)^1/(1+$G5)^1</f>
        <v/>
      </c>
      <c r="J5" s="17">
        <f>$D5*(1+$F5)^2/(1+$G5)^2</f>
        <v/>
      </c>
      <c r="K5" s="17">
        <f>$D5*(1+$F5)^3/(1+$G5)^3</f>
        <v/>
      </c>
      <c r="L5" s="17">
        <f>$D5*(1+$F5)^4/(1+$G5)^4</f>
        <v/>
      </c>
      <c r="M5" s="17">
        <f>$D5*(1+$F5)^5/(1+$G5)^5</f>
        <v/>
      </c>
      <c r="N5" s="17">
        <f>$D5*(1+$F5)^6/(1+$G5)^6</f>
        <v/>
      </c>
      <c r="O5" s="17">
        <f>$D5*(1+$F5)^7/(1+$G5)^7</f>
        <v/>
      </c>
      <c r="P5" s="17">
        <f>$D5*(1+$F5)^8/(1+$G5)^8</f>
        <v/>
      </c>
      <c r="Q5" s="17">
        <f>$D5*(1+$F5)^9/(1+$G5)^9</f>
        <v/>
      </c>
      <c r="R5" s="17">
        <f>$D5*(1+$F5)^10/(1+$G5)^10</f>
        <v/>
      </c>
      <c r="S5" s="26">
        <f>SUM(I5:R5)</f>
        <v/>
      </c>
      <c r="T5" s="17">
        <f>$D5*(1+$F5)^10</f>
        <v/>
      </c>
      <c r="U5" s="17">
        <f>IF($G5&lt;=$H5,"",T5*(1+$H5)/($G5-$H5))</f>
        <v/>
      </c>
      <c r="V5" s="17">
        <f>IF(ISNUMBER(U5),U5/(1+$G5)^10,"")</f>
        <v/>
      </c>
      <c r="W5" s="26">
        <f>IF(ISNUMBER(V5),S5+V5,"")</f>
        <v/>
      </c>
      <c r="X5" s="15" t="n">
        <v>323.6855610327599</v>
      </c>
      <c r="Y5" s="19">
        <f>IF(AND(ISNUMBER(W5),W5&lt;&gt;0,ISNUMBER(X5)),(W5-X5)/W5,"")</f>
        <v/>
      </c>
      <c r="Z5" s="27">
        <f>IF(NOT(ISNUMBER(Y5)),"판정불가",IF(Y5&gt;=기준표!$B$42,"투자가능",IF(Y5&gt;=0,"경계선","범위밖")))</f>
        <v/>
      </c>
    </row>
    <row r="6">
      <c r="A6" s="8" t="inlineStr">
        <is>
          <t>MRK</t>
        </is>
      </c>
      <c r="B6" s="8" t="inlineStr">
        <is>
          <t>Merck &amp; Co., Inc.</t>
        </is>
      </c>
      <c r="C6" s="8" t="inlineStr">
        <is>
          <t>기준</t>
        </is>
      </c>
      <c r="D6" s="15" t="n">
        <v>12.97698049081502</v>
      </c>
      <c r="E6" s="23" t="n">
        <v>0.1859708007505814</v>
      </c>
      <c r="F6" s="18">
        <f>IF(NOT(ISNUMBER(E6)),0.03,MAX(0,MIN(E6*기준표!$B$36,기준표!$B$40)))</f>
        <v/>
      </c>
      <c r="G6" s="18">
        <f>기준표!$B$34</f>
        <v/>
      </c>
      <c r="H6" s="18">
        <f>기준표!$B$35</f>
        <v/>
      </c>
      <c r="I6" s="17">
        <f>$D6*(1+$F6)^1/(1+$G6)^1</f>
        <v/>
      </c>
      <c r="J6" s="17">
        <f>$D6*(1+$F6)^2/(1+$G6)^2</f>
        <v/>
      </c>
      <c r="K6" s="17">
        <f>$D6*(1+$F6)^3/(1+$G6)^3</f>
        <v/>
      </c>
      <c r="L6" s="17">
        <f>$D6*(1+$F6)^4/(1+$G6)^4</f>
        <v/>
      </c>
      <c r="M6" s="17">
        <f>$D6*(1+$F6)^5/(1+$G6)^5</f>
        <v/>
      </c>
      <c r="N6" s="17">
        <f>$D6*(1+$F6)^6/(1+$G6)^6</f>
        <v/>
      </c>
      <c r="O6" s="17">
        <f>$D6*(1+$F6)^7/(1+$G6)^7</f>
        <v/>
      </c>
      <c r="P6" s="17">
        <f>$D6*(1+$F6)^8/(1+$G6)^8</f>
        <v/>
      </c>
      <c r="Q6" s="17">
        <f>$D6*(1+$F6)^9/(1+$G6)^9</f>
        <v/>
      </c>
      <c r="R6" s="17">
        <f>$D6*(1+$F6)^10/(1+$G6)^10</f>
        <v/>
      </c>
      <c r="S6" s="26">
        <f>SUM(I6:R6)</f>
        <v/>
      </c>
      <c r="T6" s="17">
        <f>$D6*(1+$F6)^10</f>
        <v/>
      </c>
      <c r="U6" s="17">
        <f>IF($G6&lt;=$H6,"",T6*(1+$H6)/($G6-$H6))</f>
        <v/>
      </c>
      <c r="V6" s="17">
        <f>IF(ISNUMBER(U6),U6/(1+$G6)^10,"")</f>
        <v/>
      </c>
      <c r="W6" s="26">
        <f>IF(ISNUMBER(V6),S6+V6,"")</f>
        <v/>
      </c>
      <c r="X6" s="15" t="n">
        <v>323.6855610327599</v>
      </c>
      <c r="Y6" s="19">
        <f>IF(AND(ISNUMBER(W6),W6&lt;&gt;0,ISNUMBER(X6)),(W6-X6)/W6,"")</f>
        <v/>
      </c>
      <c r="Z6" s="27">
        <f>IF(NOT(ISNUMBER(Y6)),"판정불가",IF(Y6&gt;=기준표!$B$42,"투자가능",IF(Y6&gt;=0,"경계선","범위밖")))</f>
        <v/>
      </c>
    </row>
    <row r="7">
      <c r="A7" s="8" t="inlineStr">
        <is>
          <t>MRK</t>
        </is>
      </c>
      <c r="B7" s="8" t="inlineStr">
        <is>
          <t>Merck &amp; Co., Inc.</t>
        </is>
      </c>
      <c r="C7" s="8" t="inlineStr">
        <is>
          <t>낙관</t>
        </is>
      </c>
      <c r="D7" s="15" t="n">
        <v>12.97698049081502</v>
      </c>
      <c r="E7" s="23" t="n">
        <v>0.1859708007505814</v>
      </c>
      <c r="F7" s="18">
        <f>IF(NOT(ISNUMBER(E7)),0.03,MAX(0,MIN(E7*기준표!$B$39,기준표!$B$41)))</f>
        <v/>
      </c>
      <c r="G7" s="18">
        <f>기준표!$B$37</f>
        <v/>
      </c>
      <c r="H7" s="18">
        <f>기준표!$B$38</f>
        <v/>
      </c>
      <c r="I7" s="17">
        <f>$D7*(1+$F7)^1/(1+$G7)^1</f>
        <v/>
      </c>
      <c r="J7" s="17">
        <f>$D7*(1+$F7)^2/(1+$G7)^2</f>
        <v/>
      </c>
      <c r="K7" s="17">
        <f>$D7*(1+$F7)^3/(1+$G7)^3</f>
        <v/>
      </c>
      <c r="L7" s="17">
        <f>$D7*(1+$F7)^4/(1+$G7)^4</f>
        <v/>
      </c>
      <c r="M7" s="17">
        <f>$D7*(1+$F7)^5/(1+$G7)^5</f>
        <v/>
      </c>
      <c r="N7" s="17">
        <f>$D7*(1+$F7)^6/(1+$G7)^6</f>
        <v/>
      </c>
      <c r="O7" s="17">
        <f>$D7*(1+$F7)^7/(1+$G7)^7</f>
        <v/>
      </c>
      <c r="P7" s="17">
        <f>$D7*(1+$F7)^8/(1+$G7)^8</f>
        <v/>
      </c>
      <c r="Q7" s="17">
        <f>$D7*(1+$F7)^9/(1+$G7)^9</f>
        <v/>
      </c>
      <c r="R7" s="17">
        <f>$D7*(1+$F7)^10/(1+$G7)^10</f>
        <v/>
      </c>
      <c r="S7" s="26">
        <f>SUM(I7:R7)</f>
        <v/>
      </c>
      <c r="T7" s="17">
        <f>$D7*(1+$F7)^10</f>
        <v/>
      </c>
      <c r="U7" s="17">
        <f>IF($G7&lt;=$H7,"",T7*(1+$H7)/($G7-$H7))</f>
        <v/>
      </c>
      <c r="V7" s="17">
        <f>IF(ISNUMBER(U7),U7/(1+$G7)^10,"")</f>
        <v/>
      </c>
      <c r="W7" s="26">
        <f>IF(ISNUMBER(V7),S7+V7,"")</f>
        <v/>
      </c>
      <c r="X7" s="15" t="n">
        <v>323.6855610327599</v>
      </c>
      <c r="Y7" s="19">
        <f>IF(AND(ISNUMBER(W7),W7&lt;&gt;0,ISNUMBER(X7)),(W7-X7)/W7,"")</f>
        <v/>
      </c>
      <c r="Z7" s="27">
        <f>IF(NOT(ISNUMBER(Y7)),"판정불가",IF(Y7&gt;=기준표!$B$42,"투자가능",IF(Y7&gt;=0,"경계선","범위밖")))</f>
        <v/>
      </c>
    </row>
    <row r="8">
      <c r="A8" s="8" t="inlineStr">
        <is>
          <t>V</t>
        </is>
      </c>
      <c r="B8" s="8" t="inlineStr">
        <is>
          <t>VISA INC.</t>
        </is>
      </c>
      <c r="C8" s="8" t="inlineStr">
        <is>
          <t>보수</t>
        </is>
      </c>
      <c r="D8" s="15" t="n">
        <v>21.23386575247754</v>
      </c>
      <c r="E8" s="23" t="n">
        <v>0.127492249696354</v>
      </c>
      <c r="F8" s="18">
        <f>IF(NOT(ISNUMBER(E8)),0.03,MAX(0,MIN(E8*기준표!$B$33,기준표!$B$40)))</f>
        <v/>
      </c>
      <c r="G8" s="18">
        <f>기준표!$B$31</f>
        <v/>
      </c>
      <c r="H8" s="18">
        <f>기준표!$B$32</f>
        <v/>
      </c>
      <c r="I8" s="17">
        <f>$D8*(1+$F8)^1/(1+$G8)^1</f>
        <v/>
      </c>
      <c r="J8" s="17">
        <f>$D8*(1+$F8)^2/(1+$G8)^2</f>
        <v/>
      </c>
      <c r="K8" s="17">
        <f>$D8*(1+$F8)^3/(1+$G8)^3</f>
        <v/>
      </c>
      <c r="L8" s="17">
        <f>$D8*(1+$F8)^4/(1+$G8)^4</f>
        <v/>
      </c>
      <c r="M8" s="17">
        <f>$D8*(1+$F8)^5/(1+$G8)^5</f>
        <v/>
      </c>
      <c r="N8" s="17">
        <f>$D8*(1+$F8)^6/(1+$G8)^6</f>
        <v/>
      </c>
      <c r="O8" s="17">
        <f>$D8*(1+$F8)^7/(1+$G8)^7</f>
        <v/>
      </c>
      <c r="P8" s="17">
        <f>$D8*(1+$F8)^8/(1+$G8)^8</f>
        <v/>
      </c>
      <c r="Q8" s="17">
        <f>$D8*(1+$F8)^9/(1+$G8)^9</f>
        <v/>
      </c>
      <c r="R8" s="17">
        <f>$D8*(1+$F8)^10/(1+$G8)^10</f>
        <v/>
      </c>
      <c r="S8" s="26">
        <f>SUM(I8:R8)</f>
        <v/>
      </c>
      <c r="T8" s="17">
        <f>$D8*(1+$F8)^10</f>
        <v/>
      </c>
      <c r="U8" s="17">
        <f>IF($G8&lt;=$H8,"",T8*(1+$H8)/($G8-$H8))</f>
        <v/>
      </c>
      <c r="V8" s="17">
        <f>IF(ISNUMBER(U8),U8/(1+$G8)^10,"")</f>
        <v/>
      </c>
      <c r="W8" s="26">
        <f>IF(ISNUMBER(V8),S8+V8,"")</f>
        <v/>
      </c>
      <c r="X8" s="15" t="n">
        <v>609.7743884964</v>
      </c>
      <c r="Y8" s="19">
        <f>IF(AND(ISNUMBER(W8),W8&lt;&gt;0,ISNUMBER(X8)),(W8-X8)/W8,"")</f>
        <v/>
      </c>
      <c r="Z8" s="27">
        <f>IF(NOT(ISNUMBER(Y8)),"판정불가",IF(Y8&gt;=기준표!$B$42,"투자가능",IF(Y8&gt;=0,"경계선","범위밖")))</f>
        <v/>
      </c>
    </row>
    <row r="9">
      <c r="A9" s="8" t="inlineStr">
        <is>
          <t>V</t>
        </is>
      </c>
      <c r="B9" s="8" t="inlineStr">
        <is>
          <t>VISA INC.</t>
        </is>
      </c>
      <c r="C9" s="8" t="inlineStr">
        <is>
          <t>기준</t>
        </is>
      </c>
      <c r="D9" s="15" t="n">
        <v>21.23386575247754</v>
      </c>
      <c r="E9" s="23" t="n">
        <v>0.127492249696354</v>
      </c>
      <c r="F9" s="18">
        <f>IF(NOT(ISNUMBER(E9)),0.03,MAX(0,MIN(E9*기준표!$B$36,기준표!$B$40)))</f>
        <v/>
      </c>
      <c r="G9" s="18">
        <f>기준표!$B$34</f>
        <v/>
      </c>
      <c r="H9" s="18">
        <f>기준표!$B$35</f>
        <v/>
      </c>
      <c r="I9" s="17">
        <f>$D9*(1+$F9)^1/(1+$G9)^1</f>
        <v/>
      </c>
      <c r="J9" s="17">
        <f>$D9*(1+$F9)^2/(1+$G9)^2</f>
        <v/>
      </c>
      <c r="K9" s="17">
        <f>$D9*(1+$F9)^3/(1+$G9)^3</f>
        <v/>
      </c>
      <c r="L9" s="17">
        <f>$D9*(1+$F9)^4/(1+$G9)^4</f>
        <v/>
      </c>
      <c r="M9" s="17">
        <f>$D9*(1+$F9)^5/(1+$G9)^5</f>
        <v/>
      </c>
      <c r="N9" s="17">
        <f>$D9*(1+$F9)^6/(1+$G9)^6</f>
        <v/>
      </c>
      <c r="O9" s="17">
        <f>$D9*(1+$F9)^7/(1+$G9)^7</f>
        <v/>
      </c>
      <c r="P9" s="17">
        <f>$D9*(1+$F9)^8/(1+$G9)^8</f>
        <v/>
      </c>
      <c r="Q9" s="17">
        <f>$D9*(1+$F9)^9/(1+$G9)^9</f>
        <v/>
      </c>
      <c r="R9" s="17">
        <f>$D9*(1+$F9)^10/(1+$G9)^10</f>
        <v/>
      </c>
      <c r="S9" s="26">
        <f>SUM(I9:R9)</f>
        <v/>
      </c>
      <c r="T9" s="17">
        <f>$D9*(1+$F9)^10</f>
        <v/>
      </c>
      <c r="U9" s="17">
        <f>IF($G9&lt;=$H9,"",T9*(1+$H9)/($G9-$H9))</f>
        <v/>
      </c>
      <c r="V9" s="17">
        <f>IF(ISNUMBER(U9),U9/(1+$G9)^10,"")</f>
        <v/>
      </c>
      <c r="W9" s="26">
        <f>IF(ISNUMBER(V9),S9+V9,"")</f>
        <v/>
      </c>
      <c r="X9" s="15" t="n">
        <v>609.7743884964</v>
      </c>
      <c r="Y9" s="19">
        <f>IF(AND(ISNUMBER(W9),W9&lt;&gt;0,ISNUMBER(X9)),(W9-X9)/W9,"")</f>
        <v/>
      </c>
      <c r="Z9" s="27">
        <f>IF(NOT(ISNUMBER(Y9)),"판정불가",IF(Y9&gt;=기준표!$B$42,"투자가능",IF(Y9&gt;=0,"경계선","범위밖")))</f>
        <v/>
      </c>
    </row>
    <row r="10">
      <c r="A10" s="8" t="inlineStr">
        <is>
          <t>V</t>
        </is>
      </c>
      <c r="B10" s="8" t="inlineStr">
        <is>
          <t>VISA INC.</t>
        </is>
      </c>
      <c r="C10" s="8" t="inlineStr">
        <is>
          <t>낙관</t>
        </is>
      </c>
      <c r="D10" s="15" t="n">
        <v>21.23386575247754</v>
      </c>
      <c r="E10" s="23" t="n">
        <v>0.127492249696354</v>
      </c>
      <c r="F10" s="18">
        <f>IF(NOT(ISNUMBER(E10)),0.03,MAX(0,MIN(E10*기준표!$B$39,기준표!$B$41)))</f>
        <v/>
      </c>
      <c r="G10" s="18">
        <f>기준표!$B$37</f>
        <v/>
      </c>
      <c r="H10" s="18">
        <f>기준표!$B$38</f>
        <v/>
      </c>
      <c r="I10" s="17">
        <f>$D10*(1+$F10)^1/(1+$G10)^1</f>
        <v/>
      </c>
      <c r="J10" s="17">
        <f>$D10*(1+$F10)^2/(1+$G10)^2</f>
        <v/>
      </c>
      <c r="K10" s="17">
        <f>$D10*(1+$F10)^3/(1+$G10)^3</f>
        <v/>
      </c>
      <c r="L10" s="17">
        <f>$D10*(1+$F10)^4/(1+$G10)^4</f>
        <v/>
      </c>
      <c r="M10" s="17">
        <f>$D10*(1+$F10)^5/(1+$G10)^5</f>
        <v/>
      </c>
      <c r="N10" s="17">
        <f>$D10*(1+$F10)^6/(1+$G10)^6</f>
        <v/>
      </c>
      <c r="O10" s="17">
        <f>$D10*(1+$F10)^7/(1+$G10)^7</f>
        <v/>
      </c>
      <c r="P10" s="17">
        <f>$D10*(1+$F10)^8/(1+$G10)^8</f>
        <v/>
      </c>
      <c r="Q10" s="17">
        <f>$D10*(1+$F10)^9/(1+$G10)^9</f>
        <v/>
      </c>
      <c r="R10" s="17">
        <f>$D10*(1+$F10)^10/(1+$G10)^10</f>
        <v/>
      </c>
      <c r="S10" s="26">
        <f>SUM(I10:R10)</f>
        <v/>
      </c>
      <c r="T10" s="17">
        <f>$D10*(1+$F10)^10</f>
        <v/>
      </c>
      <c r="U10" s="17">
        <f>IF($G10&lt;=$H10,"",T10*(1+$H10)/($G10-$H10))</f>
        <v/>
      </c>
      <c r="V10" s="17">
        <f>IF(ISNUMBER(U10),U10/(1+$G10)^10,"")</f>
        <v/>
      </c>
      <c r="W10" s="26">
        <f>IF(ISNUMBER(V10),S10+V10,"")</f>
        <v/>
      </c>
      <c r="X10" s="15" t="n">
        <v>609.7743884964</v>
      </c>
      <c r="Y10" s="19">
        <f>IF(AND(ISNUMBER(W10),W10&lt;&gt;0,ISNUMBER(X10)),(W10-X10)/W10,"")</f>
        <v/>
      </c>
      <c r="Z10" s="27">
        <f>IF(NOT(ISNUMBER(Y10)),"판정불가",IF(Y10&gt;=기준표!$B$42,"투자가능",IF(Y10&gt;=0,"경계선","범위밖")))</f>
        <v/>
      </c>
    </row>
    <row r="11">
      <c r="A11" s="8" t="inlineStr">
        <is>
          <t>MA</t>
        </is>
      </c>
      <c r="B11" s="8" t="inlineStr">
        <is>
          <t>Mastercard Inc</t>
        </is>
      </c>
      <c r="C11" s="8" t="inlineStr">
        <is>
          <t>보수</t>
        </is>
      </c>
      <c r="D11" s="15" t="n">
        <v>17.42659230623313</v>
      </c>
      <c r="E11" s="23" t="n">
        <v>0.1652078852848236</v>
      </c>
      <c r="F11" s="18">
        <f>IF(NOT(ISNUMBER(E11)),0.03,MAX(0,MIN(E11*기준표!$B$33,기준표!$B$40)))</f>
        <v/>
      </c>
      <c r="G11" s="18">
        <f>기준표!$B$31</f>
        <v/>
      </c>
      <c r="H11" s="18">
        <f>기준표!$B$32</f>
        <v/>
      </c>
      <c r="I11" s="17">
        <f>$D11*(1+$F11)^1/(1+$G11)^1</f>
        <v/>
      </c>
      <c r="J11" s="17">
        <f>$D11*(1+$F11)^2/(1+$G11)^2</f>
        <v/>
      </c>
      <c r="K11" s="17">
        <f>$D11*(1+$F11)^3/(1+$G11)^3</f>
        <v/>
      </c>
      <c r="L11" s="17">
        <f>$D11*(1+$F11)^4/(1+$G11)^4</f>
        <v/>
      </c>
      <c r="M11" s="17">
        <f>$D11*(1+$F11)^5/(1+$G11)^5</f>
        <v/>
      </c>
      <c r="N11" s="17">
        <f>$D11*(1+$F11)^6/(1+$G11)^6</f>
        <v/>
      </c>
      <c r="O11" s="17">
        <f>$D11*(1+$F11)^7/(1+$G11)^7</f>
        <v/>
      </c>
      <c r="P11" s="17">
        <f>$D11*(1+$F11)^8/(1+$G11)^8</f>
        <v/>
      </c>
      <c r="Q11" s="17">
        <f>$D11*(1+$F11)^9/(1+$G11)^9</f>
        <v/>
      </c>
      <c r="R11" s="17">
        <f>$D11*(1+$F11)^10/(1+$G11)^10</f>
        <v/>
      </c>
      <c r="S11" s="26">
        <f>SUM(I11:R11)</f>
        <v/>
      </c>
      <c r="T11" s="17">
        <f>$D11*(1+$F11)^10</f>
        <v/>
      </c>
      <c r="U11" s="17">
        <f>IF($G11&lt;=$H11,"",T11*(1+$H11)/($G11-$H11))</f>
        <v/>
      </c>
      <c r="V11" s="17">
        <f>IF(ISNUMBER(U11),U11/(1+$G11)^10,"")</f>
        <v/>
      </c>
      <c r="W11" s="26">
        <f>IF(ISNUMBER(V11),S11+V11,"")</f>
        <v/>
      </c>
      <c r="X11" s="15" t="n">
        <v>502.2419391858699</v>
      </c>
      <c r="Y11" s="19">
        <f>IF(AND(ISNUMBER(W11),W11&lt;&gt;0,ISNUMBER(X11)),(W11-X11)/W11,"")</f>
        <v/>
      </c>
      <c r="Z11" s="27">
        <f>IF(NOT(ISNUMBER(Y11)),"판정불가",IF(Y11&gt;=기준표!$B$42,"투자가능",IF(Y11&gt;=0,"경계선","범위밖")))</f>
        <v/>
      </c>
    </row>
    <row r="12">
      <c r="A12" s="8" t="inlineStr">
        <is>
          <t>MA</t>
        </is>
      </c>
      <c r="B12" s="8" t="inlineStr">
        <is>
          <t>Mastercard Inc</t>
        </is>
      </c>
      <c r="C12" s="8" t="inlineStr">
        <is>
          <t>기준</t>
        </is>
      </c>
      <c r="D12" s="15" t="n">
        <v>17.42659230623313</v>
      </c>
      <c r="E12" s="23" t="n">
        <v>0.1652078852848236</v>
      </c>
      <c r="F12" s="18">
        <f>IF(NOT(ISNUMBER(E12)),0.03,MAX(0,MIN(E12*기준표!$B$36,기준표!$B$40)))</f>
        <v/>
      </c>
      <c r="G12" s="18">
        <f>기준표!$B$34</f>
        <v/>
      </c>
      <c r="H12" s="18">
        <f>기준표!$B$35</f>
        <v/>
      </c>
      <c r="I12" s="17">
        <f>$D12*(1+$F12)^1/(1+$G12)^1</f>
        <v/>
      </c>
      <c r="J12" s="17">
        <f>$D12*(1+$F12)^2/(1+$G12)^2</f>
        <v/>
      </c>
      <c r="K12" s="17">
        <f>$D12*(1+$F12)^3/(1+$G12)^3</f>
        <v/>
      </c>
      <c r="L12" s="17">
        <f>$D12*(1+$F12)^4/(1+$G12)^4</f>
        <v/>
      </c>
      <c r="M12" s="17">
        <f>$D12*(1+$F12)^5/(1+$G12)^5</f>
        <v/>
      </c>
      <c r="N12" s="17">
        <f>$D12*(1+$F12)^6/(1+$G12)^6</f>
        <v/>
      </c>
      <c r="O12" s="17">
        <f>$D12*(1+$F12)^7/(1+$G12)^7</f>
        <v/>
      </c>
      <c r="P12" s="17">
        <f>$D12*(1+$F12)^8/(1+$G12)^8</f>
        <v/>
      </c>
      <c r="Q12" s="17">
        <f>$D12*(1+$F12)^9/(1+$G12)^9</f>
        <v/>
      </c>
      <c r="R12" s="17">
        <f>$D12*(1+$F12)^10/(1+$G12)^10</f>
        <v/>
      </c>
      <c r="S12" s="26">
        <f>SUM(I12:R12)</f>
        <v/>
      </c>
      <c r="T12" s="17">
        <f>$D12*(1+$F12)^10</f>
        <v/>
      </c>
      <c r="U12" s="17">
        <f>IF($G12&lt;=$H12,"",T12*(1+$H12)/($G12-$H12))</f>
        <v/>
      </c>
      <c r="V12" s="17">
        <f>IF(ISNUMBER(U12),U12/(1+$G12)^10,"")</f>
        <v/>
      </c>
      <c r="W12" s="26">
        <f>IF(ISNUMBER(V12),S12+V12,"")</f>
        <v/>
      </c>
      <c r="X12" s="15" t="n">
        <v>502.2419391858699</v>
      </c>
      <c r="Y12" s="19">
        <f>IF(AND(ISNUMBER(W12),W12&lt;&gt;0,ISNUMBER(X12)),(W12-X12)/W12,"")</f>
        <v/>
      </c>
      <c r="Z12" s="27">
        <f>IF(NOT(ISNUMBER(Y12)),"판정불가",IF(Y12&gt;=기준표!$B$42,"투자가능",IF(Y12&gt;=0,"경계선","범위밖")))</f>
        <v/>
      </c>
    </row>
    <row r="13">
      <c r="A13" s="8" t="inlineStr">
        <is>
          <t>MA</t>
        </is>
      </c>
      <c r="B13" s="8" t="inlineStr">
        <is>
          <t>Mastercard Inc</t>
        </is>
      </c>
      <c r="C13" s="8" t="inlineStr">
        <is>
          <t>낙관</t>
        </is>
      </c>
      <c r="D13" s="15" t="n">
        <v>17.42659230623313</v>
      </c>
      <c r="E13" s="23" t="n">
        <v>0.1652078852848236</v>
      </c>
      <c r="F13" s="18">
        <f>IF(NOT(ISNUMBER(E13)),0.03,MAX(0,MIN(E13*기준표!$B$39,기준표!$B$41)))</f>
        <v/>
      </c>
      <c r="G13" s="18">
        <f>기준표!$B$37</f>
        <v/>
      </c>
      <c r="H13" s="18">
        <f>기준표!$B$38</f>
        <v/>
      </c>
      <c r="I13" s="17">
        <f>$D13*(1+$F13)^1/(1+$G13)^1</f>
        <v/>
      </c>
      <c r="J13" s="17">
        <f>$D13*(1+$F13)^2/(1+$G13)^2</f>
        <v/>
      </c>
      <c r="K13" s="17">
        <f>$D13*(1+$F13)^3/(1+$G13)^3</f>
        <v/>
      </c>
      <c r="L13" s="17">
        <f>$D13*(1+$F13)^4/(1+$G13)^4</f>
        <v/>
      </c>
      <c r="M13" s="17">
        <f>$D13*(1+$F13)^5/(1+$G13)^5</f>
        <v/>
      </c>
      <c r="N13" s="17">
        <f>$D13*(1+$F13)^6/(1+$G13)^6</f>
        <v/>
      </c>
      <c r="O13" s="17">
        <f>$D13*(1+$F13)^7/(1+$G13)^7</f>
        <v/>
      </c>
      <c r="P13" s="17">
        <f>$D13*(1+$F13)^8/(1+$G13)^8</f>
        <v/>
      </c>
      <c r="Q13" s="17">
        <f>$D13*(1+$F13)^9/(1+$G13)^9</f>
        <v/>
      </c>
      <c r="R13" s="17">
        <f>$D13*(1+$F13)^10/(1+$G13)^10</f>
        <v/>
      </c>
      <c r="S13" s="26">
        <f>SUM(I13:R13)</f>
        <v/>
      </c>
      <c r="T13" s="17">
        <f>$D13*(1+$F13)^10</f>
        <v/>
      </c>
      <c r="U13" s="17">
        <f>IF($G13&lt;=$H13,"",T13*(1+$H13)/($G13-$H13))</f>
        <v/>
      </c>
      <c r="V13" s="17">
        <f>IF(ISNUMBER(U13),U13/(1+$G13)^10,"")</f>
        <v/>
      </c>
      <c r="W13" s="26">
        <f>IF(ISNUMBER(V13),S13+V13,"")</f>
        <v/>
      </c>
      <c r="X13" s="15" t="n">
        <v>502.2419391858699</v>
      </c>
      <c r="Y13" s="19">
        <f>IF(AND(ISNUMBER(W13),W13&lt;&gt;0,ISNUMBER(X13)),(W13-X13)/W13,"")</f>
        <v/>
      </c>
      <c r="Z13" s="27">
        <f>IF(NOT(ISNUMBER(Y13)),"판정불가",IF(Y13&gt;=기준표!$B$42,"투자가능",IF(Y13&gt;=0,"경계선","범위밖")))</f>
        <v/>
      </c>
    </row>
    <row r="14">
      <c r="A14" s="8" t="inlineStr">
        <is>
          <t>HD</t>
        </is>
      </c>
      <c r="B14" s="8" t="inlineStr">
        <is>
          <t>HOME DEPOT, INC.</t>
        </is>
      </c>
      <c r="C14" s="8" t="inlineStr">
        <is>
          <t>보수</t>
        </is>
      </c>
      <c r="D14" s="15" t="n">
        <v>14.53625788332059</v>
      </c>
      <c r="E14" s="23" t="n">
        <v>0.07380850102072123</v>
      </c>
      <c r="F14" s="18">
        <f>IF(NOT(ISNUMBER(E14)),0.03,MAX(0,MIN(E14*기준표!$B$33,기준표!$B$40)))</f>
        <v/>
      </c>
      <c r="G14" s="18">
        <f>기준표!$B$31</f>
        <v/>
      </c>
      <c r="H14" s="18">
        <f>기준표!$B$32</f>
        <v/>
      </c>
      <c r="I14" s="17">
        <f>$D14*(1+$F14)^1/(1+$G14)^1</f>
        <v/>
      </c>
      <c r="J14" s="17">
        <f>$D14*(1+$F14)^2/(1+$G14)^2</f>
        <v/>
      </c>
      <c r="K14" s="17">
        <f>$D14*(1+$F14)^3/(1+$G14)^3</f>
        <v/>
      </c>
      <c r="L14" s="17">
        <f>$D14*(1+$F14)^4/(1+$G14)^4</f>
        <v/>
      </c>
      <c r="M14" s="17">
        <f>$D14*(1+$F14)^5/(1+$G14)^5</f>
        <v/>
      </c>
      <c r="N14" s="17">
        <f>$D14*(1+$F14)^6/(1+$G14)^6</f>
        <v/>
      </c>
      <c r="O14" s="17">
        <f>$D14*(1+$F14)^7/(1+$G14)^7</f>
        <v/>
      </c>
      <c r="P14" s="17">
        <f>$D14*(1+$F14)^8/(1+$G14)^8</f>
        <v/>
      </c>
      <c r="Q14" s="17">
        <f>$D14*(1+$F14)^9/(1+$G14)^9</f>
        <v/>
      </c>
      <c r="R14" s="17">
        <f>$D14*(1+$F14)^10/(1+$G14)^10</f>
        <v/>
      </c>
      <c r="S14" s="26">
        <f>SUM(I14:R14)</f>
        <v/>
      </c>
      <c r="T14" s="17">
        <f>$D14*(1+$F14)^10</f>
        <v/>
      </c>
      <c r="U14" s="17">
        <f>IF($G14&lt;=$H14,"",T14*(1+$H14)/($G14-$H14))</f>
        <v/>
      </c>
      <c r="V14" s="17">
        <f>IF(ISNUMBER(U14),U14/(1+$G14)^10,"")</f>
        <v/>
      </c>
      <c r="W14" s="26">
        <f>IF(ISNUMBER(V14),S14+V14,"")</f>
        <v/>
      </c>
      <c r="X14" s="15" t="n">
        <v>349.38090204348</v>
      </c>
      <c r="Y14" s="19">
        <f>IF(AND(ISNUMBER(W14),W14&lt;&gt;0,ISNUMBER(X14)),(W14-X14)/W14,"")</f>
        <v/>
      </c>
      <c r="Z14" s="27">
        <f>IF(NOT(ISNUMBER(Y14)),"판정불가",IF(Y14&gt;=기준표!$B$42,"투자가능",IF(Y14&gt;=0,"경계선","범위밖")))</f>
        <v/>
      </c>
    </row>
    <row r="15">
      <c r="A15" s="8" t="inlineStr">
        <is>
          <t>HD</t>
        </is>
      </c>
      <c r="B15" s="8" t="inlineStr">
        <is>
          <t>HOME DEPOT, INC.</t>
        </is>
      </c>
      <c r="C15" s="8" t="inlineStr">
        <is>
          <t>기준</t>
        </is>
      </c>
      <c r="D15" s="15" t="n">
        <v>14.53625788332059</v>
      </c>
      <c r="E15" s="23" t="n">
        <v>0.07380850102072123</v>
      </c>
      <c r="F15" s="18">
        <f>IF(NOT(ISNUMBER(E15)),0.03,MAX(0,MIN(E15*기준표!$B$36,기준표!$B$40)))</f>
        <v/>
      </c>
      <c r="G15" s="18">
        <f>기준표!$B$34</f>
        <v/>
      </c>
      <c r="H15" s="18">
        <f>기준표!$B$35</f>
        <v/>
      </c>
      <c r="I15" s="17">
        <f>$D15*(1+$F15)^1/(1+$G15)^1</f>
        <v/>
      </c>
      <c r="J15" s="17">
        <f>$D15*(1+$F15)^2/(1+$G15)^2</f>
        <v/>
      </c>
      <c r="K15" s="17">
        <f>$D15*(1+$F15)^3/(1+$G15)^3</f>
        <v/>
      </c>
      <c r="L15" s="17">
        <f>$D15*(1+$F15)^4/(1+$G15)^4</f>
        <v/>
      </c>
      <c r="M15" s="17">
        <f>$D15*(1+$F15)^5/(1+$G15)^5</f>
        <v/>
      </c>
      <c r="N15" s="17">
        <f>$D15*(1+$F15)^6/(1+$G15)^6</f>
        <v/>
      </c>
      <c r="O15" s="17">
        <f>$D15*(1+$F15)^7/(1+$G15)^7</f>
        <v/>
      </c>
      <c r="P15" s="17">
        <f>$D15*(1+$F15)^8/(1+$G15)^8</f>
        <v/>
      </c>
      <c r="Q15" s="17">
        <f>$D15*(1+$F15)^9/(1+$G15)^9</f>
        <v/>
      </c>
      <c r="R15" s="17">
        <f>$D15*(1+$F15)^10/(1+$G15)^10</f>
        <v/>
      </c>
      <c r="S15" s="26">
        <f>SUM(I15:R15)</f>
        <v/>
      </c>
      <c r="T15" s="17">
        <f>$D15*(1+$F15)^10</f>
        <v/>
      </c>
      <c r="U15" s="17">
        <f>IF($G15&lt;=$H15,"",T15*(1+$H15)/($G15-$H15))</f>
        <v/>
      </c>
      <c r="V15" s="17">
        <f>IF(ISNUMBER(U15),U15/(1+$G15)^10,"")</f>
        <v/>
      </c>
      <c r="W15" s="26">
        <f>IF(ISNUMBER(V15),S15+V15,"")</f>
        <v/>
      </c>
      <c r="X15" s="15" t="n">
        <v>349.38090204348</v>
      </c>
      <c r="Y15" s="19">
        <f>IF(AND(ISNUMBER(W15),W15&lt;&gt;0,ISNUMBER(X15)),(W15-X15)/W15,"")</f>
        <v/>
      </c>
      <c r="Z15" s="27">
        <f>IF(NOT(ISNUMBER(Y15)),"판정불가",IF(Y15&gt;=기준표!$B$42,"투자가능",IF(Y15&gt;=0,"경계선","범위밖")))</f>
        <v/>
      </c>
    </row>
    <row r="16">
      <c r="A16" s="8" t="inlineStr">
        <is>
          <t>HD</t>
        </is>
      </c>
      <c r="B16" s="8" t="inlineStr">
        <is>
          <t>HOME DEPOT, INC.</t>
        </is>
      </c>
      <c r="C16" s="8" t="inlineStr">
        <is>
          <t>낙관</t>
        </is>
      </c>
      <c r="D16" s="15" t="n">
        <v>14.53625788332059</v>
      </c>
      <c r="E16" s="23" t="n">
        <v>0.07380850102072123</v>
      </c>
      <c r="F16" s="18">
        <f>IF(NOT(ISNUMBER(E16)),0.03,MAX(0,MIN(E16*기준표!$B$39,기준표!$B$41)))</f>
        <v/>
      </c>
      <c r="G16" s="18">
        <f>기준표!$B$37</f>
        <v/>
      </c>
      <c r="H16" s="18">
        <f>기준표!$B$38</f>
        <v/>
      </c>
      <c r="I16" s="17">
        <f>$D16*(1+$F16)^1/(1+$G16)^1</f>
        <v/>
      </c>
      <c r="J16" s="17">
        <f>$D16*(1+$F16)^2/(1+$G16)^2</f>
        <v/>
      </c>
      <c r="K16" s="17">
        <f>$D16*(1+$F16)^3/(1+$G16)^3</f>
        <v/>
      </c>
      <c r="L16" s="17">
        <f>$D16*(1+$F16)^4/(1+$G16)^4</f>
        <v/>
      </c>
      <c r="M16" s="17">
        <f>$D16*(1+$F16)^5/(1+$G16)^5</f>
        <v/>
      </c>
      <c r="N16" s="17">
        <f>$D16*(1+$F16)^6/(1+$G16)^6</f>
        <v/>
      </c>
      <c r="O16" s="17">
        <f>$D16*(1+$F16)^7/(1+$G16)^7</f>
        <v/>
      </c>
      <c r="P16" s="17">
        <f>$D16*(1+$F16)^8/(1+$G16)^8</f>
        <v/>
      </c>
      <c r="Q16" s="17">
        <f>$D16*(1+$F16)^9/(1+$G16)^9</f>
        <v/>
      </c>
      <c r="R16" s="17">
        <f>$D16*(1+$F16)^10/(1+$G16)^10</f>
        <v/>
      </c>
      <c r="S16" s="26">
        <f>SUM(I16:R16)</f>
        <v/>
      </c>
      <c r="T16" s="17">
        <f>$D16*(1+$F16)^10</f>
        <v/>
      </c>
      <c r="U16" s="17">
        <f>IF($G16&lt;=$H16,"",T16*(1+$H16)/($G16-$H16))</f>
        <v/>
      </c>
      <c r="V16" s="17">
        <f>IF(ISNUMBER(U16),U16/(1+$G16)^10,"")</f>
        <v/>
      </c>
      <c r="W16" s="26">
        <f>IF(ISNUMBER(V16),S16+V16,"")</f>
        <v/>
      </c>
      <c r="X16" s="15" t="n">
        <v>349.38090204348</v>
      </c>
      <c r="Y16" s="19">
        <f>IF(AND(ISNUMBER(W16),W16&lt;&gt;0,ISNUMBER(X16)),(W16-X16)/W16,"")</f>
        <v/>
      </c>
      <c r="Z16" s="27">
        <f>IF(NOT(ISNUMBER(Y16)),"판정불가",IF(Y16&gt;=기준표!$B$42,"투자가능",IF(Y16&gt;=0,"경계선","범위밖")))</f>
        <v/>
      </c>
    </row>
    <row r="17">
      <c r="A17" s="8" t="inlineStr">
        <is>
          <t>XOM</t>
        </is>
      </c>
      <c r="B17" s="8" t="inlineStr">
        <is>
          <t>EXXON MOBIL CORP</t>
        </is>
      </c>
      <c r="C17" s="8" t="inlineStr">
        <is>
          <t>보수</t>
        </is>
      </c>
      <c r="D17" s="15" t="n">
        <v>31.41095338186707</v>
      </c>
      <c r="E17" s="23" t="n">
        <v>0.04822520780487816</v>
      </c>
      <c r="F17" s="18">
        <f>IF(NOT(ISNUMBER(E17)),0.03,MAX(0,MIN(E17*기준표!$B$33,기준표!$B$40)))</f>
        <v/>
      </c>
      <c r="G17" s="18">
        <f>기준표!$B$31</f>
        <v/>
      </c>
      <c r="H17" s="18">
        <f>기준표!$B$32</f>
        <v/>
      </c>
      <c r="I17" s="17">
        <f>$D17*(1+$F17)^1/(1+$G17)^1</f>
        <v/>
      </c>
      <c r="J17" s="17">
        <f>$D17*(1+$F17)^2/(1+$G17)^2</f>
        <v/>
      </c>
      <c r="K17" s="17">
        <f>$D17*(1+$F17)^3/(1+$G17)^3</f>
        <v/>
      </c>
      <c r="L17" s="17">
        <f>$D17*(1+$F17)^4/(1+$G17)^4</f>
        <v/>
      </c>
      <c r="M17" s="17">
        <f>$D17*(1+$F17)^5/(1+$G17)^5</f>
        <v/>
      </c>
      <c r="N17" s="17">
        <f>$D17*(1+$F17)^6/(1+$G17)^6</f>
        <v/>
      </c>
      <c r="O17" s="17">
        <f>$D17*(1+$F17)^7/(1+$G17)^7</f>
        <v/>
      </c>
      <c r="P17" s="17">
        <f>$D17*(1+$F17)^8/(1+$G17)^8</f>
        <v/>
      </c>
      <c r="Q17" s="17">
        <f>$D17*(1+$F17)^9/(1+$G17)^9</f>
        <v/>
      </c>
      <c r="R17" s="17">
        <f>$D17*(1+$F17)^10/(1+$G17)^10</f>
        <v/>
      </c>
      <c r="S17" s="26">
        <f>SUM(I17:R17)</f>
        <v/>
      </c>
      <c r="T17" s="17">
        <f>$D17*(1+$F17)^10</f>
        <v/>
      </c>
      <c r="U17" s="17">
        <f>IF($G17&lt;=$H17,"",T17*(1+$H17)/($G17-$H17))</f>
        <v/>
      </c>
      <c r="V17" s="17">
        <f>IF(ISNUMBER(U17),U17/(1+$G17)^10,"")</f>
        <v/>
      </c>
      <c r="W17" s="26">
        <f>IF(ISNUMBER(V17),S17+V17,"")</f>
        <v/>
      </c>
      <c r="X17" s="15" t="n">
        <v>665.80713215487</v>
      </c>
      <c r="Y17" s="19">
        <f>IF(AND(ISNUMBER(W17),W17&lt;&gt;0,ISNUMBER(X17)),(W17-X17)/W17,"")</f>
        <v/>
      </c>
      <c r="Z17" s="27">
        <f>IF(NOT(ISNUMBER(Y17)),"판정불가",IF(Y17&gt;=기준표!$B$42,"투자가능",IF(Y17&gt;=0,"경계선","범위밖")))</f>
        <v/>
      </c>
    </row>
    <row r="18">
      <c r="A18" s="8" t="inlineStr">
        <is>
          <t>XOM</t>
        </is>
      </c>
      <c r="B18" s="8" t="inlineStr">
        <is>
          <t>EXXON MOBIL CORP</t>
        </is>
      </c>
      <c r="C18" s="8" t="inlineStr">
        <is>
          <t>기준</t>
        </is>
      </c>
      <c r="D18" s="15" t="n">
        <v>31.41095338186707</v>
      </c>
      <c r="E18" s="23" t="n">
        <v>0.04822520780487816</v>
      </c>
      <c r="F18" s="18">
        <f>IF(NOT(ISNUMBER(E18)),0.03,MAX(0,MIN(E18*기준표!$B$36,기준표!$B$40)))</f>
        <v/>
      </c>
      <c r="G18" s="18">
        <f>기준표!$B$34</f>
        <v/>
      </c>
      <c r="H18" s="18">
        <f>기준표!$B$35</f>
        <v/>
      </c>
      <c r="I18" s="17">
        <f>$D18*(1+$F18)^1/(1+$G18)^1</f>
        <v/>
      </c>
      <c r="J18" s="17">
        <f>$D18*(1+$F18)^2/(1+$G18)^2</f>
        <v/>
      </c>
      <c r="K18" s="17">
        <f>$D18*(1+$F18)^3/(1+$G18)^3</f>
        <v/>
      </c>
      <c r="L18" s="17">
        <f>$D18*(1+$F18)^4/(1+$G18)^4</f>
        <v/>
      </c>
      <c r="M18" s="17">
        <f>$D18*(1+$F18)^5/(1+$G18)^5</f>
        <v/>
      </c>
      <c r="N18" s="17">
        <f>$D18*(1+$F18)^6/(1+$G18)^6</f>
        <v/>
      </c>
      <c r="O18" s="17">
        <f>$D18*(1+$F18)^7/(1+$G18)^7</f>
        <v/>
      </c>
      <c r="P18" s="17">
        <f>$D18*(1+$F18)^8/(1+$G18)^8</f>
        <v/>
      </c>
      <c r="Q18" s="17">
        <f>$D18*(1+$F18)^9/(1+$G18)^9</f>
        <v/>
      </c>
      <c r="R18" s="17">
        <f>$D18*(1+$F18)^10/(1+$G18)^10</f>
        <v/>
      </c>
      <c r="S18" s="26">
        <f>SUM(I18:R18)</f>
        <v/>
      </c>
      <c r="T18" s="17">
        <f>$D18*(1+$F18)^10</f>
        <v/>
      </c>
      <c r="U18" s="17">
        <f>IF($G18&lt;=$H18,"",T18*(1+$H18)/($G18-$H18))</f>
        <v/>
      </c>
      <c r="V18" s="17">
        <f>IF(ISNUMBER(U18),U18/(1+$G18)^10,"")</f>
        <v/>
      </c>
      <c r="W18" s="26">
        <f>IF(ISNUMBER(V18),S18+V18,"")</f>
        <v/>
      </c>
      <c r="X18" s="15" t="n">
        <v>665.80713215487</v>
      </c>
      <c r="Y18" s="19">
        <f>IF(AND(ISNUMBER(W18),W18&lt;&gt;0,ISNUMBER(X18)),(W18-X18)/W18,"")</f>
        <v/>
      </c>
      <c r="Z18" s="27">
        <f>IF(NOT(ISNUMBER(Y18)),"판정불가",IF(Y18&gt;=기준표!$B$42,"투자가능",IF(Y18&gt;=0,"경계선","범위밖")))</f>
        <v/>
      </c>
    </row>
    <row r="19">
      <c r="A19" s="8" t="inlineStr">
        <is>
          <t>XOM</t>
        </is>
      </c>
      <c r="B19" s="8" t="inlineStr">
        <is>
          <t>EXXON MOBIL CORP</t>
        </is>
      </c>
      <c r="C19" s="8" t="inlineStr">
        <is>
          <t>낙관</t>
        </is>
      </c>
      <c r="D19" s="15" t="n">
        <v>31.41095338186707</v>
      </c>
      <c r="E19" s="23" t="n">
        <v>0.04822520780487816</v>
      </c>
      <c r="F19" s="18">
        <f>IF(NOT(ISNUMBER(E19)),0.03,MAX(0,MIN(E19*기준표!$B$39,기준표!$B$41)))</f>
        <v/>
      </c>
      <c r="G19" s="18">
        <f>기준표!$B$37</f>
        <v/>
      </c>
      <c r="H19" s="18">
        <f>기준표!$B$38</f>
        <v/>
      </c>
      <c r="I19" s="17">
        <f>$D19*(1+$F19)^1/(1+$G19)^1</f>
        <v/>
      </c>
      <c r="J19" s="17">
        <f>$D19*(1+$F19)^2/(1+$G19)^2</f>
        <v/>
      </c>
      <c r="K19" s="17">
        <f>$D19*(1+$F19)^3/(1+$G19)^3</f>
        <v/>
      </c>
      <c r="L19" s="17">
        <f>$D19*(1+$F19)^4/(1+$G19)^4</f>
        <v/>
      </c>
      <c r="M19" s="17">
        <f>$D19*(1+$F19)^5/(1+$G19)^5</f>
        <v/>
      </c>
      <c r="N19" s="17">
        <f>$D19*(1+$F19)^6/(1+$G19)^6</f>
        <v/>
      </c>
      <c r="O19" s="17">
        <f>$D19*(1+$F19)^7/(1+$G19)^7</f>
        <v/>
      </c>
      <c r="P19" s="17">
        <f>$D19*(1+$F19)^8/(1+$G19)^8</f>
        <v/>
      </c>
      <c r="Q19" s="17">
        <f>$D19*(1+$F19)^9/(1+$G19)^9</f>
        <v/>
      </c>
      <c r="R19" s="17">
        <f>$D19*(1+$F19)^10/(1+$G19)^10</f>
        <v/>
      </c>
      <c r="S19" s="26">
        <f>SUM(I19:R19)</f>
        <v/>
      </c>
      <c r="T19" s="17">
        <f>$D19*(1+$F19)^10</f>
        <v/>
      </c>
      <c r="U19" s="17">
        <f>IF($G19&lt;=$H19,"",T19*(1+$H19)/($G19-$H19))</f>
        <v/>
      </c>
      <c r="V19" s="17">
        <f>IF(ISNUMBER(U19),U19/(1+$G19)^10,"")</f>
        <v/>
      </c>
      <c r="W19" s="26">
        <f>IF(ISNUMBER(V19),S19+V19,"")</f>
        <v/>
      </c>
      <c r="X19" s="15" t="n">
        <v>665.80713215487</v>
      </c>
      <c r="Y19" s="19">
        <f>IF(AND(ISNUMBER(W19),W19&lt;&gt;0,ISNUMBER(X19)),(W19-X19)/W19,"")</f>
        <v/>
      </c>
      <c r="Z19" s="27">
        <f>IF(NOT(ISNUMBER(Y19)),"판정불가",IF(Y19&gt;=기준표!$B$42,"투자가능",IF(Y19&gt;=0,"경계선","범위밖")))</f>
        <v/>
      </c>
    </row>
    <row r="20">
      <c r="A20" s="8" t="inlineStr">
        <is>
          <t>JNJ</t>
        </is>
      </c>
      <c r="B20" s="8" t="inlineStr">
        <is>
          <t>JOHNSON &amp; JOHNSON</t>
        </is>
      </c>
      <c r="C20" s="8" t="inlineStr">
        <is>
          <t>보수</t>
        </is>
      </c>
      <c r="D20" s="15" t="n">
        <v>26.629</v>
      </c>
      <c r="E20" s="23" t="n">
        <v>0.05879799091230442</v>
      </c>
      <c r="F20" s="18">
        <f>IF(NOT(ISNUMBER(E20)),0.03,MAX(0,MIN(E20*기준표!$B$33,기준표!$B$40)))</f>
        <v/>
      </c>
      <c r="G20" s="18">
        <f>기준표!$B$31</f>
        <v/>
      </c>
      <c r="H20" s="18">
        <f>기준표!$B$32</f>
        <v/>
      </c>
      <c r="I20" s="17">
        <f>$D20*(1+$F20)^1/(1+$G20)^1</f>
        <v/>
      </c>
      <c r="J20" s="17">
        <f>$D20*(1+$F20)^2/(1+$G20)^2</f>
        <v/>
      </c>
      <c r="K20" s="17">
        <f>$D20*(1+$F20)^3/(1+$G20)^3</f>
        <v/>
      </c>
      <c r="L20" s="17">
        <f>$D20*(1+$F20)^4/(1+$G20)^4</f>
        <v/>
      </c>
      <c r="M20" s="17">
        <f>$D20*(1+$F20)^5/(1+$G20)^5</f>
        <v/>
      </c>
      <c r="N20" s="17">
        <f>$D20*(1+$F20)^6/(1+$G20)^6</f>
        <v/>
      </c>
      <c r="O20" s="17">
        <f>$D20*(1+$F20)^7/(1+$G20)^7</f>
        <v/>
      </c>
      <c r="P20" s="17">
        <f>$D20*(1+$F20)^8/(1+$G20)^8</f>
        <v/>
      </c>
      <c r="Q20" s="17">
        <f>$D20*(1+$F20)^9/(1+$G20)^9</f>
        <v/>
      </c>
      <c r="R20" s="17">
        <f>$D20*(1+$F20)^10/(1+$G20)^10</f>
        <v/>
      </c>
      <c r="S20" s="26">
        <f>SUM(I20:R20)</f>
        <v/>
      </c>
      <c r="T20" s="17">
        <f>$D20*(1+$F20)^10</f>
        <v/>
      </c>
      <c r="U20" s="17">
        <f>IF($G20&lt;=$H20,"",T20*(1+$H20)/($G20-$H20))</f>
        <v/>
      </c>
      <c r="V20" s="17">
        <f>IF(ISNUMBER(U20),U20/(1+$G20)^10,"")</f>
        <v/>
      </c>
      <c r="W20" s="26">
        <f>IF(ISNUMBER(V20),S20+V20,"")</f>
        <v/>
      </c>
      <c r="X20" s="15" t="n">
        <v>630.9356404341601</v>
      </c>
      <c r="Y20" s="19">
        <f>IF(AND(ISNUMBER(W20),W20&lt;&gt;0,ISNUMBER(X20)),(W20-X20)/W20,"")</f>
        <v/>
      </c>
      <c r="Z20" s="27">
        <f>IF(NOT(ISNUMBER(Y20)),"판정불가",IF(Y20&gt;=기준표!$B$42,"투자가능",IF(Y20&gt;=0,"경계선","범위밖")))</f>
        <v/>
      </c>
    </row>
    <row r="21">
      <c r="A21" s="8" t="inlineStr">
        <is>
          <t>JNJ</t>
        </is>
      </c>
      <c r="B21" s="8" t="inlineStr">
        <is>
          <t>JOHNSON &amp; JOHNSON</t>
        </is>
      </c>
      <c r="C21" s="8" t="inlineStr">
        <is>
          <t>기준</t>
        </is>
      </c>
      <c r="D21" s="15" t="n">
        <v>26.629</v>
      </c>
      <c r="E21" s="23" t="n">
        <v>0.05879799091230442</v>
      </c>
      <c r="F21" s="18">
        <f>IF(NOT(ISNUMBER(E21)),0.03,MAX(0,MIN(E21*기준표!$B$36,기준표!$B$40)))</f>
        <v/>
      </c>
      <c r="G21" s="18">
        <f>기준표!$B$34</f>
        <v/>
      </c>
      <c r="H21" s="18">
        <f>기준표!$B$35</f>
        <v/>
      </c>
      <c r="I21" s="17">
        <f>$D21*(1+$F21)^1/(1+$G21)^1</f>
        <v/>
      </c>
      <c r="J21" s="17">
        <f>$D21*(1+$F21)^2/(1+$G21)^2</f>
        <v/>
      </c>
      <c r="K21" s="17">
        <f>$D21*(1+$F21)^3/(1+$G21)^3</f>
        <v/>
      </c>
      <c r="L21" s="17">
        <f>$D21*(1+$F21)^4/(1+$G21)^4</f>
        <v/>
      </c>
      <c r="M21" s="17">
        <f>$D21*(1+$F21)^5/(1+$G21)^5</f>
        <v/>
      </c>
      <c r="N21" s="17">
        <f>$D21*(1+$F21)^6/(1+$G21)^6</f>
        <v/>
      </c>
      <c r="O21" s="17">
        <f>$D21*(1+$F21)^7/(1+$G21)^7</f>
        <v/>
      </c>
      <c r="P21" s="17">
        <f>$D21*(1+$F21)^8/(1+$G21)^8</f>
        <v/>
      </c>
      <c r="Q21" s="17">
        <f>$D21*(1+$F21)^9/(1+$G21)^9</f>
        <v/>
      </c>
      <c r="R21" s="17">
        <f>$D21*(1+$F21)^10/(1+$G21)^10</f>
        <v/>
      </c>
      <c r="S21" s="26">
        <f>SUM(I21:R21)</f>
        <v/>
      </c>
      <c r="T21" s="17">
        <f>$D21*(1+$F21)^10</f>
        <v/>
      </c>
      <c r="U21" s="17">
        <f>IF($G21&lt;=$H21,"",T21*(1+$H21)/($G21-$H21))</f>
        <v/>
      </c>
      <c r="V21" s="17">
        <f>IF(ISNUMBER(U21),U21/(1+$G21)^10,"")</f>
        <v/>
      </c>
      <c r="W21" s="26">
        <f>IF(ISNUMBER(V21),S21+V21,"")</f>
        <v/>
      </c>
      <c r="X21" s="15" t="n">
        <v>630.9356404341601</v>
      </c>
      <c r="Y21" s="19">
        <f>IF(AND(ISNUMBER(W21),W21&lt;&gt;0,ISNUMBER(X21)),(W21-X21)/W21,"")</f>
        <v/>
      </c>
      <c r="Z21" s="27">
        <f>IF(NOT(ISNUMBER(Y21)),"판정불가",IF(Y21&gt;=기준표!$B$42,"투자가능",IF(Y21&gt;=0,"경계선","범위밖")))</f>
        <v/>
      </c>
    </row>
    <row r="22">
      <c r="A22" s="8" t="inlineStr">
        <is>
          <t>JNJ</t>
        </is>
      </c>
      <c r="B22" s="8" t="inlineStr">
        <is>
          <t>JOHNSON &amp; JOHNSON</t>
        </is>
      </c>
      <c r="C22" s="8" t="inlineStr">
        <is>
          <t>낙관</t>
        </is>
      </c>
      <c r="D22" s="15" t="n">
        <v>26.629</v>
      </c>
      <c r="E22" s="23" t="n">
        <v>0.05879799091230442</v>
      </c>
      <c r="F22" s="18">
        <f>IF(NOT(ISNUMBER(E22)),0.03,MAX(0,MIN(E22*기준표!$B$39,기준표!$B$41)))</f>
        <v/>
      </c>
      <c r="G22" s="18">
        <f>기준표!$B$37</f>
        <v/>
      </c>
      <c r="H22" s="18">
        <f>기준표!$B$38</f>
        <v/>
      </c>
      <c r="I22" s="17">
        <f>$D22*(1+$F22)^1/(1+$G22)^1</f>
        <v/>
      </c>
      <c r="J22" s="17">
        <f>$D22*(1+$F22)^2/(1+$G22)^2</f>
        <v/>
      </c>
      <c r="K22" s="17">
        <f>$D22*(1+$F22)^3/(1+$G22)^3</f>
        <v/>
      </c>
      <c r="L22" s="17">
        <f>$D22*(1+$F22)^4/(1+$G22)^4</f>
        <v/>
      </c>
      <c r="M22" s="17">
        <f>$D22*(1+$F22)^5/(1+$G22)^5</f>
        <v/>
      </c>
      <c r="N22" s="17">
        <f>$D22*(1+$F22)^6/(1+$G22)^6</f>
        <v/>
      </c>
      <c r="O22" s="17">
        <f>$D22*(1+$F22)^7/(1+$G22)^7</f>
        <v/>
      </c>
      <c r="P22" s="17">
        <f>$D22*(1+$F22)^8/(1+$G22)^8</f>
        <v/>
      </c>
      <c r="Q22" s="17">
        <f>$D22*(1+$F22)^9/(1+$G22)^9</f>
        <v/>
      </c>
      <c r="R22" s="17">
        <f>$D22*(1+$F22)^10/(1+$G22)^10</f>
        <v/>
      </c>
      <c r="S22" s="26">
        <f>SUM(I22:R22)</f>
        <v/>
      </c>
      <c r="T22" s="17">
        <f>$D22*(1+$F22)^10</f>
        <v/>
      </c>
      <c r="U22" s="17">
        <f>IF($G22&lt;=$H22,"",T22*(1+$H22)/($G22-$H22))</f>
        <v/>
      </c>
      <c r="V22" s="17">
        <f>IF(ISNUMBER(U22),U22/(1+$G22)^10,"")</f>
        <v/>
      </c>
      <c r="W22" s="26">
        <f>IF(ISNUMBER(V22),S22+V22,"")</f>
        <v/>
      </c>
      <c r="X22" s="15" t="n">
        <v>630.9356404341601</v>
      </c>
      <c r="Y22" s="19">
        <f>IF(AND(ISNUMBER(W22),W22&lt;&gt;0,ISNUMBER(X22)),(W22-X22)/W22,"")</f>
        <v/>
      </c>
      <c r="Z22" s="27">
        <f>IF(NOT(ISNUMBER(Y22)),"판정불가",IF(Y22&gt;=기준표!$B$42,"투자가능",IF(Y22&gt;=0,"경계선","범위밖")))</f>
        <v/>
      </c>
    </row>
    <row r="23">
      <c r="A23" s="8" t="inlineStr">
        <is>
          <t>CVX</t>
        </is>
      </c>
      <c r="B23" s="8" t="inlineStr">
        <is>
          <t>CHEVRON CORP</t>
        </is>
      </c>
      <c r="C23" s="8" t="inlineStr">
        <is>
          <t>보수</t>
        </is>
      </c>
      <c r="D23" s="15" t="n">
        <v>19.80061368307381</v>
      </c>
      <c r="E23" s="23" t="n"/>
      <c r="F23" s="18">
        <f>IF(NOT(ISNUMBER(E23)),0.03,MAX(0,MIN(E23*기준표!$B$33,기준표!$B$40)))</f>
        <v/>
      </c>
      <c r="G23" s="18">
        <f>기준표!$B$31</f>
        <v/>
      </c>
      <c r="H23" s="18">
        <f>기준표!$B$32</f>
        <v/>
      </c>
      <c r="I23" s="17">
        <f>$D23*(1+$F23)^1/(1+$G23)^1</f>
        <v/>
      </c>
      <c r="J23" s="17">
        <f>$D23*(1+$F23)^2/(1+$G23)^2</f>
        <v/>
      </c>
      <c r="K23" s="17">
        <f>$D23*(1+$F23)^3/(1+$G23)^3</f>
        <v/>
      </c>
      <c r="L23" s="17">
        <f>$D23*(1+$F23)^4/(1+$G23)^4</f>
        <v/>
      </c>
      <c r="M23" s="17">
        <f>$D23*(1+$F23)^5/(1+$G23)^5</f>
        <v/>
      </c>
      <c r="N23" s="17">
        <f>$D23*(1+$F23)^6/(1+$G23)^6</f>
        <v/>
      </c>
      <c r="O23" s="17">
        <f>$D23*(1+$F23)^7/(1+$G23)^7</f>
        <v/>
      </c>
      <c r="P23" s="17">
        <f>$D23*(1+$F23)^8/(1+$G23)^8</f>
        <v/>
      </c>
      <c r="Q23" s="17">
        <f>$D23*(1+$F23)^9/(1+$G23)^9</f>
        <v/>
      </c>
      <c r="R23" s="17">
        <f>$D23*(1+$F23)^10/(1+$G23)^10</f>
        <v/>
      </c>
      <c r="S23" s="26">
        <f>SUM(I23:R23)</f>
        <v/>
      </c>
      <c r="T23" s="17">
        <f>$D23*(1+$F23)^10</f>
        <v/>
      </c>
      <c r="U23" s="17">
        <f>IF($G23&lt;=$H23,"",T23*(1+$H23)/($G23-$H23))</f>
        <v/>
      </c>
      <c r="V23" s="17">
        <f>IF(ISNUMBER(U23),U23/(1+$G23)^10,"")</f>
        <v/>
      </c>
      <c r="W23" s="26">
        <f>IF(ISNUMBER(V23),S23+V23,"")</f>
        <v/>
      </c>
      <c r="X23" s="15" t="n">
        <v>388.92059540649</v>
      </c>
      <c r="Y23" s="19">
        <f>IF(AND(ISNUMBER(W23),W23&lt;&gt;0,ISNUMBER(X23)),(W23-X23)/W23,"")</f>
        <v/>
      </c>
      <c r="Z23" s="27">
        <f>IF(NOT(ISNUMBER(Y23)),"판정불가",IF(Y23&gt;=기준표!$B$42,"투자가능",IF(Y23&gt;=0,"경계선","범위밖")))</f>
        <v/>
      </c>
    </row>
    <row r="24">
      <c r="A24" s="8" t="inlineStr">
        <is>
          <t>CVX</t>
        </is>
      </c>
      <c r="B24" s="8" t="inlineStr">
        <is>
          <t>CHEVRON CORP</t>
        </is>
      </c>
      <c r="C24" s="8" t="inlineStr">
        <is>
          <t>기준</t>
        </is>
      </c>
      <c r="D24" s="15" t="n">
        <v>19.80061368307381</v>
      </c>
      <c r="E24" s="23" t="n"/>
      <c r="F24" s="18">
        <f>IF(NOT(ISNUMBER(E24)),0.03,MAX(0,MIN(E24*기준표!$B$36,기준표!$B$40)))</f>
        <v/>
      </c>
      <c r="G24" s="18">
        <f>기준표!$B$34</f>
        <v/>
      </c>
      <c r="H24" s="18">
        <f>기준표!$B$35</f>
        <v/>
      </c>
      <c r="I24" s="17">
        <f>$D24*(1+$F24)^1/(1+$G24)^1</f>
        <v/>
      </c>
      <c r="J24" s="17">
        <f>$D24*(1+$F24)^2/(1+$G24)^2</f>
        <v/>
      </c>
      <c r="K24" s="17">
        <f>$D24*(1+$F24)^3/(1+$G24)^3</f>
        <v/>
      </c>
      <c r="L24" s="17">
        <f>$D24*(1+$F24)^4/(1+$G24)^4</f>
        <v/>
      </c>
      <c r="M24" s="17">
        <f>$D24*(1+$F24)^5/(1+$G24)^5</f>
        <v/>
      </c>
      <c r="N24" s="17">
        <f>$D24*(1+$F24)^6/(1+$G24)^6</f>
        <v/>
      </c>
      <c r="O24" s="17">
        <f>$D24*(1+$F24)^7/(1+$G24)^7</f>
        <v/>
      </c>
      <c r="P24" s="17">
        <f>$D24*(1+$F24)^8/(1+$G24)^8</f>
        <v/>
      </c>
      <c r="Q24" s="17">
        <f>$D24*(1+$F24)^9/(1+$G24)^9</f>
        <v/>
      </c>
      <c r="R24" s="17">
        <f>$D24*(1+$F24)^10/(1+$G24)^10</f>
        <v/>
      </c>
      <c r="S24" s="26">
        <f>SUM(I24:R24)</f>
        <v/>
      </c>
      <c r="T24" s="17">
        <f>$D24*(1+$F24)^10</f>
        <v/>
      </c>
      <c r="U24" s="17">
        <f>IF($G24&lt;=$H24,"",T24*(1+$H24)/($G24-$H24))</f>
        <v/>
      </c>
      <c r="V24" s="17">
        <f>IF(ISNUMBER(U24),U24/(1+$G24)^10,"")</f>
        <v/>
      </c>
      <c r="W24" s="26">
        <f>IF(ISNUMBER(V24),S24+V24,"")</f>
        <v/>
      </c>
      <c r="X24" s="15" t="n">
        <v>388.92059540649</v>
      </c>
      <c r="Y24" s="19">
        <f>IF(AND(ISNUMBER(W24),W24&lt;&gt;0,ISNUMBER(X24)),(W24-X24)/W24,"")</f>
        <v/>
      </c>
      <c r="Z24" s="27">
        <f>IF(NOT(ISNUMBER(Y24)),"판정불가",IF(Y24&gt;=기준표!$B$42,"투자가능",IF(Y24&gt;=0,"경계선","범위밖")))</f>
        <v/>
      </c>
    </row>
    <row r="25">
      <c r="A25" s="8" t="inlineStr">
        <is>
          <t>CVX</t>
        </is>
      </c>
      <c r="B25" s="8" t="inlineStr">
        <is>
          <t>CHEVRON CORP</t>
        </is>
      </c>
      <c r="C25" s="8" t="inlineStr">
        <is>
          <t>낙관</t>
        </is>
      </c>
      <c r="D25" s="15" t="n">
        <v>19.80061368307381</v>
      </c>
      <c r="E25" s="23" t="n"/>
      <c r="F25" s="18">
        <f>IF(NOT(ISNUMBER(E25)),0.03,MAX(0,MIN(E25*기준표!$B$39,기준표!$B$41)))</f>
        <v/>
      </c>
      <c r="G25" s="18">
        <f>기준표!$B$37</f>
        <v/>
      </c>
      <c r="H25" s="18">
        <f>기준표!$B$38</f>
        <v/>
      </c>
      <c r="I25" s="17">
        <f>$D25*(1+$F25)^1/(1+$G25)^1</f>
        <v/>
      </c>
      <c r="J25" s="17">
        <f>$D25*(1+$F25)^2/(1+$G25)^2</f>
        <v/>
      </c>
      <c r="K25" s="17">
        <f>$D25*(1+$F25)^3/(1+$G25)^3</f>
        <v/>
      </c>
      <c r="L25" s="17">
        <f>$D25*(1+$F25)^4/(1+$G25)^4</f>
        <v/>
      </c>
      <c r="M25" s="17">
        <f>$D25*(1+$F25)^5/(1+$G25)^5</f>
        <v/>
      </c>
      <c r="N25" s="17">
        <f>$D25*(1+$F25)^6/(1+$G25)^6</f>
        <v/>
      </c>
      <c r="O25" s="17">
        <f>$D25*(1+$F25)^7/(1+$G25)^7</f>
        <v/>
      </c>
      <c r="P25" s="17">
        <f>$D25*(1+$F25)^8/(1+$G25)^8</f>
        <v/>
      </c>
      <c r="Q25" s="17">
        <f>$D25*(1+$F25)^9/(1+$G25)^9</f>
        <v/>
      </c>
      <c r="R25" s="17">
        <f>$D25*(1+$F25)^10/(1+$G25)^10</f>
        <v/>
      </c>
      <c r="S25" s="26">
        <f>SUM(I25:R25)</f>
        <v/>
      </c>
      <c r="T25" s="17">
        <f>$D25*(1+$F25)^10</f>
        <v/>
      </c>
      <c r="U25" s="17">
        <f>IF($G25&lt;=$H25,"",T25*(1+$H25)/($G25-$H25))</f>
        <v/>
      </c>
      <c r="V25" s="17">
        <f>IF(ISNUMBER(U25),U25/(1+$G25)^10,"")</f>
        <v/>
      </c>
      <c r="W25" s="26">
        <f>IF(ISNUMBER(V25),S25+V25,"")</f>
        <v/>
      </c>
      <c r="X25" s="15" t="n">
        <v>388.92059540649</v>
      </c>
      <c r="Y25" s="19">
        <f>IF(AND(ISNUMBER(W25),W25&lt;&gt;0,ISNUMBER(X25)),(W25-X25)/W25,"")</f>
        <v/>
      </c>
      <c r="Z25" s="27">
        <f>IF(NOT(ISNUMBER(Y25)),"판정불가",IF(Y25&gt;=기준표!$B$42,"투자가능",IF(Y25&gt;=0,"경계선","범위밖")))</f>
        <v/>
      </c>
    </row>
    <row r="26">
      <c r="A26" s="8" t="inlineStr">
        <is>
          <t>PG</t>
        </is>
      </c>
      <c r="B26" s="8" t="inlineStr">
        <is>
          <t>PROCTER &amp; GAMBLE Co</t>
        </is>
      </c>
      <c r="C26" s="8" t="inlineStr">
        <is>
          <t>보수</t>
        </is>
      </c>
      <c r="D26" s="15" t="n">
        <v>15.0547267816133</v>
      </c>
      <c r="E26" s="23" t="n">
        <v>0.03401172828001919</v>
      </c>
      <c r="F26" s="18">
        <f>IF(NOT(ISNUMBER(E26)),0.03,MAX(0,MIN(E26*기준표!$B$33,기준표!$B$40)))</f>
        <v/>
      </c>
      <c r="G26" s="18">
        <f>기준표!$B$31</f>
        <v/>
      </c>
      <c r="H26" s="18">
        <f>기준표!$B$32</f>
        <v/>
      </c>
      <c r="I26" s="17">
        <f>$D26*(1+$F26)^1/(1+$G26)^1</f>
        <v/>
      </c>
      <c r="J26" s="17">
        <f>$D26*(1+$F26)^2/(1+$G26)^2</f>
        <v/>
      </c>
      <c r="K26" s="17">
        <f>$D26*(1+$F26)^3/(1+$G26)^3</f>
        <v/>
      </c>
      <c r="L26" s="17">
        <f>$D26*(1+$F26)^4/(1+$G26)^4</f>
        <v/>
      </c>
      <c r="M26" s="17">
        <f>$D26*(1+$F26)^5/(1+$G26)^5</f>
        <v/>
      </c>
      <c r="N26" s="17">
        <f>$D26*(1+$F26)^6/(1+$G26)^6</f>
        <v/>
      </c>
      <c r="O26" s="17">
        <f>$D26*(1+$F26)^7/(1+$G26)^7</f>
        <v/>
      </c>
      <c r="P26" s="17">
        <f>$D26*(1+$F26)^8/(1+$G26)^8</f>
        <v/>
      </c>
      <c r="Q26" s="17">
        <f>$D26*(1+$F26)^9/(1+$G26)^9</f>
        <v/>
      </c>
      <c r="R26" s="17">
        <f>$D26*(1+$F26)^10/(1+$G26)^10</f>
        <v/>
      </c>
      <c r="S26" s="26">
        <f>SUM(I26:R26)</f>
        <v/>
      </c>
      <c r="T26" s="17">
        <f>$D26*(1+$F26)^10</f>
        <v/>
      </c>
      <c r="U26" s="17">
        <f>IF($G26&lt;=$H26,"",T26*(1+$H26)/($G26-$H26))</f>
        <v/>
      </c>
      <c r="V26" s="17">
        <f>IF(ISNUMBER(U26),U26/(1+$G26)^10,"")</f>
        <v/>
      </c>
      <c r="W26" s="26">
        <f>IF(ISNUMBER(V26),S26+V26,"")</f>
        <v/>
      </c>
      <c r="X26" s="15" t="n">
        <v>340.3899773064</v>
      </c>
      <c r="Y26" s="19">
        <f>IF(AND(ISNUMBER(W26),W26&lt;&gt;0,ISNUMBER(X26)),(W26-X26)/W26,"")</f>
        <v/>
      </c>
      <c r="Z26" s="27">
        <f>IF(NOT(ISNUMBER(Y26)),"판정불가",IF(Y26&gt;=기준표!$B$42,"투자가능",IF(Y26&gt;=0,"경계선","범위밖")))</f>
        <v/>
      </c>
    </row>
    <row r="27">
      <c r="A27" s="8" t="inlineStr">
        <is>
          <t>PG</t>
        </is>
      </c>
      <c r="B27" s="8" t="inlineStr">
        <is>
          <t>PROCTER &amp; GAMBLE Co</t>
        </is>
      </c>
      <c r="C27" s="8" t="inlineStr">
        <is>
          <t>기준</t>
        </is>
      </c>
      <c r="D27" s="15" t="n">
        <v>15.0547267816133</v>
      </c>
      <c r="E27" s="23" t="n">
        <v>0.03401172828001919</v>
      </c>
      <c r="F27" s="18">
        <f>IF(NOT(ISNUMBER(E27)),0.03,MAX(0,MIN(E27*기준표!$B$36,기준표!$B$40)))</f>
        <v/>
      </c>
      <c r="G27" s="18">
        <f>기준표!$B$34</f>
        <v/>
      </c>
      <c r="H27" s="18">
        <f>기준표!$B$35</f>
        <v/>
      </c>
      <c r="I27" s="17">
        <f>$D27*(1+$F27)^1/(1+$G27)^1</f>
        <v/>
      </c>
      <c r="J27" s="17">
        <f>$D27*(1+$F27)^2/(1+$G27)^2</f>
        <v/>
      </c>
      <c r="K27" s="17">
        <f>$D27*(1+$F27)^3/(1+$G27)^3</f>
        <v/>
      </c>
      <c r="L27" s="17">
        <f>$D27*(1+$F27)^4/(1+$G27)^4</f>
        <v/>
      </c>
      <c r="M27" s="17">
        <f>$D27*(1+$F27)^5/(1+$G27)^5</f>
        <v/>
      </c>
      <c r="N27" s="17">
        <f>$D27*(1+$F27)^6/(1+$G27)^6</f>
        <v/>
      </c>
      <c r="O27" s="17">
        <f>$D27*(1+$F27)^7/(1+$G27)^7</f>
        <v/>
      </c>
      <c r="P27" s="17">
        <f>$D27*(1+$F27)^8/(1+$G27)^8</f>
        <v/>
      </c>
      <c r="Q27" s="17">
        <f>$D27*(1+$F27)^9/(1+$G27)^9</f>
        <v/>
      </c>
      <c r="R27" s="17">
        <f>$D27*(1+$F27)^10/(1+$G27)^10</f>
        <v/>
      </c>
      <c r="S27" s="26">
        <f>SUM(I27:R27)</f>
        <v/>
      </c>
      <c r="T27" s="17">
        <f>$D27*(1+$F27)^10</f>
        <v/>
      </c>
      <c r="U27" s="17">
        <f>IF($G27&lt;=$H27,"",T27*(1+$H27)/($G27-$H27))</f>
        <v/>
      </c>
      <c r="V27" s="17">
        <f>IF(ISNUMBER(U27),U27/(1+$G27)^10,"")</f>
        <v/>
      </c>
      <c r="W27" s="26">
        <f>IF(ISNUMBER(V27),S27+V27,"")</f>
        <v/>
      </c>
      <c r="X27" s="15" t="n">
        <v>340.3899773064</v>
      </c>
      <c r="Y27" s="19">
        <f>IF(AND(ISNUMBER(W27),W27&lt;&gt;0,ISNUMBER(X27)),(W27-X27)/W27,"")</f>
        <v/>
      </c>
      <c r="Z27" s="27">
        <f>IF(NOT(ISNUMBER(Y27)),"판정불가",IF(Y27&gt;=기준표!$B$42,"투자가능",IF(Y27&gt;=0,"경계선","범위밖")))</f>
        <v/>
      </c>
    </row>
    <row r="28">
      <c r="A28" s="8" t="inlineStr">
        <is>
          <t>PG</t>
        </is>
      </c>
      <c r="B28" s="8" t="inlineStr">
        <is>
          <t>PROCTER &amp; GAMBLE Co</t>
        </is>
      </c>
      <c r="C28" s="8" t="inlineStr">
        <is>
          <t>낙관</t>
        </is>
      </c>
      <c r="D28" s="15" t="n">
        <v>15.0547267816133</v>
      </c>
      <c r="E28" s="23" t="n">
        <v>0.03401172828001919</v>
      </c>
      <c r="F28" s="18">
        <f>IF(NOT(ISNUMBER(E28)),0.03,MAX(0,MIN(E28*기준표!$B$39,기준표!$B$41)))</f>
        <v/>
      </c>
      <c r="G28" s="18">
        <f>기준표!$B$37</f>
        <v/>
      </c>
      <c r="H28" s="18">
        <f>기준표!$B$38</f>
        <v/>
      </c>
      <c r="I28" s="17">
        <f>$D28*(1+$F28)^1/(1+$G28)^1</f>
        <v/>
      </c>
      <c r="J28" s="17">
        <f>$D28*(1+$F28)^2/(1+$G28)^2</f>
        <v/>
      </c>
      <c r="K28" s="17">
        <f>$D28*(1+$F28)^3/(1+$G28)^3</f>
        <v/>
      </c>
      <c r="L28" s="17">
        <f>$D28*(1+$F28)^4/(1+$G28)^4</f>
        <v/>
      </c>
      <c r="M28" s="17">
        <f>$D28*(1+$F28)^5/(1+$G28)^5</f>
        <v/>
      </c>
      <c r="N28" s="17">
        <f>$D28*(1+$F28)^6/(1+$G28)^6</f>
        <v/>
      </c>
      <c r="O28" s="17">
        <f>$D28*(1+$F28)^7/(1+$G28)^7</f>
        <v/>
      </c>
      <c r="P28" s="17">
        <f>$D28*(1+$F28)^8/(1+$G28)^8</f>
        <v/>
      </c>
      <c r="Q28" s="17">
        <f>$D28*(1+$F28)^9/(1+$G28)^9</f>
        <v/>
      </c>
      <c r="R28" s="17">
        <f>$D28*(1+$F28)^10/(1+$G28)^10</f>
        <v/>
      </c>
      <c r="S28" s="26">
        <f>SUM(I28:R28)</f>
        <v/>
      </c>
      <c r="T28" s="17">
        <f>$D28*(1+$F28)^10</f>
        <v/>
      </c>
      <c r="U28" s="17">
        <f>IF($G28&lt;=$H28,"",T28*(1+$H28)/($G28-$H28))</f>
        <v/>
      </c>
      <c r="V28" s="17">
        <f>IF(ISNUMBER(U28),U28/(1+$G28)^10,"")</f>
        <v/>
      </c>
      <c r="W28" s="26">
        <f>IF(ISNUMBER(V28),S28+V28,"")</f>
        <v/>
      </c>
      <c r="X28" s="15" t="n">
        <v>340.3899773064</v>
      </c>
      <c r="Y28" s="19">
        <f>IF(AND(ISNUMBER(W28),W28&lt;&gt;0,ISNUMBER(X28)),(W28-X28)/W28,"")</f>
        <v/>
      </c>
      <c r="Z28" s="27">
        <f>IF(NOT(ISNUMBER(Y28)),"판정불가",IF(Y28&gt;=기준표!$B$42,"투자가능",IF(Y28&gt;=0,"경계선","범위밖")))</f>
        <v/>
      </c>
    </row>
    <row r="29">
      <c r="A29" s="8" t="inlineStr">
        <is>
          <t>META</t>
        </is>
      </c>
      <c r="B29" s="8" t="inlineStr">
        <is>
          <t>Meta Platforms, Inc.</t>
        </is>
      </c>
      <c r="C29" s="8" t="inlineStr">
        <is>
          <t>보수</t>
        </is>
      </c>
      <c r="D29" s="15" t="n">
        <v>40.24325454033298</v>
      </c>
      <c r="E29" s="23" t="n">
        <v>0.1185788630521663</v>
      </c>
      <c r="F29" s="18">
        <f>IF(NOT(ISNUMBER(E29)),0.03,MAX(0,MIN(E29*기준표!$B$33,기준표!$B$40)))</f>
        <v/>
      </c>
      <c r="G29" s="18">
        <f>기준표!$B$31</f>
        <v/>
      </c>
      <c r="H29" s="18">
        <f>기준표!$B$32</f>
        <v/>
      </c>
      <c r="I29" s="17">
        <f>$D29*(1+$F29)^1/(1+$G29)^1</f>
        <v/>
      </c>
      <c r="J29" s="17">
        <f>$D29*(1+$F29)^2/(1+$G29)^2</f>
        <v/>
      </c>
      <c r="K29" s="17">
        <f>$D29*(1+$F29)^3/(1+$G29)^3</f>
        <v/>
      </c>
      <c r="L29" s="17">
        <f>$D29*(1+$F29)^4/(1+$G29)^4</f>
        <v/>
      </c>
      <c r="M29" s="17">
        <f>$D29*(1+$F29)^5/(1+$G29)^5</f>
        <v/>
      </c>
      <c r="N29" s="17">
        <f>$D29*(1+$F29)^6/(1+$G29)^6</f>
        <v/>
      </c>
      <c r="O29" s="17">
        <f>$D29*(1+$F29)^7/(1+$G29)^7</f>
        <v/>
      </c>
      <c r="P29" s="17">
        <f>$D29*(1+$F29)^8/(1+$G29)^8</f>
        <v/>
      </c>
      <c r="Q29" s="17">
        <f>$D29*(1+$F29)^9/(1+$G29)^9</f>
        <v/>
      </c>
      <c r="R29" s="17">
        <f>$D29*(1+$F29)^10/(1+$G29)^10</f>
        <v/>
      </c>
      <c r="S29" s="26">
        <f>SUM(I29:R29)</f>
        <v/>
      </c>
      <c r="T29" s="17">
        <f>$D29*(1+$F29)^10</f>
        <v/>
      </c>
      <c r="U29" s="17">
        <f>IF($G29&lt;=$H29,"",T29*(1+$H29)/($G29-$H29))</f>
        <v/>
      </c>
      <c r="V29" s="17">
        <f>IF(ISNUMBER(U29),U29/(1+$G29)^10,"")</f>
        <v/>
      </c>
      <c r="W29" s="26">
        <f>IF(ISNUMBER(V29),S29+V29,"")</f>
        <v/>
      </c>
      <c r="X29" s="15" t="n">
        <v>1504.88313664288</v>
      </c>
      <c r="Y29" s="19">
        <f>IF(AND(ISNUMBER(W29),W29&lt;&gt;0,ISNUMBER(X29)),(W29-X29)/W29,"")</f>
        <v/>
      </c>
      <c r="Z29" s="27">
        <f>IF(NOT(ISNUMBER(Y29)),"판정불가",IF(Y29&gt;=기준표!$B$42,"투자가능",IF(Y29&gt;=0,"경계선","범위밖")))</f>
        <v/>
      </c>
    </row>
    <row r="30">
      <c r="A30" s="8" t="inlineStr">
        <is>
          <t>META</t>
        </is>
      </c>
      <c r="B30" s="8" t="inlineStr">
        <is>
          <t>Meta Platforms, Inc.</t>
        </is>
      </c>
      <c r="C30" s="8" t="inlineStr">
        <is>
          <t>기준</t>
        </is>
      </c>
      <c r="D30" s="15" t="n">
        <v>40.24325454033298</v>
      </c>
      <c r="E30" s="23" t="n">
        <v>0.1185788630521663</v>
      </c>
      <c r="F30" s="18">
        <f>IF(NOT(ISNUMBER(E30)),0.03,MAX(0,MIN(E30*기준표!$B$36,기준표!$B$40)))</f>
        <v/>
      </c>
      <c r="G30" s="18">
        <f>기준표!$B$34</f>
        <v/>
      </c>
      <c r="H30" s="18">
        <f>기준표!$B$35</f>
        <v/>
      </c>
      <c r="I30" s="17">
        <f>$D30*(1+$F30)^1/(1+$G30)^1</f>
        <v/>
      </c>
      <c r="J30" s="17">
        <f>$D30*(1+$F30)^2/(1+$G30)^2</f>
        <v/>
      </c>
      <c r="K30" s="17">
        <f>$D30*(1+$F30)^3/(1+$G30)^3</f>
        <v/>
      </c>
      <c r="L30" s="17">
        <f>$D30*(1+$F30)^4/(1+$G30)^4</f>
        <v/>
      </c>
      <c r="M30" s="17">
        <f>$D30*(1+$F30)^5/(1+$G30)^5</f>
        <v/>
      </c>
      <c r="N30" s="17">
        <f>$D30*(1+$F30)^6/(1+$G30)^6</f>
        <v/>
      </c>
      <c r="O30" s="17">
        <f>$D30*(1+$F30)^7/(1+$G30)^7</f>
        <v/>
      </c>
      <c r="P30" s="17">
        <f>$D30*(1+$F30)^8/(1+$G30)^8</f>
        <v/>
      </c>
      <c r="Q30" s="17">
        <f>$D30*(1+$F30)^9/(1+$G30)^9</f>
        <v/>
      </c>
      <c r="R30" s="17">
        <f>$D30*(1+$F30)^10/(1+$G30)^10</f>
        <v/>
      </c>
      <c r="S30" s="26">
        <f>SUM(I30:R30)</f>
        <v/>
      </c>
      <c r="T30" s="17">
        <f>$D30*(1+$F30)^10</f>
        <v/>
      </c>
      <c r="U30" s="17">
        <f>IF($G30&lt;=$H30,"",T30*(1+$H30)/($G30-$H30))</f>
        <v/>
      </c>
      <c r="V30" s="17">
        <f>IF(ISNUMBER(U30),U30/(1+$G30)^10,"")</f>
        <v/>
      </c>
      <c r="W30" s="26">
        <f>IF(ISNUMBER(V30),S30+V30,"")</f>
        <v/>
      </c>
      <c r="X30" s="15" t="n">
        <v>1504.88313664288</v>
      </c>
      <c r="Y30" s="19">
        <f>IF(AND(ISNUMBER(W30),W30&lt;&gt;0,ISNUMBER(X30)),(W30-X30)/W30,"")</f>
        <v/>
      </c>
      <c r="Z30" s="27">
        <f>IF(NOT(ISNUMBER(Y30)),"판정불가",IF(Y30&gt;=기준표!$B$42,"투자가능",IF(Y30&gt;=0,"경계선","범위밖")))</f>
        <v/>
      </c>
    </row>
    <row r="31">
      <c r="A31" s="8" t="inlineStr">
        <is>
          <t>META</t>
        </is>
      </c>
      <c r="B31" s="8" t="inlineStr">
        <is>
          <t>Meta Platforms, Inc.</t>
        </is>
      </c>
      <c r="C31" s="8" t="inlineStr">
        <is>
          <t>낙관</t>
        </is>
      </c>
      <c r="D31" s="15" t="n">
        <v>40.24325454033298</v>
      </c>
      <c r="E31" s="23" t="n">
        <v>0.1185788630521663</v>
      </c>
      <c r="F31" s="18">
        <f>IF(NOT(ISNUMBER(E31)),0.03,MAX(0,MIN(E31*기준표!$B$39,기준표!$B$41)))</f>
        <v/>
      </c>
      <c r="G31" s="18">
        <f>기준표!$B$37</f>
        <v/>
      </c>
      <c r="H31" s="18">
        <f>기준표!$B$38</f>
        <v/>
      </c>
      <c r="I31" s="17">
        <f>$D31*(1+$F31)^1/(1+$G31)^1</f>
        <v/>
      </c>
      <c r="J31" s="17">
        <f>$D31*(1+$F31)^2/(1+$G31)^2</f>
        <v/>
      </c>
      <c r="K31" s="17">
        <f>$D31*(1+$F31)^3/(1+$G31)^3</f>
        <v/>
      </c>
      <c r="L31" s="17">
        <f>$D31*(1+$F31)^4/(1+$G31)^4</f>
        <v/>
      </c>
      <c r="M31" s="17">
        <f>$D31*(1+$F31)^5/(1+$G31)^5</f>
        <v/>
      </c>
      <c r="N31" s="17">
        <f>$D31*(1+$F31)^6/(1+$G31)^6</f>
        <v/>
      </c>
      <c r="O31" s="17">
        <f>$D31*(1+$F31)^7/(1+$G31)^7</f>
        <v/>
      </c>
      <c r="P31" s="17">
        <f>$D31*(1+$F31)^8/(1+$G31)^8</f>
        <v/>
      </c>
      <c r="Q31" s="17">
        <f>$D31*(1+$F31)^9/(1+$G31)^9</f>
        <v/>
      </c>
      <c r="R31" s="17">
        <f>$D31*(1+$F31)^10/(1+$G31)^10</f>
        <v/>
      </c>
      <c r="S31" s="26">
        <f>SUM(I31:R31)</f>
        <v/>
      </c>
      <c r="T31" s="17">
        <f>$D31*(1+$F31)^10</f>
        <v/>
      </c>
      <c r="U31" s="17">
        <f>IF($G31&lt;=$H31,"",T31*(1+$H31)/($G31-$H31))</f>
        <v/>
      </c>
      <c r="V31" s="17">
        <f>IF(ISNUMBER(U31),U31/(1+$G31)^10,"")</f>
        <v/>
      </c>
      <c r="W31" s="26">
        <f>IF(ISNUMBER(V31),S31+V31,"")</f>
        <v/>
      </c>
      <c r="X31" s="15" t="n">
        <v>1504.88313664288</v>
      </c>
      <c r="Y31" s="19">
        <f>IF(AND(ISNUMBER(W31),W31&lt;&gt;0,ISNUMBER(X31)),(W31-X31)/W31,"")</f>
        <v/>
      </c>
      <c r="Z31" s="27">
        <f>IF(NOT(ISNUMBER(Y31)),"판정불가",IF(Y31&gt;=기준표!$B$42,"투자가능",IF(Y31&gt;=0,"경계선","범위밖")))</f>
        <v/>
      </c>
    </row>
    <row r="32">
      <c r="A32" s="8" t="inlineStr">
        <is>
          <t>PM</t>
        </is>
      </c>
      <c r="B32" s="8" t="inlineStr">
        <is>
          <t>Philip Morris International Inc.</t>
        </is>
      </c>
      <c r="C32" s="8" t="inlineStr">
        <is>
          <t>보수</t>
        </is>
      </c>
      <c r="D32" s="15" t="n">
        <v>10.70782116995152</v>
      </c>
      <c r="E32" s="23" t="n">
        <v>0.03598015089875672</v>
      </c>
      <c r="F32" s="18">
        <f>IF(NOT(ISNUMBER(E32)),0.03,MAX(0,MIN(E32*기준표!$B$33,기준표!$B$40)))</f>
        <v/>
      </c>
      <c r="G32" s="18">
        <f>기준표!$B$31</f>
        <v/>
      </c>
      <c r="H32" s="18">
        <f>기준표!$B$32</f>
        <v/>
      </c>
      <c r="I32" s="17">
        <f>$D32*(1+$F32)^1/(1+$G32)^1</f>
        <v/>
      </c>
      <c r="J32" s="17">
        <f>$D32*(1+$F32)^2/(1+$G32)^2</f>
        <v/>
      </c>
      <c r="K32" s="17">
        <f>$D32*(1+$F32)^3/(1+$G32)^3</f>
        <v/>
      </c>
      <c r="L32" s="17">
        <f>$D32*(1+$F32)^4/(1+$G32)^4</f>
        <v/>
      </c>
      <c r="M32" s="17">
        <f>$D32*(1+$F32)^5/(1+$G32)^5</f>
        <v/>
      </c>
      <c r="N32" s="17">
        <f>$D32*(1+$F32)^6/(1+$G32)^6</f>
        <v/>
      </c>
      <c r="O32" s="17">
        <f>$D32*(1+$F32)^7/(1+$G32)^7</f>
        <v/>
      </c>
      <c r="P32" s="17">
        <f>$D32*(1+$F32)^8/(1+$G32)^8</f>
        <v/>
      </c>
      <c r="Q32" s="17">
        <f>$D32*(1+$F32)^9/(1+$G32)^9</f>
        <v/>
      </c>
      <c r="R32" s="17">
        <f>$D32*(1+$F32)^10/(1+$G32)^10</f>
        <v/>
      </c>
      <c r="S32" s="26">
        <f>SUM(I32:R32)</f>
        <v/>
      </c>
      <c r="T32" s="17">
        <f>$D32*(1+$F32)^10</f>
        <v/>
      </c>
      <c r="U32" s="17">
        <f>IF($G32&lt;=$H32,"",T32*(1+$H32)/($G32-$H32))</f>
        <v/>
      </c>
      <c r="V32" s="17">
        <f>IF(ISNUMBER(U32),U32/(1+$G32)^10,"")</f>
        <v/>
      </c>
      <c r="W32" s="26">
        <f>IF(ISNUMBER(V32),S32+V32,"")</f>
        <v/>
      </c>
      <c r="X32" s="15" t="n">
        <v>289.542401694</v>
      </c>
      <c r="Y32" s="19">
        <f>IF(AND(ISNUMBER(W32),W32&lt;&gt;0,ISNUMBER(X32)),(W32-X32)/W32,"")</f>
        <v/>
      </c>
      <c r="Z32" s="27">
        <f>IF(NOT(ISNUMBER(Y32)),"판정불가",IF(Y32&gt;=기준표!$B$42,"투자가능",IF(Y32&gt;=0,"경계선","범위밖")))</f>
        <v/>
      </c>
    </row>
    <row r="33">
      <c r="A33" s="8" t="inlineStr">
        <is>
          <t>PM</t>
        </is>
      </c>
      <c r="B33" s="8" t="inlineStr">
        <is>
          <t>Philip Morris International Inc.</t>
        </is>
      </c>
      <c r="C33" s="8" t="inlineStr">
        <is>
          <t>기준</t>
        </is>
      </c>
      <c r="D33" s="15" t="n">
        <v>10.70782116995152</v>
      </c>
      <c r="E33" s="23" t="n">
        <v>0.03598015089875672</v>
      </c>
      <c r="F33" s="18">
        <f>IF(NOT(ISNUMBER(E33)),0.03,MAX(0,MIN(E33*기준표!$B$36,기준표!$B$40)))</f>
        <v/>
      </c>
      <c r="G33" s="18">
        <f>기준표!$B$34</f>
        <v/>
      </c>
      <c r="H33" s="18">
        <f>기준표!$B$35</f>
        <v/>
      </c>
      <c r="I33" s="17">
        <f>$D33*(1+$F33)^1/(1+$G33)^1</f>
        <v/>
      </c>
      <c r="J33" s="17">
        <f>$D33*(1+$F33)^2/(1+$G33)^2</f>
        <v/>
      </c>
      <c r="K33" s="17">
        <f>$D33*(1+$F33)^3/(1+$G33)^3</f>
        <v/>
      </c>
      <c r="L33" s="17">
        <f>$D33*(1+$F33)^4/(1+$G33)^4</f>
        <v/>
      </c>
      <c r="M33" s="17">
        <f>$D33*(1+$F33)^5/(1+$G33)^5</f>
        <v/>
      </c>
      <c r="N33" s="17">
        <f>$D33*(1+$F33)^6/(1+$G33)^6</f>
        <v/>
      </c>
      <c r="O33" s="17">
        <f>$D33*(1+$F33)^7/(1+$G33)^7</f>
        <v/>
      </c>
      <c r="P33" s="17">
        <f>$D33*(1+$F33)^8/(1+$G33)^8</f>
        <v/>
      </c>
      <c r="Q33" s="17">
        <f>$D33*(1+$F33)^9/(1+$G33)^9</f>
        <v/>
      </c>
      <c r="R33" s="17">
        <f>$D33*(1+$F33)^10/(1+$G33)^10</f>
        <v/>
      </c>
      <c r="S33" s="26">
        <f>SUM(I33:R33)</f>
        <v/>
      </c>
      <c r="T33" s="17">
        <f>$D33*(1+$F33)^10</f>
        <v/>
      </c>
      <c r="U33" s="17">
        <f>IF($G33&lt;=$H33,"",T33*(1+$H33)/($G33-$H33))</f>
        <v/>
      </c>
      <c r="V33" s="17">
        <f>IF(ISNUMBER(U33),U33/(1+$G33)^10,"")</f>
        <v/>
      </c>
      <c r="W33" s="26">
        <f>IF(ISNUMBER(V33),S33+V33,"")</f>
        <v/>
      </c>
      <c r="X33" s="15" t="n">
        <v>289.542401694</v>
      </c>
      <c r="Y33" s="19">
        <f>IF(AND(ISNUMBER(W33),W33&lt;&gt;0,ISNUMBER(X33)),(W33-X33)/W33,"")</f>
        <v/>
      </c>
      <c r="Z33" s="27">
        <f>IF(NOT(ISNUMBER(Y33)),"판정불가",IF(Y33&gt;=기준표!$B$42,"투자가능",IF(Y33&gt;=0,"경계선","범위밖")))</f>
        <v/>
      </c>
    </row>
    <row r="34">
      <c r="A34" s="8" t="inlineStr">
        <is>
          <t>PM</t>
        </is>
      </c>
      <c r="B34" s="8" t="inlineStr">
        <is>
          <t>Philip Morris International Inc.</t>
        </is>
      </c>
      <c r="C34" s="8" t="inlineStr">
        <is>
          <t>낙관</t>
        </is>
      </c>
      <c r="D34" s="15" t="n">
        <v>10.70782116995152</v>
      </c>
      <c r="E34" s="23" t="n">
        <v>0.03598015089875672</v>
      </c>
      <c r="F34" s="18">
        <f>IF(NOT(ISNUMBER(E34)),0.03,MAX(0,MIN(E34*기준표!$B$39,기준표!$B$41)))</f>
        <v/>
      </c>
      <c r="G34" s="18">
        <f>기준표!$B$37</f>
        <v/>
      </c>
      <c r="H34" s="18">
        <f>기준표!$B$38</f>
        <v/>
      </c>
      <c r="I34" s="17">
        <f>$D34*(1+$F34)^1/(1+$G34)^1</f>
        <v/>
      </c>
      <c r="J34" s="17">
        <f>$D34*(1+$F34)^2/(1+$G34)^2</f>
        <v/>
      </c>
      <c r="K34" s="17">
        <f>$D34*(1+$F34)^3/(1+$G34)^3</f>
        <v/>
      </c>
      <c r="L34" s="17">
        <f>$D34*(1+$F34)^4/(1+$G34)^4</f>
        <v/>
      </c>
      <c r="M34" s="17">
        <f>$D34*(1+$F34)^5/(1+$G34)^5</f>
        <v/>
      </c>
      <c r="N34" s="17">
        <f>$D34*(1+$F34)^6/(1+$G34)^6</f>
        <v/>
      </c>
      <c r="O34" s="17">
        <f>$D34*(1+$F34)^7/(1+$G34)^7</f>
        <v/>
      </c>
      <c r="P34" s="17">
        <f>$D34*(1+$F34)^8/(1+$G34)^8</f>
        <v/>
      </c>
      <c r="Q34" s="17">
        <f>$D34*(1+$F34)^9/(1+$G34)^9</f>
        <v/>
      </c>
      <c r="R34" s="17">
        <f>$D34*(1+$F34)^10/(1+$G34)^10</f>
        <v/>
      </c>
      <c r="S34" s="26">
        <f>SUM(I34:R34)</f>
        <v/>
      </c>
      <c r="T34" s="17">
        <f>$D34*(1+$F34)^10</f>
        <v/>
      </c>
      <c r="U34" s="17">
        <f>IF($G34&lt;=$H34,"",T34*(1+$H34)/($G34-$H34))</f>
        <v/>
      </c>
      <c r="V34" s="17">
        <f>IF(ISNUMBER(U34),U34/(1+$G34)^10,"")</f>
        <v/>
      </c>
      <c r="W34" s="26">
        <f>IF(ISNUMBER(V34),S34+V34,"")</f>
        <v/>
      </c>
      <c r="X34" s="15" t="n">
        <v>289.542401694</v>
      </c>
      <c r="Y34" s="19">
        <f>IF(AND(ISNUMBER(W34),W34&lt;&gt;0,ISNUMBER(X34)),(W34-X34)/W34,"")</f>
        <v/>
      </c>
      <c r="Z34" s="27">
        <f>IF(NOT(ISNUMBER(Y34)),"판정불가",IF(Y34&gt;=기준표!$B$42,"투자가능",IF(Y34&gt;=0,"경계선","범위밖")))</f>
        <v/>
      </c>
    </row>
    <row r="35">
      <c r="A35" s="8" t="inlineStr">
        <is>
          <t>DELL</t>
        </is>
      </c>
      <c r="B35" s="8" t="inlineStr">
        <is>
          <t>Dell Technologies Inc.</t>
        </is>
      </c>
      <c r="C35" s="8" t="inlineStr">
        <is>
          <t>보수</t>
        </is>
      </c>
      <c r="D35" s="15" t="n">
        <v>6.602407545091561</v>
      </c>
      <c r="E35" s="23" t="n">
        <v>0.1146340210282057</v>
      </c>
      <c r="F35" s="18">
        <f>IF(NOT(ISNUMBER(E35)),0.03,MAX(0,MIN(E35*기준표!$B$33,기준표!$B$40)))</f>
        <v/>
      </c>
      <c r="G35" s="18">
        <f>기준표!$B$31</f>
        <v/>
      </c>
      <c r="H35" s="18">
        <f>기준표!$B$32</f>
        <v/>
      </c>
      <c r="I35" s="17">
        <f>$D35*(1+$F35)^1/(1+$G35)^1</f>
        <v/>
      </c>
      <c r="J35" s="17">
        <f>$D35*(1+$F35)^2/(1+$G35)^2</f>
        <v/>
      </c>
      <c r="K35" s="17">
        <f>$D35*(1+$F35)^3/(1+$G35)^3</f>
        <v/>
      </c>
      <c r="L35" s="17">
        <f>$D35*(1+$F35)^4/(1+$G35)^4</f>
        <v/>
      </c>
      <c r="M35" s="17">
        <f>$D35*(1+$F35)^5/(1+$G35)^5</f>
        <v/>
      </c>
      <c r="N35" s="17">
        <f>$D35*(1+$F35)^6/(1+$G35)^6</f>
        <v/>
      </c>
      <c r="O35" s="17">
        <f>$D35*(1+$F35)^7/(1+$G35)^7</f>
        <v/>
      </c>
      <c r="P35" s="17">
        <f>$D35*(1+$F35)^8/(1+$G35)^8</f>
        <v/>
      </c>
      <c r="Q35" s="17">
        <f>$D35*(1+$F35)^9/(1+$G35)^9</f>
        <v/>
      </c>
      <c r="R35" s="17">
        <f>$D35*(1+$F35)^10/(1+$G35)^10</f>
        <v/>
      </c>
      <c r="S35" s="26">
        <f>SUM(I35:R35)</f>
        <v/>
      </c>
      <c r="T35" s="17">
        <f>$D35*(1+$F35)^10</f>
        <v/>
      </c>
      <c r="U35" s="17">
        <f>IF($G35&lt;=$H35,"",T35*(1+$H35)/($G35-$H35))</f>
        <v/>
      </c>
      <c r="V35" s="17">
        <f>IF(ISNUMBER(U35),U35/(1+$G35)^10,"")</f>
        <v/>
      </c>
      <c r="W35" s="26">
        <f>IF(ISNUMBER(V35),S35+V35,"")</f>
        <v/>
      </c>
      <c r="X35" s="15" t="n">
        <v>295.67530074388</v>
      </c>
      <c r="Y35" s="19">
        <f>IF(AND(ISNUMBER(W35),W35&lt;&gt;0,ISNUMBER(X35)),(W35-X35)/W35,"")</f>
        <v/>
      </c>
      <c r="Z35" s="27">
        <f>IF(NOT(ISNUMBER(Y35)),"판정불가",IF(Y35&gt;=기준표!$B$42,"투자가능",IF(Y35&gt;=0,"경계선","범위밖")))</f>
        <v/>
      </c>
    </row>
    <row r="36">
      <c r="A36" s="8" t="inlineStr">
        <is>
          <t>DELL</t>
        </is>
      </c>
      <c r="B36" s="8" t="inlineStr">
        <is>
          <t>Dell Technologies Inc.</t>
        </is>
      </c>
      <c r="C36" s="8" t="inlineStr">
        <is>
          <t>기준</t>
        </is>
      </c>
      <c r="D36" s="15" t="n">
        <v>6.602407545091561</v>
      </c>
      <c r="E36" s="23" t="n">
        <v>0.1146340210282057</v>
      </c>
      <c r="F36" s="18">
        <f>IF(NOT(ISNUMBER(E36)),0.03,MAX(0,MIN(E36*기준표!$B$36,기준표!$B$40)))</f>
        <v/>
      </c>
      <c r="G36" s="18">
        <f>기준표!$B$34</f>
        <v/>
      </c>
      <c r="H36" s="18">
        <f>기준표!$B$35</f>
        <v/>
      </c>
      <c r="I36" s="17">
        <f>$D36*(1+$F36)^1/(1+$G36)^1</f>
        <v/>
      </c>
      <c r="J36" s="17">
        <f>$D36*(1+$F36)^2/(1+$G36)^2</f>
        <v/>
      </c>
      <c r="K36" s="17">
        <f>$D36*(1+$F36)^3/(1+$G36)^3</f>
        <v/>
      </c>
      <c r="L36" s="17">
        <f>$D36*(1+$F36)^4/(1+$G36)^4</f>
        <v/>
      </c>
      <c r="M36" s="17">
        <f>$D36*(1+$F36)^5/(1+$G36)^5</f>
        <v/>
      </c>
      <c r="N36" s="17">
        <f>$D36*(1+$F36)^6/(1+$G36)^6</f>
        <v/>
      </c>
      <c r="O36" s="17">
        <f>$D36*(1+$F36)^7/(1+$G36)^7</f>
        <v/>
      </c>
      <c r="P36" s="17">
        <f>$D36*(1+$F36)^8/(1+$G36)^8</f>
        <v/>
      </c>
      <c r="Q36" s="17">
        <f>$D36*(1+$F36)^9/(1+$G36)^9</f>
        <v/>
      </c>
      <c r="R36" s="17">
        <f>$D36*(1+$F36)^10/(1+$G36)^10</f>
        <v/>
      </c>
      <c r="S36" s="26">
        <f>SUM(I36:R36)</f>
        <v/>
      </c>
      <c r="T36" s="17">
        <f>$D36*(1+$F36)^10</f>
        <v/>
      </c>
      <c r="U36" s="17">
        <f>IF($G36&lt;=$H36,"",T36*(1+$H36)/($G36-$H36))</f>
        <v/>
      </c>
      <c r="V36" s="17">
        <f>IF(ISNUMBER(U36),U36/(1+$G36)^10,"")</f>
        <v/>
      </c>
      <c r="W36" s="26">
        <f>IF(ISNUMBER(V36),S36+V36,"")</f>
        <v/>
      </c>
      <c r="X36" s="15" t="n">
        <v>295.67530074388</v>
      </c>
      <c r="Y36" s="19">
        <f>IF(AND(ISNUMBER(W36),W36&lt;&gt;0,ISNUMBER(X36)),(W36-X36)/W36,"")</f>
        <v/>
      </c>
      <c r="Z36" s="27">
        <f>IF(NOT(ISNUMBER(Y36)),"판정불가",IF(Y36&gt;=기준표!$B$42,"투자가능",IF(Y36&gt;=0,"경계선","범위밖")))</f>
        <v/>
      </c>
    </row>
    <row r="37">
      <c r="A37" s="8" t="inlineStr">
        <is>
          <t>DELL</t>
        </is>
      </c>
      <c r="B37" s="8" t="inlineStr">
        <is>
          <t>Dell Technologies Inc.</t>
        </is>
      </c>
      <c r="C37" s="8" t="inlineStr">
        <is>
          <t>낙관</t>
        </is>
      </c>
      <c r="D37" s="15" t="n">
        <v>6.602407545091561</v>
      </c>
      <c r="E37" s="23" t="n">
        <v>0.1146340210282057</v>
      </c>
      <c r="F37" s="18">
        <f>IF(NOT(ISNUMBER(E37)),0.03,MAX(0,MIN(E37*기준표!$B$39,기준표!$B$41)))</f>
        <v/>
      </c>
      <c r="G37" s="18">
        <f>기준표!$B$37</f>
        <v/>
      </c>
      <c r="H37" s="18">
        <f>기준표!$B$38</f>
        <v/>
      </c>
      <c r="I37" s="17">
        <f>$D37*(1+$F37)^1/(1+$G37)^1</f>
        <v/>
      </c>
      <c r="J37" s="17">
        <f>$D37*(1+$F37)^2/(1+$G37)^2</f>
        <v/>
      </c>
      <c r="K37" s="17">
        <f>$D37*(1+$F37)^3/(1+$G37)^3</f>
        <v/>
      </c>
      <c r="L37" s="17">
        <f>$D37*(1+$F37)^4/(1+$G37)^4</f>
        <v/>
      </c>
      <c r="M37" s="17">
        <f>$D37*(1+$F37)^5/(1+$G37)^5</f>
        <v/>
      </c>
      <c r="N37" s="17">
        <f>$D37*(1+$F37)^6/(1+$G37)^6</f>
        <v/>
      </c>
      <c r="O37" s="17">
        <f>$D37*(1+$F37)^7/(1+$G37)^7</f>
        <v/>
      </c>
      <c r="P37" s="17">
        <f>$D37*(1+$F37)^8/(1+$G37)^8</f>
        <v/>
      </c>
      <c r="Q37" s="17">
        <f>$D37*(1+$F37)^9/(1+$G37)^9</f>
        <v/>
      </c>
      <c r="R37" s="17">
        <f>$D37*(1+$F37)^10/(1+$G37)^10</f>
        <v/>
      </c>
      <c r="S37" s="26">
        <f>SUM(I37:R37)</f>
        <v/>
      </c>
      <c r="T37" s="17">
        <f>$D37*(1+$F37)^10</f>
        <v/>
      </c>
      <c r="U37" s="17">
        <f>IF($G37&lt;=$H37,"",T37*(1+$H37)/($G37-$H37))</f>
        <v/>
      </c>
      <c r="V37" s="17">
        <f>IF(ISNUMBER(U37),U37/(1+$G37)^10,"")</f>
        <v/>
      </c>
      <c r="W37" s="26">
        <f>IF(ISNUMBER(V37),S37+V37,"")</f>
        <v/>
      </c>
      <c r="X37" s="15" t="n">
        <v>295.67530074388</v>
      </c>
      <c r="Y37" s="19">
        <f>IF(AND(ISNUMBER(W37),W37&lt;&gt;0,ISNUMBER(X37)),(W37-X37)/W37,"")</f>
        <v/>
      </c>
      <c r="Z37" s="27">
        <f>IF(NOT(ISNUMBER(Y37)),"판정불가",IF(Y37&gt;=기준표!$B$42,"투자가능",IF(Y37&gt;=0,"경계선","범위밖")))</f>
        <v/>
      </c>
    </row>
    <row r="38">
      <c r="A38" s="8" t="inlineStr">
        <is>
          <t>RTX</t>
        </is>
      </c>
      <c r="B38" s="8" t="inlineStr">
        <is>
          <t>RTX Corp</t>
        </is>
      </c>
      <c r="C38" s="8" t="inlineStr">
        <is>
          <t>보수</t>
        </is>
      </c>
      <c r="D38" s="15" t="n">
        <v>8.863327374666087</v>
      </c>
      <c r="E38" s="23" t="n"/>
      <c r="F38" s="18">
        <f>IF(NOT(ISNUMBER(E38)),0.03,MAX(0,MIN(E38*기준표!$B$33,기준표!$B$40)))</f>
        <v/>
      </c>
      <c r="G38" s="18">
        <f>기준표!$B$31</f>
        <v/>
      </c>
      <c r="H38" s="18">
        <f>기준표!$B$32</f>
        <v/>
      </c>
      <c r="I38" s="17">
        <f>$D38*(1+$F38)^1/(1+$G38)^1</f>
        <v/>
      </c>
      <c r="J38" s="17">
        <f>$D38*(1+$F38)^2/(1+$G38)^2</f>
        <v/>
      </c>
      <c r="K38" s="17">
        <f>$D38*(1+$F38)^3/(1+$G38)^3</f>
        <v/>
      </c>
      <c r="L38" s="17">
        <f>$D38*(1+$F38)^4/(1+$G38)^4</f>
        <v/>
      </c>
      <c r="M38" s="17">
        <f>$D38*(1+$F38)^5/(1+$G38)^5</f>
        <v/>
      </c>
      <c r="N38" s="17">
        <f>$D38*(1+$F38)^6/(1+$G38)^6</f>
        <v/>
      </c>
      <c r="O38" s="17">
        <f>$D38*(1+$F38)^7/(1+$G38)^7</f>
        <v/>
      </c>
      <c r="P38" s="17">
        <f>$D38*(1+$F38)^8/(1+$G38)^8</f>
        <v/>
      </c>
      <c r="Q38" s="17">
        <f>$D38*(1+$F38)^9/(1+$G38)^9</f>
        <v/>
      </c>
      <c r="R38" s="17">
        <f>$D38*(1+$F38)^10/(1+$G38)^10</f>
        <v/>
      </c>
      <c r="S38" s="26">
        <f>SUM(I38:R38)</f>
        <v/>
      </c>
      <c r="T38" s="17">
        <f>$D38*(1+$F38)^10</f>
        <v/>
      </c>
      <c r="U38" s="17">
        <f>IF($G38&lt;=$H38,"",T38*(1+$H38)/($G38-$H38))</f>
        <v/>
      </c>
      <c r="V38" s="17">
        <f>IF(ISNUMBER(U38),U38/(1+$G38)^10,"")</f>
        <v/>
      </c>
      <c r="W38" s="26">
        <f>IF(ISNUMBER(V38),S38+V38,"")</f>
        <v/>
      </c>
      <c r="X38" s="15" t="n">
        <v>300.83351394512</v>
      </c>
      <c r="Y38" s="19">
        <f>IF(AND(ISNUMBER(W38),W38&lt;&gt;0,ISNUMBER(X38)),(W38-X38)/W38,"")</f>
        <v/>
      </c>
      <c r="Z38" s="27">
        <f>IF(NOT(ISNUMBER(Y38)),"판정불가",IF(Y38&gt;=기준표!$B$42,"투자가능",IF(Y38&gt;=0,"경계선","범위밖")))</f>
        <v/>
      </c>
    </row>
    <row r="39">
      <c r="A39" s="8" t="inlineStr">
        <is>
          <t>RTX</t>
        </is>
      </c>
      <c r="B39" s="8" t="inlineStr">
        <is>
          <t>RTX Corp</t>
        </is>
      </c>
      <c r="C39" s="8" t="inlineStr">
        <is>
          <t>기준</t>
        </is>
      </c>
      <c r="D39" s="15" t="n">
        <v>8.863327374666087</v>
      </c>
      <c r="E39" s="23" t="n"/>
      <c r="F39" s="18">
        <f>IF(NOT(ISNUMBER(E39)),0.03,MAX(0,MIN(E39*기준표!$B$36,기준표!$B$40)))</f>
        <v/>
      </c>
      <c r="G39" s="18">
        <f>기준표!$B$34</f>
        <v/>
      </c>
      <c r="H39" s="18">
        <f>기준표!$B$35</f>
        <v/>
      </c>
      <c r="I39" s="17">
        <f>$D39*(1+$F39)^1/(1+$G39)^1</f>
        <v/>
      </c>
      <c r="J39" s="17">
        <f>$D39*(1+$F39)^2/(1+$G39)^2</f>
        <v/>
      </c>
      <c r="K39" s="17">
        <f>$D39*(1+$F39)^3/(1+$G39)^3</f>
        <v/>
      </c>
      <c r="L39" s="17">
        <f>$D39*(1+$F39)^4/(1+$G39)^4</f>
        <v/>
      </c>
      <c r="M39" s="17">
        <f>$D39*(1+$F39)^5/(1+$G39)^5</f>
        <v/>
      </c>
      <c r="N39" s="17">
        <f>$D39*(1+$F39)^6/(1+$G39)^6</f>
        <v/>
      </c>
      <c r="O39" s="17">
        <f>$D39*(1+$F39)^7/(1+$G39)^7</f>
        <v/>
      </c>
      <c r="P39" s="17">
        <f>$D39*(1+$F39)^8/(1+$G39)^8</f>
        <v/>
      </c>
      <c r="Q39" s="17">
        <f>$D39*(1+$F39)^9/(1+$G39)^9</f>
        <v/>
      </c>
      <c r="R39" s="17">
        <f>$D39*(1+$F39)^10/(1+$G39)^10</f>
        <v/>
      </c>
      <c r="S39" s="26">
        <f>SUM(I39:R39)</f>
        <v/>
      </c>
      <c r="T39" s="17">
        <f>$D39*(1+$F39)^10</f>
        <v/>
      </c>
      <c r="U39" s="17">
        <f>IF($G39&lt;=$H39,"",T39*(1+$H39)/($G39-$H39))</f>
        <v/>
      </c>
      <c r="V39" s="17">
        <f>IF(ISNUMBER(U39),U39/(1+$G39)^10,"")</f>
        <v/>
      </c>
      <c r="W39" s="26">
        <f>IF(ISNUMBER(V39),S39+V39,"")</f>
        <v/>
      </c>
      <c r="X39" s="15" t="n">
        <v>300.83351394512</v>
      </c>
      <c r="Y39" s="19">
        <f>IF(AND(ISNUMBER(W39),W39&lt;&gt;0,ISNUMBER(X39)),(W39-X39)/W39,"")</f>
        <v/>
      </c>
      <c r="Z39" s="27">
        <f>IF(NOT(ISNUMBER(Y39)),"판정불가",IF(Y39&gt;=기준표!$B$42,"투자가능",IF(Y39&gt;=0,"경계선","범위밖")))</f>
        <v/>
      </c>
    </row>
    <row r="40">
      <c r="A40" s="8" t="inlineStr">
        <is>
          <t>RTX</t>
        </is>
      </c>
      <c r="B40" s="8" t="inlineStr">
        <is>
          <t>RTX Corp</t>
        </is>
      </c>
      <c r="C40" s="8" t="inlineStr">
        <is>
          <t>낙관</t>
        </is>
      </c>
      <c r="D40" s="15" t="n">
        <v>8.863327374666087</v>
      </c>
      <c r="E40" s="23" t="n"/>
      <c r="F40" s="18">
        <f>IF(NOT(ISNUMBER(E40)),0.03,MAX(0,MIN(E40*기준표!$B$39,기준표!$B$41)))</f>
        <v/>
      </c>
      <c r="G40" s="18">
        <f>기준표!$B$37</f>
        <v/>
      </c>
      <c r="H40" s="18">
        <f>기준표!$B$38</f>
        <v/>
      </c>
      <c r="I40" s="17">
        <f>$D40*(1+$F40)^1/(1+$G40)^1</f>
        <v/>
      </c>
      <c r="J40" s="17">
        <f>$D40*(1+$F40)^2/(1+$G40)^2</f>
        <v/>
      </c>
      <c r="K40" s="17">
        <f>$D40*(1+$F40)^3/(1+$G40)^3</f>
        <v/>
      </c>
      <c r="L40" s="17">
        <f>$D40*(1+$F40)^4/(1+$G40)^4</f>
        <v/>
      </c>
      <c r="M40" s="17">
        <f>$D40*(1+$F40)^5/(1+$G40)^5</f>
        <v/>
      </c>
      <c r="N40" s="17">
        <f>$D40*(1+$F40)^6/(1+$G40)^6</f>
        <v/>
      </c>
      <c r="O40" s="17">
        <f>$D40*(1+$F40)^7/(1+$G40)^7</f>
        <v/>
      </c>
      <c r="P40" s="17">
        <f>$D40*(1+$F40)^8/(1+$G40)^8</f>
        <v/>
      </c>
      <c r="Q40" s="17">
        <f>$D40*(1+$F40)^9/(1+$G40)^9</f>
        <v/>
      </c>
      <c r="R40" s="17">
        <f>$D40*(1+$F40)^10/(1+$G40)^10</f>
        <v/>
      </c>
      <c r="S40" s="26">
        <f>SUM(I40:R40)</f>
        <v/>
      </c>
      <c r="T40" s="17">
        <f>$D40*(1+$F40)^10</f>
        <v/>
      </c>
      <c r="U40" s="17">
        <f>IF($G40&lt;=$H40,"",T40*(1+$H40)/($G40-$H40))</f>
        <v/>
      </c>
      <c r="V40" s="17">
        <f>IF(ISNUMBER(U40),U40/(1+$G40)^10,"")</f>
        <v/>
      </c>
      <c r="W40" s="26">
        <f>IF(ISNUMBER(V40),S40+V40,"")</f>
        <v/>
      </c>
      <c r="X40" s="15" t="n">
        <v>300.83351394512</v>
      </c>
      <c r="Y40" s="19">
        <f>IF(AND(ISNUMBER(W40),W40&lt;&gt;0,ISNUMBER(X40)),(W40-X40)/W40,"")</f>
        <v/>
      </c>
      <c r="Z40" s="27">
        <f>IF(NOT(ISNUMBER(Y40)),"판정불가",IF(Y40&gt;=기준표!$B$42,"투자가능",IF(Y40&gt;=0,"경계선","범위밖")))</f>
        <v/>
      </c>
    </row>
    <row r="41">
      <c r="A41" s="8" t="inlineStr">
        <is>
          <t>AAPL</t>
        </is>
      </c>
      <c r="B41" s="8" t="inlineStr">
        <is>
          <t>Apple Inc.</t>
        </is>
      </c>
      <c r="C41" s="8" t="inlineStr">
        <is>
          <t>보수</t>
        </is>
      </c>
      <c r="D41" s="15" t="n">
        <v>107.7338200821722</v>
      </c>
      <c r="E41" s="23" t="n">
        <v>0.05936792708291416</v>
      </c>
      <c r="F41" s="18">
        <f>IF(NOT(ISNUMBER(E41)),0.03,MAX(0,MIN(E41*기준표!$B$33,기준표!$B$40)))</f>
        <v/>
      </c>
      <c r="G41" s="18">
        <f>기준표!$B$31</f>
        <v/>
      </c>
      <c r="H41" s="18">
        <f>기준표!$B$32</f>
        <v/>
      </c>
      <c r="I41" s="17">
        <f>$D41*(1+$F41)^1/(1+$G41)^1</f>
        <v/>
      </c>
      <c r="J41" s="17">
        <f>$D41*(1+$F41)^2/(1+$G41)^2</f>
        <v/>
      </c>
      <c r="K41" s="17">
        <f>$D41*(1+$F41)^3/(1+$G41)^3</f>
        <v/>
      </c>
      <c r="L41" s="17">
        <f>$D41*(1+$F41)^4/(1+$G41)^4</f>
        <v/>
      </c>
      <c r="M41" s="17">
        <f>$D41*(1+$F41)^5/(1+$G41)^5</f>
        <v/>
      </c>
      <c r="N41" s="17">
        <f>$D41*(1+$F41)^6/(1+$G41)^6</f>
        <v/>
      </c>
      <c r="O41" s="17">
        <f>$D41*(1+$F41)^7/(1+$G41)^7</f>
        <v/>
      </c>
      <c r="P41" s="17">
        <f>$D41*(1+$F41)^8/(1+$G41)^8</f>
        <v/>
      </c>
      <c r="Q41" s="17">
        <f>$D41*(1+$F41)^9/(1+$G41)^9</f>
        <v/>
      </c>
      <c r="R41" s="17">
        <f>$D41*(1+$F41)^10/(1+$G41)^10</f>
        <v/>
      </c>
      <c r="S41" s="26">
        <f>SUM(I41:R41)</f>
        <v/>
      </c>
      <c r="T41" s="17">
        <f>$D41*(1+$F41)^10</f>
        <v/>
      </c>
      <c r="U41" s="17">
        <f>IF($G41&lt;=$H41,"",T41*(1+$H41)/($G41-$H41))</f>
        <v/>
      </c>
      <c r="V41" s="17">
        <f>IF(ISNUMBER(U41),U41/(1+$G41)^10,"")</f>
        <v/>
      </c>
      <c r="W41" s="26">
        <f>IF(ISNUMBER(V41),S41+V41,"")</f>
        <v/>
      </c>
      <c r="X41" s="15" t="n">
        <v>4554.95857578</v>
      </c>
      <c r="Y41" s="19">
        <f>IF(AND(ISNUMBER(W41),W41&lt;&gt;0,ISNUMBER(X41)),(W41-X41)/W41,"")</f>
        <v/>
      </c>
      <c r="Z41" s="27">
        <f>IF(NOT(ISNUMBER(Y41)),"판정불가",IF(Y41&gt;=기준표!$B$42,"투자가능",IF(Y41&gt;=0,"경계선","범위밖")))</f>
        <v/>
      </c>
    </row>
    <row r="42">
      <c r="A42" s="8" t="inlineStr">
        <is>
          <t>AAPL</t>
        </is>
      </c>
      <c r="B42" s="8" t="inlineStr">
        <is>
          <t>Apple Inc.</t>
        </is>
      </c>
      <c r="C42" s="8" t="inlineStr">
        <is>
          <t>기준</t>
        </is>
      </c>
      <c r="D42" s="15" t="n">
        <v>107.7338200821722</v>
      </c>
      <c r="E42" s="23" t="n">
        <v>0.05936792708291416</v>
      </c>
      <c r="F42" s="18">
        <f>IF(NOT(ISNUMBER(E42)),0.03,MAX(0,MIN(E42*기준표!$B$36,기준표!$B$40)))</f>
        <v/>
      </c>
      <c r="G42" s="18">
        <f>기준표!$B$34</f>
        <v/>
      </c>
      <c r="H42" s="18">
        <f>기준표!$B$35</f>
        <v/>
      </c>
      <c r="I42" s="17">
        <f>$D42*(1+$F42)^1/(1+$G42)^1</f>
        <v/>
      </c>
      <c r="J42" s="17">
        <f>$D42*(1+$F42)^2/(1+$G42)^2</f>
        <v/>
      </c>
      <c r="K42" s="17">
        <f>$D42*(1+$F42)^3/(1+$G42)^3</f>
        <v/>
      </c>
      <c r="L42" s="17">
        <f>$D42*(1+$F42)^4/(1+$G42)^4</f>
        <v/>
      </c>
      <c r="M42" s="17">
        <f>$D42*(1+$F42)^5/(1+$G42)^5</f>
        <v/>
      </c>
      <c r="N42" s="17">
        <f>$D42*(1+$F42)^6/(1+$G42)^6</f>
        <v/>
      </c>
      <c r="O42" s="17">
        <f>$D42*(1+$F42)^7/(1+$G42)^7</f>
        <v/>
      </c>
      <c r="P42" s="17">
        <f>$D42*(1+$F42)^8/(1+$G42)^8</f>
        <v/>
      </c>
      <c r="Q42" s="17">
        <f>$D42*(1+$F42)^9/(1+$G42)^9</f>
        <v/>
      </c>
      <c r="R42" s="17">
        <f>$D42*(1+$F42)^10/(1+$G42)^10</f>
        <v/>
      </c>
      <c r="S42" s="26">
        <f>SUM(I42:R42)</f>
        <v/>
      </c>
      <c r="T42" s="17">
        <f>$D42*(1+$F42)^10</f>
        <v/>
      </c>
      <c r="U42" s="17">
        <f>IF($G42&lt;=$H42,"",T42*(1+$H42)/($G42-$H42))</f>
        <v/>
      </c>
      <c r="V42" s="17">
        <f>IF(ISNUMBER(U42),U42/(1+$G42)^10,"")</f>
        <v/>
      </c>
      <c r="W42" s="26">
        <f>IF(ISNUMBER(V42),S42+V42,"")</f>
        <v/>
      </c>
      <c r="X42" s="15" t="n">
        <v>4554.95857578</v>
      </c>
      <c r="Y42" s="19">
        <f>IF(AND(ISNUMBER(W42),W42&lt;&gt;0,ISNUMBER(X42)),(W42-X42)/W42,"")</f>
        <v/>
      </c>
      <c r="Z42" s="27">
        <f>IF(NOT(ISNUMBER(Y42)),"판정불가",IF(Y42&gt;=기준표!$B$42,"투자가능",IF(Y42&gt;=0,"경계선","범위밖")))</f>
        <v/>
      </c>
    </row>
    <row r="43">
      <c r="A43" s="8" t="inlineStr">
        <is>
          <t>AAPL</t>
        </is>
      </c>
      <c r="B43" s="8" t="inlineStr">
        <is>
          <t>Apple Inc.</t>
        </is>
      </c>
      <c r="C43" s="8" t="inlineStr">
        <is>
          <t>낙관</t>
        </is>
      </c>
      <c r="D43" s="15" t="n">
        <v>107.7338200821722</v>
      </c>
      <c r="E43" s="23" t="n">
        <v>0.05936792708291416</v>
      </c>
      <c r="F43" s="18">
        <f>IF(NOT(ISNUMBER(E43)),0.03,MAX(0,MIN(E43*기준표!$B$39,기준표!$B$41)))</f>
        <v/>
      </c>
      <c r="G43" s="18">
        <f>기준표!$B$37</f>
        <v/>
      </c>
      <c r="H43" s="18">
        <f>기준표!$B$38</f>
        <v/>
      </c>
      <c r="I43" s="17">
        <f>$D43*(1+$F43)^1/(1+$G43)^1</f>
        <v/>
      </c>
      <c r="J43" s="17">
        <f>$D43*(1+$F43)^2/(1+$G43)^2</f>
        <v/>
      </c>
      <c r="K43" s="17">
        <f>$D43*(1+$F43)^3/(1+$G43)^3</f>
        <v/>
      </c>
      <c r="L43" s="17">
        <f>$D43*(1+$F43)^4/(1+$G43)^4</f>
        <v/>
      </c>
      <c r="M43" s="17">
        <f>$D43*(1+$F43)^5/(1+$G43)^5</f>
        <v/>
      </c>
      <c r="N43" s="17">
        <f>$D43*(1+$F43)^6/(1+$G43)^6</f>
        <v/>
      </c>
      <c r="O43" s="17">
        <f>$D43*(1+$F43)^7/(1+$G43)^7</f>
        <v/>
      </c>
      <c r="P43" s="17">
        <f>$D43*(1+$F43)^8/(1+$G43)^8</f>
        <v/>
      </c>
      <c r="Q43" s="17">
        <f>$D43*(1+$F43)^9/(1+$G43)^9</f>
        <v/>
      </c>
      <c r="R43" s="17">
        <f>$D43*(1+$F43)^10/(1+$G43)^10</f>
        <v/>
      </c>
      <c r="S43" s="26">
        <f>SUM(I43:R43)</f>
        <v/>
      </c>
      <c r="T43" s="17">
        <f>$D43*(1+$F43)^10</f>
        <v/>
      </c>
      <c r="U43" s="17">
        <f>IF($G43&lt;=$H43,"",T43*(1+$H43)/($G43-$H43))</f>
        <v/>
      </c>
      <c r="V43" s="17">
        <f>IF(ISNUMBER(U43),U43/(1+$G43)^10,"")</f>
        <v/>
      </c>
      <c r="W43" s="26">
        <f>IF(ISNUMBER(V43),S43+V43,"")</f>
        <v/>
      </c>
      <c r="X43" s="15" t="n">
        <v>4554.95857578</v>
      </c>
      <c r="Y43" s="19">
        <f>IF(AND(ISNUMBER(W43),W43&lt;&gt;0,ISNUMBER(X43)),(W43-X43)/W43,"")</f>
        <v/>
      </c>
      <c r="Z43" s="27">
        <f>IF(NOT(ISNUMBER(Y43)),"판정불가",IF(Y43&gt;=기준표!$B$42,"투자가능",IF(Y43&gt;=0,"경계선","범위밖")))</f>
        <v/>
      </c>
    </row>
    <row r="44">
      <c r="A44" s="8" t="inlineStr">
        <is>
          <t>LRCX</t>
        </is>
      </c>
      <c r="B44" s="8" t="inlineStr">
        <is>
          <t>LAM RESEARCH CORP</t>
        </is>
      </c>
      <c r="C44" s="8" t="inlineStr">
        <is>
          <t>보수</t>
        </is>
      </c>
      <c r="D44" s="15" t="n">
        <v>6.456399747723214</v>
      </c>
      <c r="E44" s="23" t="n">
        <v>0.2431868203340026</v>
      </c>
      <c r="F44" s="18">
        <f>IF(NOT(ISNUMBER(E44)),0.03,MAX(0,MIN(E44*기준표!$B$33,기준표!$B$40)))</f>
        <v/>
      </c>
      <c r="G44" s="18">
        <f>기준표!$B$31</f>
        <v/>
      </c>
      <c r="H44" s="18">
        <f>기준표!$B$32</f>
        <v/>
      </c>
      <c r="I44" s="17">
        <f>$D44*(1+$F44)^1/(1+$G44)^1</f>
        <v/>
      </c>
      <c r="J44" s="17">
        <f>$D44*(1+$F44)^2/(1+$G44)^2</f>
        <v/>
      </c>
      <c r="K44" s="17">
        <f>$D44*(1+$F44)^3/(1+$G44)^3</f>
        <v/>
      </c>
      <c r="L44" s="17">
        <f>$D44*(1+$F44)^4/(1+$G44)^4</f>
        <v/>
      </c>
      <c r="M44" s="17">
        <f>$D44*(1+$F44)^5/(1+$G44)^5</f>
        <v/>
      </c>
      <c r="N44" s="17">
        <f>$D44*(1+$F44)^6/(1+$G44)^6</f>
        <v/>
      </c>
      <c r="O44" s="17">
        <f>$D44*(1+$F44)^7/(1+$G44)^7</f>
        <v/>
      </c>
      <c r="P44" s="17">
        <f>$D44*(1+$F44)^8/(1+$G44)^8</f>
        <v/>
      </c>
      <c r="Q44" s="17">
        <f>$D44*(1+$F44)^9/(1+$G44)^9</f>
        <v/>
      </c>
      <c r="R44" s="17">
        <f>$D44*(1+$F44)^10/(1+$G44)^10</f>
        <v/>
      </c>
      <c r="S44" s="26">
        <f>SUM(I44:R44)</f>
        <v/>
      </c>
      <c r="T44" s="17">
        <f>$D44*(1+$F44)^10</f>
        <v/>
      </c>
      <c r="U44" s="17">
        <f>IF($G44&lt;=$H44,"",T44*(1+$H44)/($G44-$H44))</f>
        <v/>
      </c>
      <c r="V44" s="17">
        <f>IF(ISNUMBER(U44),U44/(1+$G44)^10,"")</f>
        <v/>
      </c>
      <c r="W44" s="26">
        <f>IF(ISNUMBER(V44),S44+V44,"")</f>
        <v/>
      </c>
      <c r="X44" s="15" t="n">
        <v>383.4047544</v>
      </c>
      <c r="Y44" s="19">
        <f>IF(AND(ISNUMBER(W44),W44&lt;&gt;0,ISNUMBER(X44)),(W44-X44)/W44,"")</f>
        <v/>
      </c>
      <c r="Z44" s="27">
        <f>IF(NOT(ISNUMBER(Y44)),"판정불가",IF(Y44&gt;=기준표!$B$42,"투자가능",IF(Y44&gt;=0,"경계선","범위밖")))</f>
        <v/>
      </c>
    </row>
    <row r="45">
      <c r="A45" s="8" t="inlineStr">
        <is>
          <t>LRCX</t>
        </is>
      </c>
      <c r="B45" s="8" t="inlineStr">
        <is>
          <t>LAM RESEARCH CORP</t>
        </is>
      </c>
      <c r="C45" s="8" t="inlineStr">
        <is>
          <t>기준</t>
        </is>
      </c>
      <c r="D45" s="15" t="n">
        <v>6.456399747723214</v>
      </c>
      <c r="E45" s="23" t="n">
        <v>0.2431868203340026</v>
      </c>
      <c r="F45" s="18">
        <f>IF(NOT(ISNUMBER(E45)),0.03,MAX(0,MIN(E45*기준표!$B$36,기준표!$B$40)))</f>
        <v/>
      </c>
      <c r="G45" s="18">
        <f>기준표!$B$34</f>
        <v/>
      </c>
      <c r="H45" s="18">
        <f>기준표!$B$35</f>
        <v/>
      </c>
      <c r="I45" s="17">
        <f>$D45*(1+$F45)^1/(1+$G45)^1</f>
        <v/>
      </c>
      <c r="J45" s="17">
        <f>$D45*(1+$F45)^2/(1+$G45)^2</f>
        <v/>
      </c>
      <c r="K45" s="17">
        <f>$D45*(1+$F45)^3/(1+$G45)^3</f>
        <v/>
      </c>
      <c r="L45" s="17">
        <f>$D45*(1+$F45)^4/(1+$G45)^4</f>
        <v/>
      </c>
      <c r="M45" s="17">
        <f>$D45*(1+$F45)^5/(1+$G45)^5</f>
        <v/>
      </c>
      <c r="N45" s="17">
        <f>$D45*(1+$F45)^6/(1+$G45)^6</f>
        <v/>
      </c>
      <c r="O45" s="17">
        <f>$D45*(1+$F45)^7/(1+$G45)^7</f>
        <v/>
      </c>
      <c r="P45" s="17">
        <f>$D45*(1+$F45)^8/(1+$G45)^8</f>
        <v/>
      </c>
      <c r="Q45" s="17">
        <f>$D45*(1+$F45)^9/(1+$G45)^9</f>
        <v/>
      </c>
      <c r="R45" s="17">
        <f>$D45*(1+$F45)^10/(1+$G45)^10</f>
        <v/>
      </c>
      <c r="S45" s="26">
        <f>SUM(I45:R45)</f>
        <v/>
      </c>
      <c r="T45" s="17">
        <f>$D45*(1+$F45)^10</f>
        <v/>
      </c>
      <c r="U45" s="17">
        <f>IF($G45&lt;=$H45,"",T45*(1+$H45)/($G45-$H45))</f>
        <v/>
      </c>
      <c r="V45" s="17">
        <f>IF(ISNUMBER(U45),U45/(1+$G45)^10,"")</f>
        <v/>
      </c>
      <c r="W45" s="26">
        <f>IF(ISNUMBER(V45),S45+V45,"")</f>
        <v/>
      </c>
      <c r="X45" s="15" t="n">
        <v>383.4047544</v>
      </c>
      <c r="Y45" s="19">
        <f>IF(AND(ISNUMBER(W45),W45&lt;&gt;0,ISNUMBER(X45)),(W45-X45)/W45,"")</f>
        <v/>
      </c>
      <c r="Z45" s="27">
        <f>IF(NOT(ISNUMBER(Y45)),"판정불가",IF(Y45&gt;=기준표!$B$42,"투자가능",IF(Y45&gt;=0,"경계선","범위밖")))</f>
        <v/>
      </c>
    </row>
    <row r="46">
      <c r="A46" s="8" t="inlineStr">
        <is>
          <t>LRCX</t>
        </is>
      </c>
      <c r="B46" s="8" t="inlineStr">
        <is>
          <t>LAM RESEARCH CORP</t>
        </is>
      </c>
      <c r="C46" s="8" t="inlineStr">
        <is>
          <t>낙관</t>
        </is>
      </c>
      <c r="D46" s="15" t="n">
        <v>6.456399747723214</v>
      </c>
      <c r="E46" s="23" t="n">
        <v>0.2431868203340026</v>
      </c>
      <c r="F46" s="18">
        <f>IF(NOT(ISNUMBER(E46)),0.03,MAX(0,MIN(E46*기준표!$B$39,기준표!$B$41)))</f>
        <v/>
      </c>
      <c r="G46" s="18">
        <f>기준표!$B$37</f>
        <v/>
      </c>
      <c r="H46" s="18">
        <f>기준표!$B$38</f>
        <v/>
      </c>
      <c r="I46" s="17">
        <f>$D46*(1+$F46)^1/(1+$G46)^1</f>
        <v/>
      </c>
      <c r="J46" s="17">
        <f>$D46*(1+$F46)^2/(1+$G46)^2</f>
        <v/>
      </c>
      <c r="K46" s="17">
        <f>$D46*(1+$F46)^3/(1+$G46)^3</f>
        <v/>
      </c>
      <c r="L46" s="17">
        <f>$D46*(1+$F46)^4/(1+$G46)^4</f>
        <v/>
      </c>
      <c r="M46" s="17">
        <f>$D46*(1+$F46)^5/(1+$G46)^5</f>
        <v/>
      </c>
      <c r="N46" s="17">
        <f>$D46*(1+$F46)^6/(1+$G46)^6</f>
        <v/>
      </c>
      <c r="O46" s="17">
        <f>$D46*(1+$F46)^7/(1+$G46)^7</f>
        <v/>
      </c>
      <c r="P46" s="17">
        <f>$D46*(1+$F46)^8/(1+$G46)^8</f>
        <v/>
      </c>
      <c r="Q46" s="17">
        <f>$D46*(1+$F46)^9/(1+$G46)^9</f>
        <v/>
      </c>
      <c r="R46" s="17">
        <f>$D46*(1+$F46)^10/(1+$G46)^10</f>
        <v/>
      </c>
      <c r="S46" s="26">
        <f>SUM(I46:R46)</f>
        <v/>
      </c>
      <c r="T46" s="17">
        <f>$D46*(1+$F46)^10</f>
        <v/>
      </c>
      <c r="U46" s="17">
        <f>IF($G46&lt;=$H46,"",T46*(1+$H46)/($G46-$H46))</f>
        <v/>
      </c>
      <c r="V46" s="17">
        <f>IF(ISNUMBER(U46),U46/(1+$G46)^10,"")</f>
        <v/>
      </c>
      <c r="W46" s="26">
        <f>IF(ISNUMBER(V46),S46+V46,"")</f>
        <v/>
      </c>
      <c r="X46" s="15" t="n">
        <v>383.4047544</v>
      </c>
      <c r="Y46" s="19">
        <f>IF(AND(ISNUMBER(W46),W46&lt;&gt;0,ISNUMBER(X46)),(W46-X46)/W46,"")</f>
        <v/>
      </c>
      <c r="Z46" s="27">
        <f>IF(NOT(ISNUMBER(Y46)),"판정불가",IF(Y46&gt;=기준표!$B$42,"투자가능",IF(Y46&gt;=0,"경계선","범위밖")))</f>
        <v/>
      </c>
    </row>
    <row r="47">
      <c r="A47" s="8" t="inlineStr">
        <is>
          <t>KLAC</t>
        </is>
      </c>
      <c r="B47" s="8" t="inlineStr">
        <is>
          <t>KLA CORP</t>
        </is>
      </c>
      <c r="C47" s="8" t="inlineStr">
        <is>
          <t>보수</t>
        </is>
      </c>
      <c r="D47" s="15" t="n">
        <v>4.162360821663193</v>
      </c>
      <c r="E47" s="23" t="n">
        <v>0.1742780384950988</v>
      </c>
      <c r="F47" s="18">
        <f>IF(NOT(ISNUMBER(E47)),0.03,MAX(0,MIN(E47*기준표!$B$33,기준표!$B$40)))</f>
        <v/>
      </c>
      <c r="G47" s="18">
        <f>기준표!$B$31</f>
        <v/>
      </c>
      <c r="H47" s="18">
        <f>기준표!$B$32</f>
        <v/>
      </c>
      <c r="I47" s="17">
        <f>$D47*(1+$F47)^1/(1+$G47)^1</f>
        <v/>
      </c>
      <c r="J47" s="17">
        <f>$D47*(1+$F47)^2/(1+$G47)^2</f>
        <v/>
      </c>
      <c r="K47" s="17">
        <f>$D47*(1+$F47)^3/(1+$G47)^3</f>
        <v/>
      </c>
      <c r="L47" s="17">
        <f>$D47*(1+$F47)^4/(1+$G47)^4</f>
        <v/>
      </c>
      <c r="M47" s="17">
        <f>$D47*(1+$F47)^5/(1+$G47)^5</f>
        <v/>
      </c>
      <c r="N47" s="17">
        <f>$D47*(1+$F47)^6/(1+$G47)^6</f>
        <v/>
      </c>
      <c r="O47" s="17">
        <f>$D47*(1+$F47)^7/(1+$G47)^7</f>
        <v/>
      </c>
      <c r="P47" s="17">
        <f>$D47*(1+$F47)^8/(1+$G47)^8</f>
        <v/>
      </c>
      <c r="Q47" s="17">
        <f>$D47*(1+$F47)^9/(1+$G47)^9</f>
        <v/>
      </c>
      <c r="R47" s="17">
        <f>$D47*(1+$F47)^10/(1+$G47)^10</f>
        <v/>
      </c>
      <c r="S47" s="26">
        <f>SUM(I47:R47)</f>
        <v/>
      </c>
      <c r="T47" s="17">
        <f>$D47*(1+$F47)^10</f>
        <v/>
      </c>
      <c r="U47" s="17">
        <f>IF($G47&lt;=$H47,"",T47*(1+$H47)/($G47-$H47))</f>
        <v/>
      </c>
      <c r="V47" s="17">
        <f>IF(ISNUMBER(U47),U47/(1+$G47)^10,"")</f>
        <v/>
      </c>
      <c r="W47" s="26">
        <f>IF(ISNUMBER(V47),S47+V47,"")</f>
        <v/>
      </c>
      <c r="X47" s="15" t="n">
        <v>251.82382695542</v>
      </c>
      <c r="Y47" s="19">
        <f>IF(AND(ISNUMBER(W47),W47&lt;&gt;0,ISNUMBER(X47)),(W47-X47)/W47,"")</f>
        <v/>
      </c>
      <c r="Z47" s="27">
        <f>IF(NOT(ISNUMBER(Y47)),"판정불가",IF(Y47&gt;=기준표!$B$42,"투자가능",IF(Y47&gt;=0,"경계선","범위밖")))</f>
        <v/>
      </c>
    </row>
    <row r="48">
      <c r="A48" s="8" t="inlineStr">
        <is>
          <t>KLAC</t>
        </is>
      </c>
      <c r="B48" s="8" t="inlineStr">
        <is>
          <t>KLA CORP</t>
        </is>
      </c>
      <c r="C48" s="8" t="inlineStr">
        <is>
          <t>기준</t>
        </is>
      </c>
      <c r="D48" s="15" t="n">
        <v>4.162360821663193</v>
      </c>
      <c r="E48" s="23" t="n">
        <v>0.1742780384950988</v>
      </c>
      <c r="F48" s="18">
        <f>IF(NOT(ISNUMBER(E48)),0.03,MAX(0,MIN(E48*기준표!$B$36,기준표!$B$40)))</f>
        <v/>
      </c>
      <c r="G48" s="18">
        <f>기준표!$B$34</f>
        <v/>
      </c>
      <c r="H48" s="18">
        <f>기준표!$B$35</f>
        <v/>
      </c>
      <c r="I48" s="17">
        <f>$D48*(1+$F48)^1/(1+$G48)^1</f>
        <v/>
      </c>
      <c r="J48" s="17">
        <f>$D48*(1+$F48)^2/(1+$G48)^2</f>
        <v/>
      </c>
      <c r="K48" s="17">
        <f>$D48*(1+$F48)^3/(1+$G48)^3</f>
        <v/>
      </c>
      <c r="L48" s="17">
        <f>$D48*(1+$F48)^4/(1+$G48)^4</f>
        <v/>
      </c>
      <c r="M48" s="17">
        <f>$D48*(1+$F48)^5/(1+$G48)^5</f>
        <v/>
      </c>
      <c r="N48" s="17">
        <f>$D48*(1+$F48)^6/(1+$G48)^6</f>
        <v/>
      </c>
      <c r="O48" s="17">
        <f>$D48*(1+$F48)^7/(1+$G48)^7</f>
        <v/>
      </c>
      <c r="P48" s="17">
        <f>$D48*(1+$F48)^8/(1+$G48)^8</f>
        <v/>
      </c>
      <c r="Q48" s="17">
        <f>$D48*(1+$F48)^9/(1+$G48)^9</f>
        <v/>
      </c>
      <c r="R48" s="17">
        <f>$D48*(1+$F48)^10/(1+$G48)^10</f>
        <v/>
      </c>
      <c r="S48" s="26">
        <f>SUM(I48:R48)</f>
        <v/>
      </c>
      <c r="T48" s="17">
        <f>$D48*(1+$F48)^10</f>
        <v/>
      </c>
      <c r="U48" s="17">
        <f>IF($G48&lt;=$H48,"",T48*(1+$H48)/($G48-$H48))</f>
        <v/>
      </c>
      <c r="V48" s="17">
        <f>IF(ISNUMBER(U48),U48/(1+$G48)^10,"")</f>
        <v/>
      </c>
      <c r="W48" s="26">
        <f>IF(ISNUMBER(V48),S48+V48,"")</f>
        <v/>
      </c>
      <c r="X48" s="15" t="n">
        <v>251.82382695542</v>
      </c>
      <c r="Y48" s="19">
        <f>IF(AND(ISNUMBER(W48),W48&lt;&gt;0,ISNUMBER(X48)),(W48-X48)/W48,"")</f>
        <v/>
      </c>
      <c r="Z48" s="27">
        <f>IF(NOT(ISNUMBER(Y48)),"판정불가",IF(Y48&gt;=기준표!$B$42,"투자가능",IF(Y48&gt;=0,"경계선","범위밖")))</f>
        <v/>
      </c>
    </row>
    <row r="49">
      <c r="A49" s="8" t="inlineStr">
        <is>
          <t>KLAC</t>
        </is>
      </c>
      <c r="B49" s="8" t="inlineStr">
        <is>
          <t>KLA CORP</t>
        </is>
      </c>
      <c r="C49" s="8" t="inlineStr">
        <is>
          <t>낙관</t>
        </is>
      </c>
      <c r="D49" s="15" t="n">
        <v>4.162360821663193</v>
      </c>
      <c r="E49" s="23" t="n">
        <v>0.1742780384950988</v>
      </c>
      <c r="F49" s="18">
        <f>IF(NOT(ISNUMBER(E49)),0.03,MAX(0,MIN(E49*기준표!$B$39,기준표!$B$41)))</f>
        <v/>
      </c>
      <c r="G49" s="18">
        <f>기준표!$B$37</f>
        <v/>
      </c>
      <c r="H49" s="18">
        <f>기준표!$B$38</f>
        <v/>
      </c>
      <c r="I49" s="17">
        <f>$D49*(1+$F49)^1/(1+$G49)^1</f>
        <v/>
      </c>
      <c r="J49" s="17">
        <f>$D49*(1+$F49)^2/(1+$G49)^2</f>
        <v/>
      </c>
      <c r="K49" s="17">
        <f>$D49*(1+$F49)^3/(1+$G49)^3</f>
        <v/>
      </c>
      <c r="L49" s="17">
        <f>$D49*(1+$F49)^4/(1+$G49)^4</f>
        <v/>
      </c>
      <c r="M49" s="17">
        <f>$D49*(1+$F49)^5/(1+$G49)^5</f>
        <v/>
      </c>
      <c r="N49" s="17">
        <f>$D49*(1+$F49)^6/(1+$G49)^6</f>
        <v/>
      </c>
      <c r="O49" s="17">
        <f>$D49*(1+$F49)^7/(1+$G49)^7</f>
        <v/>
      </c>
      <c r="P49" s="17">
        <f>$D49*(1+$F49)^8/(1+$G49)^8</f>
        <v/>
      </c>
      <c r="Q49" s="17">
        <f>$D49*(1+$F49)^9/(1+$G49)^9</f>
        <v/>
      </c>
      <c r="R49" s="17">
        <f>$D49*(1+$F49)^10/(1+$G49)^10</f>
        <v/>
      </c>
      <c r="S49" s="26">
        <f>SUM(I49:R49)</f>
        <v/>
      </c>
      <c r="T49" s="17">
        <f>$D49*(1+$F49)^10</f>
        <v/>
      </c>
      <c r="U49" s="17">
        <f>IF($G49&lt;=$H49,"",T49*(1+$H49)/($G49-$H49))</f>
        <v/>
      </c>
      <c r="V49" s="17">
        <f>IF(ISNUMBER(U49),U49/(1+$G49)^10,"")</f>
        <v/>
      </c>
      <c r="W49" s="26">
        <f>IF(ISNUMBER(V49),S49+V49,"")</f>
        <v/>
      </c>
      <c r="X49" s="15" t="n">
        <v>251.82382695542</v>
      </c>
      <c r="Y49" s="19">
        <f>IF(AND(ISNUMBER(W49),W49&lt;&gt;0,ISNUMBER(X49)),(W49-X49)/W49,"")</f>
        <v/>
      </c>
      <c r="Z49" s="27">
        <f>IF(NOT(ISNUMBER(Y49)),"판정불가",IF(Y49&gt;=기준표!$B$42,"투자가능",IF(Y49&gt;=0,"경계선","범위밖")))</f>
        <v/>
      </c>
    </row>
    <row r="50">
      <c r="A50" s="8" t="inlineStr">
        <is>
          <t>IBM</t>
        </is>
      </c>
      <c r="B50" s="8" t="inlineStr">
        <is>
          <t>INTERNATIONAL BUSINESS MACHINES CORP</t>
        </is>
      </c>
      <c r="C50" s="8" t="inlineStr">
        <is>
          <t>보수</t>
        </is>
      </c>
      <c r="D50" s="15" t="n">
        <v>7.323565008844199</v>
      </c>
      <c r="E50" s="23" t="n">
        <v>0.003741126839390763</v>
      </c>
      <c r="F50" s="18">
        <f>IF(NOT(ISNUMBER(E50)),0.03,MAX(0,MIN(E50*기준표!$B$33,기준표!$B$40)))</f>
        <v/>
      </c>
      <c r="G50" s="18">
        <f>기준표!$B$31</f>
        <v/>
      </c>
      <c r="H50" s="18">
        <f>기준표!$B$32</f>
        <v/>
      </c>
      <c r="I50" s="17">
        <f>$D50*(1+$F50)^1/(1+$G50)^1</f>
        <v/>
      </c>
      <c r="J50" s="17">
        <f>$D50*(1+$F50)^2/(1+$G50)^2</f>
        <v/>
      </c>
      <c r="K50" s="17">
        <f>$D50*(1+$F50)^3/(1+$G50)^3</f>
        <v/>
      </c>
      <c r="L50" s="17">
        <f>$D50*(1+$F50)^4/(1+$G50)^4</f>
        <v/>
      </c>
      <c r="M50" s="17">
        <f>$D50*(1+$F50)^5/(1+$G50)^5</f>
        <v/>
      </c>
      <c r="N50" s="17">
        <f>$D50*(1+$F50)^6/(1+$G50)^6</f>
        <v/>
      </c>
      <c r="O50" s="17">
        <f>$D50*(1+$F50)^7/(1+$G50)^7</f>
        <v/>
      </c>
      <c r="P50" s="17">
        <f>$D50*(1+$F50)^8/(1+$G50)^8</f>
        <v/>
      </c>
      <c r="Q50" s="17">
        <f>$D50*(1+$F50)^9/(1+$G50)^9</f>
        <v/>
      </c>
      <c r="R50" s="17">
        <f>$D50*(1+$F50)^10/(1+$G50)^10</f>
        <v/>
      </c>
      <c r="S50" s="26">
        <f>SUM(I50:R50)</f>
        <v/>
      </c>
      <c r="T50" s="17">
        <f>$D50*(1+$F50)^10</f>
        <v/>
      </c>
      <c r="U50" s="17">
        <f>IF($G50&lt;=$H50,"",T50*(1+$H50)/($G50-$H50))</f>
        <v/>
      </c>
      <c r="V50" s="17">
        <f>IF(ISNUMBER(U50),U50/(1+$G50)^10,"")</f>
        <v/>
      </c>
      <c r="W50" s="26">
        <f>IF(ISNUMBER(V50),S50+V50,"")</f>
        <v/>
      </c>
      <c r="X50" s="15" t="n">
        <v>221.66691000924</v>
      </c>
      <c r="Y50" s="19">
        <f>IF(AND(ISNUMBER(W50),W50&lt;&gt;0,ISNUMBER(X50)),(W50-X50)/W50,"")</f>
        <v/>
      </c>
      <c r="Z50" s="27">
        <f>IF(NOT(ISNUMBER(Y50)),"판정불가",IF(Y50&gt;=기준표!$B$42,"투자가능",IF(Y50&gt;=0,"경계선","범위밖")))</f>
        <v/>
      </c>
    </row>
    <row r="51">
      <c r="A51" s="8" t="inlineStr">
        <is>
          <t>IBM</t>
        </is>
      </c>
      <c r="B51" s="8" t="inlineStr">
        <is>
          <t>INTERNATIONAL BUSINESS MACHINES CORP</t>
        </is>
      </c>
      <c r="C51" s="8" t="inlineStr">
        <is>
          <t>기준</t>
        </is>
      </c>
      <c r="D51" s="15" t="n">
        <v>7.323565008844199</v>
      </c>
      <c r="E51" s="23" t="n">
        <v>0.003741126839390763</v>
      </c>
      <c r="F51" s="18">
        <f>IF(NOT(ISNUMBER(E51)),0.03,MAX(0,MIN(E51*기준표!$B$36,기준표!$B$40)))</f>
        <v/>
      </c>
      <c r="G51" s="18">
        <f>기준표!$B$34</f>
        <v/>
      </c>
      <c r="H51" s="18">
        <f>기준표!$B$35</f>
        <v/>
      </c>
      <c r="I51" s="17">
        <f>$D51*(1+$F51)^1/(1+$G51)^1</f>
        <v/>
      </c>
      <c r="J51" s="17">
        <f>$D51*(1+$F51)^2/(1+$G51)^2</f>
        <v/>
      </c>
      <c r="K51" s="17">
        <f>$D51*(1+$F51)^3/(1+$G51)^3</f>
        <v/>
      </c>
      <c r="L51" s="17">
        <f>$D51*(1+$F51)^4/(1+$G51)^4</f>
        <v/>
      </c>
      <c r="M51" s="17">
        <f>$D51*(1+$F51)^5/(1+$G51)^5</f>
        <v/>
      </c>
      <c r="N51" s="17">
        <f>$D51*(1+$F51)^6/(1+$G51)^6</f>
        <v/>
      </c>
      <c r="O51" s="17">
        <f>$D51*(1+$F51)^7/(1+$G51)^7</f>
        <v/>
      </c>
      <c r="P51" s="17">
        <f>$D51*(1+$F51)^8/(1+$G51)^8</f>
        <v/>
      </c>
      <c r="Q51" s="17">
        <f>$D51*(1+$F51)^9/(1+$G51)^9</f>
        <v/>
      </c>
      <c r="R51" s="17">
        <f>$D51*(1+$F51)^10/(1+$G51)^10</f>
        <v/>
      </c>
      <c r="S51" s="26">
        <f>SUM(I51:R51)</f>
        <v/>
      </c>
      <c r="T51" s="17">
        <f>$D51*(1+$F51)^10</f>
        <v/>
      </c>
      <c r="U51" s="17">
        <f>IF($G51&lt;=$H51,"",T51*(1+$H51)/($G51-$H51))</f>
        <v/>
      </c>
      <c r="V51" s="17">
        <f>IF(ISNUMBER(U51),U51/(1+$G51)^10,"")</f>
        <v/>
      </c>
      <c r="W51" s="26">
        <f>IF(ISNUMBER(V51),S51+V51,"")</f>
        <v/>
      </c>
      <c r="X51" s="15" t="n">
        <v>221.66691000924</v>
      </c>
      <c r="Y51" s="19">
        <f>IF(AND(ISNUMBER(W51),W51&lt;&gt;0,ISNUMBER(X51)),(W51-X51)/W51,"")</f>
        <v/>
      </c>
      <c r="Z51" s="27">
        <f>IF(NOT(ISNUMBER(Y51)),"판정불가",IF(Y51&gt;=기준표!$B$42,"투자가능",IF(Y51&gt;=0,"경계선","범위밖")))</f>
        <v/>
      </c>
    </row>
    <row r="52">
      <c r="A52" s="8" t="inlineStr">
        <is>
          <t>IBM</t>
        </is>
      </c>
      <c r="B52" s="8" t="inlineStr">
        <is>
          <t>INTERNATIONAL BUSINESS MACHINES CORP</t>
        </is>
      </c>
      <c r="C52" s="8" t="inlineStr">
        <is>
          <t>낙관</t>
        </is>
      </c>
      <c r="D52" s="15" t="n">
        <v>7.323565008844199</v>
      </c>
      <c r="E52" s="23" t="n">
        <v>0.003741126839390763</v>
      </c>
      <c r="F52" s="18">
        <f>IF(NOT(ISNUMBER(E52)),0.03,MAX(0,MIN(E52*기준표!$B$39,기준표!$B$41)))</f>
        <v/>
      </c>
      <c r="G52" s="18">
        <f>기준표!$B$37</f>
        <v/>
      </c>
      <c r="H52" s="18">
        <f>기준표!$B$38</f>
        <v/>
      </c>
      <c r="I52" s="17">
        <f>$D52*(1+$F52)^1/(1+$G52)^1</f>
        <v/>
      </c>
      <c r="J52" s="17">
        <f>$D52*(1+$F52)^2/(1+$G52)^2</f>
        <v/>
      </c>
      <c r="K52" s="17">
        <f>$D52*(1+$F52)^3/(1+$G52)^3</f>
        <v/>
      </c>
      <c r="L52" s="17">
        <f>$D52*(1+$F52)^4/(1+$G52)^4</f>
        <v/>
      </c>
      <c r="M52" s="17">
        <f>$D52*(1+$F52)^5/(1+$G52)^5</f>
        <v/>
      </c>
      <c r="N52" s="17">
        <f>$D52*(1+$F52)^6/(1+$G52)^6</f>
        <v/>
      </c>
      <c r="O52" s="17">
        <f>$D52*(1+$F52)^7/(1+$G52)^7</f>
        <v/>
      </c>
      <c r="P52" s="17">
        <f>$D52*(1+$F52)^8/(1+$G52)^8</f>
        <v/>
      </c>
      <c r="Q52" s="17">
        <f>$D52*(1+$F52)^9/(1+$G52)^9</f>
        <v/>
      </c>
      <c r="R52" s="17">
        <f>$D52*(1+$F52)^10/(1+$G52)^10</f>
        <v/>
      </c>
      <c r="S52" s="26">
        <f>SUM(I52:R52)</f>
        <v/>
      </c>
      <c r="T52" s="17">
        <f>$D52*(1+$F52)^10</f>
        <v/>
      </c>
      <c r="U52" s="17">
        <f>IF($G52&lt;=$H52,"",T52*(1+$H52)/($G52-$H52))</f>
        <v/>
      </c>
      <c r="V52" s="17">
        <f>IF(ISNUMBER(U52),U52/(1+$G52)^10,"")</f>
        <v/>
      </c>
      <c r="W52" s="26">
        <f>IF(ISNUMBER(V52),S52+V52,"")</f>
        <v/>
      </c>
      <c r="X52" s="15" t="n">
        <v>221.66691000924</v>
      </c>
      <c r="Y52" s="19">
        <f>IF(AND(ISNUMBER(W52),W52&lt;&gt;0,ISNUMBER(X52)),(W52-X52)/W52,"")</f>
        <v/>
      </c>
      <c r="Z52" s="27">
        <f>IF(NOT(ISNUMBER(Y52)),"판정불가",IF(Y52&gt;=기준표!$B$42,"투자가능",IF(Y52&gt;=0,"경계선","범위밖")))</f>
        <v/>
      </c>
    </row>
    <row r="53">
      <c r="A53" s="8" t="inlineStr">
        <is>
          <t>GOOG</t>
        </is>
      </c>
      <c r="B53" s="8" t="inlineStr">
        <is>
          <t>Alphabet Inc.</t>
        </is>
      </c>
      <c r="C53" s="8" t="inlineStr">
        <is>
          <t>보수</t>
        </is>
      </c>
      <c r="D53" s="15" t="n">
        <v>69.94514883183584</v>
      </c>
      <c r="E53" s="23" t="n">
        <v>0.1763653255346769</v>
      </c>
      <c r="F53" s="18">
        <f>IF(NOT(ISNUMBER(E53)),0.03,MAX(0,MIN(E53*기준표!$B$33,기준표!$B$40)))</f>
        <v/>
      </c>
      <c r="G53" s="18">
        <f>기준표!$B$31</f>
        <v/>
      </c>
      <c r="H53" s="18">
        <f>기준표!$B$32</f>
        <v/>
      </c>
      <c r="I53" s="17">
        <f>$D53*(1+$F53)^1/(1+$G53)^1</f>
        <v/>
      </c>
      <c r="J53" s="17">
        <f>$D53*(1+$F53)^2/(1+$G53)^2</f>
        <v/>
      </c>
      <c r="K53" s="17">
        <f>$D53*(1+$F53)^3/(1+$G53)^3</f>
        <v/>
      </c>
      <c r="L53" s="17">
        <f>$D53*(1+$F53)^4/(1+$G53)^4</f>
        <v/>
      </c>
      <c r="M53" s="17">
        <f>$D53*(1+$F53)^5/(1+$G53)^5</f>
        <v/>
      </c>
      <c r="N53" s="17">
        <f>$D53*(1+$F53)^6/(1+$G53)^6</f>
        <v/>
      </c>
      <c r="O53" s="17">
        <f>$D53*(1+$F53)^7/(1+$G53)^7</f>
        <v/>
      </c>
      <c r="P53" s="17">
        <f>$D53*(1+$F53)^8/(1+$G53)^8</f>
        <v/>
      </c>
      <c r="Q53" s="17">
        <f>$D53*(1+$F53)^9/(1+$G53)^9</f>
        <v/>
      </c>
      <c r="R53" s="17">
        <f>$D53*(1+$F53)^10/(1+$G53)^10</f>
        <v/>
      </c>
      <c r="S53" s="26">
        <f>SUM(I53:R53)</f>
        <v/>
      </c>
      <c r="T53" s="17">
        <f>$D53*(1+$F53)^10</f>
        <v/>
      </c>
      <c r="U53" s="17">
        <f>IF($G53&lt;=$H53,"",T53*(1+$H53)/($G53-$H53))</f>
        <v/>
      </c>
      <c r="V53" s="17">
        <f>IF(ISNUMBER(U53),U53/(1+$G53)^10,"")</f>
        <v/>
      </c>
      <c r="W53" s="26">
        <f>IF(ISNUMBER(V53),S53+V53,"")</f>
        <v/>
      </c>
      <c r="X53" s="15" t="n">
        <v>4304.596479999999</v>
      </c>
      <c r="Y53" s="19">
        <f>IF(AND(ISNUMBER(W53),W53&lt;&gt;0,ISNUMBER(X53)),(W53-X53)/W53,"")</f>
        <v/>
      </c>
      <c r="Z53" s="27">
        <f>IF(NOT(ISNUMBER(Y53)),"판정불가",IF(Y53&gt;=기준표!$B$42,"투자가능",IF(Y53&gt;=0,"경계선","범위밖")))</f>
        <v/>
      </c>
    </row>
    <row r="54">
      <c r="A54" s="8" t="inlineStr">
        <is>
          <t>GOOG</t>
        </is>
      </c>
      <c r="B54" s="8" t="inlineStr">
        <is>
          <t>Alphabet Inc.</t>
        </is>
      </c>
      <c r="C54" s="8" t="inlineStr">
        <is>
          <t>기준</t>
        </is>
      </c>
      <c r="D54" s="15" t="n">
        <v>69.94514883183584</v>
      </c>
      <c r="E54" s="23" t="n">
        <v>0.1763653255346769</v>
      </c>
      <c r="F54" s="18">
        <f>IF(NOT(ISNUMBER(E54)),0.03,MAX(0,MIN(E54*기준표!$B$36,기준표!$B$40)))</f>
        <v/>
      </c>
      <c r="G54" s="18">
        <f>기준표!$B$34</f>
        <v/>
      </c>
      <c r="H54" s="18">
        <f>기준표!$B$35</f>
        <v/>
      </c>
      <c r="I54" s="17">
        <f>$D54*(1+$F54)^1/(1+$G54)^1</f>
        <v/>
      </c>
      <c r="J54" s="17">
        <f>$D54*(1+$F54)^2/(1+$G54)^2</f>
        <v/>
      </c>
      <c r="K54" s="17">
        <f>$D54*(1+$F54)^3/(1+$G54)^3</f>
        <v/>
      </c>
      <c r="L54" s="17">
        <f>$D54*(1+$F54)^4/(1+$G54)^4</f>
        <v/>
      </c>
      <c r="M54" s="17">
        <f>$D54*(1+$F54)^5/(1+$G54)^5</f>
        <v/>
      </c>
      <c r="N54" s="17">
        <f>$D54*(1+$F54)^6/(1+$G54)^6</f>
        <v/>
      </c>
      <c r="O54" s="17">
        <f>$D54*(1+$F54)^7/(1+$G54)^7</f>
        <v/>
      </c>
      <c r="P54" s="17">
        <f>$D54*(1+$F54)^8/(1+$G54)^8</f>
        <v/>
      </c>
      <c r="Q54" s="17">
        <f>$D54*(1+$F54)^9/(1+$G54)^9</f>
        <v/>
      </c>
      <c r="R54" s="17">
        <f>$D54*(1+$F54)^10/(1+$G54)^10</f>
        <v/>
      </c>
      <c r="S54" s="26">
        <f>SUM(I54:R54)</f>
        <v/>
      </c>
      <c r="T54" s="17">
        <f>$D54*(1+$F54)^10</f>
        <v/>
      </c>
      <c r="U54" s="17">
        <f>IF($G54&lt;=$H54,"",T54*(1+$H54)/($G54-$H54))</f>
        <v/>
      </c>
      <c r="V54" s="17">
        <f>IF(ISNUMBER(U54),U54/(1+$G54)^10,"")</f>
        <v/>
      </c>
      <c r="W54" s="26">
        <f>IF(ISNUMBER(V54),S54+V54,"")</f>
        <v/>
      </c>
      <c r="X54" s="15" t="n">
        <v>4304.596479999999</v>
      </c>
      <c r="Y54" s="19">
        <f>IF(AND(ISNUMBER(W54),W54&lt;&gt;0,ISNUMBER(X54)),(W54-X54)/W54,"")</f>
        <v/>
      </c>
      <c r="Z54" s="27">
        <f>IF(NOT(ISNUMBER(Y54)),"판정불가",IF(Y54&gt;=기준표!$B$42,"투자가능",IF(Y54&gt;=0,"경계선","범위밖")))</f>
        <v/>
      </c>
    </row>
    <row r="55">
      <c r="A55" s="8" t="inlineStr">
        <is>
          <t>GOOG</t>
        </is>
      </c>
      <c r="B55" s="8" t="inlineStr">
        <is>
          <t>Alphabet Inc.</t>
        </is>
      </c>
      <c r="C55" s="8" t="inlineStr">
        <is>
          <t>낙관</t>
        </is>
      </c>
      <c r="D55" s="15" t="n">
        <v>69.94514883183584</v>
      </c>
      <c r="E55" s="23" t="n">
        <v>0.1763653255346769</v>
      </c>
      <c r="F55" s="18">
        <f>IF(NOT(ISNUMBER(E55)),0.03,MAX(0,MIN(E55*기준표!$B$39,기준표!$B$41)))</f>
        <v/>
      </c>
      <c r="G55" s="18">
        <f>기준표!$B$37</f>
        <v/>
      </c>
      <c r="H55" s="18">
        <f>기준표!$B$38</f>
        <v/>
      </c>
      <c r="I55" s="17">
        <f>$D55*(1+$F55)^1/(1+$G55)^1</f>
        <v/>
      </c>
      <c r="J55" s="17">
        <f>$D55*(1+$F55)^2/(1+$G55)^2</f>
        <v/>
      </c>
      <c r="K55" s="17">
        <f>$D55*(1+$F55)^3/(1+$G55)^3</f>
        <v/>
      </c>
      <c r="L55" s="17">
        <f>$D55*(1+$F55)^4/(1+$G55)^4</f>
        <v/>
      </c>
      <c r="M55" s="17">
        <f>$D55*(1+$F55)^5/(1+$G55)^5</f>
        <v/>
      </c>
      <c r="N55" s="17">
        <f>$D55*(1+$F55)^6/(1+$G55)^6</f>
        <v/>
      </c>
      <c r="O55" s="17">
        <f>$D55*(1+$F55)^7/(1+$G55)^7</f>
        <v/>
      </c>
      <c r="P55" s="17">
        <f>$D55*(1+$F55)^8/(1+$G55)^8</f>
        <v/>
      </c>
      <c r="Q55" s="17">
        <f>$D55*(1+$F55)^9/(1+$G55)^9</f>
        <v/>
      </c>
      <c r="R55" s="17">
        <f>$D55*(1+$F55)^10/(1+$G55)^10</f>
        <v/>
      </c>
      <c r="S55" s="26">
        <f>SUM(I55:R55)</f>
        <v/>
      </c>
      <c r="T55" s="17">
        <f>$D55*(1+$F55)^10</f>
        <v/>
      </c>
      <c r="U55" s="17">
        <f>IF($G55&lt;=$H55,"",T55*(1+$H55)/($G55-$H55))</f>
        <v/>
      </c>
      <c r="V55" s="17">
        <f>IF(ISNUMBER(U55),U55/(1+$G55)^10,"")</f>
        <v/>
      </c>
      <c r="W55" s="26">
        <f>IF(ISNUMBER(V55),S55+V55,"")</f>
        <v/>
      </c>
      <c r="X55" s="15" t="n">
        <v>4304.596479999999</v>
      </c>
      <c r="Y55" s="19">
        <f>IF(AND(ISNUMBER(W55),W55&lt;&gt;0,ISNUMBER(X55)),(W55-X55)/W55,"")</f>
        <v/>
      </c>
      <c r="Z55" s="27">
        <f>IF(NOT(ISNUMBER(Y55)),"판정불가",IF(Y55&gt;=기준표!$B$42,"투자가능",IF(Y55&gt;=0,"경계선","범위밖")))</f>
        <v/>
      </c>
    </row>
    <row r="56">
      <c r="A56" s="8" t="inlineStr">
        <is>
          <t>NFLX</t>
        </is>
      </c>
      <c r="B56" s="8" t="inlineStr">
        <is>
          <t>NETFLIX INC</t>
        </is>
      </c>
      <c r="C56" s="8" t="inlineStr">
        <is>
          <t>보수</t>
        </is>
      </c>
      <c r="D56" s="15" t="n">
        <v>8.53998619209314</v>
      </c>
      <c r="E56" s="23" t="n"/>
      <c r="F56" s="18">
        <f>IF(NOT(ISNUMBER(E56)),0.03,MAX(0,MIN(E56*기준표!$B$33,기준표!$B$40)))</f>
        <v/>
      </c>
      <c r="G56" s="18">
        <f>기준표!$B$31</f>
        <v/>
      </c>
      <c r="H56" s="18">
        <f>기준표!$B$32</f>
        <v/>
      </c>
      <c r="I56" s="17">
        <f>$D56*(1+$F56)^1/(1+$G56)^1</f>
        <v/>
      </c>
      <c r="J56" s="17">
        <f>$D56*(1+$F56)^2/(1+$G56)^2</f>
        <v/>
      </c>
      <c r="K56" s="17">
        <f>$D56*(1+$F56)^3/(1+$G56)^3</f>
        <v/>
      </c>
      <c r="L56" s="17">
        <f>$D56*(1+$F56)^4/(1+$G56)^4</f>
        <v/>
      </c>
      <c r="M56" s="17">
        <f>$D56*(1+$F56)^5/(1+$G56)^5</f>
        <v/>
      </c>
      <c r="N56" s="17">
        <f>$D56*(1+$F56)^6/(1+$G56)^6</f>
        <v/>
      </c>
      <c r="O56" s="17">
        <f>$D56*(1+$F56)^7/(1+$G56)^7</f>
        <v/>
      </c>
      <c r="P56" s="17">
        <f>$D56*(1+$F56)^8/(1+$G56)^8</f>
        <v/>
      </c>
      <c r="Q56" s="17">
        <f>$D56*(1+$F56)^9/(1+$G56)^9</f>
        <v/>
      </c>
      <c r="R56" s="17">
        <f>$D56*(1+$F56)^10/(1+$G56)^10</f>
        <v/>
      </c>
      <c r="S56" s="26">
        <f>SUM(I56:R56)</f>
        <v/>
      </c>
      <c r="T56" s="17">
        <f>$D56*(1+$F56)^10</f>
        <v/>
      </c>
      <c r="U56" s="17">
        <f>IF($G56&lt;=$H56,"",T56*(1+$H56)/($G56-$H56))</f>
        <v/>
      </c>
      <c r="V56" s="17">
        <f>IF(ISNUMBER(U56),U56/(1+$G56)^10,"")</f>
        <v/>
      </c>
      <c r="W56" s="26">
        <f>IF(ISNUMBER(V56),S56+V56,"")</f>
        <v/>
      </c>
      <c r="X56" s="15" t="n">
        <v>322.1087504235</v>
      </c>
      <c r="Y56" s="19">
        <f>IF(AND(ISNUMBER(W56),W56&lt;&gt;0,ISNUMBER(X56)),(W56-X56)/W56,"")</f>
        <v/>
      </c>
      <c r="Z56" s="27">
        <f>IF(NOT(ISNUMBER(Y56)),"판정불가",IF(Y56&gt;=기준표!$B$42,"투자가능",IF(Y56&gt;=0,"경계선","범위밖")))</f>
        <v/>
      </c>
    </row>
    <row r="57">
      <c r="A57" s="8" t="inlineStr">
        <is>
          <t>NFLX</t>
        </is>
      </c>
      <c r="B57" s="8" t="inlineStr">
        <is>
          <t>NETFLIX INC</t>
        </is>
      </c>
      <c r="C57" s="8" t="inlineStr">
        <is>
          <t>기준</t>
        </is>
      </c>
      <c r="D57" s="15" t="n">
        <v>8.53998619209314</v>
      </c>
      <c r="E57" s="23" t="n"/>
      <c r="F57" s="18">
        <f>IF(NOT(ISNUMBER(E57)),0.03,MAX(0,MIN(E57*기준표!$B$36,기준표!$B$40)))</f>
        <v/>
      </c>
      <c r="G57" s="18">
        <f>기준표!$B$34</f>
        <v/>
      </c>
      <c r="H57" s="18">
        <f>기준표!$B$35</f>
        <v/>
      </c>
      <c r="I57" s="17">
        <f>$D57*(1+$F57)^1/(1+$G57)^1</f>
        <v/>
      </c>
      <c r="J57" s="17">
        <f>$D57*(1+$F57)^2/(1+$G57)^2</f>
        <v/>
      </c>
      <c r="K57" s="17">
        <f>$D57*(1+$F57)^3/(1+$G57)^3</f>
        <v/>
      </c>
      <c r="L57" s="17">
        <f>$D57*(1+$F57)^4/(1+$G57)^4</f>
        <v/>
      </c>
      <c r="M57" s="17">
        <f>$D57*(1+$F57)^5/(1+$G57)^5</f>
        <v/>
      </c>
      <c r="N57" s="17">
        <f>$D57*(1+$F57)^6/(1+$G57)^6</f>
        <v/>
      </c>
      <c r="O57" s="17">
        <f>$D57*(1+$F57)^7/(1+$G57)^7</f>
        <v/>
      </c>
      <c r="P57" s="17">
        <f>$D57*(1+$F57)^8/(1+$G57)^8</f>
        <v/>
      </c>
      <c r="Q57" s="17">
        <f>$D57*(1+$F57)^9/(1+$G57)^9</f>
        <v/>
      </c>
      <c r="R57" s="17">
        <f>$D57*(1+$F57)^10/(1+$G57)^10</f>
        <v/>
      </c>
      <c r="S57" s="26">
        <f>SUM(I57:R57)</f>
        <v/>
      </c>
      <c r="T57" s="17">
        <f>$D57*(1+$F57)^10</f>
        <v/>
      </c>
      <c r="U57" s="17">
        <f>IF($G57&lt;=$H57,"",T57*(1+$H57)/($G57-$H57))</f>
        <v/>
      </c>
      <c r="V57" s="17">
        <f>IF(ISNUMBER(U57),U57/(1+$G57)^10,"")</f>
        <v/>
      </c>
      <c r="W57" s="26">
        <f>IF(ISNUMBER(V57),S57+V57,"")</f>
        <v/>
      </c>
      <c r="X57" s="15" t="n">
        <v>322.1087504235</v>
      </c>
      <c r="Y57" s="19">
        <f>IF(AND(ISNUMBER(W57),W57&lt;&gt;0,ISNUMBER(X57)),(W57-X57)/W57,"")</f>
        <v/>
      </c>
      <c r="Z57" s="27">
        <f>IF(NOT(ISNUMBER(Y57)),"판정불가",IF(Y57&gt;=기준표!$B$42,"투자가능",IF(Y57&gt;=0,"경계선","범위밖")))</f>
        <v/>
      </c>
    </row>
    <row r="58">
      <c r="A58" s="8" t="inlineStr">
        <is>
          <t>NFLX</t>
        </is>
      </c>
      <c r="B58" s="8" t="inlineStr">
        <is>
          <t>NETFLIX INC</t>
        </is>
      </c>
      <c r="C58" s="8" t="inlineStr">
        <is>
          <t>낙관</t>
        </is>
      </c>
      <c r="D58" s="15" t="n">
        <v>8.53998619209314</v>
      </c>
      <c r="E58" s="23" t="n"/>
      <c r="F58" s="18">
        <f>IF(NOT(ISNUMBER(E58)),0.03,MAX(0,MIN(E58*기준표!$B$39,기준표!$B$41)))</f>
        <v/>
      </c>
      <c r="G58" s="18">
        <f>기준표!$B$37</f>
        <v/>
      </c>
      <c r="H58" s="18">
        <f>기준표!$B$38</f>
        <v/>
      </c>
      <c r="I58" s="17">
        <f>$D58*(1+$F58)^1/(1+$G58)^1</f>
        <v/>
      </c>
      <c r="J58" s="17">
        <f>$D58*(1+$F58)^2/(1+$G58)^2</f>
        <v/>
      </c>
      <c r="K58" s="17">
        <f>$D58*(1+$F58)^3/(1+$G58)^3</f>
        <v/>
      </c>
      <c r="L58" s="17">
        <f>$D58*(1+$F58)^4/(1+$G58)^4</f>
        <v/>
      </c>
      <c r="M58" s="17">
        <f>$D58*(1+$F58)^5/(1+$G58)^5</f>
        <v/>
      </c>
      <c r="N58" s="17">
        <f>$D58*(1+$F58)^6/(1+$G58)^6</f>
        <v/>
      </c>
      <c r="O58" s="17">
        <f>$D58*(1+$F58)^7/(1+$G58)^7</f>
        <v/>
      </c>
      <c r="P58" s="17">
        <f>$D58*(1+$F58)^8/(1+$G58)^8</f>
        <v/>
      </c>
      <c r="Q58" s="17">
        <f>$D58*(1+$F58)^9/(1+$G58)^9</f>
        <v/>
      </c>
      <c r="R58" s="17">
        <f>$D58*(1+$F58)^10/(1+$G58)^10</f>
        <v/>
      </c>
      <c r="S58" s="26">
        <f>SUM(I58:R58)</f>
        <v/>
      </c>
      <c r="T58" s="17">
        <f>$D58*(1+$F58)^10</f>
        <v/>
      </c>
      <c r="U58" s="17">
        <f>IF($G58&lt;=$H58,"",T58*(1+$H58)/($G58-$H58))</f>
        <v/>
      </c>
      <c r="V58" s="17">
        <f>IF(ISNUMBER(U58),U58/(1+$G58)^10,"")</f>
        <v/>
      </c>
      <c r="W58" s="26">
        <f>IF(ISNUMBER(V58),S58+V58,"")</f>
        <v/>
      </c>
      <c r="X58" s="15" t="n">
        <v>322.1087504235</v>
      </c>
      <c r="Y58" s="19">
        <f>IF(AND(ISNUMBER(W58),W58&lt;&gt;0,ISNUMBER(X58)),(W58-X58)/W58,"")</f>
        <v/>
      </c>
      <c r="Z58" s="27">
        <f>IF(NOT(ISNUMBER(Y58)),"판정불가",IF(Y58&gt;=기준표!$B$42,"투자가능",IF(Y58&gt;=0,"경계선","범위밖")))</f>
        <v/>
      </c>
    </row>
    <row r="59">
      <c r="A59" s="8" t="inlineStr">
        <is>
          <t>MSFT</t>
        </is>
      </c>
      <c r="B59" s="8" t="inlineStr">
        <is>
          <t>MICROSOFT CORP</t>
        </is>
      </c>
      <c r="C59" s="8" t="inlineStr">
        <is>
          <t>보수</t>
        </is>
      </c>
      <c r="D59" s="15" t="n">
        <v>83.84541778480117</v>
      </c>
      <c r="E59" s="23" t="n">
        <v>0.04859431239597112</v>
      </c>
      <c r="F59" s="18">
        <f>IF(NOT(ISNUMBER(E59)),0.03,MAX(0,MIN(E59*기준표!$B$33,기준표!$B$40)))</f>
        <v/>
      </c>
      <c r="G59" s="18">
        <f>기준표!$B$31</f>
        <v/>
      </c>
      <c r="H59" s="18">
        <f>기준표!$B$32</f>
        <v/>
      </c>
      <c r="I59" s="17">
        <f>$D59*(1+$F59)^1/(1+$G59)^1</f>
        <v/>
      </c>
      <c r="J59" s="17">
        <f>$D59*(1+$F59)^2/(1+$G59)^2</f>
        <v/>
      </c>
      <c r="K59" s="17">
        <f>$D59*(1+$F59)^3/(1+$G59)^3</f>
        <v/>
      </c>
      <c r="L59" s="17">
        <f>$D59*(1+$F59)^4/(1+$G59)^4</f>
        <v/>
      </c>
      <c r="M59" s="17">
        <f>$D59*(1+$F59)^5/(1+$G59)^5</f>
        <v/>
      </c>
      <c r="N59" s="17">
        <f>$D59*(1+$F59)^6/(1+$G59)^6</f>
        <v/>
      </c>
      <c r="O59" s="17">
        <f>$D59*(1+$F59)^7/(1+$G59)^7</f>
        <v/>
      </c>
      <c r="P59" s="17">
        <f>$D59*(1+$F59)^8/(1+$G59)^8</f>
        <v/>
      </c>
      <c r="Q59" s="17">
        <f>$D59*(1+$F59)^9/(1+$G59)^9</f>
        <v/>
      </c>
      <c r="R59" s="17">
        <f>$D59*(1+$F59)^10/(1+$G59)^10</f>
        <v/>
      </c>
      <c r="S59" s="26">
        <f>SUM(I59:R59)</f>
        <v/>
      </c>
      <c r="T59" s="17">
        <f>$D59*(1+$F59)^10</f>
        <v/>
      </c>
      <c r="U59" s="17">
        <f>IF($G59&lt;=$H59,"",T59*(1+$H59)/($G59-$H59))</f>
        <v/>
      </c>
      <c r="V59" s="17">
        <f>IF(ISNUMBER(U59),U59/(1+$G59)^10,"")</f>
        <v/>
      </c>
      <c r="W59" s="26">
        <f>IF(ISNUMBER(V59),S59+V59,"")</f>
        <v/>
      </c>
      <c r="X59" s="15" t="n">
        <v>3757.77155117546</v>
      </c>
      <c r="Y59" s="19">
        <f>IF(AND(ISNUMBER(W59),W59&lt;&gt;0,ISNUMBER(X59)),(W59-X59)/W59,"")</f>
        <v/>
      </c>
      <c r="Z59" s="27">
        <f>IF(NOT(ISNUMBER(Y59)),"판정불가",IF(Y59&gt;=기준표!$B$42,"투자가능",IF(Y59&gt;=0,"경계선","범위밖")))</f>
        <v/>
      </c>
    </row>
    <row r="60">
      <c r="A60" s="8" t="inlineStr">
        <is>
          <t>MSFT</t>
        </is>
      </c>
      <c r="B60" s="8" t="inlineStr">
        <is>
          <t>MICROSOFT CORP</t>
        </is>
      </c>
      <c r="C60" s="8" t="inlineStr">
        <is>
          <t>기준</t>
        </is>
      </c>
      <c r="D60" s="15" t="n">
        <v>83.84541778480117</v>
      </c>
      <c r="E60" s="23" t="n">
        <v>0.04859431239597112</v>
      </c>
      <c r="F60" s="18">
        <f>IF(NOT(ISNUMBER(E60)),0.03,MAX(0,MIN(E60*기준표!$B$36,기준표!$B$40)))</f>
        <v/>
      </c>
      <c r="G60" s="18">
        <f>기준표!$B$34</f>
        <v/>
      </c>
      <c r="H60" s="18">
        <f>기준표!$B$35</f>
        <v/>
      </c>
      <c r="I60" s="17">
        <f>$D60*(1+$F60)^1/(1+$G60)^1</f>
        <v/>
      </c>
      <c r="J60" s="17">
        <f>$D60*(1+$F60)^2/(1+$G60)^2</f>
        <v/>
      </c>
      <c r="K60" s="17">
        <f>$D60*(1+$F60)^3/(1+$G60)^3</f>
        <v/>
      </c>
      <c r="L60" s="17">
        <f>$D60*(1+$F60)^4/(1+$G60)^4</f>
        <v/>
      </c>
      <c r="M60" s="17">
        <f>$D60*(1+$F60)^5/(1+$G60)^5</f>
        <v/>
      </c>
      <c r="N60" s="17">
        <f>$D60*(1+$F60)^6/(1+$G60)^6</f>
        <v/>
      </c>
      <c r="O60" s="17">
        <f>$D60*(1+$F60)^7/(1+$G60)^7</f>
        <v/>
      </c>
      <c r="P60" s="17">
        <f>$D60*(1+$F60)^8/(1+$G60)^8</f>
        <v/>
      </c>
      <c r="Q60" s="17">
        <f>$D60*(1+$F60)^9/(1+$G60)^9</f>
        <v/>
      </c>
      <c r="R60" s="17">
        <f>$D60*(1+$F60)^10/(1+$G60)^10</f>
        <v/>
      </c>
      <c r="S60" s="26">
        <f>SUM(I60:R60)</f>
        <v/>
      </c>
      <c r="T60" s="17">
        <f>$D60*(1+$F60)^10</f>
        <v/>
      </c>
      <c r="U60" s="17">
        <f>IF($G60&lt;=$H60,"",T60*(1+$H60)/($G60-$H60))</f>
        <v/>
      </c>
      <c r="V60" s="17">
        <f>IF(ISNUMBER(U60),U60/(1+$G60)^10,"")</f>
        <v/>
      </c>
      <c r="W60" s="26">
        <f>IF(ISNUMBER(V60),S60+V60,"")</f>
        <v/>
      </c>
      <c r="X60" s="15" t="n">
        <v>3757.77155117546</v>
      </c>
      <c r="Y60" s="19">
        <f>IF(AND(ISNUMBER(W60),W60&lt;&gt;0,ISNUMBER(X60)),(W60-X60)/W60,"")</f>
        <v/>
      </c>
      <c r="Z60" s="27">
        <f>IF(NOT(ISNUMBER(Y60)),"판정불가",IF(Y60&gt;=기준표!$B$42,"투자가능",IF(Y60&gt;=0,"경계선","범위밖")))</f>
        <v/>
      </c>
    </row>
    <row r="61">
      <c r="A61" s="8" t="inlineStr">
        <is>
          <t>MSFT</t>
        </is>
      </c>
      <c r="B61" s="8" t="inlineStr">
        <is>
          <t>MICROSOFT CORP</t>
        </is>
      </c>
      <c r="C61" s="8" t="inlineStr">
        <is>
          <t>낙관</t>
        </is>
      </c>
      <c r="D61" s="15" t="n">
        <v>83.84541778480117</v>
      </c>
      <c r="E61" s="23" t="n">
        <v>0.04859431239597112</v>
      </c>
      <c r="F61" s="18">
        <f>IF(NOT(ISNUMBER(E61)),0.03,MAX(0,MIN(E61*기준표!$B$39,기준표!$B$41)))</f>
        <v/>
      </c>
      <c r="G61" s="18">
        <f>기준표!$B$37</f>
        <v/>
      </c>
      <c r="H61" s="18">
        <f>기준표!$B$38</f>
        <v/>
      </c>
      <c r="I61" s="17">
        <f>$D61*(1+$F61)^1/(1+$G61)^1</f>
        <v/>
      </c>
      <c r="J61" s="17">
        <f>$D61*(1+$F61)^2/(1+$G61)^2</f>
        <v/>
      </c>
      <c r="K61" s="17">
        <f>$D61*(1+$F61)^3/(1+$G61)^3</f>
        <v/>
      </c>
      <c r="L61" s="17">
        <f>$D61*(1+$F61)^4/(1+$G61)^4</f>
        <v/>
      </c>
      <c r="M61" s="17">
        <f>$D61*(1+$F61)^5/(1+$G61)^5</f>
        <v/>
      </c>
      <c r="N61" s="17">
        <f>$D61*(1+$F61)^6/(1+$G61)^6</f>
        <v/>
      </c>
      <c r="O61" s="17">
        <f>$D61*(1+$F61)^7/(1+$G61)^7</f>
        <v/>
      </c>
      <c r="P61" s="17">
        <f>$D61*(1+$F61)^8/(1+$G61)^8</f>
        <v/>
      </c>
      <c r="Q61" s="17">
        <f>$D61*(1+$F61)^9/(1+$G61)^9</f>
        <v/>
      </c>
      <c r="R61" s="17">
        <f>$D61*(1+$F61)^10/(1+$G61)^10</f>
        <v/>
      </c>
      <c r="S61" s="26">
        <f>SUM(I61:R61)</f>
        <v/>
      </c>
      <c r="T61" s="17">
        <f>$D61*(1+$F61)^10</f>
        <v/>
      </c>
      <c r="U61" s="17">
        <f>IF($G61&lt;=$H61,"",T61*(1+$H61)/($G61-$H61))</f>
        <v/>
      </c>
      <c r="V61" s="17">
        <f>IF(ISNUMBER(U61),U61/(1+$G61)^10,"")</f>
        <v/>
      </c>
      <c r="W61" s="26">
        <f>IF(ISNUMBER(V61),S61+V61,"")</f>
        <v/>
      </c>
      <c r="X61" s="15" t="n">
        <v>3757.77155117546</v>
      </c>
      <c r="Y61" s="19">
        <f>IF(AND(ISNUMBER(W61),W61&lt;&gt;0,ISNUMBER(X61)),(W61-X61)/W61,"")</f>
        <v/>
      </c>
      <c r="Z61" s="27">
        <f>IF(NOT(ISNUMBER(Y61)),"판정불가",IF(Y61&gt;=기준표!$B$42,"투자가능",IF(Y61&gt;=0,"경계선","범위밖")))</f>
        <v/>
      </c>
    </row>
    <row r="62">
      <c r="A62" s="8" t="inlineStr">
        <is>
          <t>COST</t>
        </is>
      </c>
      <c r="B62" s="8" t="inlineStr">
        <is>
          <t>COSTCO WHOLESALE CORP /NEW</t>
        </is>
      </c>
      <c r="C62" s="8" t="inlineStr">
        <is>
          <t>보수</t>
        </is>
      </c>
      <c r="D62" s="15" t="n">
        <v>6.38985048908333</v>
      </c>
      <c r="E62" s="23" t="n">
        <v>0.1350691353752116</v>
      </c>
      <c r="F62" s="18">
        <f>IF(NOT(ISNUMBER(E62)),0.03,MAX(0,MIN(E62*기준표!$B$33,기준표!$B$40)))</f>
        <v/>
      </c>
      <c r="G62" s="18">
        <f>기준표!$B$31</f>
        <v/>
      </c>
      <c r="H62" s="18">
        <f>기준표!$B$32</f>
        <v/>
      </c>
      <c r="I62" s="17">
        <f>$D62*(1+$F62)^1/(1+$G62)^1</f>
        <v/>
      </c>
      <c r="J62" s="17">
        <f>$D62*(1+$F62)^2/(1+$G62)^2</f>
        <v/>
      </c>
      <c r="K62" s="17">
        <f>$D62*(1+$F62)^3/(1+$G62)^3</f>
        <v/>
      </c>
      <c r="L62" s="17">
        <f>$D62*(1+$F62)^4/(1+$G62)^4</f>
        <v/>
      </c>
      <c r="M62" s="17">
        <f>$D62*(1+$F62)^5/(1+$G62)^5</f>
        <v/>
      </c>
      <c r="N62" s="17">
        <f>$D62*(1+$F62)^6/(1+$G62)^6</f>
        <v/>
      </c>
      <c r="O62" s="17">
        <f>$D62*(1+$F62)^7/(1+$G62)^7</f>
        <v/>
      </c>
      <c r="P62" s="17">
        <f>$D62*(1+$F62)^8/(1+$G62)^8</f>
        <v/>
      </c>
      <c r="Q62" s="17">
        <f>$D62*(1+$F62)^9/(1+$G62)^9</f>
        <v/>
      </c>
      <c r="R62" s="17">
        <f>$D62*(1+$F62)^10/(1+$G62)^10</f>
        <v/>
      </c>
      <c r="S62" s="26">
        <f>SUM(I62:R62)</f>
        <v/>
      </c>
      <c r="T62" s="17">
        <f>$D62*(1+$F62)^10</f>
        <v/>
      </c>
      <c r="U62" s="17">
        <f>IF($G62&lt;=$H62,"",T62*(1+$H62)/($G62-$H62))</f>
        <v/>
      </c>
      <c r="V62" s="17">
        <f>IF(ISNUMBER(U62),U62/(1+$G62)^10,"")</f>
        <v/>
      </c>
      <c r="W62" s="26">
        <f>IF(ISNUMBER(V62),S62+V62,"")</f>
        <v/>
      </c>
      <c r="X62" s="15" t="n">
        <v>422.238959934</v>
      </c>
      <c r="Y62" s="19">
        <f>IF(AND(ISNUMBER(W62),W62&lt;&gt;0,ISNUMBER(X62)),(W62-X62)/W62,"")</f>
        <v/>
      </c>
      <c r="Z62" s="27">
        <f>IF(NOT(ISNUMBER(Y62)),"판정불가",IF(Y62&gt;=기준표!$B$42,"투자가능",IF(Y62&gt;=0,"경계선","범위밖")))</f>
        <v/>
      </c>
    </row>
    <row r="63">
      <c r="A63" s="8" t="inlineStr">
        <is>
          <t>COST</t>
        </is>
      </c>
      <c r="B63" s="8" t="inlineStr">
        <is>
          <t>COSTCO WHOLESALE CORP /NEW</t>
        </is>
      </c>
      <c r="C63" s="8" t="inlineStr">
        <is>
          <t>기준</t>
        </is>
      </c>
      <c r="D63" s="15" t="n">
        <v>6.38985048908333</v>
      </c>
      <c r="E63" s="23" t="n">
        <v>0.1350691353752116</v>
      </c>
      <c r="F63" s="18">
        <f>IF(NOT(ISNUMBER(E63)),0.03,MAX(0,MIN(E63*기준표!$B$36,기준표!$B$40)))</f>
        <v/>
      </c>
      <c r="G63" s="18">
        <f>기준표!$B$34</f>
        <v/>
      </c>
      <c r="H63" s="18">
        <f>기준표!$B$35</f>
        <v/>
      </c>
      <c r="I63" s="17">
        <f>$D63*(1+$F63)^1/(1+$G63)^1</f>
        <v/>
      </c>
      <c r="J63" s="17">
        <f>$D63*(1+$F63)^2/(1+$G63)^2</f>
        <v/>
      </c>
      <c r="K63" s="17">
        <f>$D63*(1+$F63)^3/(1+$G63)^3</f>
        <v/>
      </c>
      <c r="L63" s="17">
        <f>$D63*(1+$F63)^4/(1+$G63)^4</f>
        <v/>
      </c>
      <c r="M63" s="17">
        <f>$D63*(1+$F63)^5/(1+$G63)^5</f>
        <v/>
      </c>
      <c r="N63" s="17">
        <f>$D63*(1+$F63)^6/(1+$G63)^6</f>
        <v/>
      </c>
      <c r="O63" s="17">
        <f>$D63*(1+$F63)^7/(1+$G63)^7</f>
        <v/>
      </c>
      <c r="P63" s="17">
        <f>$D63*(1+$F63)^8/(1+$G63)^8</f>
        <v/>
      </c>
      <c r="Q63" s="17">
        <f>$D63*(1+$F63)^9/(1+$G63)^9</f>
        <v/>
      </c>
      <c r="R63" s="17">
        <f>$D63*(1+$F63)^10/(1+$G63)^10</f>
        <v/>
      </c>
      <c r="S63" s="26">
        <f>SUM(I63:R63)</f>
        <v/>
      </c>
      <c r="T63" s="17">
        <f>$D63*(1+$F63)^10</f>
        <v/>
      </c>
      <c r="U63" s="17">
        <f>IF($G63&lt;=$H63,"",T63*(1+$H63)/($G63-$H63))</f>
        <v/>
      </c>
      <c r="V63" s="17">
        <f>IF(ISNUMBER(U63),U63/(1+$G63)^10,"")</f>
        <v/>
      </c>
      <c r="W63" s="26">
        <f>IF(ISNUMBER(V63),S63+V63,"")</f>
        <v/>
      </c>
      <c r="X63" s="15" t="n">
        <v>422.238959934</v>
      </c>
      <c r="Y63" s="19">
        <f>IF(AND(ISNUMBER(W63),W63&lt;&gt;0,ISNUMBER(X63)),(W63-X63)/W63,"")</f>
        <v/>
      </c>
      <c r="Z63" s="27">
        <f>IF(NOT(ISNUMBER(Y63)),"판정불가",IF(Y63&gt;=기준표!$B$42,"투자가능",IF(Y63&gt;=0,"경계선","범위밖")))</f>
        <v/>
      </c>
    </row>
    <row r="64">
      <c r="A64" s="8" t="inlineStr">
        <is>
          <t>COST</t>
        </is>
      </c>
      <c r="B64" s="8" t="inlineStr">
        <is>
          <t>COSTCO WHOLESALE CORP /NEW</t>
        </is>
      </c>
      <c r="C64" s="8" t="inlineStr">
        <is>
          <t>낙관</t>
        </is>
      </c>
      <c r="D64" s="15" t="n">
        <v>6.38985048908333</v>
      </c>
      <c r="E64" s="23" t="n">
        <v>0.1350691353752116</v>
      </c>
      <c r="F64" s="18">
        <f>IF(NOT(ISNUMBER(E64)),0.03,MAX(0,MIN(E64*기준표!$B$39,기준표!$B$41)))</f>
        <v/>
      </c>
      <c r="G64" s="18">
        <f>기준표!$B$37</f>
        <v/>
      </c>
      <c r="H64" s="18">
        <f>기준표!$B$38</f>
        <v/>
      </c>
      <c r="I64" s="17">
        <f>$D64*(1+$F64)^1/(1+$G64)^1</f>
        <v/>
      </c>
      <c r="J64" s="17">
        <f>$D64*(1+$F64)^2/(1+$G64)^2</f>
        <v/>
      </c>
      <c r="K64" s="17">
        <f>$D64*(1+$F64)^3/(1+$G64)^3</f>
        <v/>
      </c>
      <c r="L64" s="17">
        <f>$D64*(1+$F64)^4/(1+$G64)^4</f>
        <v/>
      </c>
      <c r="M64" s="17">
        <f>$D64*(1+$F64)^5/(1+$G64)^5</f>
        <v/>
      </c>
      <c r="N64" s="17">
        <f>$D64*(1+$F64)^6/(1+$G64)^6</f>
        <v/>
      </c>
      <c r="O64" s="17">
        <f>$D64*(1+$F64)^7/(1+$G64)^7</f>
        <v/>
      </c>
      <c r="P64" s="17">
        <f>$D64*(1+$F64)^8/(1+$G64)^8</f>
        <v/>
      </c>
      <c r="Q64" s="17">
        <f>$D64*(1+$F64)^9/(1+$G64)^9</f>
        <v/>
      </c>
      <c r="R64" s="17">
        <f>$D64*(1+$F64)^10/(1+$G64)^10</f>
        <v/>
      </c>
      <c r="S64" s="26">
        <f>SUM(I64:R64)</f>
        <v/>
      </c>
      <c r="T64" s="17">
        <f>$D64*(1+$F64)^10</f>
        <v/>
      </c>
      <c r="U64" s="17">
        <f>IF($G64&lt;=$H64,"",T64*(1+$H64)/($G64-$H64))</f>
        <v/>
      </c>
      <c r="V64" s="17">
        <f>IF(ISNUMBER(U64),U64/(1+$G64)^10,"")</f>
        <v/>
      </c>
      <c r="W64" s="26">
        <f>IF(ISNUMBER(V64),S64+V64,"")</f>
        <v/>
      </c>
      <c r="X64" s="15" t="n">
        <v>422.238959934</v>
      </c>
      <c r="Y64" s="19">
        <f>IF(AND(ISNUMBER(W64),W64&lt;&gt;0,ISNUMBER(X64)),(W64-X64)/W64,"")</f>
        <v/>
      </c>
      <c r="Z64" s="27">
        <f>IF(NOT(ISNUMBER(Y64)),"판정불가",IF(Y64&gt;=기준표!$B$42,"투자가능",IF(Y64&gt;=0,"경계선","범위밖")))</f>
        <v/>
      </c>
    </row>
    <row r="65">
      <c r="A65" s="8" t="inlineStr">
        <is>
          <t>CAT</t>
        </is>
      </c>
      <c r="B65" s="8" t="inlineStr">
        <is>
          <t>CATERPILLAR INC</t>
        </is>
      </c>
      <c r="C65" s="8" t="inlineStr">
        <is>
          <t>보수</t>
        </is>
      </c>
      <c r="D65" s="15" t="n">
        <v>7.752195217052248</v>
      </c>
      <c r="E65" s="23" t="n">
        <v>0.0566059115562676</v>
      </c>
      <c r="F65" s="18">
        <f>IF(NOT(ISNUMBER(E65)),0.03,MAX(0,MIN(E65*기준표!$B$33,기준표!$B$40)))</f>
        <v/>
      </c>
      <c r="G65" s="18">
        <f>기준표!$B$31</f>
        <v/>
      </c>
      <c r="H65" s="18">
        <f>기준표!$B$32</f>
        <v/>
      </c>
      <c r="I65" s="17">
        <f>$D65*(1+$F65)^1/(1+$G65)^1</f>
        <v/>
      </c>
      <c r="J65" s="17">
        <f>$D65*(1+$F65)^2/(1+$G65)^2</f>
        <v/>
      </c>
      <c r="K65" s="17">
        <f>$D65*(1+$F65)^3/(1+$G65)^3</f>
        <v/>
      </c>
      <c r="L65" s="17">
        <f>$D65*(1+$F65)^4/(1+$G65)^4</f>
        <v/>
      </c>
      <c r="M65" s="17">
        <f>$D65*(1+$F65)^5/(1+$G65)^5</f>
        <v/>
      </c>
      <c r="N65" s="17">
        <f>$D65*(1+$F65)^6/(1+$G65)^6</f>
        <v/>
      </c>
      <c r="O65" s="17">
        <f>$D65*(1+$F65)^7/(1+$G65)^7</f>
        <v/>
      </c>
      <c r="P65" s="17">
        <f>$D65*(1+$F65)^8/(1+$G65)^8</f>
        <v/>
      </c>
      <c r="Q65" s="17">
        <f>$D65*(1+$F65)^9/(1+$G65)^9</f>
        <v/>
      </c>
      <c r="R65" s="17">
        <f>$D65*(1+$F65)^10/(1+$G65)^10</f>
        <v/>
      </c>
      <c r="S65" s="26">
        <f>SUM(I65:R65)</f>
        <v/>
      </c>
      <c r="T65" s="17">
        <f>$D65*(1+$F65)^10</f>
        <v/>
      </c>
      <c r="U65" s="17">
        <f>IF($G65&lt;=$H65,"",T65*(1+$H65)/($G65-$H65))</f>
        <v/>
      </c>
      <c r="V65" s="17">
        <f>IF(ISNUMBER(U65),U65/(1+$G65)^10,"")</f>
        <v/>
      </c>
      <c r="W65" s="26">
        <f>IF(ISNUMBER(V65),S65+V65,"")</f>
        <v/>
      </c>
      <c r="X65" s="15" t="n">
        <v>389.71536353656</v>
      </c>
      <c r="Y65" s="19">
        <f>IF(AND(ISNUMBER(W65),W65&lt;&gt;0,ISNUMBER(X65)),(W65-X65)/W65,"")</f>
        <v/>
      </c>
      <c r="Z65" s="27">
        <f>IF(NOT(ISNUMBER(Y65)),"판정불가",IF(Y65&gt;=기준표!$B$42,"투자가능",IF(Y65&gt;=0,"경계선","범위밖")))</f>
        <v/>
      </c>
    </row>
    <row r="66">
      <c r="A66" s="8" t="inlineStr">
        <is>
          <t>CAT</t>
        </is>
      </c>
      <c r="B66" s="8" t="inlineStr">
        <is>
          <t>CATERPILLAR INC</t>
        </is>
      </c>
      <c r="C66" s="8" t="inlineStr">
        <is>
          <t>기준</t>
        </is>
      </c>
      <c r="D66" s="15" t="n">
        <v>7.752195217052248</v>
      </c>
      <c r="E66" s="23" t="n">
        <v>0.0566059115562676</v>
      </c>
      <c r="F66" s="18">
        <f>IF(NOT(ISNUMBER(E66)),0.03,MAX(0,MIN(E66*기준표!$B$36,기준표!$B$40)))</f>
        <v/>
      </c>
      <c r="G66" s="18">
        <f>기준표!$B$34</f>
        <v/>
      </c>
      <c r="H66" s="18">
        <f>기준표!$B$35</f>
        <v/>
      </c>
      <c r="I66" s="17">
        <f>$D66*(1+$F66)^1/(1+$G66)^1</f>
        <v/>
      </c>
      <c r="J66" s="17">
        <f>$D66*(1+$F66)^2/(1+$G66)^2</f>
        <v/>
      </c>
      <c r="K66" s="17">
        <f>$D66*(1+$F66)^3/(1+$G66)^3</f>
        <v/>
      </c>
      <c r="L66" s="17">
        <f>$D66*(1+$F66)^4/(1+$G66)^4</f>
        <v/>
      </c>
      <c r="M66" s="17">
        <f>$D66*(1+$F66)^5/(1+$G66)^5</f>
        <v/>
      </c>
      <c r="N66" s="17">
        <f>$D66*(1+$F66)^6/(1+$G66)^6</f>
        <v/>
      </c>
      <c r="O66" s="17">
        <f>$D66*(1+$F66)^7/(1+$G66)^7</f>
        <v/>
      </c>
      <c r="P66" s="17">
        <f>$D66*(1+$F66)^8/(1+$G66)^8</f>
        <v/>
      </c>
      <c r="Q66" s="17">
        <f>$D66*(1+$F66)^9/(1+$G66)^9</f>
        <v/>
      </c>
      <c r="R66" s="17">
        <f>$D66*(1+$F66)^10/(1+$G66)^10</f>
        <v/>
      </c>
      <c r="S66" s="26">
        <f>SUM(I66:R66)</f>
        <v/>
      </c>
      <c r="T66" s="17">
        <f>$D66*(1+$F66)^10</f>
        <v/>
      </c>
      <c r="U66" s="17">
        <f>IF($G66&lt;=$H66,"",T66*(1+$H66)/($G66-$H66))</f>
        <v/>
      </c>
      <c r="V66" s="17">
        <f>IF(ISNUMBER(U66),U66/(1+$G66)^10,"")</f>
        <v/>
      </c>
      <c r="W66" s="26">
        <f>IF(ISNUMBER(V66),S66+V66,"")</f>
        <v/>
      </c>
      <c r="X66" s="15" t="n">
        <v>389.71536353656</v>
      </c>
      <c r="Y66" s="19">
        <f>IF(AND(ISNUMBER(W66),W66&lt;&gt;0,ISNUMBER(X66)),(W66-X66)/W66,"")</f>
        <v/>
      </c>
      <c r="Z66" s="27">
        <f>IF(NOT(ISNUMBER(Y66)),"판정불가",IF(Y66&gt;=기준표!$B$42,"투자가능",IF(Y66&gt;=0,"경계선","범위밖")))</f>
        <v/>
      </c>
    </row>
    <row r="67">
      <c r="A67" s="8" t="inlineStr">
        <is>
          <t>CAT</t>
        </is>
      </c>
      <c r="B67" s="8" t="inlineStr">
        <is>
          <t>CATERPILLAR INC</t>
        </is>
      </c>
      <c r="C67" s="8" t="inlineStr">
        <is>
          <t>낙관</t>
        </is>
      </c>
      <c r="D67" s="15" t="n">
        <v>7.752195217052248</v>
      </c>
      <c r="E67" s="23" t="n">
        <v>0.0566059115562676</v>
      </c>
      <c r="F67" s="18">
        <f>IF(NOT(ISNUMBER(E67)),0.03,MAX(0,MIN(E67*기준표!$B$39,기준표!$B$41)))</f>
        <v/>
      </c>
      <c r="G67" s="18">
        <f>기준표!$B$37</f>
        <v/>
      </c>
      <c r="H67" s="18">
        <f>기준표!$B$38</f>
        <v/>
      </c>
      <c r="I67" s="17">
        <f>$D67*(1+$F67)^1/(1+$G67)^1</f>
        <v/>
      </c>
      <c r="J67" s="17">
        <f>$D67*(1+$F67)^2/(1+$G67)^2</f>
        <v/>
      </c>
      <c r="K67" s="17">
        <f>$D67*(1+$F67)^3/(1+$G67)^3</f>
        <v/>
      </c>
      <c r="L67" s="17">
        <f>$D67*(1+$F67)^4/(1+$G67)^4</f>
        <v/>
      </c>
      <c r="M67" s="17">
        <f>$D67*(1+$F67)^5/(1+$G67)^5</f>
        <v/>
      </c>
      <c r="N67" s="17">
        <f>$D67*(1+$F67)^6/(1+$G67)^6</f>
        <v/>
      </c>
      <c r="O67" s="17">
        <f>$D67*(1+$F67)^7/(1+$G67)^7</f>
        <v/>
      </c>
      <c r="P67" s="17">
        <f>$D67*(1+$F67)^8/(1+$G67)^8</f>
        <v/>
      </c>
      <c r="Q67" s="17">
        <f>$D67*(1+$F67)^9/(1+$G67)^9</f>
        <v/>
      </c>
      <c r="R67" s="17">
        <f>$D67*(1+$F67)^10/(1+$G67)^10</f>
        <v/>
      </c>
      <c r="S67" s="26">
        <f>SUM(I67:R67)</f>
        <v/>
      </c>
      <c r="T67" s="17">
        <f>$D67*(1+$F67)^10</f>
        <v/>
      </c>
      <c r="U67" s="17">
        <f>IF($G67&lt;=$H67,"",T67*(1+$H67)/($G67-$H67))</f>
        <v/>
      </c>
      <c r="V67" s="17">
        <f>IF(ISNUMBER(U67),U67/(1+$G67)^10,"")</f>
        <v/>
      </c>
      <c r="W67" s="26">
        <f>IF(ISNUMBER(V67),S67+V67,"")</f>
        <v/>
      </c>
      <c r="X67" s="15" t="n">
        <v>389.71536353656</v>
      </c>
      <c r="Y67" s="19">
        <f>IF(AND(ISNUMBER(W67),W67&lt;&gt;0,ISNUMBER(X67)),(W67-X67)/W67,"")</f>
        <v/>
      </c>
      <c r="Z67" s="27">
        <f>IF(NOT(ISNUMBER(Y67)),"판정불가",IF(Y67&gt;=기준표!$B$42,"투자가능",IF(Y67&gt;=0,"경계선","범위밖")))</f>
        <v/>
      </c>
    </row>
    <row r="68">
      <c r="A68" s="8" t="inlineStr">
        <is>
          <t>AMAT</t>
        </is>
      </c>
      <c r="B68" s="8" t="inlineStr">
        <is>
          <t>APPLIED MATERIALS INC /DE</t>
        </is>
      </c>
      <c r="C68" s="8" t="inlineStr">
        <is>
          <t>보수</t>
        </is>
      </c>
      <c r="D68" s="15" t="n">
        <v>5.512959111997572</v>
      </c>
      <c r="E68" s="23" t="n">
        <v>0.1074562420816572</v>
      </c>
      <c r="F68" s="18">
        <f>IF(NOT(ISNUMBER(E68)),0.03,MAX(0,MIN(E68*기준표!$B$33,기준표!$B$40)))</f>
        <v/>
      </c>
      <c r="G68" s="18">
        <f>기준표!$B$31</f>
        <v/>
      </c>
      <c r="H68" s="18">
        <f>기준표!$B$32</f>
        <v/>
      </c>
      <c r="I68" s="17">
        <f>$D68*(1+$F68)^1/(1+$G68)^1</f>
        <v/>
      </c>
      <c r="J68" s="17">
        <f>$D68*(1+$F68)^2/(1+$G68)^2</f>
        <v/>
      </c>
      <c r="K68" s="17">
        <f>$D68*(1+$F68)^3/(1+$G68)^3</f>
        <v/>
      </c>
      <c r="L68" s="17">
        <f>$D68*(1+$F68)^4/(1+$G68)^4</f>
        <v/>
      </c>
      <c r="M68" s="17">
        <f>$D68*(1+$F68)^5/(1+$G68)^5</f>
        <v/>
      </c>
      <c r="N68" s="17">
        <f>$D68*(1+$F68)^6/(1+$G68)^6</f>
        <v/>
      </c>
      <c r="O68" s="17">
        <f>$D68*(1+$F68)^7/(1+$G68)^7</f>
        <v/>
      </c>
      <c r="P68" s="17">
        <f>$D68*(1+$F68)^8/(1+$G68)^8</f>
        <v/>
      </c>
      <c r="Q68" s="17">
        <f>$D68*(1+$F68)^9/(1+$G68)^9</f>
        <v/>
      </c>
      <c r="R68" s="17">
        <f>$D68*(1+$F68)^10/(1+$G68)^10</f>
        <v/>
      </c>
      <c r="S68" s="26">
        <f>SUM(I68:R68)</f>
        <v/>
      </c>
      <c r="T68" s="17">
        <f>$D68*(1+$F68)^10</f>
        <v/>
      </c>
      <c r="U68" s="17">
        <f>IF($G68&lt;=$H68,"",T68*(1+$H68)/($G68-$H68))</f>
        <v/>
      </c>
      <c r="V68" s="17">
        <f>IF(ISNUMBER(U68),U68/(1+$G68)^10,"")</f>
        <v/>
      </c>
      <c r="W68" s="26">
        <f>IF(ISNUMBER(V68),S68+V68,"")</f>
        <v/>
      </c>
      <c r="X68" s="15" t="n">
        <v>414.01159025592</v>
      </c>
      <c r="Y68" s="19">
        <f>IF(AND(ISNUMBER(W68),W68&lt;&gt;0,ISNUMBER(X68)),(W68-X68)/W68,"")</f>
        <v/>
      </c>
      <c r="Z68" s="27">
        <f>IF(NOT(ISNUMBER(Y68)),"판정불가",IF(Y68&gt;=기준표!$B$42,"투자가능",IF(Y68&gt;=0,"경계선","범위밖")))</f>
        <v/>
      </c>
    </row>
    <row r="69">
      <c r="A69" s="8" t="inlineStr">
        <is>
          <t>AMAT</t>
        </is>
      </c>
      <c r="B69" s="8" t="inlineStr">
        <is>
          <t>APPLIED MATERIALS INC /DE</t>
        </is>
      </c>
      <c r="C69" s="8" t="inlineStr">
        <is>
          <t>기준</t>
        </is>
      </c>
      <c r="D69" s="15" t="n">
        <v>5.512959111997572</v>
      </c>
      <c r="E69" s="23" t="n">
        <v>0.1074562420816572</v>
      </c>
      <c r="F69" s="18">
        <f>IF(NOT(ISNUMBER(E69)),0.03,MAX(0,MIN(E69*기준표!$B$36,기준표!$B$40)))</f>
        <v/>
      </c>
      <c r="G69" s="18">
        <f>기준표!$B$34</f>
        <v/>
      </c>
      <c r="H69" s="18">
        <f>기준표!$B$35</f>
        <v/>
      </c>
      <c r="I69" s="17">
        <f>$D69*(1+$F69)^1/(1+$G69)^1</f>
        <v/>
      </c>
      <c r="J69" s="17">
        <f>$D69*(1+$F69)^2/(1+$G69)^2</f>
        <v/>
      </c>
      <c r="K69" s="17">
        <f>$D69*(1+$F69)^3/(1+$G69)^3</f>
        <v/>
      </c>
      <c r="L69" s="17">
        <f>$D69*(1+$F69)^4/(1+$G69)^4</f>
        <v/>
      </c>
      <c r="M69" s="17">
        <f>$D69*(1+$F69)^5/(1+$G69)^5</f>
        <v/>
      </c>
      <c r="N69" s="17">
        <f>$D69*(1+$F69)^6/(1+$G69)^6</f>
        <v/>
      </c>
      <c r="O69" s="17">
        <f>$D69*(1+$F69)^7/(1+$G69)^7</f>
        <v/>
      </c>
      <c r="P69" s="17">
        <f>$D69*(1+$F69)^8/(1+$G69)^8</f>
        <v/>
      </c>
      <c r="Q69" s="17">
        <f>$D69*(1+$F69)^9/(1+$G69)^9</f>
        <v/>
      </c>
      <c r="R69" s="17">
        <f>$D69*(1+$F69)^10/(1+$G69)^10</f>
        <v/>
      </c>
      <c r="S69" s="26">
        <f>SUM(I69:R69)</f>
        <v/>
      </c>
      <c r="T69" s="17">
        <f>$D69*(1+$F69)^10</f>
        <v/>
      </c>
      <c r="U69" s="17">
        <f>IF($G69&lt;=$H69,"",T69*(1+$H69)/($G69-$H69))</f>
        <v/>
      </c>
      <c r="V69" s="17">
        <f>IF(ISNUMBER(U69),U69/(1+$G69)^10,"")</f>
        <v/>
      </c>
      <c r="W69" s="26">
        <f>IF(ISNUMBER(V69),S69+V69,"")</f>
        <v/>
      </c>
      <c r="X69" s="15" t="n">
        <v>414.01159025592</v>
      </c>
      <c r="Y69" s="19">
        <f>IF(AND(ISNUMBER(W69),W69&lt;&gt;0,ISNUMBER(X69)),(W69-X69)/W69,"")</f>
        <v/>
      </c>
      <c r="Z69" s="27">
        <f>IF(NOT(ISNUMBER(Y69)),"판정불가",IF(Y69&gt;=기준표!$B$42,"투자가능",IF(Y69&gt;=0,"경계선","범위밖")))</f>
        <v/>
      </c>
    </row>
    <row r="70">
      <c r="A70" s="8" t="inlineStr">
        <is>
          <t>AMAT</t>
        </is>
      </c>
      <c r="B70" s="8" t="inlineStr">
        <is>
          <t>APPLIED MATERIALS INC /DE</t>
        </is>
      </c>
      <c r="C70" s="8" t="inlineStr">
        <is>
          <t>낙관</t>
        </is>
      </c>
      <c r="D70" s="15" t="n">
        <v>5.512959111997572</v>
      </c>
      <c r="E70" s="23" t="n">
        <v>0.1074562420816572</v>
      </c>
      <c r="F70" s="18">
        <f>IF(NOT(ISNUMBER(E70)),0.03,MAX(0,MIN(E70*기준표!$B$39,기준표!$B$41)))</f>
        <v/>
      </c>
      <c r="G70" s="18">
        <f>기준표!$B$37</f>
        <v/>
      </c>
      <c r="H70" s="18">
        <f>기준표!$B$38</f>
        <v/>
      </c>
      <c r="I70" s="17">
        <f>$D70*(1+$F70)^1/(1+$G70)^1</f>
        <v/>
      </c>
      <c r="J70" s="17">
        <f>$D70*(1+$F70)^2/(1+$G70)^2</f>
        <v/>
      </c>
      <c r="K70" s="17">
        <f>$D70*(1+$F70)^3/(1+$G70)^3</f>
        <v/>
      </c>
      <c r="L70" s="17">
        <f>$D70*(1+$F70)^4/(1+$G70)^4</f>
        <v/>
      </c>
      <c r="M70" s="17">
        <f>$D70*(1+$F70)^5/(1+$G70)^5</f>
        <v/>
      </c>
      <c r="N70" s="17">
        <f>$D70*(1+$F70)^6/(1+$G70)^6</f>
        <v/>
      </c>
      <c r="O70" s="17">
        <f>$D70*(1+$F70)^7/(1+$G70)^7</f>
        <v/>
      </c>
      <c r="P70" s="17">
        <f>$D70*(1+$F70)^8/(1+$G70)^8</f>
        <v/>
      </c>
      <c r="Q70" s="17">
        <f>$D70*(1+$F70)^9/(1+$G70)^9</f>
        <v/>
      </c>
      <c r="R70" s="17">
        <f>$D70*(1+$F70)^10/(1+$G70)^10</f>
        <v/>
      </c>
      <c r="S70" s="26">
        <f>SUM(I70:R70)</f>
        <v/>
      </c>
      <c r="T70" s="17">
        <f>$D70*(1+$F70)^10</f>
        <v/>
      </c>
      <c r="U70" s="17">
        <f>IF($G70&lt;=$H70,"",T70*(1+$H70)/($G70-$H70))</f>
        <v/>
      </c>
      <c r="V70" s="17">
        <f>IF(ISNUMBER(U70),U70/(1+$G70)^10,"")</f>
        <v/>
      </c>
      <c r="W70" s="26">
        <f>IF(ISNUMBER(V70),S70+V70,"")</f>
        <v/>
      </c>
      <c r="X70" s="15" t="n">
        <v>414.01159025592</v>
      </c>
      <c r="Y70" s="19">
        <f>IF(AND(ISNUMBER(W70),W70&lt;&gt;0,ISNUMBER(X70)),(W70-X70)/W70,"")</f>
        <v/>
      </c>
      <c r="Z70" s="27">
        <f>IF(NOT(ISNUMBER(Y70)),"판정불가",IF(Y70&gt;=기준표!$B$42,"투자가능",IF(Y70&gt;=0,"경계선","범위밖")))</f>
        <v/>
      </c>
    </row>
    <row r="71">
      <c r="A71" s="8" t="inlineStr">
        <is>
          <t>KO</t>
        </is>
      </c>
      <c r="B71" s="8" t="inlineStr">
        <is>
          <t>COCA COLA CO</t>
        </is>
      </c>
      <c r="C71" s="8" t="inlineStr">
        <is>
          <t>보수</t>
        </is>
      </c>
      <c r="D71" s="15" t="n">
        <v>10.24647723376448</v>
      </c>
      <c r="E71" s="23" t="n">
        <v>-0.07623309527187561</v>
      </c>
      <c r="F71" s="18">
        <f>IF(NOT(ISNUMBER(E71)),0.03,MAX(0,MIN(E71*기준표!$B$33,기준표!$B$40)))</f>
        <v/>
      </c>
      <c r="G71" s="18">
        <f>기준표!$B$31</f>
        <v/>
      </c>
      <c r="H71" s="18">
        <f>기준표!$B$32</f>
        <v/>
      </c>
      <c r="I71" s="17">
        <f>$D71*(1+$F71)^1/(1+$G71)^1</f>
        <v/>
      </c>
      <c r="J71" s="17">
        <f>$D71*(1+$F71)^2/(1+$G71)^2</f>
        <v/>
      </c>
      <c r="K71" s="17">
        <f>$D71*(1+$F71)^3/(1+$G71)^3</f>
        <v/>
      </c>
      <c r="L71" s="17">
        <f>$D71*(1+$F71)^4/(1+$G71)^4</f>
        <v/>
      </c>
      <c r="M71" s="17">
        <f>$D71*(1+$F71)^5/(1+$G71)^5</f>
        <v/>
      </c>
      <c r="N71" s="17">
        <f>$D71*(1+$F71)^6/(1+$G71)^6</f>
        <v/>
      </c>
      <c r="O71" s="17">
        <f>$D71*(1+$F71)^7/(1+$G71)^7</f>
        <v/>
      </c>
      <c r="P71" s="17">
        <f>$D71*(1+$F71)^8/(1+$G71)^8</f>
        <v/>
      </c>
      <c r="Q71" s="17">
        <f>$D71*(1+$F71)^9/(1+$G71)^9</f>
        <v/>
      </c>
      <c r="R71" s="17">
        <f>$D71*(1+$F71)^10/(1+$G71)^10</f>
        <v/>
      </c>
      <c r="S71" s="26">
        <f>SUM(I71:R71)</f>
        <v/>
      </c>
      <c r="T71" s="17">
        <f>$D71*(1+$F71)^10</f>
        <v/>
      </c>
      <c r="U71" s="17">
        <f>IF($G71&lt;=$H71,"",T71*(1+$H71)/($G71-$H71))</f>
        <v/>
      </c>
      <c r="V71" s="17">
        <f>IF(ISNUMBER(U71),U71/(1+$G71)^10,"")</f>
        <v/>
      </c>
      <c r="W71" s="26">
        <f>IF(ISNUMBER(V71),S71+V71,"")</f>
        <v/>
      </c>
      <c r="X71" s="15" t="n">
        <v>373.60381300403</v>
      </c>
      <c r="Y71" s="19">
        <f>IF(AND(ISNUMBER(W71),W71&lt;&gt;0,ISNUMBER(X71)),(W71-X71)/W71,"")</f>
        <v/>
      </c>
      <c r="Z71" s="27">
        <f>IF(NOT(ISNUMBER(Y71)),"판정불가",IF(Y71&gt;=기준표!$B$42,"투자가능",IF(Y71&gt;=0,"경계선","범위밖")))</f>
        <v/>
      </c>
    </row>
    <row r="72">
      <c r="A72" s="8" t="inlineStr">
        <is>
          <t>KO</t>
        </is>
      </c>
      <c r="B72" s="8" t="inlineStr">
        <is>
          <t>COCA COLA CO</t>
        </is>
      </c>
      <c r="C72" s="8" t="inlineStr">
        <is>
          <t>기준</t>
        </is>
      </c>
      <c r="D72" s="15" t="n">
        <v>10.24647723376448</v>
      </c>
      <c r="E72" s="23" t="n">
        <v>-0.07623309527187561</v>
      </c>
      <c r="F72" s="18">
        <f>IF(NOT(ISNUMBER(E72)),0.03,MAX(0,MIN(E72*기준표!$B$36,기준표!$B$40)))</f>
        <v/>
      </c>
      <c r="G72" s="18">
        <f>기준표!$B$34</f>
        <v/>
      </c>
      <c r="H72" s="18">
        <f>기준표!$B$35</f>
        <v/>
      </c>
      <c r="I72" s="17">
        <f>$D72*(1+$F72)^1/(1+$G72)^1</f>
        <v/>
      </c>
      <c r="J72" s="17">
        <f>$D72*(1+$F72)^2/(1+$G72)^2</f>
        <v/>
      </c>
      <c r="K72" s="17">
        <f>$D72*(1+$F72)^3/(1+$G72)^3</f>
        <v/>
      </c>
      <c r="L72" s="17">
        <f>$D72*(1+$F72)^4/(1+$G72)^4</f>
        <v/>
      </c>
      <c r="M72" s="17">
        <f>$D72*(1+$F72)^5/(1+$G72)^5</f>
        <v/>
      </c>
      <c r="N72" s="17">
        <f>$D72*(1+$F72)^6/(1+$G72)^6</f>
        <v/>
      </c>
      <c r="O72" s="17">
        <f>$D72*(1+$F72)^7/(1+$G72)^7</f>
        <v/>
      </c>
      <c r="P72" s="17">
        <f>$D72*(1+$F72)^8/(1+$G72)^8</f>
        <v/>
      </c>
      <c r="Q72" s="17">
        <f>$D72*(1+$F72)^9/(1+$G72)^9</f>
        <v/>
      </c>
      <c r="R72" s="17">
        <f>$D72*(1+$F72)^10/(1+$G72)^10</f>
        <v/>
      </c>
      <c r="S72" s="26">
        <f>SUM(I72:R72)</f>
        <v/>
      </c>
      <c r="T72" s="17">
        <f>$D72*(1+$F72)^10</f>
        <v/>
      </c>
      <c r="U72" s="17">
        <f>IF($G72&lt;=$H72,"",T72*(1+$H72)/($G72-$H72))</f>
        <v/>
      </c>
      <c r="V72" s="17">
        <f>IF(ISNUMBER(U72),U72/(1+$G72)^10,"")</f>
        <v/>
      </c>
      <c r="W72" s="26">
        <f>IF(ISNUMBER(V72),S72+V72,"")</f>
        <v/>
      </c>
      <c r="X72" s="15" t="n">
        <v>373.60381300403</v>
      </c>
      <c r="Y72" s="19">
        <f>IF(AND(ISNUMBER(W72),W72&lt;&gt;0,ISNUMBER(X72)),(W72-X72)/W72,"")</f>
        <v/>
      </c>
      <c r="Z72" s="27">
        <f>IF(NOT(ISNUMBER(Y72)),"판정불가",IF(Y72&gt;=기준표!$B$42,"투자가능",IF(Y72&gt;=0,"경계선","범위밖")))</f>
        <v/>
      </c>
    </row>
    <row r="73">
      <c r="A73" s="8" t="inlineStr">
        <is>
          <t>KO</t>
        </is>
      </c>
      <c r="B73" s="8" t="inlineStr">
        <is>
          <t>COCA COLA CO</t>
        </is>
      </c>
      <c r="C73" s="8" t="inlineStr">
        <is>
          <t>낙관</t>
        </is>
      </c>
      <c r="D73" s="15" t="n">
        <v>10.24647723376448</v>
      </c>
      <c r="E73" s="23" t="n">
        <v>-0.07623309527187561</v>
      </c>
      <c r="F73" s="18">
        <f>IF(NOT(ISNUMBER(E73)),0.03,MAX(0,MIN(E73*기준표!$B$39,기준표!$B$41)))</f>
        <v/>
      </c>
      <c r="G73" s="18">
        <f>기준표!$B$37</f>
        <v/>
      </c>
      <c r="H73" s="18">
        <f>기준표!$B$38</f>
        <v/>
      </c>
      <c r="I73" s="17">
        <f>$D73*(1+$F73)^1/(1+$G73)^1</f>
        <v/>
      </c>
      <c r="J73" s="17">
        <f>$D73*(1+$F73)^2/(1+$G73)^2</f>
        <v/>
      </c>
      <c r="K73" s="17">
        <f>$D73*(1+$F73)^3/(1+$G73)^3</f>
        <v/>
      </c>
      <c r="L73" s="17">
        <f>$D73*(1+$F73)^4/(1+$G73)^4</f>
        <v/>
      </c>
      <c r="M73" s="17">
        <f>$D73*(1+$F73)^5/(1+$G73)^5</f>
        <v/>
      </c>
      <c r="N73" s="17">
        <f>$D73*(1+$F73)^6/(1+$G73)^6</f>
        <v/>
      </c>
      <c r="O73" s="17">
        <f>$D73*(1+$F73)^7/(1+$G73)^7</f>
        <v/>
      </c>
      <c r="P73" s="17">
        <f>$D73*(1+$F73)^8/(1+$G73)^8</f>
        <v/>
      </c>
      <c r="Q73" s="17">
        <f>$D73*(1+$F73)^9/(1+$G73)^9</f>
        <v/>
      </c>
      <c r="R73" s="17">
        <f>$D73*(1+$F73)^10/(1+$G73)^10</f>
        <v/>
      </c>
      <c r="S73" s="26">
        <f>SUM(I73:R73)</f>
        <v/>
      </c>
      <c r="T73" s="17">
        <f>$D73*(1+$F73)^10</f>
        <v/>
      </c>
      <c r="U73" s="17">
        <f>IF($G73&lt;=$H73,"",T73*(1+$H73)/($G73-$H73))</f>
        <v/>
      </c>
      <c r="V73" s="17">
        <f>IF(ISNUMBER(U73),U73/(1+$G73)^10,"")</f>
        <v/>
      </c>
      <c r="W73" s="26">
        <f>IF(ISNUMBER(V73),S73+V73,"")</f>
        <v/>
      </c>
      <c r="X73" s="15" t="n">
        <v>373.60381300403</v>
      </c>
      <c r="Y73" s="19">
        <f>IF(AND(ISNUMBER(W73),W73&lt;&gt;0,ISNUMBER(X73)),(W73-X73)/W73,"")</f>
        <v/>
      </c>
      <c r="Z73" s="27">
        <f>IF(NOT(ISNUMBER(Y73)),"판정불가",IF(Y73&gt;=기준표!$B$42,"투자가능",IF(Y73&gt;=0,"경계선","범위밖")))</f>
        <v/>
      </c>
    </row>
    <row r="74">
      <c r="A74" s="8" t="inlineStr">
        <is>
          <t>GE</t>
        </is>
      </c>
      <c r="B74" s="8" t="inlineStr">
        <is>
          <t>GENERAL ELECTRIC CO</t>
        </is>
      </c>
      <c r="C74" s="8" t="inlineStr">
        <is>
          <t>보수</t>
        </is>
      </c>
      <c r="D74" s="15" t="n">
        <v>8.232374</v>
      </c>
      <c r="E74" s="23" t="n"/>
      <c r="F74" s="18">
        <f>IF(NOT(ISNUMBER(E74)),0.03,MAX(0,MIN(E74*기준표!$B$33,기준표!$B$40)))</f>
        <v/>
      </c>
      <c r="G74" s="18">
        <f>기준표!$B$31</f>
        <v/>
      </c>
      <c r="H74" s="18">
        <f>기준표!$B$32</f>
        <v/>
      </c>
      <c r="I74" s="17">
        <f>$D74*(1+$F74)^1/(1+$G74)^1</f>
        <v/>
      </c>
      <c r="J74" s="17">
        <f>$D74*(1+$F74)^2/(1+$G74)^2</f>
        <v/>
      </c>
      <c r="K74" s="17">
        <f>$D74*(1+$F74)^3/(1+$G74)^3</f>
        <v/>
      </c>
      <c r="L74" s="17">
        <f>$D74*(1+$F74)^4/(1+$G74)^4</f>
        <v/>
      </c>
      <c r="M74" s="17">
        <f>$D74*(1+$F74)^5/(1+$G74)^5</f>
        <v/>
      </c>
      <c r="N74" s="17">
        <f>$D74*(1+$F74)^6/(1+$G74)^6</f>
        <v/>
      </c>
      <c r="O74" s="17">
        <f>$D74*(1+$F74)^7/(1+$G74)^7</f>
        <v/>
      </c>
      <c r="P74" s="17">
        <f>$D74*(1+$F74)^8/(1+$G74)^8</f>
        <v/>
      </c>
      <c r="Q74" s="17">
        <f>$D74*(1+$F74)^9/(1+$G74)^9</f>
        <v/>
      </c>
      <c r="R74" s="17">
        <f>$D74*(1+$F74)^10/(1+$G74)^10</f>
        <v/>
      </c>
      <c r="S74" s="26">
        <f>SUM(I74:R74)</f>
        <v/>
      </c>
      <c r="T74" s="17">
        <f>$D74*(1+$F74)^10</f>
        <v/>
      </c>
      <c r="U74" s="17">
        <f>IF($G74&lt;=$H74,"",T74*(1+$H74)/($G74-$H74))</f>
        <v/>
      </c>
      <c r="V74" s="17">
        <f>IF(ISNUMBER(U74),U74/(1+$G74)^10,"")</f>
        <v/>
      </c>
      <c r="W74" s="26">
        <f>IF(ISNUMBER(V74),S74+V74,"")</f>
        <v/>
      </c>
      <c r="X74" s="15" t="n">
        <v>384.5999515203999</v>
      </c>
      <c r="Y74" s="19">
        <f>IF(AND(ISNUMBER(W74),W74&lt;&gt;0,ISNUMBER(X74)),(W74-X74)/W74,"")</f>
        <v/>
      </c>
      <c r="Z74" s="27">
        <f>IF(NOT(ISNUMBER(Y74)),"판정불가",IF(Y74&gt;=기준표!$B$42,"투자가능",IF(Y74&gt;=0,"경계선","범위밖")))</f>
        <v/>
      </c>
    </row>
    <row r="75">
      <c r="A75" s="8" t="inlineStr">
        <is>
          <t>GE</t>
        </is>
      </c>
      <c r="B75" s="8" t="inlineStr">
        <is>
          <t>GENERAL ELECTRIC CO</t>
        </is>
      </c>
      <c r="C75" s="8" t="inlineStr">
        <is>
          <t>기준</t>
        </is>
      </c>
      <c r="D75" s="15" t="n">
        <v>8.232374</v>
      </c>
      <c r="E75" s="23" t="n"/>
      <c r="F75" s="18">
        <f>IF(NOT(ISNUMBER(E75)),0.03,MAX(0,MIN(E75*기준표!$B$36,기준표!$B$40)))</f>
        <v/>
      </c>
      <c r="G75" s="18">
        <f>기준표!$B$34</f>
        <v/>
      </c>
      <c r="H75" s="18">
        <f>기준표!$B$35</f>
        <v/>
      </c>
      <c r="I75" s="17">
        <f>$D75*(1+$F75)^1/(1+$G75)^1</f>
        <v/>
      </c>
      <c r="J75" s="17">
        <f>$D75*(1+$F75)^2/(1+$G75)^2</f>
        <v/>
      </c>
      <c r="K75" s="17">
        <f>$D75*(1+$F75)^3/(1+$G75)^3</f>
        <v/>
      </c>
      <c r="L75" s="17">
        <f>$D75*(1+$F75)^4/(1+$G75)^4</f>
        <v/>
      </c>
      <c r="M75" s="17">
        <f>$D75*(1+$F75)^5/(1+$G75)^5</f>
        <v/>
      </c>
      <c r="N75" s="17">
        <f>$D75*(1+$F75)^6/(1+$G75)^6</f>
        <v/>
      </c>
      <c r="O75" s="17">
        <f>$D75*(1+$F75)^7/(1+$G75)^7</f>
        <v/>
      </c>
      <c r="P75" s="17">
        <f>$D75*(1+$F75)^8/(1+$G75)^8</f>
        <v/>
      </c>
      <c r="Q75" s="17">
        <f>$D75*(1+$F75)^9/(1+$G75)^9</f>
        <v/>
      </c>
      <c r="R75" s="17">
        <f>$D75*(1+$F75)^10/(1+$G75)^10</f>
        <v/>
      </c>
      <c r="S75" s="26">
        <f>SUM(I75:R75)</f>
        <v/>
      </c>
      <c r="T75" s="17">
        <f>$D75*(1+$F75)^10</f>
        <v/>
      </c>
      <c r="U75" s="17">
        <f>IF($G75&lt;=$H75,"",T75*(1+$H75)/($G75-$H75))</f>
        <v/>
      </c>
      <c r="V75" s="17">
        <f>IF(ISNUMBER(U75),U75/(1+$G75)^10,"")</f>
        <v/>
      </c>
      <c r="W75" s="26">
        <f>IF(ISNUMBER(V75),S75+V75,"")</f>
        <v/>
      </c>
      <c r="X75" s="15" t="n">
        <v>384.5999515203999</v>
      </c>
      <c r="Y75" s="19">
        <f>IF(AND(ISNUMBER(W75),W75&lt;&gt;0,ISNUMBER(X75)),(W75-X75)/W75,"")</f>
        <v/>
      </c>
      <c r="Z75" s="27">
        <f>IF(NOT(ISNUMBER(Y75)),"판정불가",IF(Y75&gt;=기준표!$B$42,"투자가능",IF(Y75&gt;=0,"경계선","범위밖")))</f>
        <v/>
      </c>
    </row>
    <row r="76">
      <c r="A76" s="8" t="inlineStr">
        <is>
          <t>GE</t>
        </is>
      </c>
      <c r="B76" s="8" t="inlineStr">
        <is>
          <t>GENERAL ELECTRIC CO</t>
        </is>
      </c>
      <c r="C76" s="8" t="inlineStr">
        <is>
          <t>낙관</t>
        </is>
      </c>
      <c r="D76" s="15" t="n">
        <v>8.232374</v>
      </c>
      <c r="E76" s="23" t="n"/>
      <c r="F76" s="18">
        <f>IF(NOT(ISNUMBER(E76)),0.03,MAX(0,MIN(E76*기준표!$B$39,기준표!$B$41)))</f>
        <v/>
      </c>
      <c r="G76" s="18">
        <f>기준표!$B$37</f>
        <v/>
      </c>
      <c r="H76" s="18">
        <f>기준표!$B$38</f>
        <v/>
      </c>
      <c r="I76" s="17">
        <f>$D76*(1+$F76)^1/(1+$G76)^1</f>
        <v/>
      </c>
      <c r="J76" s="17">
        <f>$D76*(1+$F76)^2/(1+$G76)^2</f>
        <v/>
      </c>
      <c r="K76" s="17">
        <f>$D76*(1+$F76)^3/(1+$G76)^3</f>
        <v/>
      </c>
      <c r="L76" s="17">
        <f>$D76*(1+$F76)^4/(1+$G76)^4</f>
        <v/>
      </c>
      <c r="M76" s="17">
        <f>$D76*(1+$F76)^5/(1+$G76)^5</f>
        <v/>
      </c>
      <c r="N76" s="17">
        <f>$D76*(1+$F76)^6/(1+$G76)^6</f>
        <v/>
      </c>
      <c r="O76" s="17">
        <f>$D76*(1+$F76)^7/(1+$G76)^7</f>
        <v/>
      </c>
      <c r="P76" s="17">
        <f>$D76*(1+$F76)^8/(1+$G76)^8</f>
        <v/>
      </c>
      <c r="Q76" s="17">
        <f>$D76*(1+$F76)^9/(1+$G76)^9</f>
        <v/>
      </c>
      <c r="R76" s="17">
        <f>$D76*(1+$F76)^10/(1+$G76)^10</f>
        <v/>
      </c>
      <c r="S76" s="26">
        <f>SUM(I76:R76)</f>
        <v/>
      </c>
      <c r="T76" s="17">
        <f>$D76*(1+$F76)^10</f>
        <v/>
      </c>
      <c r="U76" s="17">
        <f>IF($G76&lt;=$H76,"",T76*(1+$H76)/($G76-$H76))</f>
        <v/>
      </c>
      <c r="V76" s="17">
        <f>IF(ISNUMBER(U76),U76/(1+$G76)^10,"")</f>
        <v/>
      </c>
      <c r="W76" s="26">
        <f>IF(ISNUMBER(V76),S76+V76,"")</f>
        <v/>
      </c>
      <c r="X76" s="15" t="n">
        <v>384.5999515203999</v>
      </c>
      <c r="Y76" s="19">
        <f>IF(AND(ISNUMBER(W76),W76&lt;&gt;0,ISNUMBER(X76)),(W76-X76)/W76,"")</f>
        <v/>
      </c>
      <c r="Z76" s="27">
        <f>IF(NOT(ISNUMBER(Y76)),"판정불가",IF(Y76&gt;=기준표!$B$42,"투자가능",IF(Y76&gt;=0,"경계선","범위밖")))</f>
        <v/>
      </c>
    </row>
    <row r="77">
      <c r="A77" s="8" t="inlineStr">
        <is>
          <t>ANET</t>
        </is>
      </c>
      <c r="B77" s="8" t="inlineStr">
        <is>
          <t>Arista Networks, Inc.</t>
        </is>
      </c>
      <c r="C77" s="8" t="inlineStr">
        <is>
          <t>보수</t>
        </is>
      </c>
      <c r="D77" s="15" t="n">
        <v>2.870986861774784</v>
      </c>
      <c r="E77" s="23" t="n">
        <v>0.4028883741085216</v>
      </c>
      <c r="F77" s="18">
        <f>IF(NOT(ISNUMBER(E77)),0.03,MAX(0,MIN(E77*기준표!$B$33,기준표!$B$40)))</f>
        <v/>
      </c>
      <c r="G77" s="18">
        <f>기준표!$B$31</f>
        <v/>
      </c>
      <c r="H77" s="18">
        <f>기준표!$B$32</f>
        <v/>
      </c>
      <c r="I77" s="17">
        <f>$D77*(1+$F77)^1/(1+$G77)^1</f>
        <v/>
      </c>
      <c r="J77" s="17">
        <f>$D77*(1+$F77)^2/(1+$G77)^2</f>
        <v/>
      </c>
      <c r="K77" s="17">
        <f>$D77*(1+$F77)^3/(1+$G77)^3</f>
        <v/>
      </c>
      <c r="L77" s="17">
        <f>$D77*(1+$F77)^4/(1+$G77)^4</f>
        <v/>
      </c>
      <c r="M77" s="17">
        <f>$D77*(1+$F77)^5/(1+$G77)^5</f>
        <v/>
      </c>
      <c r="N77" s="17">
        <f>$D77*(1+$F77)^6/(1+$G77)^6</f>
        <v/>
      </c>
      <c r="O77" s="17">
        <f>$D77*(1+$F77)^7/(1+$G77)^7</f>
        <v/>
      </c>
      <c r="P77" s="17">
        <f>$D77*(1+$F77)^8/(1+$G77)^8</f>
        <v/>
      </c>
      <c r="Q77" s="17">
        <f>$D77*(1+$F77)^9/(1+$G77)^9</f>
        <v/>
      </c>
      <c r="R77" s="17">
        <f>$D77*(1+$F77)^10/(1+$G77)^10</f>
        <v/>
      </c>
      <c r="S77" s="26">
        <f>SUM(I77:R77)</f>
        <v/>
      </c>
      <c r="T77" s="17">
        <f>$D77*(1+$F77)^10</f>
        <v/>
      </c>
      <c r="U77" s="17">
        <f>IF($G77&lt;=$H77,"",T77*(1+$H77)/($G77-$H77))</f>
        <v/>
      </c>
      <c r="V77" s="17">
        <f>IF(ISNUMBER(U77),U77/(1+$G77)^10,"")</f>
        <v/>
      </c>
      <c r="W77" s="26">
        <f>IF(ISNUMBER(V77),S77+V77,"")</f>
        <v/>
      </c>
      <c r="X77" s="15" t="n">
        <v>240.65213975712</v>
      </c>
      <c r="Y77" s="19">
        <f>IF(AND(ISNUMBER(W77),W77&lt;&gt;0,ISNUMBER(X77)),(W77-X77)/W77,"")</f>
        <v/>
      </c>
      <c r="Z77" s="27">
        <f>IF(NOT(ISNUMBER(Y77)),"판정불가",IF(Y77&gt;=기준표!$B$42,"투자가능",IF(Y77&gt;=0,"경계선","범위밖")))</f>
        <v/>
      </c>
    </row>
    <row r="78">
      <c r="A78" s="8" t="inlineStr">
        <is>
          <t>ANET</t>
        </is>
      </c>
      <c r="B78" s="8" t="inlineStr">
        <is>
          <t>Arista Networks, Inc.</t>
        </is>
      </c>
      <c r="C78" s="8" t="inlineStr">
        <is>
          <t>기준</t>
        </is>
      </c>
      <c r="D78" s="15" t="n">
        <v>2.870986861774784</v>
      </c>
      <c r="E78" s="23" t="n">
        <v>0.4028883741085216</v>
      </c>
      <c r="F78" s="18">
        <f>IF(NOT(ISNUMBER(E78)),0.03,MAX(0,MIN(E78*기준표!$B$36,기준표!$B$40)))</f>
        <v/>
      </c>
      <c r="G78" s="18">
        <f>기준표!$B$34</f>
        <v/>
      </c>
      <c r="H78" s="18">
        <f>기준표!$B$35</f>
        <v/>
      </c>
      <c r="I78" s="17">
        <f>$D78*(1+$F78)^1/(1+$G78)^1</f>
        <v/>
      </c>
      <c r="J78" s="17">
        <f>$D78*(1+$F78)^2/(1+$G78)^2</f>
        <v/>
      </c>
      <c r="K78" s="17">
        <f>$D78*(1+$F78)^3/(1+$G78)^3</f>
        <v/>
      </c>
      <c r="L78" s="17">
        <f>$D78*(1+$F78)^4/(1+$G78)^4</f>
        <v/>
      </c>
      <c r="M78" s="17">
        <f>$D78*(1+$F78)^5/(1+$G78)^5</f>
        <v/>
      </c>
      <c r="N78" s="17">
        <f>$D78*(1+$F78)^6/(1+$G78)^6</f>
        <v/>
      </c>
      <c r="O78" s="17">
        <f>$D78*(1+$F78)^7/(1+$G78)^7</f>
        <v/>
      </c>
      <c r="P78" s="17">
        <f>$D78*(1+$F78)^8/(1+$G78)^8</f>
        <v/>
      </c>
      <c r="Q78" s="17">
        <f>$D78*(1+$F78)^9/(1+$G78)^9</f>
        <v/>
      </c>
      <c r="R78" s="17">
        <f>$D78*(1+$F78)^10/(1+$G78)^10</f>
        <v/>
      </c>
      <c r="S78" s="26">
        <f>SUM(I78:R78)</f>
        <v/>
      </c>
      <c r="T78" s="17">
        <f>$D78*(1+$F78)^10</f>
        <v/>
      </c>
      <c r="U78" s="17">
        <f>IF($G78&lt;=$H78,"",T78*(1+$H78)/($G78-$H78))</f>
        <v/>
      </c>
      <c r="V78" s="17">
        <f>IF(ISNUMBER(U78),U78/(1+$G78)^10,"")</f>
        <v/>
      </c>
      <c r="W78" s="26">
        <f>IF(ISNUMBER(V78),S78+V78,"")</f>
        <v/>
      </c>
      <c r="X78" s="15" t="n">
        <v>240.65213975712</v>
      </c>
      <c r="Y78" s="19">
        <f>IF(AND(ISNUMBER(W78),W78&lt;&gt;0,ISNUMBER(X78)),(W78-X78)/W78,"")</f>
        <v/>
      </c>
      <c r="Z78" s="27">
        <f>IF(NOT(ISNUMBER(Y78)),"판정불가",IF(Y78&gt;=기준표!$B$42,"투자가능",IF(Y78&gt;=0,"경계선","범위밖")))</f>
        <v/>
      </c>
    </row>
    <row r="79">
      <c r="A79" s="8" t="inlineStr">
        <is>
          <t>ANET</t>
        </is>
      </c>
      <c r="B79" s="8" t="inlineStr">
        <is>
          <t>Arista Networks, Inc.</t>
        </is>
      </c>
      <c r="C79" s="8" t="inlineStr">
        <is>
          <t>낙관</t>
        </is>
      </c>
      <c r="D79" s="15" t="n">
        <v>2.870986861774784</v>
      </c>
      <c r="E79" s="23" t="n">
        <v>0.4028883741085216</v>
      </c>
      <c r="F79" s="18">
        <f>IF(NOT(ISNUMBER(E79)),0.03,MAX(0,MIN(E79*기준표!$B$39,기준표!$B$41)))</f>
        <v/>
      </c>
      <c r="G79" s="18">
        <f>기준표!$B$37</f>
        <v/>
      </c>
      <c r="H79" s="18">
        <f>기준표!$B$38</f>
        <v/>
      </c>
      <c r="I79" s="17">
        <f>$D79*(1+$F79)^1/(1+$G79)^1</f>
        <v/>
      </c>
      <c r="J79" s="17">
        <f>$D79*(1+$F79)^2/(1+$G79)^2</f>
        <v/>
      </c>
      <c r="K79" s="17">
        <f>$D79*(1+$F79)^3/(1+$G79)^3</f>
        <v/>
      </c>
      <c r="L79" s="17">
        <f>$D79*(1+$F79)^4/(1+$G79)^4</f>
        <v/>
      </c>
      <c r="M79" s="17">
        <f>$D79*(1+$F79)^5/(1+$G79)^5</f>
        <v/>
      </c>
      <c r="N79" s="17">
        <f>$D79*(1+$F79)^6/(1+$G79)^6</f>
        <v/>
      </c>
      <c r="O79" s="17">
        <f>$D79*(1+$F79)^7/(1+$G79)^7</f>
        <v/>
      </c>
      <c r="P79" s="17">
        <f>$D79*(1+$F79)^8/(1+$G79)^8</f>
        <v/>
      </c>
      <c r="Q79" s="17">
        <f>$D79*(1+$F79)^9/(1+$G79)^9</f>
        <v/>
      </c>
      <c r="R79" s="17">
        <f>$D79*(1+$F79)^10/(1+$G79)^10</f>
        <v/>
      </c>
      <c r="S79" s="26">
        <f>SUM(I79:R79)</f>
        <v/>
      </c>
      <c r="T79" s="17">
        <f>$D79*(1+$F79)^10</f>
        <v/>
      </c>
      <c r="U79" s="17">
        <f>IF($G79&lt;=$H79,"",T79*(1+$H79)/($G79-$H79))</f>
        <v/>
      </c>
      <c r="V79" s="17">
        <f>IF(ISNUMBER(U79),U79/(1+$G79)^10,"")</f>
        <v/>
      </c>
      <c r="W79" s="26">
        <f>IF(ISNUMBER(V79),S79+V79,"")</f>
        <v/>
      </c>
      <c r="X79" s="15" t="n">
        <v>240.65213975712</v>
      </c>
      <c r="Y79" s="19">
        <f>IF(AND(ISNUMBER(W79),W79&lt;&gt;0,ISNUMBER(X79)),(W79-X79)/W79,"")</f>
        <v/>
      </c>
      <c r="Z79" s="27">
        <f>IF(NOT(ISNUMBER(Y79)),"판정불가",IF(Y79&gt;=기준표!$B$42,"투자가능",IF(Y79&gt;=0,"경계선","범위밖")))</f>
        <v/>
      </c>
    </row>
    <row r="80">
      <c r="A80" s="8" t="inlineStr">
        <is>
          <t>NVDA</t>
        </is>
      </c>
      <c r="B80" s="8" t="inlineStr">
        <is>
          <t>NVIDIA CORP</t>
        </is>
      </c>
      <c r="C80" s="8" t="inlineStr">
        <is>
          <t>보수</t>
        </is>
      </c>
      <c r="D80" s="15" t="n">
        <v>60.76816571301182</v>
      </c>
      <c r="E80" s="23" t="n">
        <v>0.5515131275713365</v>
      </c>
      <c r="F80" s="18">
        <f>IF(NOT(ISNUMBER(E80)),0.03,MAX(0,MIN(E80*기준표!$B$33,기준표!$B$40)))</f>
        <v/>
      </c>
      <c r="G80" s="18">
        <f>기준표!$B$31</f>
        <v/>
      </c>
      <c r="H80" s="18">
        <f>기준표!$B$32</f>
        <v/>
      </c>
      <c r="I80" s="17">
        <f>$D80*(1+$F80)^1/(1+$G80)^1</f>
        <v/>
      </c>
      <c r="J80" s="17">
        <f>$D80*(1+$F80)^2/(1+$G80)^2</f>
        <v/>
      </c>
      <c r="K80" s="17">
        <f>$D80*(1+$F80)^3/(1+$G80)^3</f>
        <v/>
      </c>
      <c r="L80" s="17">
        <f>$D80*(1+$F80)^4/(1+$G80)^4</f>
        <v/>
      </c>
      <c r="M80" s="17">
        <f>$D80*(1+$F80)^5/(1+$G80)^5</f>
        <v/>
      </c>
      <c r="N80" s="17">
        <f>$D80*(1+$F80)^6/(1+$G80)^6</f>
        <v/>
      </c>
      <c r="O80" s="17">
        <f>$D80*(1+$F80)^7/(1+$G80)^7</f>
        <v/>
      </c>
      <c r="P80" s="17">
        <f>$D80*(1+$F80)^8/(1+$G80)^8</f>
        <v/>
      </c>
      <c r="Q80" s="17">
        <f>$D80*(1+$F80)^9/(1+$G80)^9</f>
        <v/>
      </c>
      <c r="R80" s="17">
        <f>$D80*(1+$F80)^10/(1+$G80)^10</f>
        <v/>
      </c>
      <c r="S80" s="26">
        <f>SUM(I80:R80)</f>
        <v/>
      </c>
      <c r="T80" s="17">
        <f>$D80*(1+$F80)^10</f>
        <v/>
      </c>
      <c r="U80" s="17">
        <f>IF($G80&lt;=$H80,"",T80*(1+$H80)/($G80-$H80))</f>
        <v/>
      </c>
      <c r="V80" s="17">
        <f>IF(ISNUMBER(U80),U80/(1+$G80)^10,"")</f>
        <v/>
      </c>
      <c r="W80" s="26">
        <f>IF(ISNUMBER(V80),S80+V80,"")</f>
        <v/>
      </c>
      <c r="X80" s="15" t="n">
        <v>5286.465</v>
      </c>
      <c r="Y80" s="19">
        <f>IF(AND(ISNUMBER(W80),W80&lt;&gt;0,ISNUMBER(X80)),(W80-X80)/W80,"")</f>
        <v/>
      </c>
      <c r="Z80" s="27">
        <f>IF(NOT(ISNUMBER(Y80)),"판정불가",IF(Y80&gt;=기준표!$B$42,"투자가능",IF(Y80&gt;=0,"경계선","범위밖")))</f>
        <v/>
      </c>
    </row>
    <row r="81">
      <c r="A81" s="8" t="inlineStr">
        <is>
          <t>NVDA</t>
        </is>
      </c>
      <c r="B81" s="8" t="inlineStr">
        <is>
          <t>NVIDIA CORP</t>
        </is>
      </c>
      <c r="C81" s="8" t="inlineStr">
        <is>
          <t>기준</t>
        </is>
      </c>
      <c r="D81" s="15" t="n">
        <v>60.76816571301182</v>
      </c>
      <c r="E81" s="23" t="n">
        <v>0.5515131275713365</v>
      </c>
      <c r="F81" s="18">
        <f>IF(NOT(ISNUMBER(E81)),0.03,MAX(0,MIN(E81*기준표!$B$36,기준표!$B$40)))</f>
        <v/>
      </c>
      <c r="G81" s="18">
        <f>기준표!$B$34</f>
        <v/>
      </c>
      <c r="H81" s="18">
        <f>기준표!$B$35</f>
        <v/>
      </c>
      <c r="I81" s="17">
        <f>$D81*(1+$F81)^1/(1+$G81)^1</f>
        <v/>
      </c>
      <c r="J81" s="17">
        <f>$D81*(1+$F81)^2/(1+$G81)^2</f>
        <v/>
      </c>
      <c r="K81" s="17">
        <f>$D81*(1+$F81)^3/(1+$G81)^3</f>
        <v/>
      </c>
      <c r="L81" s="17">
        <f>$D81*(1+$F81)^4/(1+$G81)^4</f>
        <v/>
      </c>
      <c r="M81" s="17">
        <f>$D81*(1+$F81)^5/(1+$G81)^5</f>
        <v/>
      </c>
      <c r="N81" s="17">
        <f>$D81*(1+$F81)^6/(1+$G81)^6</f>
        <v/>
      </c>
      <c r="O81" s="17">
        <f>$D81*(1+$F81)^7/(1+$G81)^7</f>
        <v/>
      </c>
      <c r="P81" s="17">
        <f>$D81*(1+$F81)^8/(1+$G81)^8</f>
        <v/>
      </c>
      <c r="Q81" s="17">
        <f>$D81*(1+$F81)^9/(1+$G81)^9</f>
        <v/>
      </c>
      <c r="R81" s="17">
        <f>$D81*(1+$F81)^10/(1+$G81)^10</f>
        <v/>
      </c>
      <c r="S81" s="26">
        <f>SUM(I81:R81)</f>
        <v/>
      </c>
      <c r="T81" s="17">
        <f>$D81*(1+$F81)^10</f>
        <v/>
      </c>
      <c r="U81" s="17">
        <f>IF($G81&lt;=$H81,"",T81*(1+$H81)/($G81-$H81))</f>
        <v/>
      </c>
      <c r="V81" s="17">
        <f>IF(ISNUMBER(U81),U81/(1+$G81)^10,"")</f>
        <v/>
      </c>
      <c r="W81" s="26">
        <f>IF(ISNUMBER(V81),S81+V81,"")</f>
        <v/>
      </c>
      <c r="X81" s="15" t="n">
        <v>5286.465</v>
      </c>
      <c r="Y81" s="19">
        <f>IF(AND(ISNUMBER(W81),W81&lt;&gt;0,ISNUMBER(X81)),(W81-X81)/W81,"")</f>
        <v/>
      </c>
      <c r="Z81" s="27">
        <f>IF(NOT(ISNUMBER(Y81)),"판정불가",IF(Y81&gt;=기준표!$B$42,"투자가능",IF(Y81&gt;=0,"경계선","범위밖")))</f>
        <v/>
      </c>
    </row>
    <row r="82">
      <c r="A82" s="8" t="inlineStr">
        <is>
          <t>NVDA</t>
        </is>
      </c>
      <c r="B82" s="8" t="inlineStr">
        <is>
          <t>NVIDIA CORP</t>
        </is>
      </c>
      <c r="C82" s="8" t="inlineStr">
        <is>
          <t>낙관</t>
        </is>
      </c>
      <c r="D82" s="15" t="n">
        <v>60.76816571301182</v>
      </c>
      <c r="E82" s="23" t="n">
        <v>0.5515131275713365</v>
      </c>
      <c r="F82" s="18">
        <f>IF(NOT(ISNUMBER(E82)),0.03,MAX(0,MIN(E82*기준표!$B$39,기준표!$B$41)))</f>
        <v/>
      </c>
      <c r="G82" s="18">
        <f>기준표!$B$37</f>
        <v/>
      </c>
      <c r="H82" s="18">
        <f>기준표!$B$38</f>
        <v/>
      </c>
      <c r="I82" s="17">
        <f>$D82*(1+$F82)^1/(1+$G82)^1</f>
        <v/>
      </c>
      <c r="J82" s="17">
        <f>$D82*(1+$F82)^2/(1+$G82)^2</f>
        <v/>
      </c>
      <c r="K82" s="17">
        <f>$D82*(1+$F82)^3/(1+$G82)^3</f>
        <v/>
      </c>
      <c r="L82" s="17">
        <f>$D82*(1+$F82)^4/(1+$G82)^4</f>
        <v/>
      </c>
      <c r="M82" s="17">
        <f>$D82*(1+$F82)^5/(1+$G82)^5</f>
        <v/>
      </c>
      <c r="N82" s="17">
        <f>$D82*(1+$F82)^6/(1+$G82)^6</f>
        <v/>
      </c>
      <c r="O82" s="17">
        <f>$D82*(1+$F82)^7/(1+$G82)^7</f>
        <v/>
      </c>
      <c r="P82" s="17">
        <f>$D82*(1+$F82)^8/(1+$G82)^8</f>
        <v/>
      </c>
      <c r="Q82" s="17">
        <f>$D82*(1+$F82)^9/(1+$G82)^9</f>
        <v/>
      </c>
      <c r="R82" s="17">
        <f>$D82*(1+$F82)^10/(1+$G82)^10</f>
        <v/>
      </c>
      <c r="S82" s="26">
        <f>SUM(I82:R82)</f>
        <v/>
      </c>
      <c r="T82" s="17">
        <f>$D82*(1+$F82)^10</f>
        <v/>
      </c>
      <c r="U82" s="17">
        <f>IF($G82&lt;=$H82,"",T82*(1+$H82)/($G82-$H82))</f>
        <v/>
      </c>
      <c r="V82" s="17">
        <f>IF(ISNUMBER(U82),U82/(1+$G82)^10,"")</f>
        <v/>
      </c>
      <c r="W82" s="26">
        <f>IF(ISNUMBER(V82),S82+V82,"")</f>
        <v/>
      </c>
      <c r="X82" s="15" t="n">
        <v>5286.465</v>
      </c>
      <c r="Y82" s="19">
        <f>IF(AND(ISNUMBER(W82),W82&lt;&gt;0,ISNUMBER(X82)),(W82-X82)/W82,"")</f>
        <v/>
      </c>
      <c r="Z82" s="27">
        <f>IF(NOT(ISNUMBER(Y82)),"판정불가",IF(Y82&gt;=기준표!$B$42,"투자가능",IF(Y82&gt;=0,"경계선","범위밖")))</f>
        <v/>
      </c>
    </row>
    <row r="83">
      <c r="A83" s="8" t="inlineStr">
        <is>
          <t>CSCO</t>
        </is>
      </c>
      <c r="B83" s="8" t="inlineStr">
        <is>
          <t>CISCO SYSTEMS, INC.</t>
        </is>
      </c>
      <c r="C83" s="8" t="inlineStr">
        <is>
          <t>보수</t>
        </is>
      </c>
      <c r="D83" s="15" t="n">
        <v>10.66114954954955</v>
      </c>
      <c r="E83" s="23" t="n">
        <v>0.008541083245982906</v>
      </c>
      <c r="F83" s="18">
        <f>IF(NOT(ISNUMBER(E83)),0.03,MAX(0,MIN(E83*기준표!$B$33,기준표!$B$40)))</f>
        <v/>
      </c>
      <c r="G83" s="18">
        <f>기준표!$B$31</f>
        <v/>
      </c>
      <c r="H83" s="18">
        <f>기준표!$B$32</f>
        <v/>
      </c>
      <c r="I83" s="17">
        <f>$D83*(1+$F83)^1/(1+$G83)^1</f>
        <v/>
      </c>
      <c r="J83" s="17">
        <f>$D83*(1+$F83)^2/(1+$G83)^2</f>
        <v/>
      </c>
      <c r="K83" s="17">
        <f>$D83*(1+$F83)^3/(1+$G83)^3</f>
        <v/>
      </c>
      <c r="L83" s="17">
        <f>$D83*(1+$F83)^4/(1+$G83)^4</f>
        <v/>
      </c>
      <c r="M83" s="17">
        <f>$D83*(1+$F83)^5/(1+$G83)^5</f>
        <v/>
      </c>
      <c r="N83" s="17">
        <f>$D83*(1+$F83)^6/(1+$G83)^6</f>
        <v/>
      </c>
      <c r="O83" s="17">
        <f>$D83*(1+$F83)^7/(1+$G83)^7</f>
        <v/>
      </c>
      <c r="P83" s="17">
        <f>$D83*(1+$F83)^8/(1+$G83)^8</f>
        <v/>
      </c>
      <c r="Q83" s="17">
        <f>$D83*(1+$F83)^9/(1+$G83)^9</f>
        <v/>
      </c>
      <c r="R83" s="17">
        <f>$D83*(1+$F83)^10/(1+$G83)^10</f>
        <v/>
      </c>
      <c r="S83" s="26">
        <f>SUM(I83:R83)</f>
        <v/>
      </c>
      <c r="T83" s="17">
        <f>$D83*(1+$F83)^10</f>
        <v/>
      </c>
      <c r="U83" s="17">
        <f>IF($G83&lt;=$H83,"",T83*(1+$H83)/($G83-$H83))</f>
        <v/>
      </c>
      <c r="V83" s="17">
        <f>IF(ISNUMBER(U83),U83/(1+$G83)^10,"")</f>
        <v/>
      </c>
      <c r="W83" s="26">
        <f>IF(ISNUMBER(V83),S83+V83,"")</f>
        <v/>
      </c>
      <c r="X83" s="15" t="n">
        <v>484.54335052921</v>
      </c>
      <c r="Y83" s="19">
        <f>IF(AND(ISNUMBER(W83),W83&lt;&gt;0,ISNUMBER(X83)),(W83-X83)/W83,"")</f>
        <v/>
      </c>
      <c r="Z83" s="27">
        <f>IF(NOT(ISNUMBER(Y83)),"판정불가",IF(Y83&gt;=기준표!$B$42,"투자가능",IF(Y83&gt;=0,"경계선","범위밖")))</f>
        <v/>
      </c>
    </row>
    <row r="84">
      <c r="A84" s="8" t="inlineStr">
        <is>
          <t>CSCO</t>
        </is>
      </c>
      <c r="B84" s="8" t="inlineStr">
        <is>
          <t>CISCO SYSTEMS, INC.</t>
        </is>
      </c>
      <c r="C84" s="8" t="inlineStr">
        <is>
          <t>기준</t>
        </is>
      </c>
      <c r="D84" s="15" t="n">
        <v>10.66114954954955</v>
      </c>
      <c r="E84" s="23" t="n">
        <v>0.008541083245982906</v>
      </c>
      <c r="F84" s="18">
        <f>IF(NOT(ISNUMBER(E84)),0.03,MAX(0,MIN(E84*기준표!$B$36,기준표!$B$40)))</f>
        <v/>
      </c>
      <c r="G84" s="18">
        <f>기준표!$B$34</f>
        <v/>
      </c>
      <c r="H84" s="18">
        <f>기준표!$B$35</f>
        <v/>
      </c>
      <c r="I84" s="17">
        <f>$D84*(1+$F84)^1/(1+$G84)^1</f>
        <v/>
      </c>
      <c r="J84" s="17">
        <f>$D84*(1+$F84)^2/(1+$G84)^2</f>
        <v/>
      </c>
      <c r="K84" s="17">
        <f>$D84*(1+$F84)^3/(1+$G84)^3</f>
        <v/>
      </c>
      <c r="L84" s="17">
        <f>$D84*(1+$F84)^4/(1+$G84)^4</f>
        <v/>
      </c>
      <c r="M84" s="17">
        <f>$D84*(1+$F84)^5/(1+$G84)^5</f>
        <v/>
      </c>
      <c r="N84" s="17">
        <f>$D84*(1+$F84)^6/(1+$G84)^6</f>
        <v/>
      </c>
      <c r="O84" s="17">
        <f>$D84*(1+$F84)^7/(1+$G84)^7</f>
        <v/>
      </c>
      <c r="P84" s="17">
        <f>$D84*(1+$F84)^8/(1+$G84)^8</f>
        <v/>
      </c>
      <c r="Q84" s="17">
        <f>$D84*(1+$F84)^9/(1+$G84)^9</f>
        <v/>
      </c>
      <c r="R84" s="17">
        <f>$D84*(1+$F84)^10/(1+$G84)^10</f>
        <v/>
      </c>
      <c r="S84" s="26">
        <f>SUM(I84:R84)</f>
        <v/>
      </c>
      <c r="T84" s="17">
        <f>$D84*(1+$F84)^10</f>
        <v/>
      </c>
      <c r="U84" s="17">
        <f>IF($G84&lt;=$H84,"",T84*(1+$H84)/($G84-$H84))</f>
        <v/>
      </c>
      <c r="V84" s="17">
        <f>IF(ISNUMBER(U84),U84/(1+$G84)^10,"")</f>
        <v/>
      </c>
      <c r="W84" s="26">
        <f>IF(ISNUMBER(V84),S84+V84,"")</f>
        <v/>
      </c>
      <c r="X84" s="15" t="n">
        <v>484.54335052921</v>
      </c>
      <c r="Y84" s="19">
        <f>IF(AND(ISNUMBER(W84),W84&lt;&gt;0,ISNUMBER(X84)),(W84-X84)/W84,"")</f>
        <v/>
      </c>
      <c r="Z84" s="27">
        <f>IF(NOT(ISNUMBER(Y84)),"판정불가",IF(Y84&gt;=기준표!$B$42,"투자가능",IF(Y84&gt;=0,"경계선","범위밖")))</f>
        <v/>
      </c>
    </row>
    <row r="85">
      <c r="A85" s="8" t="inlineStr">
        <is>
          <t>CSCO</t>
        </is>
      </c>
      <c r="B85" s="8" t="inlineStr">
        <is>
          <t>CISCO SYSTEMS, INC.</t>
        </is>
      </c>
      <c r="C85" s="8" t="inlineStr">
        <is>
          <t>낙관</t>
        </is>
      </c>
      <c r="D85" s="15" t="n">
        <v>10.66114954954955</v>
      </c>
      <c r="E85" s="23" t="n">
        <v>0.008541083245982906</v>
      </c>
      <c r="F85" s="18">
        <f>IF(NOT(ISNUMBER(E85)),0.03,MAX(0,MIN(E85*기준표!$B$39,기준표!$B$41)))</f>
        <v/>
      </c>
      <c r="G85" s="18">
        <f>기준표!$B$37</f>
        <v/>
      </c>
      <c r="H85" s="18">
        <f>기준표!$B$38</f>
        <v/>
      </c>
      <c r="I85" s="17">
        <f>$D85*(1+$F85)^1/(1+$G85)^1</f>
        <v/>
      </c>
      <c r="J85" s="17">
        <f>$D85*(1+$F85)^2/(1+$G85)^2</f>
        <v/>
      </c>
      <c r="K85" s="17">
        <f>$D85*(1+$F85)^3/(1+$G85)^3</f>
        <v/>
      </c>
      <c r="L85" s="17">
        <f>$D85*(1+$F85)^4/(1+$G85)^4</f>
        <v/>
      </c>
      <c r="M85" s="17">
        <f>$D85*(1+$F85)^5/(1+$G85)^5</f>
        <v/>
      </c>
      <c r="N85" s="17">
        <f>$D85*(1+$F85)^6/(1+$G85)^6</f>
        <v/>
      </c>
      <c r="O85" s="17">
        <f>$D85*(1+$F85)^7/(1+$G85)^7</f>
        <v/>
      </c>
      <c r="P85" s="17">
        <f>$D85*(1+$F85)^8/(1+$G85)^8</f>
        <v/>
      </c>
      <c r="Q85" s="17">
        <f>$D85*(1+$F85)^9/(1+$G85)^9</f>
        <v/>
      </c>
      <c r="R85" s="17">
        <f>$D85*(1+$F85)^10/(1+$G85)^10</f>
        <v/>
      </c>
      <c r="S85" s="26">
        <f>SUM(I85:R85)</f>
        <v/>
      </c>
      <c r="T85" s="17">
        <f>$D85*(1+$F85)^10</f>
        <v/>
      </c>
      <c r="U85" s="17">
        <f>IF($G85&lt;=$H85,"",T85*(1+$H85)/($G85-$H85))</f>
        <v/>
      </c>
      <c r="V85" s="17">
        <f>IF(ISNUMBER(U85),U85/(1+$G85)^10,"")</f>
        <v/>
      </c>
      <c r="W85" s="26">
        <f>IF(ISNUMBER(V85),S85+V85,"")</f>
        <v/>
      </c>
      <c r="X85" s="15" t="n">
        <v>484.54335052921</v>
      </c>
      <c r="Y85" s="19">
        <f>IF(AND(ISNUMBER(W85),W85&lt;&gt;0,ISNUMBER(X85)),(W85-X85)/W85,"")</f>
        <v/>
      </c>
      <c r="Z85" s="27">
        <f>IF(NOT(ISNUMBER(Y85)),"판정불가",IF(Y85&gt;=기준표!$B$42,"투자가능",IF(Y85&gt;=0,"경계선","범위밖")))</f>
        <v/>
      </c>
    </row>
    <row r="86">
      <c r="A86" s="8" t="inlineStr">
        <is>
          <t>AVGO</t>
        </is>
      </c>
      <c r="B86" s="8" t="inlineStr">
        <is>
          <t>Broadcom Inc.</t>
        </is>
      </c>
      <c r="C86" s="8" t="inlineStr">
        <is>
          <t>보수</t>
        </is>
      </c>
      <c r="D86" s="15" t="n">
        <v>17.85515</v>
      </c>
      <c r="E86" s="23" t="n">
        <v>0.274736426478785</v>
      </c>
      <c r="F86" s="18">
        <f>IF(NOT(ISNUMBER(E86)),0.03,MAX(0,MIN(E86*기준표!$B$33,기준표!$B$40)))</f>
        <v/>
      </c>
      <c r="G86" s="18">
        <f>기준표!$B$31</f>
        <v/>
      </c>
      <c r="H86" s="18">
        <f>기준표!$B$32</f>
        <v/>
      </c>
      <c r="I86" s="17">
        <f>$D86*(1+$F86)^1/(1+$G86)^1</f>
        <v/>
      </c>
      <c r="J86" s="17">
        <f>$D86*(1+$F86)^2/(1+$G86)^2</f>
        <v/>
      </c>
      <c r="K86" s="17">
        <f>$D86*(1+$F86)^3/(1+$G86)^3</f>
        <v/>
      </c>
      <c r="L86" s="17">
        <f>$D86*(1+$F86)^4/(1+$G86)^4</f>
        <v/>
      </c>
      <c r="M86" s="17">
        <f>$D86*(1+$F86)^5/(1+$G86)^5</f>
        <v/>
      </c>
      <c r="N86" s="17">
        <f>$D86*(1+$F86)^6/(1+$G86)^6</f>
        <v/>
      </c>
      <c r="O86" s="17">
        <f>$D86*(1+$F86)^7/(1+$G86)^7</f>
        <v/>
      </c>
      <c r="P86" s="17">
        <f>$D86*(1+$F86)^8/(1+$G86)^8</f>
        <v/>
      </c>
      <c r="Q86" s="17">
        <f>$D86*(1+$F86)^9/(1+$G86)^9</f>
        <v/>
      </c>
      <c r="R86" s="17">
        <f>$D86*(1+$F86)^10/(1+$G86)^10</f>
        <v/>
      </c>
      <c r="S86" s="26">
        <f>SUM(I86:R86)</f>
        <v/>
      </c>
      <c r="T86" s="17">
        <f>$D86*(1+$F86)^10</f>
        <v/>
      </c>
      <c r="U86" s="17">
        <f>IF($G86&lt;=$H86,"",T86*(1+$H86)/($G86-$H86))</f>
        <v/>
      </c>
      <c r="V86" s="17">
        <f>IF(ISNUMBER(U86),U86/(1+$G86)^10,"")</f>
        <v/>
      </c>
      <c r="W86" s="26">
        <f>IF(ISNUMBER(V86),S86+V86,"")</f>
        <v/>
      </c>
      <c r="X86" s="15" t="n">
        <v>2002.7140526976</v>
      </c>
      <c r="Y86" s="19">
        <f>IF(AND(ISNUMBER(W86),W86&lt;&gt;0,ISNUMBER(X86)),(W86-X86)/W86,"")</f>
        <v/>
      </c>
      <c r="Z86" s="27">
        <f>IF(NOT(ISNUMBER(Y86)),"판정불가",IF(Y86&gt;=기준표!$B$42,"투자가능",IF(Y86&gt;=0,"경계선","범위밖")))</f>
        <v/>
      </c>
    </row>
    <row r="87">
      <c r="A87" s="8" t="inlineStr">
        <is>
          <t>AVGO</t>
        </is>
      </c>
      <c r="B87" s="8" t="inlineStr">
        <is>
          <t>Broadcom Inc.</t>
        </is>
      </c>
      <c r="C87" s="8" t="inlineStr">
        <is>
          <t>기준</t>
        </is>
      </c>
      <c r="D87" s="15" t="n">
        <v>17.85515</v>
      </c>
      <c r="E87" s="23" t="n">
        <v>0.274736426478785</v>
      </c>
      <c r="F87" s="18">
        <f>IF(NOT(ISNUMBER(E87)),0.03,MAX(0,MIN(E87*기준표!$B$36,기준표!$B$40)))</f>
        <v/>
      </c>
      <c r="G87" s="18">
        <f>기준표!$B$34</f>
        <v/>
      </c>
      <c r="H87" s="18">
        <f>기준표!$B$35</f>
        <v/>
      </c>
      <c r="I87" s="17">
        <f>$D87*(1+$F87)^1/(1+$G87)^1</f>
        <v/>
      </c>
      <c r="J87" s="17">
        <f>$D87*(1+$F87)^2/(1+$G87)^2</f>
        <v/>
      </c>
      <c r="K87" s="17">
        <f>$D87*(1+$F87)^3/(1+$G87)^3</f>
        <v/>
      </c>
      <c r="L87" s="17">
        <f>$D87*(1+$F87)^4/(1+$G87)^4</f>
        <v/>
      </c>
      <c r="M87" s="17">
        <f>$D87*(1+$F87)^5/(1+$G87)^5</f>
        <v/>
      </c>
      <c r="N87" s="17">
        <f>$D87*(1+$F87)^6/(1+$G87)^6</f>
        <v/>
      </c>
      <c r="O87" s="17">
        <f>$D87*(1+$F87)^7/(1+$G87)^7</f>
        <v/>
      </c>
      <c r="P87" s="17">
        <f>$D87*(1+$F87)^8/(1+$G87)^8</f>
        <v/>
      </c>
      <c r="Q87" s="17">
        <f>$D87*(1+$F87)^9/(1+$G87)^9</f>
        <v/>
      </c>
      <c r="R87" s="17">
        <f>$D87*(1+$F87)^10/(1+$G87)^10</f>
        <v/>
      </c>
      <c r="S87" s="26">
        <f>SUM(I87:R87)</f>
        <v/>
      </c>
      <c r="T87" s="17">
        <f>$D87*(1+$F87)^10</f>
        <v/>
      </c>
      <c r="U87" s="17">
        <f>IF($G87&lt;=$H87,"",T87*(1+$H87)/($G87-$H87))</f>
        <v/>
      </c>
      <c r="V87" s="17">
        <f>IF(ISNUMBER(U87),U87/(1+$G87)^10,"")</f>
        <v/>
      </c>
      <c r="W87" s="26">
        <f>IF(ISNUMBER(V87),S87+V87,"")</f>
        <v/>
      </c>
      <c r="X87" s="15" t="n">
        <v>2002.7140526976</v>
      </c>
      <c r="Y87" s="19">
        <f>IF(AND(ISNUMBER(W87),W87&lt;&gt;0,ISNUMBER(X87)),(W87-X87)/W87,"")</f>
        <v/>
      </c>
      <c r="Z87" s="27">
        <f>IF(NOT(ISNUMBER(Y87)),"판정불가",IF(Y87&gt;=기준표!$B$42,"투자가능",IF(Y87&gt;=0,"경계선","범위밖")))</f>
        <v/>
      </c>
    </row>
    <row r="88">
      <c r="A88" s="8" t="inlineStr">
        <is>
          <t>AVGO</t>
        </is>
      </c>
      <c r="B88" s="8" t="inlineStr">
        <is>
          <t>Broadcom Inc.</t>
        </is>
      </c>
      <c r="C88" s="8" t="inlineStr">
        <is>
          <t>낙관</t>
        </is>
      </c>
      <c r="D88" s="15" t="n">
        <v>17.85515</v>
      </c>
      <c r="E88" s="23" t="n">
        <v>0.274736426478785</v>
      </c>
      <c r="F88" s="18">
        <f>IF(NOT(ISNUMBER(E88)),0.03,MAX(0,MIN(E88*기준표!$B$39,기준표!$B$41)))</f>
        <v/>
      </c>
      <c r="G88" s="18">
        <f>기준표!$B$37</f>
        <v/>
      </c>
      <c r="H88" s="18">
        <f>기준표!$B$38</f>
        <v/>
      </c>
      <c r="I88" s="17">
        <f>$D88*(1+$F88)^1/(1+$G88)^1</f>
        <v/>
      </c>
      <c r="J88" s="17">
        <f>$D88*(1+$F88)^2/(1+$G88)^2</f>
        <v/>
      </c>
      <c r="K88" s="17">
        <f>$D88*(1+$F88)^3/(1+$G88)^3</f>
        <v/>
      </c>
      <c r="L88" s="17">
        <f>$D88*(1+$F88)^4/(1+$G88)^4</f>
        <v/>
      </c>
      <c r="M88" s="17">
        <f>$D88*(1+$F88)^5/(1+$G88)^5</f>
        <v/>
      </c>
      <c r="N88" s="17">
        <f>$D88*(1+$F88)^6/(1+$G88)^6</f>
        <v/>
      </c>
      <c r="O88" s="17">
        <f>$D88*(1+$F88)^7/(1+$G88)^7</f>
        <v/>
      </c>
      <c r="P88" s="17">
        <f>$D88*(1+$F88)^8/(1+$G88)^8</f>
        <v/>
      </c>
      <c r="Q88" s="17">
        <f>$D88*(1+$F88)^9/(1+$G88)^9</f>
        <v/>
      </c>
      <c r="R88" s="17">
        <f>$D88*(1+$F88)^10/(1+$G88)^10</f>
        <v/>
      </c>
      <c r="S88" s="26">
        <f>SUM(I88:R88)</f>
        <v/>
      </c>
      <c r="T88" s="17">
        <f>$D88*(1+$F88)^10</f>
        <v/>
      </c>
      <c r="U88" s="17">
        <f>IF($G88&lt;=$H88,"",T88*(1+$H88)/($G88-$H88))</f>
        <v/>
      </c>
      <c r="V88" s="17">
        <f>IF(ISNUMBER(U88),U88/(1+$G88)^10,"")</f>
        <v/>
      </c>
      <c r="W88" s="26">
        <f>IF(ISNUMBER(V88),S88+V88,"")</f>
        <v/>
      </c>
      <c r="X88" s="15" t="n">
        <v>2002.7140526976</v>
      </c>
      <c r="Y88" s="19">
        <f>IF(AND(ISNUMBER(W88),W88&lt;&gt;0,ISNUMBER(X88)),(W88-X88)/W88,"")</f>
        <v/>
      </c>
      <c r="Z88" s="27">
        <f>IF(NOT(ISNUMBER(Y88)),"판정불가",IF(Y88&gt;=기준표!$B$42,"투자가능",IF(Y88&gt;=0,"경계선","범위밖")))</f>
        <v/>
      </c>
    </row>
    <row r="89">
      <c r="A89" s="8" t="inlineStr">
        <is>
          <t>AMZN</t>
        </is>
      </c>
      <c r="B89" s="8" t="inlineStr">
        <is>
          <t>AMAZON COM INC</t>
        </is>
      </c>
      <c r="C89" s="8" t="inlineStr">
        <is>
          <t>보수</t>
        </is>
      </c>
      <c r="D89" s="15" t="n">
        <v>25.90819723860749</v>
      </c>
      <c r="E89" s="23" t="n">
        <v>0.1803704879400494</v>
      </c>
      <c r="F89" s="18">
        <f>IF(NOT(ISNUMBER(E89)),0.03,MAX(0,MIN(E89*기준표!$B$33,기준표!$B$40)))</f>
        <v/>
      </c>
      <c r="G89" s="18">
        <f>기준표!$B$31</f>
        <v/>
      </c>
      <c r="H89" s="18">
        <f>기준표!$B$32</f>
        <v/>
      </c>
      <c r="I89" s="17">
        <f>$D89*(1+$F89)^1/(1+$G89)^1</f>
        <v/>
      </c>
      <c r="J89" s="17">
        <f>$D89*(1+$F89)^2/(1+$G89)^2</f>
        <v/>
      </c>
      <c r="K89" s="17">
        <f>$D89*(1+$F89)^3/(1+$G89)^3</f>
        <v/>
      </c>
      <c r="L89" s="17">
        <f>$D89*(1+$F89)^4/(1+$G89)^4</f>
        <v/>
      </c>
      <c r="M89" s="17">
        <f>$D89*(1+$F89)^5/(1+$G89)^5</f>
        <v/>
      </c>
      <c r="N89" s="17">
        <f>$D89*(1+$F89)^6/(1+$G89)^6</f>
        <v/>
      </c>
      <c r="O89" s="17">
        <f>$D89*(1+$F89)^7/(1+$G89)^7</f>
        <v/>
      </c>
      <c r="P89" s="17">
        <f>$D89*(1+$F89)^8/(1+$G89)^8</f>
        <v/>
      </c>
      <c r="Q89" s="17">
        <f>$D89*(1+$F89)^9/(1+$G89)^9</f>
        <v/>
      </c>
      <c r="R89" s="17">
        <f>$D89*(1+$F89)^10/(1+$G89)^10</f>
        <v/>
      </c>
      <c r="S89" s="26">
        <f>SUM(I89:R89)</f>
        <v/>
      </c>
      <c r="T89" s="17">
        <f>$D89*(1+$F89)^10</f>
        <v/>
      </c>
      <c r="U89" s="17">
        <f>IF($G89&lt;=$H89,"",T89*(1+$H89)/($G89-$H89))</f>
        <v/>
      </c>
      <c r="V89" s="17">
        <f>IF(ISNUMBER(U89),U89/(1+$G89)^10,"")</f>
        <v/>
      </c>
      <c r="W89" s="26">
        <f>IF(ISNUMBER(V89),S89+V89,"")</f>
        <v/>
      </c>
      <c r="X89" s="15" t="n">
        <v>2985.2741447383</v>
      </c>
      <c r="Y89" s="19">
        <f>IF(AND(ISNUMBER(W89),W89&lt;&gt;0,ISNUMBER(X89)),(W89-X89)/W89,"")</f>
        <v/>
      </c>
      <c r="Z89" s="27">
        <f>IF(NOT(ISNUMBER(Y89)),"판정불가",IF(Y89&gt;=기준표!$B$42,"투자가능",IF(Y89&gt;=0,"경계선","범위밖")))</f>
        <v/>
      </c>
    </row>
    <row r="90">
      <c r="A90" s="8" t="inlineStr">
        <is>
          <t>AMZN</t>
        </is>
      </c>
      <c r="B90" s="8" t="inlineStr">
        <is>
          <t>AMAZON COM INC</t>
        </is>
      </c>
      <c r="C90" s="8" t="inlineStr">
        <is>
          <t>기준</t>
        </is>
      </c>
      <c r="D90" s="15" t="n">
        <v>25.90819723860749</v>
      </c>
      <c r="E90" s="23" t="n">
        <v>0.1803704879400494</v>
      </c>
      <c r="F90" s="18">
        <f>IF(NOT(ISNUMBER(E90)),0.03,MAX(0,MIN(E90*기준표!$B$36,기준표!$B$40)))</f>
        <v/>
      </c>
      <c r="G90" s="18">
        <f>기준표!$B$34</f>
        <v/>
      </c>
      <c r="H90" s="18">
        <f>기준표!$B$35</f>
        <v/>
      </c>
      <c r="I90" s="17">
        <f>$D90*(1+$F90)^1/(1+$G90)^1</f>
        <v/>
      </c>
      <c r="J90" s="17">
        <f>$D90*(1+$F90)^2/(1+$G90)^2</f>
        <v/>
      </c>
      <c r="K90" s="17">
        <f>$D90*(1+$F90)^3/(1+$G90)^3</f>
        <v/>
      </c>
      <c r="L90" s="17">
        <f>$D90*(1+$F90)^4/(1+$G90)^4</f>
        <v/>
      </c>
      <c r="M90" s="17">
        <f>$D90*(1+$F90)^5/(1+$G90)^5</f>
        <v/>
      </c>
      <c r="N90" s="17">
        <f>$D90*(1+$F90)^6/(1+$G90)^6</f>
        <v/>
      </c>
      <c r="O90" s="17">
        <f>$D90*(1+$F90)^7/(1+$G90)^7</f>
        <v/>
      </c>
      <c r="P90" s="17">
        <f>$D90*(1+$F90)^8/(1+$G90)^8</f>
        <v/>
      </c>
      <c r="Q90" s="17">
        <f>$D90*(1+$F90)^9/(1+$G90)^9</f>
        <v/>
      </c>
      <c r="R90" s="17">
        <f>$D90*(1+$F90)^10/(1+$G90)^10</f>
        <v/>
      </c>
      <c r="S90" s="26">
        <f>SUM(I90:R90)</f>
        <v/>
      </c>
      <c r="T90" s="17">
        <f>$D90*(1+$F90)^10</f>
        <v/>
      </c>
      <c r="U90" s="17">
        <f>IF($G90&lt;=$H90,"",T90*(1+$H90)/($G90-$H90))</f>
        <v/>
      </c>
      <c r="V90" s="17">
        <f>IF(ISNUMBER(U90),U90/(1+$G90)^10,"")</f>
        <v/>
      </c>
      <c r="W90" s="26">
        <f>IF(ISNUMBER(V90),S90+V90,"")</f>
        <v/>
      </c>
      <c r="X90" s="15" t="n">
        <v>2985.2741447383</v>
      </c>
      <c r="Y90" s="19">
        <f>IF(AND(ISNUMBER(W90),W90&lt;&gt;0,ISNUMBER(X90)),(W90-X90)/W90,"")</f>
        <v/>
      </c>
      <c r="Z90" s="27">
        <f>IF(NOT(ISNUMBER(Y90)),"판정불가",IF(Y90&gt;=기준표!$B$42,"투자가능",IF(Y90&gt;=0,"경계선","범위밖")))</f>
        <v/>
      </c>
    </row>
    <row r="91">
      <c r="A91" s="8" t="inlineStr">
        <is>
          <t>AMZN</t>
        </is>
      </c>
      <c r="B91" s="8" t="inlineStr">
        <is>
          <t>AMAZON COM INC</t>
        </is>
      </c>
      <c r="C91" s="8" t="inlineStr">
        <is>
          <t>낙관</t>
        </is>
      </c>
      <c r="D91" s="15" t="n">
        <v>25.90819723860749</v>
      </c>
      <c r="E91" s="23" t="n">
        <v>0.1803704879400494</v>
      </c>
      <c r="F91" s="18">
        <f>IF(NOT(ISNUMBER(E91)),0.03,MAX(0,MIN(E91*기준표!$B$39,기준표!$B$41)))</f>
        <v/>
      </c>
      <c r="G91" s="18">
        <f>기준표!$B$37</f>
        <v/>
      </c>
      <c r="H91" s="18">
        <f>기준표!$B$38</f>
        <v/>
      </c>
      <c r="I91" s="17">
        <f>$D91*(1+$F91)^1/(1+$G91)^1</f>
        <v/>
      </c>
      <c r="J91" s="17">
        <f>$D91*(1+$F91)^2/(1+$G91)^2</f>
        <v/>
      </c>
      <c r="K91" s="17">
        <f>$D91*(1+$F91)^3/(1+$G91)^3</f>
        <v/>
      </c>
      <c r="L91" s="17">
        <f>$D91*(1+$F91)^4/(1+$G91)^4</f>
        <v/>
      </c>
      <c r="M91" s="17">
        <f>$D91*(1+$F91)^5/(1+$G91)^5</f>
        <v/>
      </c>
      <c r="N91" s="17">
        <f>$D91*(1+$F91)^6/(1+$G91)^6</f>
        <v/>
      </c>
      <c r="O91" s="17">
        <f>$D91*(1+$F91)^7/(1+$G91)^7</f>
        <v/>
      </c>
      <c r="P91" s="17">
        <f>$D91*(1+$F91)^8/(1+$G91)^8</f>
        <v/>
      </c>
      <c r="Q91" s="17">
        <f>$D91*(1+$F91)^9/(1+$G91)^9</f>
        <v/>
      </c>
      <c r="R91" s="17">
        <f>$D91*(1+$F91)^10/(1+$G91)^10</f>
        <v/>
      </c>
      <c r="S91" s="26">
        <f>SUM(I91:R91)</f>
        <v/>
      </c>
      <c r="T91" s="17">
        <f>$D91*(1+$F91)^10</f>
        <v/>
      </c>
      <c r="U91" s="17">
        <f>IF($G91&lt;=$H91,"",T91*(1+$H91)/($G91-$H91))</f>
        <v/>
      </c>
      <c r="V91" s="17">
        <f>IF(ISNUMBER(U91),U91/(1+$G91)^10,"")</f>
        <v/>
      </c>
      <c r="W91" s="26">
        <f>IF(ISNUMBER(V91),S91+V91,"")</f>
        <v/>
      </c>
      <c r="X91" s="15" t="n">
        <v>2985.2741447383</v>
      </c>
      <c r="Y91" s="19">
        <f>IF(AND(ISNUMBER(W91),W91&lt;&gt;0,ISNUMBER(X91)),(W91-X91)/W91,"")</f>
        <v/>
      </c>
      <c r="Z91" s="27">
        <f>IF(NOT(ISNUMBER(Y91)),"판정불가",IF(Y91&gt;=기준표!$B$42,"투자가능",IF(Y91&gt;=0,"경계선","범위밖")))</f>
        <v/>
      </c>
    </row>
    <row r="92">
      <c r="A92" s="8" t="inlineStr">
        <is>
          <t>ORCL</t>
        </is>
      </c>
      <c r="B92" s="8" t="inlineStr">
        <is>
          <t>ORACLE CORP</t>
        </is>
      </c>
      <c r="C92" s="8" t="inlineStr">
        <is>
          <t>보수</t>
        </is>
      </c>
      <c r="D92" s="15" t="n">
        <v>5.455041928832893</v>
      </c>
      <c r="E92" s="23" t="n"/>
      <c r="F92" s="18">
        <f>IF(NOT(ISNUMBER(E92)),0.03,MAX(0,MIN(E92*기준표!$B$33,기준표!$B$40)))</f>
        <v/>
      </c>
      <c r="G92" s="18">
        <f>기준표!$B$31</f>
        <v/>
      </c>
      <c r="H92" s="18">
        <f>기준표!$B$32</f>
        <v/>
      </c>
      <c r="I92" s="17">
        <f>$D92*(1+$F92)^1/(1+$G92)^1</f>
        <v/>
      </c>
      <c r="J92" s="17">
        <f>$D92*(1+$F92)^2/(1+$G92)^2</f>
        <v/>
      </c>
      <c r="K92" s="17">
        <f>$D92*(1+$F92)^3/(1+$G92)^3</f>
        <v/>
      </c>
      <c r="L92" s="17">
        <f>$D92*(1+$F92)^4/(1+$G92)^4</f>
        <v/>
      </c>
      <c r="M92" s="17">
        <f>$D92*(1+$F92)^5/(1+$G92)^5</f>
        <v/>
      </c>
      <c r="N92" s="17">
        <f>$D92*(1+$F92)^6/(1+$G92)^6</f>
        <v/>
      </c>
      <c r="O92" s="17">
        <f>$D92*(1+$F92)^7/(1+$G92)^7</f>
        <v/>
      </c>
      <c r="P92" s="17">
        <f>$D92*(1+$F92)^8/(1+$G92)^8</f>
        <v/>
      </c>
      <c r="Q92" s="17">
        <f>$D92*(1+$F92)^9/(1+$G92)^9</f>
        <v/>
      </c>
      <c r="R92" s="17">
        <f>$D92*(1+$F92)^10/(1+$G92)^10</f>
        <v/>
      </c>
      <c r="S92" s="26">
        <f>SUM(I92:R92)</f>
        <v/>
      </c>
      <c r="T92" s="17">
        <f>$D92*(1+$F92)^10</f>
        <v/>
      </c>
      <c r="U92" s="17">
        <f>IF($G92&lt;=$H92,"",T92*(1+$H92)/($G92-$H92))</f>
        <v/>
      </c>
      <c r="V92" s="17">
        <f>IF(ISNUMBER(U92),U92/(1+$G92)^10,"")</f>
        <v/>
      </c>
      <c r="W92" s="26">
        <f>IF(ISNUMBER(V92),S92+V92,"")</f>
        <v/>
      </c>
      <c r="X92" s="15" t="n">
        <v>435.09514455</v>
      </c>
      <c r="Y92" s="19">
        <f>IF(AND(ISNUMBER(W92),W92&lt;&gt;0,ISNUMBER(X92)),(W92-X92)/W92,"")</f>
        <v/>
      </c>
      <c r="Z92" s="27">
        <f>IF(NOT(ISNUMBER(Y92)),"판정불가",IF(Y92&gt;=기준표!$B$42,"투자가능",IF(Y92&gt;=0,"경계선","범위밖")))</f>
        <v/>
      </c>
    </row>
    <row r="93">
      <c r="A93" s="8" t="inlineStr">
        <is>
          <t>ORCL</t>
        </is>
      </c>
      <c r="B93" s="8" t="inlineStr">
        <is>
          <t>ORACLE CORP</t>
        </is>
      </c>
      <c r="C93" s="8" t="inlineStr">
        <is>
          <t>기준</t>
        </is>
      </c>
      <c r="D93" s="15" t="n">
        <v>5.455041928832893</v>
      </c>
      <c r="E93" s="23" t="n"/>
      <c r="F93" s="18">
        <f>IF(NOT(ISNUMBER(E93)),0.03,MAX(0,MIN(E93*기준표!$B$36,기준표!$B$40)))</f>
        <v/>
      </c>
      <c r="G93" s="18">
        <f>기준표!$B$34</f>
        <v/>
      </c>
      <c r="H93" s="18">
        <f>기준표!$B$35</f>
        <v/>
      </c>
      <c r="I93" s="17">
        <f>$D93*(1+$F93)^1/(1+$G93)^1</f>
        <v/>
      </c>
      <c r="J93" s="17">
        <f>$D93*(1+$F93)^2/(1+$G93)^2</f>
        <v/>
      </c>
      <c r="K93" s="17">
        <f>$D93*(1+$F93)^3/(1+$G93)^3</f>
        <v/>
      </c>
      <c r="L93" s="17">
        <f>$D93*(1+$F93)^4/(1+$G93)^4</f>
        <v/>
      </c>
      <c r="M93" s="17">
        <f>$D93*(1+$F93)^5/(1+$G93)^5</f>
        <v/>
      </c>
      <c r="N93" s="17">
        <f>$D93*(1+$F93)^6/(1+$G93)^6</f>
        <v/>
      </c>
      <c r="O93" s="17">
        <f>$D93*(1+$F93)^7/(1+$G93)^7</f>
        <v/>
      </c>
      <c r="P93" s="17">
        <f>$D93*(1+$F93)^8/(1+$G93)^8</f>
        <v/>
      </c>
      <c r="Q93" s="17">
        <f>$D93*(1+$F93)^9/(1+$G93)^9</f>
        <v/>
      </c>
      <c r="R93" s="17">
        <f>$D93*(1+$F93)^10/(1+$G93)^10</f>
        <v/>
      </c>
      <c r="S93" s="26">
        <f>SUM(I93:R93)</f>
        <v/>
      </c>
      <c r="T93" s="17">
        <f>$D93*(1+$F93)^10</f>
        <v/>
      </c>
      <c r="U93" s="17">
        <f>IF($G93&lt;=$H93,"",T93*(1+$H93)/($G93-$H93))</f>
        <v/>
      </c>
      <c r="V93" s="17">
        <f>IF(ISNUMBER(U93),U93/(1+$G93)^10,"")</f>
        <v/>
      </c>
      <c r="W93" s="26">
        <f>IF(ISNUMBER(V93),S93+V93,"")</f>
        <v/>
      </c>
      <c r="X93" s="15" t="n">
        <v>435.09514455</v>
      </c>
      <c r="Y93" s="19">
        <f>IF(AND(ISNUMBER(W93),W93&lt;&gt;0,ISNUMBER(X93)),(W93-X93)/W93,"")</f>
        <v/>
      </c>
      <c r="Z93" s="27">
        <f>IF(NOT(ISNUMBER(Y93)),"판정불가",IF(Y93&gt;=기준표!$B$42,"투자가능",IF(Y93&gt;=0,"경계선","범위밖")))</f>
        <v/>
      </c>
    </row>
    <row r="94">
      <c r="A94" s="8" t="inlineStr">
        <is>
          <t>ORCL</t>
        </is>
      </c>
      <c r="B94" s="8" t="inlineStr">
        <is>
          <t>ORACLE CORP</t>
        </is>
      </c>
      <c r="C94" s="8" t="inlineStr">
        <is>
          <t>낙관</t>
        </is>
      </c>
      <c r="D94" s="15" t="n">
        <v>5.455041928832893</v>
      </c>
      <c r="E94" s="23" t="n"/>
      <c r="F94" s="18">
        <f>IF(NOT(ISNUMBER(E94)),0.03,MAX(0,MIN(E94*기준표!$B$39,기준표!$B$41)))</f>
        <v/>
      </c>
      <c r="G94" s="18">
        <f>기준표!$B$37</f>
        <v/>
      </c>
      <c r="H94" s="18">
        <f>기준표!$B$38</f>
        <v/>
      </c>
      <c r="I94" s="17">
        <f>$D94*(1+$F94)^1/(1+$G94)^1</f>
        <v/>
      </c>
      <c r="J94" s="17">
        <f>$D94*(1+$F94)^2/(1+$G94)^2</f>
        <v/>
      </c>
      <c r="K94" s="17">
        <f>$D94*(1+$F94)^3/(1+$G94)^3</f>
        <v/>
      </c>
      <c r="L94" s="17">
        <f>$D94*(1+$F94)^4/(1+$G94)^4</f>
        <v/>
      </c>
      <c r="M94" s="17">
        <f>$D94*(1+$F94)^5/(1+$G94)^5</f>
        <v/>
      </c>
      <c r="N94" s="17">
        <f>$D94*(1+$F94)^6/(1+$G94)^6</f>
        <v/>
      </c>
      <c r="O94" s="17">
        <f>$D94*(1+$F94)^7/(1+$G94)^7</f>
        <v/>
      </c>
      <c r="P94" s="17">
        <f>$D94*(1+$F94)^8/(1+$G94)^8</f>
        <v/>
      </c>
      <c r="Q94" s="17">
        <f>$D94*(1+$F94)^9/(1+$G94)^9</f>
        <v/>
      </c>
      <c r="R94" s="17">
        <f>$D94*(1+$F94)^10/(1+$G94)^10</f>
        <v/>
      </c>
      <c r="S94" s="26">
        <f>SUM(I94:R94)</f>
        <v/>
      </c>
      <c r="T94" s="17">
        <f>$D94*(1+$F94)^10</f>
        <v/>
      </c>
      <c r="U94" s="17">
        <f>IF($G94&lt;=$H94,"",T94*(1+$H94)/($G94-$H94))</f>
        <v/>
      </c>
      <c r="V94" s="17">
        <f>IF(ISNUMBER(U94),U94/(1+$G94)^10,"")</f>
        <v/>
      </c>
      <c r="W94" s="26">
        <f>IF(ISNUMBER(V94),S94+V94,"")</f>
        <v/>
      </c>
      <c r="X94" s="15" t="n">
        <v>435.09514455</v>
      </c>
      <c r="Y94" s="19">
        <f>IF(AND(ISNUMBER(W94),W94&lt;&gt;0,ISNUMBER(X94)),(W94-X94)/W94,"")</f>
        <v/>
      </c>
      <c r="Z94" s="27">
        <f>IF(NOT(ISNUMBER(Y94)),"판정불가",IF(Y94&gt;=기준표!$B$42,"투자가능",IF(Y94&gt;=0,"경계선","범위밖")))</f>
        <v/>
      </c>
    </row>
    <row r="95">
      <c r="A95" s="8" t="inlineStr">
        <is>
          <t>WMT</t>
        </is>
      </c>
      <c r="B95" s="8" t="inlineStr">
        <is>
          <t>Walmart Inc.</t>
        </is>
      </c>
      <c r="C95" s="8" t="inlineStr">
        <is>
          <t>보수</t>
        </is>
      </c>
      <c r="D95" s="15" t="n">
        <v>11.54850666219934</v>
      </c>
      <c r="E95" s="23" t="n">
        <v>-0.02870705920264705</v>
      </c>
      <c r="F95" s="18">
        <f>IF(NOT(ISNUMBER(E95)),0.03,MAX(0,MIN(E95*기준표!$B$33,기준표!$B$40)))</f>
        <v/>
      </c>
      <c r="G95" s="18">
        <f>기준표!$B$31</f>
        <v/>
      </c>
      <c r="H95" s="18">
        <f>기준표!$B$32</f>
        <v/>
      </c>
      <c r="I95" s="17">
        <f>$D95*(1+$F95)^1/(1+$G95)^1</f>
        <v/>
      </c>
      <c r="J95" s="17">
        <f>$D95*(1+$F95)^2/(1+$G95)^2</f>
        <v/>
      </c>
      <c r="K95" s="17">
        <f>$D95*(1+$F95)^3/(1+$G95)^3</f>
        <v/>
      </c>
      <c r="L95" s="17">
        <f>$D95*(1+$F95)^4/(1+$G95)^4</f>
        <v/>
      </c>
      <c r="M95" s="17">
        <f>$D95*(1+$F95)^5/(1+$G95)^5</f>
        <v/>
      </c>
      <c r="N95" s="17">
        <f>$D95*(1+$F95)^6/(1+$G95)^6</f>
        <v/>
      </c>
      <c r="O95" s="17">
        <f>$D95*(1+$F95)^7/(1+$G95)^7</f>
        <v/>
      </c>
      <c r="P95" s="17">
        <f>$D95*(1+$F95)^8/(1+$G95)^8</f>
        <v/>
      </c>
      <c r="Q95" s="17">
        <f>$D95*(1+$F95)^9/(1+$G95)^9</f>
        <v/>
      </c>
      <c r="R95" s="17">
        <f>$D95*(1+$F95)^10/(1+$G95)^10</f>
        <v/>
      </c>
      <c r="S95" s="26">
        <f>SUM(I95:R95)</f>
        <v/>
      </c>
      <c r="T95" s="17">
        <f>$D95*(1+$F95)^10</f>
        <v/>
      </c>
      <c r="U95" s="17">
        <f>IF($G95&lt;=$H95,"",T95*(1+$H95)/($G95-$H95))</f>
        <v/>
      </c>
      <c r="V95" s="17">
        <f>IF(ISNUMBER(U95),U95/(1+$G95)^10,"")</f>
        <v/>
      </c>
      <c r="W95" s="26">
        <f>IF(ISNUMBER(V95),S95+V95,"")</f>
        <v/>
      </c>
      <c r="X95" s="15" t="n">
        <v>898.1708657626599</v>
      </c>
      <c r="Y95" s="19">
        <f>IF(AND(ISNUMBER(W95),W95&lt;&gt;0,ISNUMBER(X95)),(W95-X95)/W95,"")</f>
        <v/>
      </c>
      <c r="Z95" s="27">
        <f>IF(NOT(ISNUMBER(Y95)),"판정불가",IF(Y95&gt;=기준표!$B$42,"투자가능",IF(Y95&gt;=0,"경계선","범위밖")))</f>
        <v/>
      </c>
    </row>
    <row r="96">
      <c r="A96" s="8" t="inlineStr">
        <is>
          <t>WMT</t>
        </is>
      </c>
      <c r="B96" s="8" t="inlineStr">
        <is>
          <t>Walmart Inc.</t>
        </is>
      </c>
      <c r="C96" s="8" t="inlineStr">
        <is>
          <t>기준</t>
        </is>
      </c>
      <c r="D96" s="15" t="n">
        <v>11.54850666219934</v>
      </c>
      <c r="E96" s="23" t="n">
        <v>-0.02870705920264705</v>
      </c>
      <c r="F96" s="18">
        <f>IF(NOT(ISNUMBER(E96)),0.03,MAX(0,MIN(E96*기준표!$B$36,기준표!$B$40)))</f>
        <v/>
      </c>
      <c r="G96" s="18">
        <f>기준표!$B$34</f>
        <v/>
      </c>
      <c r="H96" s="18">
        <f>기준표!$B$35</f>
        <v/>
      </c>
      <c r="I96" s="17">
        <f>$D96*(1+$F96)^1/(1+$G96)^1</f>
        <v/>
      </c>
      <c r="J96" s="17">
        <f>$D96*(1+$F96)^2/(1+$G96)^2</f>
        <v/>
      </c>
      <c r="K96" s="17">
        <f>$D96*(1+$F96)^3/(1+$G96)^3</f>
        <v/>
      </c>
      <c r="L96" s="17">
        <f>$D96*(1+$F96)^4/(1+$G96)^4</f>
        <v/>
      </c>
      <c r="M96" s="17">
        <f>$D96*(1+$F96)^5/(1+$G96)^5</f>
        <v/>
      </c>
      <c r="N96" s="17">
        <f>$D96*(1+$F96)^6/(1+$G96)^6</f>
        <v/>
      </c>
      <c r="O96" s="17">
        <f>$D96*(1+$F96)^7/(1+$G96)^7</f>
        <v/>
      </c>
      <c r="P96" s="17">
        <f>$D96*(1+$F96)^8/(1+$G96)^8</f>
        <v/>
      </c>
      <c r="Q96" s="17">
        <f>$D96*(1+$F96)^9/(1+$G96)^9</f>
        <v/>
      </c>
      <c r="R96" s="17">
        <f>$D96*(1+$F96)^10/(1+$G96)^10</f>
        <v/>
      </c>
      <c r="S96" s="26">
        <f>SUM(I96:R96)</f>
        <v/>
      </c>
      <c r="T96" s="17">
        <f>$D96*(1+$F96)^10</f>
        <v/>
      </c>
      <c r="U96" s="17">
        <f>IF($G96&lt;=$H96,"",T96*(1+$H96)/($G96-$H96))</f>
        <v/>
      </c>
      <c r="V96" s="17">
        <f>IF(ISNUMBER(U96),U96/(1+$G96)^10,"")</f>
        <v/>
      </c>
      <c r="W96" s="26">
        <f>IF(ISNUMBER(V96),S96+V96,"")</f>
        <v/>
      </c>
      <c r="X96" s="15" t="n">
        <v>898.1708657626599</v>
      </c>
      <c r="Y96" s="19">
        <f>IF(AND(ISNUMBER(W96),W96&lt;&gt;0,ISNUMBER(X96)),(W96-X96)/W96,"")</f>
        <v/>
      </c>
      <c r="Z96" s="27">
        <f>IF(NOT(ISNUMBER(Y96)),"판정불가",IF(Y96&gt;=기준표!$B$42,"투자가능",IF(Y96&gt;=0,"경계선","범위밖")))</f>
        <v/>
      </c>
    </row>
    <row r="97">
      <c r="A97" s="8" t="inlineStr">
        <is>
          <t>WMT</t>
        </is>
      </c>
      <c r="B97" s="8" t="inlineStr">
        <is>
          <t>Walmart Inc.</t>
        </is>
      </c>
      <c r="C97" s="8" t="inlineStr">
        <is>
          <t>낙관</t>
        </is>
      </c>
      <c r="D97" s="15" t="n">
        <v>11.54850666219934</v>
      </c>
      <c r="E97" s="23" t="n">
        <v>-0.02870705920264705</v>
      </c>
      <c r="F97" s="18">
        <f>IF(NOT(ISNUMBER(E97)),0.03,MAX(0,MIN(E97*기준표!$B$39,기준표!$B$41)))</f>
        <v/>
      </c>
      <c r="G97" s="18">
        <f>기준표!$B$37</f>
        <v/>
      </c>
      <c r="H97" s="18">
        <f>기준표!$B$38</f>
        <v/>
      </c>
      <c r="I97" s="17">
        <f>$D97*(1+$F97)^1/(1+$G97)^1</f>
        <v/>
      </c>
      <c r="J97" s="17">
        <f>$D97*(1+$F97)^2/(1+$G97)^2</f>
        <v/>
      </c>
      <c r="K97" s="17">
        <f>$D97*(1+$F97)^3/(1+$G97)^3</f>
        <v/>
      </c>
      <c r="L97" s="17">
        <f>$D97*(1+$F97)^4/(1+$G97)^4</f>
        <v/>
      </c>
      <c r="M97" s="17">
        <f>$D97*(1+$F97)^5/(1+$G97)^5</f>
        <v/>
      </c>
      <c r="N97" s="17">
        <f>$D97*(1+$F97)^6/(1+$G97)^6</f>
        <v/>
      </c>
      <c r="O97" s="17">
        <f>$D97*(1+$F97)^7/(1+$G97)^7</f>
        <v/>
      </c>
      <c r="P97" s="17">
        <f>$D97*(1+$F97)^8/(1+$G97)^8</f>
        <v/>
      </c>
      <c r="Q97" s="17">
        <f>$D97*(1+$F97)^9/(1+$G97)^9</f>
        <v/>
      </c>
      <c r="R97" s="17">
        <f>$D97*(1+$F97)^10/(1+$G97)^10</f>
        <v/>
      </c>
      <c r="S97" s="26">
        <f>SUM(I97:R97)</f>
        <v/>
      </c>
      <c r="T97" s="17">
        <f>$D97*(1+$F97)^10</f>
        <v/>
      </c>
      <c r="U97" s="17">
        <f>IF($G97&lt;=$H97,"",T97*(1+$H97)/($G97-$H97))</f>
        <v/>
      </c>
      <c r="V97" s="17">
        <f>IF(ISNUMBER(U97),U97/(1+$G97)^10,"")</f>
        <v/>
      </c>
      <c r="W97" s="26">
        <f>IF(ISNUMBER(V97),S97+V97,"")</f>
        <v/>
      </c>
      <c r="X97" s="15" t="n">
        <v>898.1708657626599</v>
      </c>
      <c r="Y97" s="19">
        <f>IF(AND(ISNUMBER(W97),W97&lt;&gt;0,ISNUMBER(X97)),(W97-X97)/W97,"")</f>
        <v/>
      </c>
      <c r="Z97" s="27">
        <f>IF(NOT(ISNUMBER(Y97)),"판정불가",IF(Y97&gt;=기준표!$B$42,"투자가능",IF(Y97&gt;=0,"경계선","범위밖")))</f>
        <v/>
      </c>
    </row>
    <row r="98">
      <c r="A98" s="8" t="inlineStr">
        <is>
          <t>ABBV</t>
        </is>
      </c>
      <c r="B98" s="8" t="inlineStr">
        <is>
          <t>AbbVie Inc.</t>
        </is>
      </c>
      <c r="C98" s="8" t="inlineStr">
        <is>
          <t>보수</t>
        </is>
      </c>
      <c r="D98" s="15" t="n">
        <v>5.574903255582774</v>
      </c>
      <c r="E98" s="23" t="n">
        <v>-0.07304177544534507</v>
      </c>
      <c r="F98" s="18">
        <f>IF(NOT(ISNUMBER(E98)),0.03,MAX(0,MIN(E98*기준표!$B$33,기준표!$B$40)))</f>
        <v/>
      </c>
      <c r="G98" s="18">
        <f>기준표!$B$31</f>
        <v/>
      </c>
      <c r="H98" s="18">
        <f>기준표!$B$32</f>
        <v/>
      </c>
      <c r="I98" s="17">
        <f>$D98*(1+$F98)^1/(1+$G98)^1</f>
        <v/>
      </c>
      <c r="J98" s="17">
        <f>$D98*(1+$F98)^2/(1+$G98)^2</f>
        <v/>
      </c>
      <c r="K98" s="17">
        <f>$D98*(1+$F98)^3/(1+$G98)^3</f>
        <v/>
      </c>
      <c r="L98" s="17">
        <f>$D98*(1+$F98)^4/(1+$G98)^4</f>
        <v/>
      </c>
      <c r="M98" s="17">
        <f>$D98*(1+$F98)^5/(1+$G98)^5</f>
        <v/>
      </c>
      <c r="N98" s="17">
        <f>$D98*(1+$F98)^6/(1+$G98)^6</f>
        <v/>
      </c>
      <c r="O98" s="17">
        <f>$D98*(1+$F98)^7/(1+$G98)^7</f>
        <v/>
      </c>
      <c r="P98" s="17">
        <f>$D98*(1+$F98)^8/(1+$G98)^8</f>
        <v/>
      </c>
      <c r="Q98" s="17">
        <f>$D98*(1+$F98)^9/(1+$G98)^9</f>
        <v/>
      </c>
      <c r="R98" s="17">
        <f>$D98*(1+$F98)^10/(1+$G98)^10</f>
        <v/>
      </c>
      <c r="S98" s="26">
        <f>SUM(I98:R98)</f>
        <v/>
      </c>
      <c r="T98" s="17">
        <f>$D98*(1+$F98)^10</f>
        <v/>
      </c>
      <c r="U98" s="17">
        <f>IF($G98&lt;=$H98,"",T98*(1+$H98)/($G98-$H98))</f>
        <v/>
      </c>
      <c r="V98" s="17">
        <f>IF(ISNUMBER(U98),U98/(1+$G98)^10,"")</f>
        <v/>
      </c>
      <c r="W98" s="26">
        <f>IF(ISNUMBER(V98),S98+V98,"")</f>
        <v/>
      </c>
      <c r="X98" s="15" t="n">
        <v>438.45286990564</v>
      </c>
      <c r="Y98" s="19">
        <f>IF(AND(ISNUMBER(W98),W98&lt;&gt;0,ISNUMBER(X98)),(W98-X98)/W98,"")</f>
        <v/>
      </c>
      <c r="Z98" s="27">
        <f>IF(NOT(ISNUMBER(Y98)),"판정불가",IF(Y98&gt;=기준표!$B$42,"투자가능",IF(Y98&gt;=0,"경계선","범위밖")))</f>
        <v/>
      </c>
    </row>
    <row r="99">
      <c r="A99" s="8" t="inlineStr">
        <is>
          <t>ABBV</t>
        </is>
      </c>
      <c r="B99" s="8" t="inlineStr">
        <is>
          <t>AbbVie Inc.</t>
        </is>
      </c>
      <c r="C99" s="8" t="inlineStr">
        <is>
          <t>기준</t>
        </is>
      </c>
      <c r="D99" s="15" t="n">
        <v>5.574903255582774</v>
      </c>
      <c r="E99" s="23" t="n">
        <v>-0.07304177544534507</v>
      </c>
      <c r="F99" s="18">
        <f>IF(NOT(ISNUMBER(E99)),0.03,MAX(0,MIN(E99*기준표!$B$36,기준표!$B$40)))</f>
        <v/>
      </c>
      <c r="G99" s="18">
        <f>기준표!$B$34</f>
        <v/>
      </c>
      <c r="H99" s="18">
        <f>기준표!$B$35</f>
        <v/>
      </c>
      <c r="I99" s="17">
        <f>$D99*(1+$F99)^1/(1+$G99)^1</f>
        <v/>
      </c>
      <c r="J99" s="17">
        <f>$D99*(1+$F99)^2/(1+$G99)^2</f>
        <v/>
      </c>
      <c r="K99" s="17">
        <f>$D99*(1+$F99)^3/(1+$G99)^3</f>
        <v/>
      </c>
      <c r="L99" s="17">
        <f>$D99*(1+$F99)^4/(1+$G99)^4</f>
        <v/>
      </c>
      <c r="M99" s="17">
        <f>$D99*(1+$F99)^5/(1+$G99)^5</f>
        <v/>
      </c>
      <c r="N99" s="17">
        <f>$D99*(1+$F99)^6/(1+$G99)^6</f>
        <v/>
      </c>
      <c r="O99" s="17">
        <f>$D99*(1+$F99)^7/(1+$G99)^7</f>
        <v/>
      </c>
      <c r="P99" s="17">
        <f>$D99*(1+$F99)^8/(1+$G99)^8</f>
        <v/>
      </c>
      <c r="Q99" s="17">
        <f>$D99*(1+$F99)^9/(1+$G99)^9</f>
        <v/>
      </c>
      <c r="R99" s="17">
        <f>$D99*(1+$F99)^10/(1+$G99)^10</f>
        <v/>
      </c>
      <c r="S99" s="26">
        <f>SUM(I99:R99)</f>
        <v/>
      </c>
      <c r="T99" s="17">
        <f>$D99*(1+$F99)^10</f>
        <v/>
      </c>
      <c r="U99" s="17">
        <f>IF($G99&lt;=$H99,"",T99*(1+$H99)/($G99-$H99))</f>
        <v/>
      </c>
      <c r="V99" s="17">
        <f>IF(ISNUMBER(U99),U99/(1+$G99)^10,"")</f>
        <v/>
      </c>
      <c r="W99" s="26">
        <f>IF(ISNUMBER(V99),S99+V99,"")</f>
        <v/>
      </c>
      <c r="X99" s="15" t="n">
        <v>438.45286990564</v>
      </c>
      <c r="Y99" s="19">
        <f>IF(AND(ISNUMBER(W99),W99&lt;&gt;0,ISNUMBER(X99)),(W99-X99)/W99,"")</f>
        <v/>
      </c>
      <c r="Z99" s="27">
        <f>IF(NOT(ISNUMBER(Y99)),"판정불가",IF(Y99&gt;=기준표!$B$42,"투자가능",IF(Y99&gt;=0,"경계선","범위밖")))</f>
        <v/>
      </c>
    </row>
    <row r="100">
      <c r="A100" s="8" t="inlineStr">
        <is>
          <t>ABBV</t>
        </is>
      </c>
      <c r="B100" s="8" t="inlineStr">
        <is>
          <t>AbbVie Inc.</t>
        </is>
      </c>
      <c r="C100" s="8" t="inlineStr">
        <is>
          <t>낙관</t>
        </is>
      </c>
      <c r="D100" s="15" t="n">
        <v>5.574903255582774</v>
      </c>
      <c r="E100" s="23" t="n">
        <v>-0.07304177544534507</v>
      </c>
      <c r="F100" s="18">
        <f>IF(NOT(ISNUMBER(E100)),0.03,MAX(0,MIN(E100*기준표!$B$39,기준표!$B$41)))</f>
        <v/>
      </c>
      <c r="G100" s="18">
        <f>기준표!$B$37</f>
        <v/>
      </c>
      <c r="H100" s="18">
        <f>기준표!$B$38</f>
        <v/>
      </c>
      <c r="I100" s="17">
        <f>$D100*(1+$F100)^1/(1+$G100)^1</f>
        <v/>
      </c>
      <c r="J100" s="17">
        <f>$D100*(1+$F100)^2/(1+$G100)^2</f>
        <v/>
      </c>
      <c r="K100" s="17">
        <f>$D100*(1+$F100)^3/(1+$G100)^3</f>
        <v/>
      </c>
      <c r="L100" s="17">
        <f>$D100*(1+$F100)^4/(1+$G100)^4</f>
        <v/>
      </c>
      <c r="M100" s="17">
        <f>$D100*(1+$F100)^5/(1+$G100)^5</f>
        <v/>
      </c>
      <c r="N100" s="17">
        <f>$D100*(1+$F100)^6/(1+$G100)^6</f>
        <v/>
      </c>
      <c r="O100" s="17">
        <f>$D100*(1+$F100)^7/(1+$G100)^7</f>
        <v/>
      </c>
      <c r="P100" s="17">
        <f>$D100*(1+$F100)^8/(1+$G100)^8</f>
        <v/>
      </c>
      <c r="Q100" s="17">
        <f>$D100*(1+$F100)^9/(1+$G100)^9</f>
        <v/>
      </c>
      <c r="R100" s="17">
        <f>$D100*(1+$F100)^10/(1+$G100)^10</f>
        <v/>
      </c>
      <c r="S100" s="26">
        <f>SUM(I100:R100)</f>
        <v/>
      </c>
      <c r="T100" s="17">
        <f>$D100*(1+$F100)^10</f>
        <v/>
      </c>
      <c r="U100" s="17">
        <f>IF($G100&lt;=$H100,"",T100*(1+$H100)/($G100-$H100))</f>
        <v/>
      </c>
      <c r="V100" s="17">
        <f>IF(ISNUMBER(U100),U100/(1+$G100)^10,"")</f>
        <v/>
      </c>
      <c r="W100" s="26">
        <f>IF(ISNUMBER(V100),S100+V100,"")</f>
        <v/>
      </c>
      <c r="X100" s="15" t="n">
        <v>438.45286990564</v>
      </c>
      <c r="Y100" s="19">
        <f>IF(AND(ISNUMBER(W100),W100&lt;&gt;0,ISNUMBER(X100)),(W100-X100)/W100,"")</f>
        <v/>
      </c>
      <c r="Z100" s="27">
        <f>IF(NOT(ISNUMBER(Y100)),"판정불가",IF(Y100&gt;=기준표!$B$42,"투자가능",IF(Y100&gt;=0,"경계선","범위밖")))</f>
        <v/>
      </c>
    </row>
    <row r="101">
      <c r="A101" s="8" t="inlineStr">
        <is>
          <t>LLY</t>
        </is>
      </c>
      <c r="B101" s="8" t="inlineStr">
        <is>
          <t>ELI LILLY &amp; Co</t>
        </is>
      </c>
      <c r="C101" s="8" t="inlineStr">
        <is>
          <t>보수</t>
        </is>
      </c>
      <c r="D101" s="15" t="n">
        <v>6.0862</v>
      </c>
      <c r="E101" s="23" t="n">
        <v>0.06201657298692131</v>
      </c>
      <c r="F101" s="18">
        <f>IF(NOT(ISNUMBER(E101)),0.03,MAX(0,MIN(E101*기준표!$B$33,기준표!$B$40)))</f>
        <v/>
      </c>
      <c r="G101" s="18">
        <f>기준표!$B$31</f>
        <v/>
      </c>
      <c r="H101" s="18">
        <f>기준표!$B$32</f>
        <v/>
      </c>
      <c r="I101" s="17">
        <f>$D101*(1+$F101)^1/(1+$G101)^1</f>
        <v/>
      </c>
      <c r="J101" s="17">
        <f>$D101*(1+$F101)^2/(1+$G101)^2</f>
        <v/>
      </c>
      <c r="K101" s="17">
        <f>$D101*(1+$F101)^3/(1+$G101)^3</f>
        <v/>
      </c>
      <c r="L101" s="17">
        <f>$D101*(1+$F101)^4/(1+$G101)^4</f>
        <v/>
      </c>
      <c r="M101" s="17">
        <f>$D101*(1+$F101)^5/(1+$G101)^5</f>
        <v/>
      </c>
      <c r="N101" s="17">
        <f>$D101*(1+$F101)^6/(1+$G101)^6</f>
        <v/>
      </c>
      <c r="O101" s="17">
        <f>$D101*(1+$F101)^7/(1+$G101)^7</f>
        <v/>
      </c>
      <c r="P101" s="17">
        <f>$D101*(1+$F101)^8/(1+$G101)^8</f>
        <v/>
      </c>
      <c r="Q101" s="17">
        <f>$D101*(1+$F101)^9/(1+$G101)^9</f>
        <v/>
      </c>
      <c r="R101" s="17">
        <f>$D101*(1+$F101)^10/(1+$G101)^10</f>
        <v/>
      </c>
      <c r="S101" s="26">
        <f>SUM(I101:R101)</f>
        <v/>
      </c>
      <c r="T101" s="17">
        <f>$D101*(1+$F101)^10</f>
        <v/>
      </c>
      <c r="U101" s="17">
        <f>IF($G101&lt;=$H101,"",T101*(1+$H101)/($G101-$H101))</f>
        <v/>
      </c>
      <c r="V101" s="17">
        <f>IF(ISNUMBER(U101),U101/(1+$G101)^10,"")</f>
        <v/>
      </c>
      <c r="W101" s="26">
        <f>IF(ISNUMBER(V101),S101+V101,"")</f>
        <v/>
      </c>
      <c r="X101" s="15" t="n">
        <v>1162.1597399948</v>
      </c>
      <c r="Y101" s="19">
        <f>IF(AND(ISNUMBER(W101),W101&lt;&gt;0,ISNUMBER(X101)),(W101-X101)/W101,"")</f>
        <v/>
      </c>
      <c r="Z101" s="27">
        <f>IF(NOT(ISNUMBER(Y101)),"판정불가",IF(Y101&gt;=기준표!$B$42,"투자가능",IF(Y101&gt;=0,"경계선","범위밖")))</f>
        <v/>
      </c>
    </row>
    <row r="102">
      <c r="A102" s="8" t="inlineStr">
        <is>
          <t>LLY</t>
        </is>
      </c>
      <c r="B102" s="8" t="inlineStr">
        <is>
          <t>ELI LILLY &amp; Co</t>
        </is>
      </c>
      <c r="C102" s="8" t="inlineStr">
        <is>
          <t>기준</t>
        </is>
      </c>
      <c r="D102" s="15" t="n">
        <v>6.0862</v>
      </c>
      <c r="E102" s="23" t="n">
        <v>0.06201657298692131</v>
      </c>
      <c r="F102" s="18">
        <f>IF(NOT(ISNUMBER(E102)),0.03,MAX(0,MIN(E102*기준표!$B$36,기준표!$B$40)))</f>
        <v/>
      </c>
      <c r="G102" s="18">
        <f>기준표!$B$34</f>
        <v/>
      </c>
      <c r="H102" s="18">
        <f>기준표!$B$35</f>
        <v/>
      </c>
      <c r="I102" s="17">
        <f>$D102*(1+$F102)^1/(1+$G102)^1</f>
        <v/>
      </c>
      <c r="J102" s="17">
        <f>$D102*(1+$F102)^2/(1+$G102)^2</f>
        <v/>
      </c>
      <c r="K102" s="17">
        <f>$D102*(1+$F102)^3/(1+$G102)^3</f>
        <v/>
      </c>
      <c r="L102" s="17">
        <f>$D102*(1+$F102)^4/(1+$G102)^4</f>
        <v/>
      </c>
      <c r="M102" s="17">
        <f>$D102*(1+$F102)^5/(1+$G102)^5</f>
        <v/>
      </c>
      <c r="N102" s="17">
        <f>$D102*(1+$F102)^6/(1+$G102)^6</f>
        <v/>
      </c>
      <c r="O102" s="17">
        <f>$D102*(1+$F102)^7/(1+$G102)^7</f>
        <v/>
      </c>
      <c r="P102" s="17">
        <f>$D102*(1+$F102)^8/(1+$G102)^8</f>
        <v/>
      </c>
      <c r="Q102" s="17">
        <f>$D102*(1+$F102)^9/(1+$G102)^9</f>
        <v/>
      </c>
      <c r="R102" s="17">
        <f>$D102*(1+$F102)^10/(1+$G102)^10</f>
        <v/>
      </c>
      <c r="S102" s="26">
        <f>SUM(I102:R102)</f>
        <v/>
      </c>
      <c r="T102" s="17">
        <f>$D102*(1+$F102)^10</f>
        <v/>
      </c>
      <c r="U102" s="17">
        <f>IF($G102&lt;=$H102,"",T102*(1+$H102)/($G102-$H102))</f>
        <v/>
      </c>
      <c r="V102" s="17">
        <f>IF(ISNUMBER(U102),U102/(1+$G102)^10,"")</f>
        <v/>
      </c>
      <c r="W102" s="26">
        <f>IF(ISNUMBER(V102),S102+V102,"")</f>
        <v/>
      </c>
      <c r="X102" s="15" t="n">
        <v>1162.1597399948</v>
      </c>
      <c r="Y102" s="19">
        <f>IF(AND(ISNUMBER(W102),W102&lt;&gt;0,ISNUMBER(X102)),(W102-X102)/W102,"")</f>
        <v/>
      </c>
      <c r="Z102" s="27">
        <f>IF(NOT(ISNUMBER(Y102)),"판정불가",IF(Y102&gt;=기준표!$B$42,"투자가능",IF(Y102&gt;=0,"경계선","범위밖")))</f>
        <v/>
      </c>
    </row>
    <row r="103">
      <c r="A103" s="8" t="inlineStr">
        <is>
          <t>LLY</t>
        </is>
      </c>
      <c r="B103" s="8" t="inlineStr">
        <is>
          <t>ELI LILLY &amp; Co</t>
        </is>
      </c>
      <c r="C103" s="8" t="inlineStr">
        <is>
          <t>낙관</t>
        </is>
      </c>
      <c r="D103" s="15" t="n">
        <v>6.0862</v>
      </c>
      <c r="E103" s="23" t="n">
        <v>0.06201657298692131</v>
      </c>
      <c r="F103" s="18">
        <f>IF(NOT(ISNUMBER(E103)),0.03,MAX(0,MIN(E103*기준표!$B$39,기준표!$B$41)))</f>
        <v/>
      </c>
      <c r="G103" s="18">
        <f>기준표!$B$37</f>
        <v/>
      </c>
      <c r="H103" s="18">
        <f>기준표!$B$38</f>
        <v/>
      </c>
      <c r="I103" s="17">
        <f>$D103*(1+$F103)^1/(1+$G103)^1</f>
        <v/>
      </c>
      <c r="J103" s="17">
        <f>$D103*(1+$F103)^2/(1+$G103)^2</f>
        <v/>
      </c>
      <c r="K103" s="17">
        <f>$D103*(1+$F103)^3/(1+$G103)^3</f>
        <v/>
      </c>
      <c r="L103" s="17">
        <f>$D103*(1+$F103)^4/(1+$G103)^4</f>
        <v/>
      </c>
      <c r="M103" s="17">
        <f>$D103*(1+$F103)^5/(1+$G103)^5</f>
        <v/>
      </c>
      <c r="N103" s="17">
        <f>$D103*(1+$F103)^6/(1+$G103)^6</f>
        <v/>
      </c>
      <c r="O103" s="17">
        <f>$D103*(1+$F103)^7/(1+$G103)^7</f>
        <v/>
      </c>
      <c r="P103" s="17">
        <f>$D103*(1+$F103)^8/(1+$G103)^8</f>
        <v/>
      </c>
      <c r="Q103" s="17">
        <f>$D103*(1+$F103)^9/(1+$G103)^9</f>
        <v/>
      </c>
      <c r="R103" s="17">
        <f>$D103*(1+$F103)^10/(1+$G103)^10</f>
        <v/>
      </c>
      <c r="S103" s="26">
        <f>SUM(I103:R103)</f>
        <v/>
      </c>
      <c r="T103" s="17">
        <f>$D103*(1+$F103)^10</f>
        <v/>
      </c>
      <c r="U103" s="17">
        <f>IF($G103&lt;=$H103,"",T103*(1+$H103)/($G103-$H103))</f>
        <v/>
      </c>
      <c r="V103" s="17">
        <f>IF(ISNUMBER(U103),U103/(1+$G103)^10,"")</f>
        <v/>
      </c>
      <c r="W103" s="26">
        <f>IF(ISNUMBER(V103),S103+V103,"")</f>
        <v/>
      </c>
      <c r="X103" s="15" t="n">
        <v>1162.1597399948</v>
      </c>
      <c r="Y103" s="19">
        <f>IF(AND(ISNUMBER(W103),W103&lt;&gt;0,ISNUMBER(X103)),(W103-X103)/W103,"")</f>
        <v/>
      </c>
      <c r="Z103" s="27">
        <f>IF(NOT(ISNUMBER(Y103)),"판정불가",IF(Y103&gt;=기준표!$B$42,"투자가능",IF(Y103&gt;=0,"경계선","범위밖")))</f>
        <v/>
      </c>
    </row>
    <row r="104">
      <c r="A104" s="8" t="inlineStr">
        <is>
          <t>TSLA</t>
        </is>
      </c>
      <c r="B104" s="8" t="inlineStr">
        <is>
          <t>Tesla, Inc.</t>
        </is>
      </c>
      <c r="C104" s="8" t="inlineStr">
        <is>
          <t>보수</t>
        </is>
      </c>
      <c r="D104" s="15" t="n">
        <v>6.398023916589856</v>
      </c>
      <c r="E104" s="23" t="n"/>
      <c r="F104" s="18">
        <f>IF(NOT(ISNUMBER(E104)),0.03,MAX(0,MIN(E104*기준표!$B$33,기준표!$B$40)))</f>
        <v/>
      </c>
      <c r="G104" s="18">
        <f>기준표!$B$31</f>
        <v/>
      </c>
      <c r="H104" s="18">
        <f>기준표!$B$32</f>
        <v/>
      </c>
      <c r="I104" s="17">
        <f>$D104*(1+$F104)^1/(1+$G104)^1</f>
        <v/>
      </c>
      <c r="J104" s="17">
        <f>$D104*(1+$F104)^2/(1+$G104)^2</f>
        <v/>
      </c>
      <c r="K104" s="17">
        <f>$D104*(1+$F104)^3/(1+$G104)^3</f>
        <v/>
      </c>
      <c r="L104" s="17">
        <f>$D104*(1+$F104)^4/(1+$G104)^4</f>
        <v/>
      </c>
      <c r="M104" s="17">
        <f>$D104*(1+$F104)^5/(1+$G104)^5</f>
        <v/>
      </c>
      <c r="N104" s="17">
        <f>$D104*(1+$F104)^6/(1+$G104)^6</f>
        <v/>
      </c>
      <c r="O104" s="17">
        <f>$D104*(1+$F104)^7/(1+$G104)^7</f>
        <v/>
      </c>
      <c r="P104" s="17">
        <f>$D104*(1+$F104)^8/(1+$G104)^8</f>
        <v/>
      </c>
      <c r="Q104" s="17">
        <f>$D104*(1+$F104)^9/(1+$G104)^9</f>
        <v/>
      </c>
      <c r="R104" s="17">
        <f>$D104*(1+$F104)^10/(1+$G104)^10</f>
        <v/>
      </c>
      <c r="S104" s="26">
        <f>SUM(I104:R104)</f>
        <v/>
      </c>
      <c r="T104" s="17">
        <f>$D104*(1+$F104)^10</f>
        <v/>
      </c>
      <c r="U104" s="17">
        <f>IF($G104&lt;=$H104,"",T104*(1+$H104)/($G104-$H104))</f>
        <v/>
      </c>
      <c r="V104" s="17">
        <f>IF(ISNUMBER(U104),U104/(1+$G104)^10,"")</f>
        <v/>
      </c>
      <c r="W104" s="26">
        <f>IF(ISNUMBER(V104),S104+V104,"")</f>
        <v/>
      </c>
      <c r="X104" s="15" t="n">
        <v>1241.60469486592</v>
      </c>
      <c r="Y104" s="19">
        <f>IF(AND(ISNUMBER(W104),W104&lt;&gt;0,ISNUMBER(X104)),(W104-X104)/W104,"")</f>
        <v/>
      </c>
      <c r="Z104" s="27">
        <f>IF(NOT(ISNUMBER(Y104)),"판정불가",IF(Y104&gt;=기준표!$B$42,"투자가능",IF(Y104&gt;=0,"경계선","범위밖")))</f>
        <v/>
      </c>
    </row>
    <row r="105">
      <c r="A105" s="8" t="inlineStr">
        <is>
          <t>TSLA</t>
        </is>
      </c>
      <c r="B105" s="8" t="inlineStr">
        <is>
          <t>Tesla, Inc.</t>
        </is>
      </c>
      <c r="C105" s="8" t="inlineStr">
        <is>
          <t>기준</t>
        </is>
      </c>
      <c r="D105" s="15" t="n">
        <v>6.398023916589856</v>
      </c>
      <c r="E105" s="23" t="n"/>
      <c r="F105" s="18">
        <f>IF(NOT(ISNUMBER(E105)),0.03,MAX(0,MIN(E105*기준표!$B$36,기준표!$B$40)))</f>
        <v/>
      </c>
      <c r="G105" s="18">
        <f>기준표!$B$34</f>
        <v/>
      </c>
      <c r="H105" s="18">
        <f>기준표!$B$35</f>
        <v/>
      </c>
      <c r="I105" s="17">
        <f>$D105*(1+$F105)^1/(1+$G105)^1</f>
        <v/>
      </c>
      <c r="J105" s="17">
        <f>$D105*(1+$F105)^2/(1+$G105)^2</f>
        <v/>
      </c>
      <c r="K105" s="17">
        <f>$D105*(1+$F105)^3/(1+$G105)^3</f>
        <v/>
      </c>
      <c r="L105" s="17">
        <f>$D105*(1+$F105)^4/(1+$G105)^4</f>
        <v/>
      </c>
      <c r="M105" s="17">
        <f>$D105*(1+$F105)^5/(1+$G105)^5</f>
        <v/>
      </c>
      <c r="N105" s="17">
        <f>$D105*(1+$F105)^6/(1+$G105)^6</f>
        <v/>
      </c>
      <c r="O105" s="17">
        <f>$D105*(1+$F105)^7/(1+$G105)^7</f>
        <v/>
      </c>
      <c r="P105" s="17">
        <f>$D105*(1+$F105)^8/(1+$G105)^8</f>
        <v/>
      </c>
      <c r="Q105" s="17">
        <f>$D105*(1+$F105)^9/(1+$G105)^9</f>
        <v/>
      </c>
      <c r="R105" s="17">
        <f>$D105*(1+$F105)^10/(1+$G105)^10</f>
        <v/>
      </c>
      <c r="S105" s="26">
        <f>SUM(I105:R105)</f>
        <v/>
      </c>
      <c r="T105" s="17">
        <f>$D105*(1+$F105)^10</f>
        <v/>
      </c>
      <c r="U105" s="17">
        <f>IF($G105&lt;=$H105,"",T105*(1+$H105)/($G105-$H105))</f>
        <v/>
      </c>
      <c r="V105" s="17">
        <f>IF(ISNUMBER(U105),U105/(1+$G105)^10,"")</f>
        <v/>
      </c>
      <c r="W105" s="26">
        <f>IF(ISNUMBER(V105),S105+V105,"")</f>
        <v/>
      </c>
      <c r="X105" s="15" t="n">
        <v>1241.60469486592</v>
      </c>
      <c r="Y105" s="19">
        <f>IF(AND(ISNUMBER(W105),W105&lt;&gt;0,ISNUMBER(X105)),(W105-X105)/W105,"")</f>
        <v/>
      </c>
      <c r="Z105" s="27">
        <f>IF(NOT(ISNUMBER(Y105)),"판정불가",IF(Y105&gt;=기준표!$B$42,"투자가능",IF(Y105&gt;=0,"경계선","범위밖")))</f>
        <v/>
      </c>
    </row>
    <row r="106">
      <c r="A106" s="8" t="inlineStr">
        <is>
          <t>TSLA</t>
        </is>
      </c>
      <c r="B106" s="8" t="inlineStr">
        <is>
          <t>Tesla, Inc.</t>
        </is>
      </c>
      <c r="C106" s="8" t="inlineStr">
        <is>
          <t>낙관</t>
        </is>
      </c>
      <c r="D106" s="15" t="n">
        <v>6.398023916589856</v>
      </c>
      <c r="E106" s="23" t="n"/>
      <c r="F106" s="18">
        <f>IF(NOT(ISNUMBER(E106)),0.03,MAX(0,MIN(E106*기준표!$B$39,기준표!$B$41)))</f>
        <v/>
      </c>
      <c r="G106" s="18">
        <f>기준표!$B$37</f>
        <v/>
      </c>
      <c r="H106" s="18">
        <f>기준표!$B$38</f>
        <v/>
      </c>
      <c r="I106" s="17">
        <f>$D106*(1+$F106)^1/(1+$G106)^1</f>
        <v/>
      </c>
      <c r="J106" s="17">
        <f>$D106*(1+$F106)^2/(1+$G106)^2</f>
        <v/>
      </c>
      <c r="K106" s="17">
        <f>$D106*(1+$F106)^3/(1+$G106)^3</f>
        <v/>
      </c>
      <c r="L106" s="17">
        <f>$D106*(1+$F106)^4/(1+$G106)^4</f>
        <v/>
      </c>
      <c r="M106" s="17">
        <f>$D106*(1+$F106)^5/(1+$G106)^5</f>
        <v/>
      </c>
      <c r="N106" s="17">
        <f>$D106*(1+$F106)^6/(1+$G106)^6</f>
        <v/>
      </c>
      <c r="O106" s="17">
        <f>$D106*(1+$F106)^7/(1+$G106)^7</f>
        <v/>
      </c>
      <c r="P106" s="17">
        <f>$D106*(1+$F106)^8/(1+$G106)^8</f>
        <v/>
      </c>
      <c r="Q106" s="17">
        <f>$D106*(1+$F106)^9/(1+$G106)^9</f>
        <v/>
      </c>
      <c r="R106" s="17">
        <f>$D106*(1+$F106)^10/(1+$G106)^10</f>
        <v/>
      </c>
      <c r="S106" s="26">
        <f>SUM(I106:R106)</f>
        <v/>
      </c>
      <c r="T106" s="17">
        <f>$D106*(1+$F106)^10</f>
        <v/>
      </c>
      <c r="U106" s="17">
        <f>IF($G106&lt;=$H106,"",T106*(1+$H106)/($G106-$H106))</f>
        <v/>
      </c>
      <c r="V106" s="17">
        <f>IF(ISNUMBER(U106),U106/(1+$G106)^10,"")</f>
        <v/>
      </c>
      <c r="W106" s="26">
        <f>IF(ISNUMBER(V106),S106+V106,"")</f>
        <v/>
      </c>
      <c r="X106" s="15" t="n">
        <v>1241.60469486592</v>
      </c>
      <c r="Y106" s="19">
        <f>IF(AND(ISNUMBER(W106),W106&lt;&gt;0,ISNUMBER(X106)),(W106-X106)/W106,"")</f>
        <v/>
      </c>
      <c r="Z106" s="27">
        <f>IF(NOT(ISNUMBER(Y106)),"판정불가",IF(Y106&gt;=기준표!$B$42,"투자가능",IF(Y106&gt;=0,"경계선","범위밖")))</f>
        <v/>
      </c>
    </row>
    <row r="107">
      <c r="A107" s="8" t="inlineStr">
        <is>
          <t>PANW</t>
        </is>
      </c>
      <c r="B107" s="8" t="inlineStr">
        <is>
          <t>Palo Alto Networks Inc</t>
        </is>
      </c>
      <c r="C107" s="8" t="inlineStr">
        <is>
          <t>보수</t>
        </is>
      </c>
      <c r="D107" s="15" t="n">
        <v>1.089690796059599</v>
      </c>
      <c r="E107" s="23" t="n"/>
      <c r="F107" s="18">
        <f>IF(NOT(ISNUMBER(E107)),0.03,MAX(0,MIN(E107*기준표!$B$33,기준표!$B$40)))</f>
        <v/>
      </c>
      <c r="G107" s="18">
        <f>기준표!$B$31</f>
        <v/>
      </c>
      <c r="H107" s="18">
        <f>기준표!$B$32</f>
        <v/>
      </c>
      <c r="I107" s="17">
        <f>$D107*(1+$F107)^1/(1+$G107)^1</f>
        <v/>
      </c>
      <c r="J107" s="17">
        <f>$D107*(1+$F107)^2/(1+$G107)^2</f>
        <v/>
      </c>
      <c r="K107" s="17">
        <f>$D107*(1+$F107)^3/(1+$G107)^3</f>
        <v/>
      </c>
      <c r="L107" s="17">
        <f>$D107*(1+$F107)^4/(1+$G107)^4</f>
        <v/>
      </c>
      <c r="M107" s="17">
        <f>$D107*(1+$F107)^5/(1+$G107)^5</f>
        <v/>
      </c>
      <c r="N107" s="17">
        <f>$D107*(1+$F107)^6/(1+$G107)^6</f>
        <v/>
      </c>
      <c r="O107" s="17">
        <f>$D107*(1+$F107)^7/(1+$G107)^7</f>
        <v/>
      </c>
      <c r="P107" s="17">
        <f>$D107*(1+$F107)^8/(1+$G107)^8</f>
        <v/>
      </c>
      <c r="Q107" s="17">
        <f>$D107*(1+$F107)^9/(1+$G107)^9</f>
        <v/>
      </c>
      <c r="R107" s="17">
        <f>$D107*(1+$F107)^10/(1+$G107)^10</f>
        <v/>
      </c>
      <c r="S107" s="26">
        <f>SUM(I107:R107)</f>
        <v/>
      </c>
      <c r="T107" s="17">
        <f>$D107*(1+$F107)^10</f>
        <v/>
      </c>
      <c r="U107" s="17">
        <f>IF($G107&lt;=$H107,"",T107*(1+$H107)/($G107-$H107))</f>
        <v/>
      </c>
      <c r="V107" s="17">
        <f>IF(ISNUMBER(U107),U107/(1+$G107)^10,"")</f>
        <v/>
      </c>
      <c r="W107" s="26">
        <f>IF(ISNUMBER(V107),S107+V107,"")</f>
        <v/>
      </c>
      <c r="X107" s="15" t="n">
        <v>257.553256</v>
      </c>
      <c r="Y107" s="19">
        <f>IF(AND(ISNUMBER(W107),W107&lt;&gt;0,ISNUMBER(X107)),(W107-X107)/W107,"")</f>
        <v/>
      </c>
      <c r="Z107" s="27">
        <f>IF(NOT(ISNUMBER(Y107)),"판정불가",IF(Y107&gt;=기준표!$B$42,"투자가능",IF(Y107&gt;=0,"경계선","범위밖")))</f>
        <v/>
      </c>
    </row>
    <row r="108">
      <c r="A108" s="8" t="inlineStr">
        <is>
          <t>PANW</t>
        </is>
      </c>
      <c r="B108" s="8" t="inlineStr">
        <is>
          <t>Palo Alto Networks Inc</t>
        </is>
      </c>
      <c r="C108" s="8" t="inlineStr">
        <is>
          <t>기준</t>
        </is>
      </c>
      <c r="D108" s="15" t="n">
        <v>1.089690796059599</v>
      </c>
      <c r="E108" s="23" t="n"/>
      <c r="F108" s="18">
        <f>IF(NOT(ISNUMBER(E108)),0.03,MAX(0,MIN(E108*기준표!$B$36,기준표!$B$40)))</f>
        <v/>
      </c>
      <c r="G108" s="18">
        <f>기준표!$B$34</f>
        <v/>
      </c>
      <c r="H108" s="18">
        <f>기준표!$B$35</f>
        <v/>
      </c>
      <c r="I108" s="17">
        <f>$D108*(1+$F108)^1/(1+$G108)^1</f>
        <v/>
      </c>
      <c r="J108" s="17">
        <f>$D108*(1+$F108)^2/(1+$G108)^2</f>
        <v/>
      </c>
      <c r="K108" s="17">
        <f>$D108*(1+$F108)^3/(1+$G108)^3</f>
        <v/>
      </c>
      <c r="L108" s="17">
        <f>$D108*(1+$F108)^4/(1+$G108)^4</f>
        <v/>
      </c>
      <c r="M108" s="17">
        <f>$D108*(1+$F108)^5/(1+$G108)^5</f>
        <v/>
      </c>
      <c r="N108" s="17">
        <f>$D108*(1+$F108)^6/(1+$G108)^6</f>
        <v/>
      </c>
      <c r="O108" s="17">
        <f>$D108*(1+$F108)^7/(1+$G108)^7</f>
        <v/>
      </c>
      <c r="P108" s="17">
        <f>$D108*(1+$F108)^8/(1+$G108)^8</f>
        <v/>
      </c>
      <c r="Q108" s="17">
        <f>$D108*(1+$F108)^9/(1+$G108)^9</f>
        <v/>
      </c>
      <c r="R108" s="17">
        <f>$D108*(1+$F108)^10/(1+$G108)^10</f>
        <v/>
      </c>
      <c r="S108" s="26">
        <f>SUM(I108:R108)</f>
        <v/>
      </c>
      <c r="T108" s="17">
        <f>$D108*(1+$F108)^10</f>
        <v/>
      </c>
      <c r="U108" s="17">
        <f>IF($G108&lt;=$H108,"",T108*(1+$H108)/($G108-$H108))</f>
        <v/>
      </c>
      <c r="V108" s="17">
        <f>IF(ISNUMBER(U108),U108/(1+$G108)^10,"")</f>
        <v/>
      </c>
      <c r="W108" s="26">
        <f>IF(ISNUMBER(V108),S108+V108,"")</f>
        <v/>
      </c>
      <c r="X108" s="15" t="n">
        <v>257.553256</v>
      </c>
      <c r="Y108" s="19">
        <f>IF(AND(ISNUMBER(W108),W108&lt;&gt;0,ISNUMBER(X108)),(W108-X108)/W108,"")</f>
        <v/>
      </c>
      <c r="Z108" s="27">
        <f>IF(NOT(ISNUMBER(Y108)),"판정불가",IF(Y108&gt;=기준표!$B$42,"투자가능",IF(Y108&gt;=0,"경계선","범위밖")))</f>
        <v/>
      </c>
    </row>
    <row r="109">
      <c r="A109" s="8" t="inlineStr">
        <is>
          <t>PANW</t>
        </is>
      </c>
      <c r="B109" s="8" t="inlineStr">
        <is>
          <t>Palo Alto Networks Inc</t>
        </is>
      </c>
      <c r="C109" s="8" t="inlineStr">
        <is>
          <t>낙관</t>
        </is>
      </c>
      <c r="D109" s="15" t="n">
        <v>1.089690796059599</v>
      </c>
      <c r="E109" s="23" t="n"/>
      <c r="F109" s="18">
        <f>IF(NOT(ISNUMBER(E109)),0.03,MAX(0,MIN(E109*기준표!$B$39,기준표!$B$41)))</f>
        <v/>
      </c>
      <c r="G109" s="18">
        <f>기준표!$B$37</f>
        <v/>
      </c>
      <c r="H109" s="18">
        <f>기준표!$B$38</f>
        <v/>
      </c>
      <c r="I109" s="17">
        <f>$D109*(1+$F109)^1/(1+$G109)^1</f>
        <v/>
      </c>
      <c r="J109" s="17">
        <f>$D109*(1+$F109)^2/(1+$G109)^2</f>
        <v/>
      </c>
      <c r="K109" s="17">
        <f>$D109*(1+$F109)^3/(1+$G109)^3</f>
        <v/>
      </c>
      <c r="L109" s="17">
        <f>$D109*(1+$F109)^4/(1+$G109)^4</f>
        <v/>
      </c>
      <c r="M109" s="17">
        <f>$D109*(1+$F109)^5/(1+$G109)^5</f>
        <v/>
      </c>
      <c r="N109" s="17">
        <f>$D109*(1+$F109)^6/(1+$G109)^6</f>
        <v/>
      </c>
      <c r="O109" s="17">
        <f>$D109*(1+$F109)^7/(1+$G109)^7</f>
        <v/>
      </c>
      <c r="P109" s="17">
        <f>$D109*(1+$F109)^8/(1+$G109)^8</f>
        <v/>
      </c>
      <c r="Q109" s="17">
        <f>$D109*(1+$F109)^9/(1+$G109)^9</f>
        <v/>
      </c>
      <c r="R109" s="17">
        <f>$D109*(1+$F109)^10/(1+$G109)^10</f>
        <v/>
      </c>
      <c r="S109" s="26">
        <f>SUM(I109:R109)</f>
        <v/>
      </c>
      <c r="T109" s="17">
        <f>$D109*(1+$F109)^10</f>
        <v/>
      </c>
      <c r="U109" s="17">
        <f>IF($G109&lt;=$H109,"",T109*(1+$H109)/($G109-$H109))</f>
        <v/>
      </c>
      <c r="V109" s="17">
        <f>IF(ISNUMBER(U109),U109/(1+$G109)^10,"")</f>
        <v/>
      </c>
      <c r="W109" s="26">
        <f>IF(ISNUMBER(V109),S109+V109,"")</f>
        <v/>
      </c>
      <c r="X109" s="15" t="n">
        <v>257.553256</v>
      </c>
      <c r="Y109" s="19">
        <f>IF(AND(ISNUMBER(W109),W109&lt;&gt;0,ISNUMBER(X109)),(W109-X109)/W109,"")</f>
        <v/>
      </c>
      <c r="Z109" s="27">
        <f>IF(NOT(ISNUMBER(Y109)),"판정불가",IF(Y109&gt;=기준표!$B$42,"투자가능",IF(Y109&gt;=0,"경계선","범위밖")))</f>
        <v/>
      </c>
    </row>
    <row r="110">
      <c r="A110" s="8" t="inlineStr">
        <is>
          <t>TXN</t>
        </is>
      </c>
      <c r="B110" s="8" t="inlineStr">
        <is>
          <t>TEXAS INSTRUMENTS INC</t>
        </is>
      </c>
      <c r="C110" s="8" t="inlineStr">
        <is>
          <t>보수</t>
        </is>
      </c>
      <c r="D110" s="15" t="n">
        <v>1.268695359324162</v>
      </c>
      <c r="E110" s="23" t="n">
        <v>-0.1373783404552796</v>
      </c>
      <c r="F110" s="18">
        <f>IF(NOT(ISNUMBER(E110)),0.03,MAX(0,MIN(E110*기준표!$B$33,기준표!$B$40)))</f>
        <v/>
      </c>
      <c r="G110" s="18">
        <f>기준표!$B$31</f>
        <v/>
      </c>
      <c r="H110" s="18">
        <f>기준표!$B$32</f>
        <v/>
      </c>
      <c r="I110" s="17">
        <f>$D110*(1+$F110)^1/(1+$G110)^1</f>
        <v/>
      </c>
      <c r="J110" s="17">
        <f>$D110*(1+$F110)^2/(1+$G110)^2</f>
        <v/>
      </c>
      <c r="K110" s="17">
        <f>$D110*(1+$F110)^3/(1+$G110)^3</f>
        <v/>
      </c>
      <c r="L110" s="17">
        <f>$D110*(1+$F110)^4/(1+$G110)^4</f>
        <v/>
      </c>
      <c r="M110" s="17">
        <f>$D110*(1+$F110)^5/(1+$G110)^5</f>
        <v/>
      </c>
      <c r="N110" s="17">
        <f>$D110*(1+$F110)^6/(1+$G110)^6</f>
        <v/>
      </c>
      <c r="O110" s="17">
        <f>$D110*(1+$F110)^7/(1+$G110)^7</f>
        <v/>
      </c>
      <c r="P110" s="17">
        <f>$D110*(1+$F110)^8/(1+$G110)^8</f>
        <v/>
      </c>
      <c r="Q110" s="17">
        <f>$D110*(1+$F110)^9/(1+$G110)^9</f>
        <v/>
      </c>
      <c r="R110" s="17">
        <f>$D110*(1+$F110)^10/(1+$G110)^10</f>
        <v/>
      </c>
      <c r="S110" s="26">
        <f>SUM(I110:R110)</f>
        <v/>
      </c>
      <c r="T110" s="17">
        <f>$D110*(1+$F110)^10</f>
        <v/>
      </c>
      <c r="U110" s="17">
        <f>IF($G110&lt;=$H110,"",T110*(1+$H110)/($G110-$H110))</f>
        <v/>
      </c>
      <c r="V110" s="17">
        <f>IF(ISNUMBER(U110),U110/(1+$G110)^10,"")</f>
        <v/>
      </c>
      <c r="W110" s="26">
        <f>IF(ISNUMBER(V110),S110+V110,"")</f>
        <v/>
      </c>
      <c r="X110" s="15" t="n">
        <v>254.51353906056</v>
      </c>
      <c r="Y110" s="19">
        <f>IF(AND(ISNUMBER(W110),W110&lt;&gt;0,ISNUMBER(X110)),(W110-X110)/W110,"")</f>
        <v/>
      </c>
      <c r="Z110" s="27">
        <f>IF(NOT(ISNUMBER(Y110)),"판정불가",IF(Y110&gt;=기준표!$B$42,"투자가능",IF(Y110&gt;=0,"경계선","범위밖")))</f>
        <v/>
      </c>
    </row>
    <row r="111">
      <c r="A111" s="8" t="inlineStr">
        <is>
          <t>TXN</t>
        </is>
      </c>
      <c r="B111" s="8" t="inlineStr">
        <is>
          <t>TEXAS INSTRUMENTS INC</t>
        </is>
      </c>
      <c r="C111" s="8" t="inlineStr">
        <is>
          <t>기준</t>
        </is>
      </c>
      <c r="D111" s="15" t="n">
        <v>1.268695359324162</v>
      </c>
      <c r="E111" s="23" t="n">
        <v>-0.1373783404552796</v>
      </c>
      <c r="F111" s="18">
        <f>IF(NOT(ISNUMBER(E111)),0.03,MAX(0,MIN(E111*기준표!$B$36,기준표!$B$40)))</f>
        <v/>
      </c>
      <c r="G111" s="18">
        <f>기준표!$B$34</f>
        <v/>
      </c>
      <c r="H111" s="18">
        <f>기준표!$B$35</f>
        <v/>
      </c>
      <c r="I111" s="17">
        <f>$D111*(1+$F111)^1/(1+$G111)^1</f>
        <v/>
      </c>
      <c r="J111" s="17">
        <f>$D111*(1+$F111)^2/(1+$G111)^2</f>
        <v/>
      </c>
      <c r="K111" s="17">
        <f>$D111*(1+$F111)^3/(1+$G111)^3</f>
        <v/>
      </c>
      <c r="L111" s="17">
        <f>$D111*(1+$F111)^4/(1+$G111)^4</f>
        <v/>
      </c>
      <c r="M111" s="17">
        <f>$D111*(1+$F111)^5/(1+$G111)^5</f>
        <v/>
      </c>
      <c r="N111" s="17">
        <f>$D111*(1+$F111)^6/(1+$G111)^6</f>
        <v/>
      </c>
      <c r="O111" s="17">
        <f>$D111*(1+$F111)^7/(1+$G111)^7</f>
        <v/>
      </c>
      <c r="P111" s="17">
        <f>$D111*(1+$F111)^8/(1+$G111)^8</f>
        <v/>
      </c>
      <c r="Q111" s="17">
        <f>$D111*(1+$F111)^9/(1+$G111)^9</f>
        <v/>
      </c>
      <c r="R111" s="17">
        <f>$D111*(1+$F111)^10/(1+$G111)^10</f>
        <v/>
      </c>
      <c r="S111" s="26">
        <f>SUM(I111:R111)</f>
        <v/>
      </c>
      <c r="T111" s="17">
        <f>$D111*(1+$F111)^10</f>
        <v/>
      </c>
      <c r="U111" s="17">
        <f>IF($G111&lt;=$H111,"",T111*(1+$H111)/($G111-$H111))</f>
        <v/>
      </c>
      <c r="V111" s="17">
        <f>IF(ISNUMBER(U111),U111/(1+$G111)^10,"")</f>
        <v/>
      </c>
      <c r="W111" s="26">
        <f>IF(ISNUMBER(V111),S111+V111,"")</f>
        <v/>
      </c>
      <c r="X111" s="15" t="n">
        <v>254.51353906056</v>
      </c>
      <c r="Y111" s="19">
        <f>IF(AND(ISNUMBER(W111),W111&lt;&gt;0,ISNUMBER(X111)),(W111-X111)/W111,"")</f>
        <v/>
      </c>
      <c r="Z111" s="27">
        <f>IF(NOT(ISNUMBER(Y111)),"판정불가",IF(Y111&gt;=기준표!$B$42,"투자가능",IF(Y111&gt;=0,"경계선","범위밖")))</f>
        <v/>
      </c>
    </row>
    <row r="112">
      <c r="A112" s="8" t="inlineStr">
        <is>
          <t>TXN</t>
        </is>
      </c>
      <c r="B112" s="8" t="inlineStr">
        <is>
          <t>TEXAS INSTRUMENTS INC</t>
        </is>
      </c>
      <c r="C112" s="8" t="inlineStr">
        <is>
          <t>낙관</t>
        </is>
      </c>
      <c r="D112" s="15" t="n">
        <v>1.268695359324162</v>
      </c>
      <c r="E112" s="23" t="n">
        <v>-0.1373783404552796</v>
      </c>
      <c r="F112" s="18">
        <f>IF(NOT(ISNUMBER(E112)),0.03,MAX(0,MIN(E112*기준표!$B$39,기준표!$B$41)))</f>
        <v/>
      </c>
      <c r="G112" s="18">
        <f>기준표!$B$37</f>
        <v/>
      </c>
      <c r="H112" s="18">
        <f>기준표!$B$38</f>
        <v/>
      </c>
      <c r="I112" s="17">
        <f>$D112*(1+$F112)^1/(1+$G112)^1</f>
        <v/>
      </c>
      <c r="J112" s="17">
        <f>$D112*(1+$F112)^2/(1+$G112)^2</f>
        <v/>
      </c>
      <c r="K112" s="17">
        <f>$D112*(1+$F112)^3/(1+$G112)^3</f>
        <v/>
      </c>
      <c r="L112" s="17">
        <f>$D112*(1+$F112)^4/(1+$G112)^4</f>
        <v/>
      </c>
      <c r="M112" s="17">
        <f>$D112*(1+$F112)^5/(1+$G112)^5</f>
        <v/>
      </c>
      <c r="N112" s="17">
        <f>$D112*(1+$F112)^6/(1+$G112)^6</f>
        <v/>
      </c>
      <c r="O112" s="17">
        <f>$D112*(1+$F112)^7/(1+$G112)^7</f>
        <v/>
      </c>
      <c r="P112" s="17">
        <f>$D112*(1+$F112)^8/(1+$G112)^8</f>
        <v/>
      </c>
      <c r="Q112" s="17">
        <f>$D112*(1+$F112)^9/(1+$G112)^9</f>
        <v/>
      </c>
      <c r="R112" s="17">
        <f>$D112*(1+$F112)^10/(1+$G112)^10</f>
        <v/>
      </c>
      <c r="S112" s="26">
        <f>SUM(I112:R112)</f>
        <v/>
      </c>
      <c r="T112" s="17">
        <f>$D112*(1+$F112)^10</f>
        <v/>
      </c>
      <c r="U112" s="17">
        <f>IF($G112&lt;=$H112,"",T112*(1+$H112)/($G112-$H112))</f>
        <v/>
      </c>
      <c r="V112" s="17">
        <f>IF(ISNUMBER(U112),U112/(1+$G112)^10,"")</f>
        <v/>
      </c>
      <c r="W112" s="26">
        <f>IF(ISNUMBER(V112),S112+V112,"")</f>
        <v/>
      </c>
      <c r="X112" s="15" t="n">
        <v>254.51353906056</v>
      </c>
      <c r="Y112" s="19">
        <f>IF(AND(ISNUMBER(W112),W112&lt;&gt;0,ISNUMBER(X112)),(W112-X112)/W112,"")</f>
        <v/>
      </c>
      <c r="Z112" s="27">
        <f>IF(NOT(ISNUMBER(Y112)),"판정불가",IF(Y112&gt;=기준표!$B$42,"투자가능",IF(Y112&gt;=0,"경계선","범위밖")))</f>
        <v/>
      </c>
    </row>
    <row r="113">
      <c r="A113" s="8" t="inlineStr">
        <is>
          <t>GEV</t>
        </is>
      </c>
      <c r="B113" s="8" t="inlineStr">
        <is>
          <t>GE Vernova Inc.</t>
        </is>
      </c>
      <c r="C113" s="8" t="inlineStr">
        <is>
          <t>보수</t>
        </is>
      </c>
      <c r="D113" s="15" t="n">
        <v>0.965758399824961</v>
      </c>
      <c r="E113" s="23" t="n"/>
      <c r="F113" s="18">
        <f>IF(NOT(ISNUMBER(E113)),0.03,MAX(0,MIN(E113*기준표!$B$33,기준표!$B$40)))</f>
        <v/>
      </c>
      <c r="G113" s="18">
        <f>기준표!$B$31</f>
        <v/>
      </c>
      <c r="H113" s="18">
        <f>기준표!$B$32</f>
        <v/>
      </c>
      <c r="I113" s="17">
        <f>$D113*(1+$F113)^1/(1+$G113)^1</f>
        <v/>
      </c>
      <c r="J113" s="17">
        <f>$D113*(1+$F113)^2/(1+$G113)^2</f>
        <v/>
      </c>
      <c r="K113" s="17">
        <f>$D113*(1+$F113)^3/(1+$G113)^3</f>
        <v/>
      </c>
      <c r="L113" s="17">
        <f>$D113*(1+$F113)^4/(1+$G113)^4</f>
        <v/>
      </c>
      <c r="M113" s="17">
        <f>$D113*(1+$F113)^5/(1+$G113)^5</f>
        <v/>
      </c>
      <c r="N113" s="17">
        <f>$D113*(1+$F113)^6/(1+$G113)^6</f>
        <v/>
      </c>
      <c r="O113" s="17">
        <f>$D113*(1+$F113)^7/(1+$G113)^7</f>
        <v/>
      </c>
      <c r="P113" s="17">
        <f>$D113*(1+$F113)^8/(1+$G113)^8</f>
        <v/>
      </c>
      <c r="Q113" s="17">
        <f>$D113*(1+$F113)^9/(1+$G113)^9</f>
        <v/>
      </c>
      <c r="R113" s="17">
        <f>$D113*(1+$F113)^10/(1+$G113)^10</f>
        <v/>
      </c>
      <c r="S113" s="26">
        <f>SUM(I113:R113)</f>
        <v/>
      </c>
      <c r="T113" s="17">
        <f>$D113*(1+$F113)^10</f>
        <v/>
      </c>
      <c r="U113" s="17">
        <f>IF($G113&lt;=$H113,"",T113*(1+$H113)/($G113-$H113))</f>
        <v/>
      </c>
      <c r="V113" s="17">
        <f>IF(ISNUMBER(U113),U113/(1+$G113)^10,"")</f>
        <v/>
      </c>
      <c r="W113" s="26">
        <f>IF(ISNUMBER(V113),S113+V113,"")</f>
        <v/>
      </c>
      <c r="X113" s="15" t="n">
        <v>267.0632694044</v>
      </c>
      <c r="Y113" s="19">
        <f>IF(AND(ISNUMBER(W113),W113&lt;&gt;0,ISNUMBER(X113)),(W113-X113)/W113,"")</f>
        <v/>
      </c>
      <c r="Z113" s="27">
        <f>IF(NOT(ISNUMBER(Y113)),"판정불가",IF(Y113&gt;=기준표!$B$42,"투자가능",IF(Y113&gt;=0,"경계선","범위밖")))</f>
        <v/>
      </c>
    </row>
    <row r="114">
      <c r="A114" s="8" t="inlineStr">
        <is>
          <t>GEV</t>
        </is>
      </c>
      <c r="B114" s="8" t="inlineStr">
        <is>
          <t>GE Vernova Inc.</t>
        </is>
      </c>
      <c r="C114" s="8" t="inlineStr">
        <is>
          <t>기준</t>
        </is>
      </c>
      <c r="D114" s="15" t="n">
        <v>0.965758399824961</v>
      </c>
      <c r="E114" s="23" t="n"/>
      <c r="F114" s="18">
        <f>IF(NOT(ISNUMBER(E114)),0.03,MAX(0,MIN(E114*기준표!$B$36,기준표!$B$40)))</f>
        <v/>
      </c>
      <c r="G114" s="18">
        <f>기준표!$B$34</f>
        <v/>
      </c>
      <c r="H114" s="18">
        <f>기준표!$B$35</f>
        <v/>
      </c>
      <c r="I114" s="17">
        <f>$D114*(1+$F114)^1/(1+$G114)^1</f>
        <v/>
      </c>
      <c r="J114" s="17">
        <f>$D114*(1+$F114)^2/(1+$G114)^2</f>
        <v/>
      </c>
      <c r="K114" s="17">
        <f>$D114*(1+$F114)^3/(1+$G114)^3</f>
        <v/>
      </c>
      <c r="L114" s="17">
        <f>$D114*(1+$F114)^4/(1+$G114)^4</f>
        <v/>
      </c>
      <c r="M114" s="17">
        <f>$D114*(1+$F114)^5/(1+$G114)^5</f>
        <v/>
      </c>
      <c r="N114" s="17">
        <f>$D114*(1+$F114)^6/(1+$G114)^6</f>
        <v/>
      </c>
      <c r="O114" s="17">
        <f>$D114*(1+$F114)^7/(1+$G114)^7</f>
        <v/>
      </c>
      <c r="P114" s="17">
        <f>$D114*(1+$F114)^8/(1+$G114)^8</f>
        <v/>
      </c>
      <c r="Q114" s="17">
        <f>$D114*(1+$F114)^9/(1+$G114)^9</f>
        <v/>
      </c>
      <c r="R114" s="17">
        <f>$D114*(1+$F114)^10/(1+$G114)^10</f>
        <v/>
      </c>
      <c r="S114" s="26">
        <f>SUM(I114:R114)</f>
        <v/>
      </c>
      <c r="T114" s="17">
        <f>$D114*(1+$F114)^10</f>
        <v/>
      </c>
      <c r="U114" s="17">
        <f>IF($G114&lt;=$H114,"",T114*(1+$H114)/($G114-$H114))</f>
        <v/>
      </c>
      <c r="V114" s="17">
        <f>IF(ISNUMBER(U114),U114/(1+$G114)^10,"")</f>
        <v/>
      </c>
      <c r="W114" s="26">
        <f>IF(ISNUMBER(V114),S114+V114,"")</f>
        <v/>
      </c>
      <c r="X114" s="15" t="n">
        <v>267.0632694044</v>
      </c>
      <c r="Y114" s="19">
        <f>IF(AND(ISNUMBER(W114),W114&lt;&gt;0,ISNUMBER(X114)),(W114-X114)/W114,"")</f>
        <v/>
      </c>
      <c r="Z114" s="27">
        <f>IF(NOT(ISNUMBER(Y114)),"판정불가",IF(Y114&gt;=기준표!$B$42,"투자가능",IF(Y114&gt;=0,"경계선","범위밖")))</f>
        <v/>
      </c>
    </row>
    <row r="115">
      <c r="A115" s="8" t="inlineStr">
        <is>
          <t>GEV</t>
        </is>
      </c>
      <c r="B115" s="8" t="inlineStr">
        <is>
          <t>GE Vernova Inc.</t>
        </is>
      </c>
      <c r="C115" s="8" t="inlineStr">
        <is>
          <t>낙관</t>
        </is>
      </c>
      <c r="D115" s="15" t="n">
        <v>0.965758399824961</v>
      </c>
      <c r="E115" s="23" t="n"/>
      <c r="F115" s="18">
        <f>IF(NOT(ISNUMBER(E115)),0.03,MAX(0,MIN(E115*기준표!$B$39,기준표!$B$41)))</f>
        <v/>
      </c>
      <c r="G115" s="18">
        <f>기준표!$B$37</f>
        <v/>
      </c>
      <c r="H115" s="18">
        <f>기준표!$B$38</f>
        <v/>
      </c>
      <c r="I115" s="17">
        <f>$D115*(1+$F115)^1/(1+$G115)^1</f>
        <v/>
      </c>
      <c r="J115" s="17">
        <f>$D115*(1+$F115)^2/(1+$G115)^2</f>
        <v/>
      </c>
      <c r="K115" s="17">
        <f>$D115*(1+$F115)^3/(1+$G115)^3</f>
        <v/>
      </c>
      <c r="L115" s="17">
        <f>$D115*(1+$F115)^4/(1+$G115)^4</f>
        <v/>
      </c>
      <c r="M115" s="17">
        <f>$D115*(1+$F115)^5/(1+$G115)^5</f>
        <v/>
      </c>
      <c r="N115" s="17">
        <f>$D115*(1+$F115)^6/(1+$G115)^6</f>
        <v/>
      </c>
      <c r="O115" s="17">
        <f>$D115*(1+$F115)^7/(1+$G115)^7</f>
        <v/>
      </c>
      <c r="P115" s="17">
        <f>$D115*(1+$F115)^8/(1+$G115)^8</f>
        <v/>
      </c>
      <c r="Q115" s="17">
        <f>$D115*(1+$F115)^9/(1+$G115)^9</f>
        <v/>
      </c>
      <c r="R115" s="17">
        <f>$D115*(1+$F115)^10/(1+$G115)^10</f>
        <v/>
      </c>
      <c r="S115" s="26">
        <f>SUM(I115:R115)</f>
        <v/>
      </c>
      <c r="T115" s="17">
        <f>$D115*(1+$F115)^10</f>
        <v/>
      </c>
      <c r="U115" s="17">
        <f>IF($G115&lt;=$H115,"",T115*(1+$H115)/($G115-$H115))</f>
        <v/>
      </c>
      <c r="V115" s="17">
        <f>IF(ISNUMBER(U115),U115/(1+$G115)^10,"")</f>
        <v/>
      </c>
      <c r="W115" s="26">
        <f>IF(ISNUMBER(V115),S115+V115,"")</f>
        <v/>
      </c>
      <c r="X115" s="15" t="n">
        <v>267.0632694044</v>
      </c>
      <c r="Y115" s="19">
        <f>IF(AND(ISNUMBER(W115),W115&lt;&gt;0,ISNUMBER(X115)),(W115-X115)/W115,"")</f>
        <v/>
      </c>
      <c r="Z115" s="27">
        <f>IF(NOT(ISNUMBER(Y115)),"판정불가",IF(Y115&gt;=기준표!$B$42,"투자가능",IF(Y115&gt;=0,"경계선","범위밖")))</f>
        <v/>
      </c>
    </row>
    <row r="116">
      <c r="A116" s="8" t="inlineStr">
        <is>
          <t>PLTR</t>
        </is>
      </c>
      <c r="B116" s="8" t="inlineStr">
        <is>
          <t>Palantir Technologies Inc.</t>
        </is>
      </c>
      <c r="C116" s="8" t="inlineStr">
        <is>
          <t>보수</t>
        </is>
      </c>
      <c r="D116" s="15" t="n">
        <v>0.6433946927117696</v>
      </c>
      <c r="E116" s="23" t="n"/>
      <c r="F116" s="18">
        <f>IF(NOT(ISNUMBER(E116)),0.03,MAX(0,MIN(E116*기준표!$B$33,기준표!$B$40)))</f>
        <v/>
      </c>
      <c r="G116" s="18">
        <f>기준표!$B$31</f>
        <v/>
      </c>
      <c r="H116" s="18">
        <f>기준표!$B$32</f>
        <v/>
      </c>
      <c r="I116" s="17">
        <f>$D116*(1+$F116)^1/(1+$G116)^1</f>
        <v/>
      </c>
      <c r="J116" s="17">
        <f>$D116*(1+$F116)^2/(1+$G116)^2</f>
        <v/>
      </c>
      <c r="K116" s="17">
        <f>$D116*(1+$F116)^3/(1+$G116)^3</f>
        <v/>
      </c>
      <c r="L116" s="17">
        <f>$D116*(1+$F116)^4/(1+$G116)^4</f>
        <v/>
      </c>
      <c r="M116" s="17">
        <f>$D116*(1+$F116)^5/(1+$G116)^5</f>
        <v/>
      </c>
      <c r="N116" s="17">
        <f>$D116*(1+$F116)^6/(1+$G116)^6</f>
        <v/>
      </c>
      <c r="O116" s="17">
        <f>$D116*(1+$F116)^7/(1+$G116)^7</f>
        <v/>
      </c>
      <c r="P116" s="17">
        <f>$D116*(1+$F116)^8/(1+$G116)^8</f>
        <v/>
      </c>
      <c r="Q116" s="17">
        <f>$D116*(1+$F116)^9/(1+$G116)^9</f>
        <v/>
      </c>
      <c r="R116" s="17">
        <f>$D116*(1+$F116)^10/(1+$G116)^10</f>
        <v/>
      </c>
      <c r="S116" s="26">
        <f>SUM(I116:R116)</f>
        <v/>
      </c>
      <c r="T116" s="17">
        <f>$D116*(1+$F116)^10</f>
        <v/>
      </c>
      <c r="U116" s="17">
        <f>IF($G116&lt;=$H116,"",T116*(1+$H116)/($G116-$H116))</f>
        <v/>
      </c>
      <c r="V116" s="17">
        <f>IF(ISNUMBER(U116),U116/(1+$G116)^10,"")</f>
        <v/>
      </c>
      <c r="W116" s="26">
        <f>IF(ISNUMBER(V116),S116+V116,"")</f>
        <v/>
      </c>
      <c r="X116" s="15" t="n">
        <v>419.09333483853</v>
      </c>
      <c r="Y116" s="19">
        <f>IF(AND(ISNUMBER(W116),W116&lt;&gt;0,ISNUMBER(X116)),(W116-X116)/W116,"")</f>
        <v/>
      </c>
      <c r="Z116" s="27">
        <f>IF(NOT(ISNUMBER(Y116)),"판정불가",IF(Y116&gt;=기준표!$B$42,"투자가능",IF(Y116&gt;=0,"경계선","범위밖")))</f>
        <v/>
      </c>
    </row>
    <row r="117">
      <c r="A117" s="8" t="inlineStr">
        <is>
          <t>PLTR</t>
        </is>
      </c>
      <c r="B117" s="8" t="inlineStr">
        <is>
          <t>Palantir Technologies Inc.</t>
        </is>
      </c>
      <c r="C117" s="8" t="inlineStr">
        <is>
          <t>기준</t>
        </is>
      </c>
      <c r="D117" s="15" t="n">
        <v>0.6433946927117696</v>
      </c>
      <c r="E117" s="23" t="n"/>
      <c r="F117" s="18">
        <f>IF(NOT(ISNUMBER(E117)),0.03,MAX(0,MIN(E117*기준표!$B$36,기준표!$B$40)))</f>
        <v/>
      </c>
      <c r="G117" s="18">
        <f>기준표!$B$34</f>
        <v/>
      </c>
      <c r="H117" s="18">
        <f>기준표!$B$35</f>
        <v/>
      </c>
      <c r="I117" s="17">
        <f>$D117*(1+$F117)^1/(1+$G117)^1</f>
        <v/>
      </c>
      <c r="J117" s="17">
        <f>$D117*(1+$F117)^2/(1+$G117)^2</f>
        <v/>
      </c>
      <c r="K117" s="17">
        <f>$D117*(1+$F117)^3/(1+$G117)^3</f>
        <v/>
      </c>
      <c r="L117" s="17">
        <f>$D117*(1+$F117)^4/(1+$G117)^4</f>
        <v/>
      </c>
      <c r="M117" s="17">
        <f>$D117*(1+$F117)^5/(1+$G117)^5</f>
        <v/>
      </c>
      <c r="N117" s="17">
        <f>$D117*(1+$F117)^6/(1+$G117)^6</f>
        <v/>
      </c>
      <c r="O117" s="17">
        <f>$D117*(1+$F117)^7/(1+$G117)^7</f>
        <v/>
      </c>
      <c r="P117" s="17">
        <f>$D117*(1+$F117)^8/(1+$G117)^8</f>
        <v/>
      </c>
      <c r="Q117" s="17">
        <f>$D117*(1+$F117)^9/(1+$G117)^9</f>
        <v/>
      </c>
      <c r="R117" s="17">
        <f>$D117*(1+$F117)^10/(1+$G117)^10</f>
        <v/>
      </c>
      <c r="S117" s="26">
        <f>SUM(I117:R117)</f>
        <v/>
      </c>
      <c r="T117" s="17">
        <f>$D117*(1+$F117)^10</f>
        <v/>
      </c>
      <c r="U117" s="17">
        <f>IF($G117&lt;=$H117,"",T117*(1+$H117)/($G117-$H117))</f>
        <v/>
      </c>
      <c r="V117" s="17">
        <f>IF(ISNUMBER(U117),U117/(1+$G117)^10,"")</f>
        <v/>
      </c>
      <c r="W117" s="26">
        <f>IF(ISNUMBER(V117),S117+V117,"")</f>
        <v/>
      </c>
      <c r="X117" s="15" t="n">
        <v>419.09333483853</v>
      </c>
      <c r="Y117" s="19">
        <f>IF(AND(ISNUMBER(W117),W117&lt;&gt;0,ISNUMBER(X117)),(W117-X117)/W117,"")</f>
        <v/>
      </c>
      <c r="Z117" s="27">
        <f>IF(NOT(ISNUMBER(Y117)),"판정불가",IF(Y117&gt;=기준표!$B$42,"투자가능",IF(Y117&gt;=0,"경계선","범위밖")))</f>
        <v/>
      </c>
    </row>
    <row r="118">
      <c r="A118" s="8" t="inlineStr">
        <is>
          <t>PLTR</t>
        </is>
      </c>
      <c r="B118" s="8" t="inlineStr">
        <is>
          <t>Palantir Technologies Inc.</t>
        </is>
      </c>
      <c r="C118" s="8" t="inlineStr">
        <is>
          <t>낙관</t>
        </is>
      </c>
      <c r="D118" s="15" t="n">
        <v>0.6433946927117696</v>
      </c>
      <c r="E118" s="23" t="n"/>
      <c r="F118" s="18">
        <f>IF(NOT(ISNUMBER(E118)),0.03,MAX(0,MIN(E118*기준표!$B$39,기준표!$B$41)))</f>
        <v/>
      </c>
      <c r="G118" s="18">
        <f>기준표!$B$37</f>
        <v/>
      </c>
      <c r="H118" s="18">
        <f>기준표!$B$38</f>
        <v/>
      </c>
      <c r="I118" s="17">
        <f>$D118*(1+$F118)^1/(1+$G118)^1</f>
        <v/>
      </c>
      <c r="J118" s="17">
        <f>$D118*(1+$F118)^2/(1+$G118)^2</f>
        <v/>
      </c>
      <c r="K118" s="17">
        <f>$D118*(1+$F118)^3/(1+$G118)^3</f>
        <v/>
      </c>
      <c r="L118" s="17">
        <f>$D118*(1+$F118)^4/(1+$G118)^4</f>
        <v/>
      </c>
      <c r="M118" s="17">
        <f>$D118*(1+$F118)^5/(1+$G118)^5</f>
        <v/>
      </c>
      <c r="N118" s="17">
        <f>$D118*(1+$F118)^6/(1+$G118)^6</f>
        <v/>
      </c>
      <c r="O118" s="17">
        <f>$D118*(1+$F118)^7/(1+$G118)^7</f>
        <v/>
      </c>
      <c r="P118" s="17">
        <f>$D118*(1+$F118)^8/(1+$G118)^8</f>
        <v/>
      </c>
      <c r="Q118" s="17">
        <f>$D118*(1+$F118)^9/(1+$G118)^9</f>
        <v/>
      </c>
      <c r="R118" s="17">
        <f>$D118*(1+$F118)^10/(1+$G118)^10</f>
        <v/>
      </c>
      <c r="S118" s="26">
        <f>SUM(I118:R118)</f>
        <v/>
      </c>
      <c r="T118" s="17">
        <f>$D118*(1+$F118)^10</f>
        <v/>
      </c>
      <c r="U118" s="17">
        <f>IF($G118&lt;=$H118,"",T118*(1+$H118)/($G118-$H118))</f>
        <v/>
      </c>
      <c r="V118" s="17">
        <f>IF(ISNUMBER(U118),U118/(1+$G118)^10,"")</f>
        <v/>
      </c>
      <c r="W118" s="26">
        <f>IF(ISNUMBER(V118),S118+V118,"")</f>
        <v/>
      </c>
      <c r="X118" s="15" t="n">
        <v>419.09333483853</v>
      </c>
      <c r="Y118" s="19">
        <f>IF(AND(ISNUMBER(W118),W118&lt;&gt;0,ISNUMBER(X118)),(W118-X118)/W118,"")</f>
        <v/>
      </c>
      <c r="Z118" s="27">
        <f>IF(NOT(ISNUMBER(Y118)),"판정불가",IF(Y118&gt;=기준표!$B$42,"투자가능",IF(Y118&gt;=0,"경계선","범위밖")))</f>
        <v/>
      </c>
    </row>
    <row r="119">
      <c r="A119" s="8" t="inlineStr">
        <is>
          <t>MU</t>
        </is>
      </c>
      <c r="B119" s="8" t="inlineStr">
        <is>
          <t>MICRON TECHNOLOGY INC</t>
        </is>
      </c>
      <c r="C119" s="8" t="inlineStr">
        <is>
          <t>보수</t>
        </is>
      </c>
      <c r="D119" s="15" t="n">
        <v>0.568253373463434</v>
      </c>
      <c r="E119" s="23" t="n">
        <v>-0.09333761769620197</v>
      </c>
      <c r="F119" s="18">
        <f>IF(NOT(ISNUMBER(E119)),0.03,MAX(0,MIN(E119*기준표!$B$33,기준표!$B$40)))</f>
        <v/>
      </c>
      <c r="G119" s="18">
        <f>기준표!$B$31</f>
        <v/>
      </c>
      <c r="H119" s="18">
        <f>기준표!$B$32</f>
        <v/>
      </c>
      <c r="I119" s="17">
        <f>$D119*(1+$F119)^1/(1+$G119)^1</f>
        <v/>
      </c>
      <c r="J119" s="17">
        <f>$D119*(1+$F119)^2/(1+$G119)^2</f>
        <v/>
      </c>
      <c r="K119" s="17">
        <f>$D119*(1+$F119)^3/(1+$G119)^3</f>
        <v/>
      </c>
      <c r="L119" s="17">
        <f>$D119*(1+$F119)^4/(1+$G119)^4</f>
        <v/>
      </c>
      <c r="M119" s="17">
        <f>$D119*(1+$F119)^5/(1+$G119)^5</f>
        <v/>
      </c>
      <c r="N119" s="17">
        <f>$D119*(1+$F119)^6/(1+$G119)^6</f>
        <v/>
      </c>
      <c r="O119" s="17">
        <f>$D119*(1+$F119)^7/(1+$G119)^7</f>
        <v/>
      </c>
      <c r="P119" s="17">
        <f>$D119*(1+$F119)^8/(1+$G119)^8</f>
        <v/>
      </c>
      <c r="Q119" s="17">
        <f>$D119*(1+$F119)^9/(1+$G119)^9</f>
        <v/>
      </c>
      <c r="R119" s="17">
        <f>$D119*(1+$F119)^10/(1+$G119)^10</f>
        <v/>
      </c>
      <c r="S119" s="26">
        <f>SUM(I119:R119)</f>
        <v/>
      </c>
      <c r="T119" s="17">
        <f>$D119*(1+$F119)^10</f>
        <v/>
      </c>
      <c r="U119" s="17">
        <f>IF($G119&lt;=$H119,"",T119*(1+$H119)/($G119-$H119))</f>
        <v/>
      </c>
      <c r="V119" s="17">
        <f>IF(ISNUMBER(U119),U119/(1+$G119)^10,"")</f>
        <v/>
      </c>
      <c r="W119" s="26">
        <f>IF(ISNUMBER(V119),S119+V119,"")</f>
        <v/>
      </c>
      <c r="X119" s="15" t="n">
        <v>966.443256135</v>
      </c>
      <c r="Y119" s="19">
        <f>IF(AND(ISNUMBER(W119),W119&lt;&gt;0,ISNUMBER(X119)),(W119-X119)/W119,"")</f>
        <v/>
      </c>
      <c r="Z119" s="27">
        <f>IF(NOT(ISNUMBER(Y119)),"판정불가",IF(Y119&gt;=기준표!$B$42,"투자가능",IF(Y119&gt;=0,"경계선","범위밖")))</f>
        <v/>
      </c>
    </row>
    <row r="120">
      <c r="A120" s="8" t="inlineStr">
        <is>
          <t>MU</t>
        </is>
      </c>
      <c r="B120" s="8" t="inlineStr">
        <is>
          <t>MICRON TECHNOLOGY INC</t>
        </is>
      </c>
      <c r="C120" s="8" t="inlineStr">
        <is>
          <t>기준</t>
        </is>
      </c>
      <c r="D120" s="15" t="n">
        <v>0.568253373463434</v>
      </c>
      <c r="E120" s="23" t="n">
        <v>-0.09333761769620197</v>
      </c>
      <c r="F120" s="18">
        <f>IF(NOT(ISNUMBER(E120)),0.03,MAX(0,MIN(E120*기준표!$B$36,기준표!$B$40)))</f>
        <v/>
      </c>
      <c r="G120" s="18">
        <f>기준표!$B$34</f>
        <v/>
      </c>
      <c r="H120" s="18">
        <f>기준표!$B$35</f>
        <v/>
      </c>
      <c r="I120" s="17">
        <f>$D120*(1+$F120)^1/(1+$G120)^1</f>
        <v/>
      </c>
      <c r="J120" s="17">
        <f>$D120*(1+$F120)^2/(1+$G120)^2</f>
        <v/>
      </c>
      <c r="K120" s="17">
        <f>$D120*(1+$F120)^3/(1+$G120)^3</f>
        <v/>
      </c>
      <c r="L120" s="17">
        <f>$D120*(1+$F120)^4/(1+$G120)^4</f>
        <v/>
      </c>
      <c r="M120" s="17">
        <f>$D120*(1+$F120)^5/(1+$G120)^5</f>
        <v/>
      </c>
      <c r="N120" s="17">
        <f>$D120*(1+$F120)^6/(1+$G120)^6</f>
        <v/>
      </c>
      <c r="O120" s="17">
        <f>$D120*(1+$F120)^7/(1+$G120)^7</f>
        <v/>
      </c>
      <c r="P120" s="17">
        <f>$D120*(1+$F120)^8/(1+$G120)^8</f>
        <v/>
      </c>
      <c r="Q120" s="17">
        <f>$D120*(1+$F120)^9/(1+$G120)^9</f>
        <v/>
      </c>
      <c r="R120" s="17">
        <f>$D120*(1+$F120)^10/(1+$G120)^10</f>
        <v/>
      </c>
      <c r="S120" s="26">
        <f>SUM(I120:R120)</f>
        <v/>
      </c>
      <c r="T120" s="17">
        <f>$D120*(1+$F120)^10</f>
        <v/>
      </c>
      <c r="U120" s="17">
        <f>IF($G120&lt;=$H120,"",T120*(1+$H120)/($G120-$H120))</f>
        <v/>
      </c>
      <c r="V120" s="17">
        <f>IF(ISNUMBER(U120),U120/(1+$G120)^10,"")</f>
        <v/>
      </c>
      <c r="W120" s="26">
        <f>IF(ISNUMBER(V120),S120+V120,"")</f>
        <v/>
      </c>
      <c r="X120" s="15" t="n">
        <v>966.443256135</v>
      </c>
      <c r="Y120" s="19">
        <f>IF(AND(ISNUMBER(W120),W120&lt;&gt;0,ISNUMBER(X120)),(W120-X120)/W120,"")</f>
        <v/>
      </c>
      <c r="Z120" s="27">
        <f>IF(NOT(ISNUMBER(Y120)),"판정불가",IF(Y120&gt;=기준표!$B$42,"투자가능",IF(Y120&gt;=0,"경계선","범위밖")))</f>
        <v/>
      </c>
    </row>
    <row r="121">
      <c r="A121" s="8" t="inlineStr">
        <is>
          <t>MU</t>
        </is>
      </c>
      <c r="B121" s="8" t="inlineStr">
        <is>
          <t>MICRON TECHNOLOGY INC</t>
        </is>
      </c>
      <c r="C121" s="8" t="inlineStr">
        <is>
          <t>낙관</t>
        </is>
      </c>
      <c r="D121" s="15" t="n">
        <v>0.568253373463434</v>
      </c>
      <c r="E121" s="23" t="n">
        <v>-0.09333761769620197</v>
      </c>
      <c r="F121" s="18">
        <f>IF(NOT(ISNUMBER(E121)),0.03,MAX(0,MIN(E121*기준표!$B$39,기준표!$B$41)))</f>
        <v/>
      </c>
      <c r="G121" s="18">
        <f>기준표!$B$37</f>
        <v/>
      </c>
      <c r="H121" s="18">
        <f>기준표!$B$38</f>
        <v/>
      </c>
      <c r="I121" s="17">
        <f>$D121*(1+$F121)^1/(1+$G121)^1</f>
        <v/>
      </c>
      <c r="J121" s="17">
        <f>$D121*(1+$F121)^2/(1+$G121)^2</f>
        <v/>
      </c>
      <c r="K121" s="17">
        <f>$D121*(1+$F121)^3/(1+$G121)^3</f>
        <v/>
      </c>
      <c r="L121" s="17">
        <f>$D121*(1+$F121)^4/(1+$G121)^4</f>
        <v/>
      </c>
      <c r="M121" s="17">
        <f>$D121*(1+$F121)^5/(1+$G121)^5</f>
        <v/>
      </c>
      <c r="N121" s="17">
        <f>$D121*(1+$F121)^6/(1+$G121)^6</f>
        <v/>
      </c>
      <c r="O121" s="17">
        <f>$D121*(1+$F121)^7/(1+$G121)^7</f>
        <v/>
      </c>
      <c r="P121" s="17">
        <f>$D121*(1+$F121)^8/(1+$G121)^8</f>
        <v/>
      </c>
      <c r="Q121" s="17">
        <f>$D121*(1+$F121)^9/(1+$G121)^9</f>
        <v/>
      </c>
      <c r="R121" s="17">
        <f>$D121*(1+$F121)^10/(1+$G121)^10</f>
        <v/>
      </c>
      <c r="S121" s="26">
        <f>SUM(I121:R121)</f>
        <v/>
      </c>
      <c r="T121" s="17">
        <f>$D121*(1+$F121)^10</f>
        <v/>
      </c>
      <c r="U121" s="17">
        <f>IF($G121&lt;=$H121,"",T121*(1+$H121)/($G121-$H121))</f>
        <v/>
      </c>
      <c r="V121" s="17">
        <f>IF(ISNUMBER(U121),U121/(1+$G121)^10,"")</f>
        <v/>
      </c>
      <c r="W121" s="26">
        <f>IF(ISNUMBER(V121),S121+V121,"")</f>
        <v/>
      </c>
      <c r="X121" s="15" t="n">
        <v>966.443256135</v>
      </c>
      <c r="Y121" s="19">
        <f>IF(AND(ISNUMBER(W121),W121&lt;&gt;0,ISNUMBER(X121)),(W121-X121)/W121,"")</f>
        <v/>
      </c>
      <c r="Z121" s="27">
        <f>IF(NOT(ISNUMBER(Y121)),"판정불가",IF(Y121&gt;=기준표!$B$42,"투자가능",IF(Y121&gt;=0,"경계선","범위밖")))</f>
        <v/>
      </c>
    </row>
  </sheetData>
  <autoFilter ref="A4:Z1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3" customWidth="1" min="3" max="3"/>
    <col width="15" customWidth="1" min="4" max="4"/>
    <col width="18" customWidth="1" min="5" max="5"/>
    <col width="12" customWidth="1" min="6" max="6"/>
    <col width="13" customWidth="1" min="7" max="7"/>
    <col width="13" customWidth="1" min="8" max="8"/>
    <col width="14" customWidth="1" min="9" max="9"/>
    <col width="14" customWidth="1" min="10" max="10"/>
    <col width="9" customWidth="1" min="11" max="11"/>
    <col width="9" customWidth="1" min="12" max="12"/>
    <col width="9" customWidth="1" min="13" max="13"/>
    <col width="14" customWidth="1" min="14" max="14"/>
    <col width="18" customWidth="1" min="15" max="15"/>
    <col width="12" customWidth="1" min="16" max="16"/>
    <col width="12" customWidth="1" min="17" max="17"/>
    <col width="12" customWidth="1" min="18" max="18"/>
    <col width="11" customWidth="1" min="19" max="19"/>
    <col width="44" customWidth="1" min="20" max="20"/>
  </cols>
  <sheetData>
    <row r="1">
      <c r="A1" s="1" t="inlineStr">
        <is>
          <t>밸류에이션 요약 — 원칙 5·6</t>
        </is>
      </c>
    </row>
    <row r="2">
      <c r="A2" s="2" t="inlineStr">
        <is>
          <t>적정가치와 안전마진은 'DCF계산' 시트의 기준 시나리오 행을 그대로 참조합니다(초록 글씨). 셀을 클릭하면 어느 행에서 왔는지 보이고, 그 행에서 10년치 할인 과정을 볼 수 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시가총액</t>
        </is>
      </c>
      <c r="D4" s="6" t="inlineStr">
        <is>
          <t>정규화 주주이익</t>
        </is>
      </c>
      <c r="E4" s="6" t="inlineStr">
        <is>
          <t>정규화 주주이익(유지capex)</t>
        </is>
      </c>
      <c r="F4" s="6" t="inlineStr">
        <is>
          <t>순현금</t>
        </is>
      </c>
      <c r="G4" s="6" t="inlineStr">
        <is>
          <t>성장capex 비중</t>
        </is>
      </c>
      <c r="H4" s="6" t="inlineStr">
        <is>
          <t>최근 순이익</t>
        </is>
      </c>
      <c r="I4" s="6" t="inlineStr">
        <is>
          <t>최근 자기자본</t>
        </is>
      </c>
      <c r="J4" s="6" t="inlineStr">
        <is>
          <t>최근 매출</t>
        </is>
      </c>
      <c r="K4" s="6" t="inlineStr">
        <is>
          <t>PER</t>
        </is>
      </c>
      <c r="L4" s="6" t="inlineStr">
        <is>
          <t>PBR</t>
        </is>
      </c>
      <c r="M4" s="6" t="inlineStr">
        <is>
          <t>PSR</t>
        </is>
      </c>
      <c r="N4" s="6" t="inlineStr">
        <is>
          <t>기준 적정가치</t>
        </is>
      </c>
      <c r="O4" s="6" t="inlineStr">
        <is>
          <t>기준 적정가치(유지capex)</t>
        </is>
      </c>
      <c r="P4" s="6" t="inlineStr">
        <is>
          <t>P/적정가치</t>
        </is>
      </c>
      <c r="Q4" s="6" t="inlineStr">
        <is>
          <t>안전마진</t>
        </is>
      </c>
      <c r="R4" s="6" t="inlineStr">
        <is>
          <t>함축수익률</t>
        </is>
      </c>
      <c r="S4" s="6" t="inlineStr">
        <is>
          <t>판정</t>
        </is>
      </c>
      <c r="T4" s="6" t="inlineStr">
        <is>
          <t>정규화 방식</t>
        </is>
      </c>
    </row>
    <row r="5">
      <c r="A5" s="8" t="inlineStr">
        <is>
          <t>MRK</t>
        </is>
      </c>
      <c r="B5" s="8" t="inlineStr">
        <is>
          <t>Merck &amp; Co., Inc.</t>
        </is>
      </c>
      <c r="C5" s="15" t="n">
        <v>323.6855610327599</v>
      </c>
      <c r="D5" s="15" t="n">
        <v>12.97698049081502</v>
      </c>
      <c r="E5" s="15" t="n">
        <v>14.04398049081502</v>
      </c>
      <c r="F5" s="15" t="n">
        <v>-34.774</v>
      </c>
      <c r="G5" s="23" t="n">
        <v>0.2594844357976654</v>
      </c>
      <c r="H5" s="15" t="n">
        <v>18.254</v>
      </c>
      <c r="I5" s="15" t="n">
        <v>52.606</v>
      </c>
      <c r="J5" s="15" t="n">
        <v>65.011</v>
      </c>
      <c r="K5" s="20">
        <f>IF(AND(ISNUMBER(H5),H5&gt;0),C5/H5,"")</f>
        <v/>
      </c>
      <c r="L5" s="20">
        <f>IF(AND(ISNUMBER(I5),I5&lt;&gt;0),C5/I5,"")</f>
        <v/>
      </c>
      <c r="M5" s="20">
        <f>IF(AND(ISNUMBER(J5),J5&lt;&gt;0),C5/J5,"")</f>
        <v/>
      </c>
      <c r="N5" s="28">
        <f>DCF계산!W6</f>
        <v/>
      </c>
      <c r="O5" s="15" t="n">
        <v>332.3742049492887</v>
      </c>
      <c r="P5" s="20">
        <f>IF(AND(ISNUMBER(N5),N5&lt;&gt;0),C5/N5,"")</f>
        <v/>
      </c>
      <c r="Q5" s="18">
        <f>DCF계산!Y6</f>
        <v/>
      </c>
      <c r="R5" s="23" t="n">
        <v>0.1017779293648598</v>
      </c>
      <c r="S5" s="27">
        <f>DCF계산!Z6</f>
        <v/>
      </c>
      <c r="T5" s="9" t="inlineStr">
        <is>
          <t>median owner-earnings margin of the last 5 years (20.0%) applied to FY2025 revenue</t>
        </is>
      </c>
    </row>
    <row r="6">
      <c r="A6" s="8" t="inlineStr">
        <is>
          <t>V</t>
        </is>
      </c>
      <c r="B6" s="8" t="inlineStr">
        <is>
          <t>VISA INC.</t>
        </is>
      </c>
      <c r="C6" s="15" t="n">
        <v>609.7743884964</v>
      </c>
      <c r="D6" s="15" t="n">
        <v>21.23386575247754</v>
      </c>
      <c r="E6" s="15" t="n">
        <v>21.38262044370921</v>
      </c>
      <c r="F6" s="15" t="n">
        <v>-8.007</v>
      </c>
      <c r="G6" s="23" t="n">
        <v>0.1767881241565452</v>
      </c>
      <c r="H6" s="15" t="n">
        <v>20.058</v>
      </c>
      <c r="I6" s="15" t="n">
        <v>37.909</v>
      </c>
      <c r="J6" s="15" t="n">
        <v>40</v>
      </c>
      <c r="K6" s="20">
        <f>IF(AND(ISNUMBER(H6),H6&gt;0),C6/H6,"")</f>
        <v/>
      </c>
      <c r="L6" s="20">
        <f>IF(AND(ISNUMBER(I6),I6&lt;&gt;0),C6/I6,"")</f>
        <v/>
      </c>
      <c r="M6" s="20">
        <f>IF(AND(ISNUMBER(J6),J6&lt;&gt;0),C6/J6,"")</f>
        <v/>
      </c>
      <c r="N6" s="28">
        <f>DCF계산!W9</f>
        <v/>
      </c>
      <c r="O6" s="15" t="n">
        <v>506.0553505011178</v>
      </c>
      <c r="P6" s="20">
        <f>IF(AND(ISNUMBER(N6),N6&lt;&gt;0),C6/N6,"")</f>
        <v/>
      </c>
      <c r="Q6" s="18">
        <f>DCF계산!Y9</f>
        <v/>
      </c>
      <c r="R6" s="23" t="n">
        <v>0.08852614782816681</v>
      </c>
      <c r="S6" s="27">
        <f>DCF계산!Z9</f>
        <v/>
      </c>
      <c r="T6" s="9" t="inlineStr">
        <is>
          <t>median owner-earnings margin of the last 5 years (53.1%) applied to FY2025 revenue</t>
        </is>
      </c>
    </row>
    <row r="7">
      <c r="A7" s="8" t="inlineStr">
        <is>
          <t>MA</t>
        </is>
      </c>
      <c r="B7" s="8" t="inlineStr">
        <is>
          <t>Mastercard Inc</t>
        </is>
      </c>
      <c r="C7" s="15" t="n">
        <v>502.2419391858699</v>
      </c>
      <c r="D7" s="15" t="n">
        <v>17.42659230623313</v>
      </c>
      <c r="E7" s="15" t="n">
        <v>17.42659230623313</v>
      </c>
      <c r="F7" s="15" t="n">
        <v>-8.433999999999999</v>
      </c>
      <c r="G7" s="23" t="n">
        <v>0</v>
      </c>
      <c r="H7" s="15" t="n">
        <v>14.968</v>
      </c>
      <c r="I7" s="15" t="n">
        <v>7.737</v>
      </c>
      <c r="J7" s="15" t="n">
        <v>32.791</v>
      </c>
      <c r="K7" s="20">
        <f>IF(AND(ISNUMBER(H7),H7&gt;0),C7/H7,"")</f>
        <v/>
      </c>
      <c r="L7" s="20">
        <f>IF(AND(ISNUMBER(I7),I7&lt;&gt;0),C7/I7,"")</f>
        <v/>
      </c>
      <c r="M7" s="20">
        <f>IF(AND(ISNUMBER(J7),J7&lt;&gt;0),C7/J7,"")</f>
        <v/>
      </c>
      <c r="N7" s="28">
        <f>DCF계산!W12</f>
        <v/>
      </c>
      <c r="O7" s="15" t="n">
        <v>412.4293512475172</v>
      </c>
      <c r="P7" s="20">
        <f>IF(AND(ISNUMBER(N7),N7&lt;&gt;0),C7/N7,"")</f>
        <v/>
      </c>
      <c r="Q7" s="18">
        <f>DCF계산!Y12</f>
        <v/>
      </c>
      <c r="R7" s="23" t="n">
        <v>0.08792699940250578</v>
      </c>
      <c r="S7" s="27">
        <f>DCF계산!Z12</f>
        <v/>
      </c>
      <c r="T7" s="9" t="inlineStr">
        <is>
          <t>median owner-earnings margin of the last 5 years (53.1%) applied to FY2025 revenue</t>
        </is>
      </c>
    </row>
    <row r="8">
      <c r="A8" s="8" t="inlineStr">
        <is>
          <t>HD</t>
        </is>
      </c>
      <c r="B8" s="8" t="inlineStr">
        <is>
          <t>HOME DEPOT, INC.</t>
        </is>
      </c>
      <c r="C8" s="15" t="n">
        <v>349.38090204348</v>
      </c>
      <c r="D8" s="15" t="n">
        <v>14.53625788332059</v>
      </c>
      <c r="E8" s="15" t="n">
        <v>14.69008618052334</v>
      </c>
      <c r="F8" s="15" t="n">
        <v>-49.919</v>
      </c>
      <c r="G8" s="23" t="n">
        <v>0.04484914378907312</v>
      </c>
      <c r="H8" s="15" t="n">
        <v>14.156</v>
      </c>
      <c r="I8" s="15" t="n">
        <v>12.813</v>
      </c>
      <c r="J8" s="15" t="n">
        <v>164.683</v>
      </c>
      <c r="K8" s="20">
        <f>IF(AND(ISNUMBER(H8),H8&gt;0),C8/H8,"")</f>
        <v/>
      </c>
      <c r="L8" s="20">
        <f>IF(AND(ISNUMBER(I8),I8&lt;&gt;0),C8/I8,"")</f>
        <v/>
      </c>
      <c r="M8" s="20">
        <f>IF(AND(ISNUMBER(J8),J8&lt;&gt;0),C8/J8,"")</f>
        <v/>
      </c>
      <c r="N8" s="28">
        <f>DCF계산!W15</f>
        <v/>
      </c>
      <c r="O8" s="15" t="n">
        <v>286.7454336871318</v>
      </c>
      <c r="P8" s="20">
        <f>IF(AND(ISNUMBER(N8),N8&lt;&gt;0),C8/N8,"")</f>
        <v/>
      </c>
      <c r="Q8" s="18">
        <f>DCF계산!Y15</f>
        <v/>
      </c>
      <c r="R8" s="23" t="n">
        <v>0.0874951467407038</v>
      </c>
      <c r="S8" s="27">
        <f>DCF계산!Z15</f>
        <v/>
      </c>
      <c r="T8" s="9" t="inlineStr">
        <is>
          <t>median owner-earnings margin of the last 5 years (8.8%) applied to FY2025 revenue</t>
        </is>
      </c>
    </row>
    <row r="9">
      <c r="A9" s="8" t="inlineStr">
        <is>
          <t>XOM</t>
        </is>
      </c>
      <c r="B9" s="8" t="inlineStr">
        <is>
          <t>EXXON MOBIL CORP</t>
        </is>
      </c>
      <c r="C9" s="15" t="n">
        <v>665.80713215487</v>
      </c>
      <c r="D9" s="15" t="n">
        <v>31.41095338186707</v>
      </c>
      <c r="E9" s="15" t="n">
        <v>32.23208023799648</v>
      </c>
      <c r="F9" s="15" t="n">
        <v>-32.856</v>
      </c>
      <c r="G9" s="23" t="n">
        <v>0.08339798293250582</v>
      </c>
      <c r="H9" s="15" t="n">
        <v>28.844</v>
      </c>
      <c r="I9" s="15" t="n">
        <v>259.386</v>
      </c>
      <c r="J9" s="15" t="n">
        <v>332.238</v>
      </c>
      <c r="K9" s="20">
        <f>IF(AND(ISNUMBER(H9),H9&gt;0),C9/H9,"")</f>
        <v/>
      </c>
      <c r="L9" s="20">
        <f>IF(AND(ISNUMBER(I9),I9&lt;&gt;0),C9/I9,"")</f>
        <v/>
      </c>
      <c r="M9" s="20">
        <f>IF(AND(ISNUMBER(J9),J9&lt;&gt;0),C9/J9,"")</f>
        <v/>
      </c>
      <c r="N9" s="28">
        <f>DCF계산!W18</f>
        <v/>
      </c>
      <c r="O9" s="15" t="n">
        <v>521.6238384127674</v>
      </c>
      <c r="P9" s="20">
        <f>IF(AND(ISNUMBER(N9),N9&lt;&gt;0),C9/N9,"")</f>
        <v/>
      </c>
      <c r="Q9" s="18">
        <f>DCF계산!Y18</f>
        <v/>
      </c>
      <c r="R9" s="23" t="n">
        <v>0.08432111781281282</v>
      </c>
      <c r="S9" s="27">
        <f>DCF계산!Z18</f>
        <v/>
      </c>
      <c r="T9" s="9" t="inlineStr">
        <is>
          <t>median owner-earnings margin of the last 5 years (9.5%) applied to FY2025 revenue</t>
        </is>
      </c>
    </row>
    <row r="10">
      <c r="A10" s="8" t="inlineStr">
        <is>
          <t>JNJ</t>
        </is>
      </c>
      <c r="B10" s="8" t="inlineStr">
        <is>
          <t>JOHNSON &amp; JOHNSON</t>
        </is>
      </c>
      <c r="C10" s="15" t="n">
        <v>630.9356404341601</v>
      </c>
      <c r="D10" s="15" t="n">
        <v>26.629</v>
      </c>
      <c r="E10" s="15" t="n">
        <v>26.629</v>
      </c>
      <c r="F10" s="15" t="n">
        <v>-27.836</v>
      </c>
      <c r="G10" s="23" t="n">
        <v>0</v>
      </c>
      <c r="H10" s="15" t="n">
        <v>26.804</v>
      </c>
      <c r="I10" s="15" t="n">
        <v>81.544</v>
      </c>
      <c r="J10" s="15" t="n">
        <v>94.193</v>
      </c>
      <c r="K10" s="20">
        <f>IF(AND(ISNUMBER(H10),H10&gt;0),C10/H10,"")</f>
        <v/>
      </c>
      <c r="L10" s="20">
        <f>IF(AND(ISNUMBER(I10),I10&lt;&gt;0),C10/I10,"")</f>
        <v/>
      </c>
      <c r="M10" s="20">
        <f>IF(AND(ISNUMBER(J10),J10&lt;&gt;0),C10/J10,"")</f>
        <v/>
      </c>
      <c r="N10" s="28">
        <f>DCF계산!W21</f>
        <v/>
      </c>
      <c r="O10" s="15" t="n">
        <v>465.5976166864729</v>
      </c>
      <c r="P10" s="20">
        <f>IF(AND(ISNUMBER(N10),N10&lt;&gt;0),C10/N10,"")</f>
        <v/>
      </c>
      <c r="Q10" s="18">
        <f>DCF계산!Y21</f>
        <v/>
      </c>
      <c r="R10" s="23" t="n">
        <v>0.08126295029678729</v>
      </c>
      <c r="S10" s="27">
        <f>DCF계산!Z21</f>
        <v/>
      </c>
      <c r="T10" s="9" t="inlineStr">
        <is>
          <t>median owner-earnings margin of the last 5 years (28.3%) applied to FY2025 revenue</t>
        </is>
      </c>
    </row>
    <row r="11">
      <c r="A11" s="8" t="inlineStr">
        <is>
          <t>CVX</t>
        </is>
      </c>
      <c r="B11" s="8" t="inlineStr">
        <is>
          <t>CHEVRON CORP</t>
        </is>
      </c>
      <c r="C11" s="15" t="n">
        <v>388.92059540649</v>
      </c>
      <c r="D11" s="15" t="n">
        <v>19.80061368307381</v>
      </c>
      <c r="E11" s="15" t="n">
        <v>19.80061368307381</v>
      </c>
      <c r="F11" s="15" t="n">
        <v>-43.414</v>
      </c>
      <c r="G11" s="23" t="n">
        <v>0</v>
      </c>
      <c r="H11" s="15" t="n">
        <v>12.299</v>
      </c>
      <c r="I11" s="15" t="n">
        <v>186.45</v>
      </c>
      <c r="J11" s="15" t="n">
        <v>189.031</v>
      </c>
      <c r="K11" s="20">
        <f>IF(AND(ISNUMBER(H11),H11&gt;0),C11/H11,"")</f>
        <v/>
      </c>
      <c r="L11" s="20">
        <f>IF(AND(ISNUMBER(I11),I11&lt;&gt;0),C11/I11,"")</f>
        <v/>
      </c>
      <c r="M11" s="20">
        <f>IF(AND(ISNUMBER(J11),J11&lt;&gt;0),C11/J11,"")</f>
        <v/>
      </c>
      <c r="N11" s="28">
        <f>DCF계산!W24</f>
        <v/>
      </c>
      <c r="O11" s="15" t="n">
        <v>280.6038926337897</v>
      </c>
      <c r="P11" s="20">
        <f>IF(AND(ISNUMBER(N11),N11&lt;&gt;0),C11/N11,"")</f>
        <v/>
      </c>
      <c r="Q11" s="18">
        <f>DCF계산!Y24</f>
        <v/>
      </c>
      <c r="R11" s="23" t="n">
        <v>0.07926602538367955</v>
      </c>
      <c r="S11" s="27">
        <f>DCF계산!Z24</f>
        <v/>
      </c>
      <c r="T11" s="9" t="inlineStr">
        <is>
          <t>median owner-earnings margin of the last 5 years (10.5%) applied to FY2025 revenue</t>
        </is>
      </c>
    </row>
    <row r="12">
      <c r="A12" s="8" t="inlineStr">
        <is>
          <t>PG</t>
        </is>
      </c>
      <c r="B12" s="8" t="inlineStr">
        <is>
          <t>PROCTER &amp; GAMBLE Co</t>
        </is>
      </c>
      <c r="C12" s="15" t="n">
        <v>340.3899773064</v>
      </c>
      <c r="D12" s="15" t="n">
        <v>15.0547267816133</v>
      </c>
      <c r="E12" s="15" t="n">
        <v>15.97851511556167</v>
      </c>
      <c r="F12" s="15" t="n">
        <v>-24.196</v>
      </c>
      <c r="G12" s="23" t="n">
        <v>0.2832841914266274</v>
      </c>
      <c r="H12" s="15" t="n">
        <v>16.046</v>
      </c>
      <c r="I12" s="15" t="n">
        <v>54.311</v>
      </c>
      <c r="J12" s="15" t="n">
        <v>87.032</v>
      </c>
      <c r="K12" s="20">
        <f>IF(AND(ISNUMBER(H12),H12&gt;0),C12/H12,"")</f>
        <v/>
      </c>
      <c r="L12" s="20">
        <f>IF(AND(ISNUMBER(I12),I12&lt;&gt;0),C12/I12,"")</f>
        <v/>
      </c>
      <c r="M12" s="20">
        <f>IF(AND(ISNUMBER(J12),J12&lt;&gt;0),C12/J12,"")</f>
        <v/>
      </c>
      <c r="N12" s="28">
        <f>DCF계산!W27</f>
        <v/>
      </c>
      <c r="O12" s="15" t="n">
        <v>233.137413476533</v>
      </c>
      <c r="P12" s="20">
        <f>IF(AND(ISNUMBER(N12),N12&lt;&gt;0),C12/N12,"")</f>
        <v/>
      </c>
      <c r="Q12" s="18">
        <f>DCF계산!Y27</f>
        <v/>
      </c>
      <c r="R12" s="23" t="n">
        <v>0.07666585081840074</v>
      </c>
      <c r="S12" s="27">
        <f>DCF계산!Z27</f>
        <v/>
      </c>
      <c r="T12" s="9" t="inlineStr">
        <is>
          <t>median owner-earnings margin of the last 5 years (17.3%) applied to FY2026 revenue</t>
        </is>
      </c>
    </row>
    <row r="13">
      <c r="A13" s="8" t="inlineStr">
        <is>
          <t>META</t>
        </is>
      </c>
      <c r="B13" s="8" t="inlineStr">
        <is>
          <t>Meta Platforms, Inc.</t>
        </is>
      </c>
      <c r="C13" s="15" t="n">
        <v>1504.88313664288</v>
      </c>
      <c r="D13" s="15" t="n">
        <v>40.24325454033298</v>
      </c>
      <c r="E13" s="15" t="n">
        <v>63.88061738150657</v>
      </c>
      <c r="F13" s="15" t="n">
        <v>22.848</v>
      </c>
      <c r="G13" s="23" t="n">
        <v>0.7328779899843595</v>
      </c>
      <c r="H13" s="15" t="n">
        <v>60.458</v>
      </c>
      <c r="I13" s="15" t="n">
        <v>217.243</v>
      </c>
      <c r="J13" s="15" t="n">
        <v>200.966</v>
      </c>
      <c r="K13" s="20">
        <f>IF(AND(ISNUMBER(H13),H13&gt;0),C13/H13,"")</f>
        <v/>
      </c>
      <c r="L13" s="20">
        <f>IF(AND(ISNUMBER(I13),I13&lt;&gt;0),C13/I13,"")</f>
        <v/>
      </c>
      <c r="M13" s="20">
        <f>IF(AND(ISNUMBER(J13),J13&lt;&gt;0),C13/J13,"")</f>
        <v/>
      </c>
      <c r="N13" s="28">
        <f>DCF계산!W30</f>
        <v/>
      </c>
      <c r="O13" s="15" t="n">
        <v>1511.841278028988</v>
      </c>
      <c r="P13" s="20">
        <f>IF(AND(ISNUMBER(N13),N13&lt;&gt;0),C13/N13,"")</f>
        <v/>
      </c>
      <c r="Q13" s="18">
        <f>DCF계산!Y30</f>
        <v/>
      </c>
      <c r="R13" s="23" t="n">
        <v>0.100306854052142</v>
      </c>
      <c r="S13" s="27">
        <f>DCF계산!Z30</f>
        <v/>
      </c>
      <c r="T13" s="9" t="inlineStr">
        <is>
          <t>median owner-earnings margin of the last 5 years (20.0%) applied to FY2025 revenue</t>
        </is>
      </c>
    </row>
    <row r="14">
      <c r="A14" s="8" t="inlineStr">
        <is>
          <t>PM</t>
        </is>
      </c>
      <c r="B14" s="8" t="inlineStr">
        <is>
          <t>Philip Morris International Inc.</t>
        </is>
      </c>
      <c r="C14" s="15" t="n">
        <v>289.542401694</v>
      </c>
      <c r="D14" s="15" t="n">
        <v>10.70782116995152</v>
      </c>
      <c r="E14" s="15" t="n">
        <v>10.91130432592406</v>
      </c>
      <c r="F14" s="15" t="n">
        <v>-40.43</v>
      </c>
      <c r="G14" s="23" t="n">
        <v>0.367112810707457</v>
      </c>
      <c r="H14" s="15" t="n">
        <v>11.348</v>
      </c>
      <c r="I14" s="15" t="n">
        <v>-9.994</v>
      </c>
      <c r="J14" s="15" t="n">
        <v>40.648</v>
      </c>
      <c r="K14" s="20">
        <f>IF(AND(ISNUMBER(H14),H14&gt;0),C14/H14,"")</f>
        <v/>
      </c>
      <c r="L14" s="20">
        <f>IF(AND(ISNUMBER(I14),I14&lt;&gt;0),C14/I14,"")</f>
        <v/>
      </c>
      <c r="M14" s="20">
        <f>IF(AND(ISNUMBER(J14),J14&lt;&gt;0),C14/J14,"")</f>
        <v/>
      </c>
      <c r="N14" s="28">
        <f>DCF계산!W33</f>
        <v/>
      </c>
      <c r="O14" s="15" t="n">
        <v>161.4994263183381</v>
      </c>
      <c r="P14" s="20">
        <f>IF(AND(ISNUMBER(N14),N14&lt;&gt;0),C14/N14,"")</f>
        <v/>
      </c>
      <c r="Q14" s="18">
        <f>DCF계산!Y33</f>
        <v/>
      </c>
      <c r="R14" s="23" t="n">
        <v>0.06725941457554951</v>
      </c>
      <c r="S14" s="27">
        <f>DCF계산!Z33</f>
        <v/>
      </c>
      <c r="T14" s="9" t="inlineStr">
        <is>
          <t>median owner-earnings margin of the last 5 years (26.3%) applied to FY2025 revenue</t>
        </is>
      </c>
    </row>
    <row r="15">
      <c r="A15" s="8" t="inlineStr">
        <is>
          <t>DELL</t>
        </is>
      </c>
      <c r="B15" s="8" t="inlineStr">
        <is>
          <t>Dell Technologies Inc.</t>
        </is>
      </c>
      <c r="C15" s="15" t="n">
        <v>295.67530074388</v>
      </c>
      <c r="D15" s="15" t="n">
        <v>6.602407545091561</v>
      </c>
      <c r="E15" s="15" t="n">
        <v>6.602407545091561</v>
      </c>
      <c r="F15" s="15" t="n">
        <v>-19.975</v>
      </c>
      <c r="G15" s="23" t="n">
        <v>0</v>
      </c>
      <c r="H15" s="15" t="n">
        <v>5.936</v>
      </c>
      <c r="I15" s="15" t="n">
        <v>-2.47</v>
      </c>
      <c r="J15" s="15" t="n">
        <v>113.538</v>
      </c>
      <c r="K15" s="20">
        <f>IF(AND(ISNUMBER(H15),H15&gt;0),C15/H15,"")</f>
        <v/>
      </c>
      <c r="L15" s="20">
        <f>IF(AND(ISNUMBER(I15),I15&lt;&gt;0),C15/I15,"")</f>
        <v/>
      </c>
      <c r="M15" s="20">
        <f>IF(AND(ISNUMBER(J15),J15&lt;&gt;0),C15/J15,"")</f>
        <v/>
      </c>
      <c r="N15" s="28">
        <f>DCF계산!W36</f>
        <v/>
      </c>
      <c r="O15" s="15" t="n">
        <v>156.2569785671669</v>
      </c>
      <c r="P15" s="20">
        <f>IF(AND(ISNUMBER(N15),N15&lt;&gt;0),C15/N15,"")</f>
        <v/>
      </c>
      <c r="Q15" s="18">
        <f>DCF계산!Y36</f>
        <v/>
      </c>
      <c r="R15" s="23" t="n">
        <v>0.06715608918966687</v>
      </c>
      <c r="S15" s="27">
        <f>DCF계산!Z36</f>
        <v/>
      </c>
      <c r="T15" s="9" t="inlineStr">
        <is>
          <t>median owner-earnings margin of the last 5 years (5.8%) applied to FY2025 revenue</t>
        </is>
      </c>
    </row>
    <row r="16">
      <c r="A16" s="8" t="inlineStr">
        <is>
          <t>RTX</t>
        </is>
      </c>
      <c r="B16" s="8" t="inlineStr">
        <is>
          <t>RTX Corp</t>
        </is>
      </c>
      <c r="C16" s="15" t="n">
        <v>300.83351394512</v>
      </c>
      <c r="D16" s="15" t="n">
        <v>8.863327374666087</v>
      </c>
      <c r="E16" s="15" t="n">
        <v>8.863327374666087</v>
      </c>
      <c r="F16" s="15" t="n">
        <v>-26.307</v>
      </c>
      <c r="G16" s="23" t="n">
        <v>0</v>
      </c>
      <c r="H16" s="15" t="n">
        <v>6.732</v>
      </c>
      <c r="I16" s="15" t="n">
        <v>65.245</v>
      </c>
      <c r="J16" s="15" t="n">
        <v>88.60299999999999</v>
      </c>
      <c r="K16" s="20">
        <f>IF(AND(ISNUMBER(H16),H16&gt;0),C16/H16,"")</f>
        <v/>
      </c>
      <c r="L16" s="20">
        <f>IF(AND(ISNUMBER(I16),I16&lt;&gt;0),C16/I16,"")</f>
        <v/>
      </c>
      <c r="M16" s="20">
        <f>IF(AND(ISNUMBER(J16),J16&lt;&gt;0),C16/J16,"")</f>
        <v/>
      </c>
      <c r="N16" s="28">
        <f>DCF계산!W39</f>
        <v/>
      </c>
      <c r="O16" s="15" t="n">
        <v>125.6064182063695</v>
      </c>
      <c r="P16" s="20">
        <f>IF(AND(ISNUMBER(N16),N16&lt;&gt;0),C16/N16,"")</f>
        <v/>
      </c>
      <c r="Q16" s="18">
        <f>DCF계산!Y39</f>
        <v/>
      </c>
      <c r="R16" s="23" t="n">
        <v>0.05651654238187945</v>
      </c>
      <c r="S16" s="27">
        <f>DCF계산!Z39</f>
        <v/>
      </c>
      <c r="T16" s="9" t="inlineStr">
        <is>
          <t>median owner-earnings margin of the last 5 years (10.0%) applied to FY2025 revenue</t>
        </is>
      </c>
    </row>
    <row r="17">
      <c r="A17" s="8" t="inlineStr">
        <is>
          <t>AAPL</t>
        </is>
      </c>
      <c r="B17" s="8" t="inlineStr">
        <is>
          <t>Apple Inc.</t>
        </is>
      </c>
      <c r="C17" s="15" t="n">
        <v>4554.95857578</v>
      </c>
      <c r="D17" s="15" t="n">
        <v>107.7338200821722</v>
      </c>
      <c r="E17" s="15" t="n">
        <v>107.7338200821722</v>
      </c>
      <c r="F17" s="15" t="n">
        <v>-35.981</v>
      </c>
      <c r="G17" s="23" t="n">
        <v>0.0799842705465985</v>
      </c>
      <c r="H17" s="15" t="n">
        <v>112.01</v>
      </c>
      <c r="I17" s="15" t="n">
        <v>73.733</v>
      </c>
      <c r="J17" s="15" t="n">
        <v>416.161</v>
      </c>
      <c r="K17" s="20">
        <f>IF(AND(ISNUMBER(H17),H17&gt;0),C17/H17,"")</f>
        <v/>
      </c>
      <c r="L17" s="20">
        <f>IF(AND(ISNUMBER(I17),I17&lt;&gt;0),C17/I17,"")</f>
        <v/>
      </c>
      <c r="M17" s="20">
        <f>IF(AND(ISNUMBER(J17),J17&lt;&gt;0),C17/J17,"")</f>
        <v/>
      </c>
      <c r="N17" s="28">
        <f>DCF계산!W42</f>
        <v/>
      </c>
      <c r="O17" s="15" t="n">
        <v>1891.563402983442</v>
      </c>
      <c r="P17" s="20">
        <f>IF(AND(ISNUMBER(N17),N17&lt;&gt;0),C17/N17,"")</f>
        <v/>
      </c>
      <c r="Q17" s="18">
        <f>DCF계산!Y42</f>
        <v/>
      </c>
      <c r="R17" s="23" t="n">
        <v>0.05743903428600025</v>
      </c>
      <c r="S17" s="27">
        <f>DCF계산!Z42</f>
        <v/>
      </c>
      <c r="T17" s="9" t="inlineStr">
        <is>
          <t>median owner-earnings margin of the last 5 years (25.9%) applied to FY2025 revenue</t>
        </is>
      </c>
    </row>
    <row r="18">
      <c r="A18" s="8" t="inlineStr">
        <is>
          <t>LRCX</t>
        </is>
      </c>
      <c r="B18" s="8" t="inlineStr">
        <is>
          <t>LAM RESEARCH CORP</t>
        </is>
      </c>
      <c r="C18" s="15" t="n">
        <v>383.4047544</v>
      </c>
      <c r="D18" s="15" t="n">
        <v>6.456399747723214</v>
      </c>
      <c r="E18" s="15" t="n">
        <v>6.668532401808049</v>
      </c>
      <c r="F18" s="15" t="n">
        <v>1.85711</v>
      </c>
      <c r="G18" s="23" t="n">
        <v>0.5431180509206802</v>
      </c>
      <c r="H18" s="15" t="n">
        <v>7.265396</v>
      </c>
      <c r="I18" s="15" t="n">
        <v>12.470921</v>
      </c>
      <c r="J18" s="15" t="n">
        <v>23.23269</v>
      </c>
      <c r="K18" s="20">
        <f>IF(AND(ISNUMBER(H18),H18&gt;0),C18/H18,"")</f>
        <v/>
      </c>
      <c r="L18" s="20">
        <f>IF(AND(ISNUMBER(I18),I18&lt;&gt;0),C18/I18,"")</f>
        <v/>
      </c>
      <c r="M18" s="20">
        <f>IF(AND(ISNUMBER(J18),J18&lt;&gt;0),C18/J18,"")</f>
        <v/>
      </c>
      <c r="N18" s="28">
        <f>DCF계산!W45</f>
        <v/>
      </c>
      <c r="O18" s="15" t="n">
        <v>157.8219335094571</v>
      </c>
      <c r="P18" s="20">
        <f>IF(AND(ISNUMBER(N18),N18&lt;&gt;0),C18/N18,"")</f>
        <v/>
      </c>
      <c r="Q18" s="18">
        <f>DCF계산!Y45</f>
        <v/>
      </c>
      <c r="R18" s="23" t="n">
        <v>0.058436364320868</v>
      </c>
      <c r="S18" s="27">
        <f>DCF계산!Z45</f>
        <v/>
      </c>
      <c r="T18" s="9" t="inlineStr">
        <is>
          <t>median owner-earnings margin of the last 5 years (27.8%) applied to FY2026 revenue</t>
        </is>
      </c>
    </row>
    <row r="19">
      <c r="A19" s="8" t="inlineStr">
        <is>
          <t>KLAC</t>
        </is>
      </c>
      <c r="B19" s="8" t="inlineStr">
        <is>
          <t>KLA CORP</t>
        </is>
      </c>
      <c r="C19" s="15" t="n">
        <v>251.82382695542</v>
      </c>
      <c r="D19" s="15" t="n">
        <v>4.162360821663193</v>
      </c>
      <c r="E19" s="15" t="n">
        <v>4.162360821663193</v>
      </c>
      <c r="F19" s="15" t="n">
        <v>-4.237573</v>
      </c>
      <c r="G19" s="23" t="n">
        <v>0</v>
      </c>
      <c r="H19" s="15" t="n">
        <v>4.830771</v>
      </c>
      <c r="I19" s="15" t="n">
        <v>6.34982</v>
      </c>
      <c r="J19" s="15" t="n">
        <v>13.579476</v>
      </c>
      <c r="K19" s="20">
        <f>IF(AND(ISNUMBER(H19),H19&gt;0),C19/H19,"")</f>
        <v/>
      </c>
      <c r="L19" s="20">
        <f>IF(AND(ISNUMBER(I19),I19&lt;&gt;0),C19/I19,"")</f>
        <v/>
      </c>
      <c r="M19" s="20">
        <f>IF(AND(ISNUMBER(J19),J19&lt;&gt;0),C19/J19,"")</f>
        <v/>
      </c>
      <c r="N19" s="28">
        <f>DCF계산!W48</f>
        <v/>
      </c>
      <c r="O19" s="15" t="n">
        <v>98.50920611269555</v>
      </c>
      <c r="P19" s="20">
        <f>IF(AND(ISNUMBER(N19),N19&lt;&gt;0),C19/N19,"")</f>
        <v/>
      </c>
      <c r="Q19" s="18">
        <f>DCF계산!Y48</f>
        <v/>
      </c>
      <c r="R19" s="23" t="n">
        <v>0.05688085442894064</v>
      </c>
      <c r="S19" s="27">
        <f>DCF계산!Z48</f>
        <v/>
      </c>
      <c r="T19" s="9" t="inlineStr">
        <is>
          <t>median owner-earnings margin of the last 5 years (30.7%) applied to FY2026 revenue</t>
        </is>
      </c>
    </row>
    <row r="20">
      <c r="A20" s="8" t="inlineStr">
        <is>
          <t>IBM</t>
        </is>
      </c>
      <c r="B20" s="8" t="inlineStr">
        <is>
          <t>INTERNATIONAL BUSINESS MACHINES CORP</t>
        </is>
      </c>
      <c r="C20" s="15" t="n">
        <v>221.66691000924</v>
      </c>
      <c r="D20" s="15" t="n">
        <v>7.323565008844199</v>
      </c>
      <c r="E20" s="15" t="n">
        <v>7.323565008844199</v>
      </c>
      <c r="F20" s="15" t="n">
        <v>-47.673</v>
      </c>
      <c r="G20" s="23" t="n">
        <v>0</v>
      </c>
      <c r="H20" s="15" t="n">
        <v>10.593</v>
      </c>
      <c r="I20" s="15" t="n">
        <v>32.648</v>
      </c>
      <c r="J20" s="15" t="n">
        <v>67.535</v>
      </c>
      <c r="K20" s="20">
        <f>IF(AND(ISNUMBER(H20),H20&gt;0),C20/H20,"")</f>
        <v/>
      </c>
      <c r="L20" s="20">
        <f>IF(AND(ISNUMBER(I20),I20&lt;&gt;0),C20/I20,"")</f>
        <v/>
      </c>
      <c r="M20" s="20">
        <f>IF(AND(ISNUMBER(J20),J20&lt;&gt;0),C20/J20,"")</f>
        <v/>
      </c>
      <c r="N20" s="28">
        <f>DCF계산!W51</f>
        <v/>
      </c>
      <c r="O20" s="15" t="n">
        <v>85.86048620936737</v>
      </c>
      <c r="P20" s="20">
        <f>IF(AND(ISNUMBER(N20),N20&lt;&gt;0),C20/N20,"")</f>
        <v/>
      </c>
      <c r="Q20" s="18">
        <f>DCF계산!Y51</f>
        <v/>
      </c>
      <c r="R20" s="23" t="n">
        <v>0.05315270982837073</v>
      </c>
      <c r="S20" s="27">
        <f>DCF계산!Z51</f>
        <v/>
      </c>
      <c r="T20" s="9" t="inlineStr">
        <is>
          <t>median owner-earnings margin of the last 5 years (10.8%) applied to FY2025 revenue</t>
        </is>
      </c>
    </row>
    <row r="21">
      <c r="A21" s="8" t="inlineStr">
        <is>
          <t>GOOG</t>
        </is>
      </c>
      <c r="B21" s="8" t="inlineStr">
        <is>
          <t>Alphabet Inc.</t>
        </is>
      </c>
      <c r="C21" s="15" t="n">
        <v>4304.596479999999</v>
      </c>
      <c r="D21" s="15" t="n">
        <v>69.94514883183584</v>
      </c>
      <c r="E21" s="15" t="n">
        <v>101.4796093230395</v>
      </c>
      <c r="F21" s="15" t="n">
        <v>77.758</v>
      </c>
      <c r="G21" s="23" t="n">
        <v>0.7688715868207814</v>
      </c>
      <c r="H21" s="15" t="n">
        <v>132.17</v>
      </c>
      <c r="I21" s="15" t="n">
        <v>415.265</v>
      </c>
      <c r="J21" s="15" t="n">
        <v>402.836</v>
      </c>
      <c r="K21" s="20">
        <f>IF(AND(ISNUMBER(H21),H21&gt;0),C21/H21,"")</f>
        <v/>
      </c>
      <c r="L21" s="20">
        <f>IF(AND(ISNUMBER(I21),I21&lt;&gt;0),C21/I21,"")</f>
        <v/>
      </c>
      <c r="M21" s="20">
        <f>IF(AND(ISNUMBER(J21),J21&lt;&gt;0),C21/J21,"")</f>
        <v/>
      </c>
      <c r="N21" s="28">
        <f>DCF계산!W54</f>
        <v/>
      </c>
      <c r="O21" s="15" t="n">
        <v>2401.684087311933</v>
      </c>
      <c r="P21" s="20">
        <f>IF(AND(ISNUMBER(N21),N21&lt;&gt;0),C21/N21,"")</f>
        <v/>
      </c>
      <c r="Q21" s="18">
        <f>DCF계산!Y54</f>
        <v/>
      </c>
      <c r="R21" s="23" t="n">
        <v>0.06931232722077263</v>
      </c>
      <c r="S21" s="27">
        <f>DCF계산!Z54</f>
        <v/>
      </c>
      <c r="T21" s="9" t="inlineStr">
        <is>
          <t>median owner-earnings margin of the last 5 years (17.4%) applied to FY2025 revenue</t>
        </is>
      </c>
    </row>
    <row r="22">
      <c r="A22" s="8" t="inlineStr">
        <is>
          <t>NFLX</t>
        </is>
      </c>
      <c r="B22" s="8" t="inlineStr">
        <is>
          <t>NETFLIX INC</t>
        </is>
      </c>
      <c r="C22" s="15" t="n">
        <v>322.1087504235</v>
      </c>
      <c r="D22" s="15" t="n">
        <v>8.53998619209314</v>
      </c>
      <c r="E22" s="15" t="n">
        <v>8.53998619209314</v>
      </c>
      <c r="F22" s="15" t="n">
        <v>-5.400477</v>
      </c>
      <c r="G22" s="23" t="n">
        <v>0.5155778675423557</v>
      </c>
      <c r="H22" s="15" t="n">
        <v>10.981201</v>
      </c>
      <c r="I22" s="15" t="n">
        <v>26.615488</v>
      </c>
      <c r="J22" s="15" t="n">
        <v>45.183036</v>
      </c>
      <c r="K22" s="20">
        <f>IF(AND(ISNUMBER(H22),H22&gt;0),C22/H22,"")</f>
        <v/>
      </c>
      <c r="L22" s="20">
        <f>IF(AND(ISNUMBER(I22),I22&lt;&gt;0),C22/I22,"")</f>
        <v/>
      </c>
      <c r="M22" s="20">
        <f>IF(AND(ISNUMBER(J22),J22&lt;&gt;0),C22/J22,"")</f>
        <v/>
      </c>
      <c r="N22" s="28">
        <f>DCF계산!W57</f>
        <v/>
      </c>
      <c r="O22" s="15" t="n">
        <v>121.024196870657</v>
      </c>
      <c r="P22" s="20">
        <f>IF(AND(ISNUMBER(N22),N22&lt;&gt;0),C22/N22,"")</f>
        <v/>
      </c>
      <c r="Q22" s="18">
        <f>DCF계산!Y57</f>
        <v/>
      </c>
      <c r="R22" s="23" t="n">
        <v>0.05337635307104172</v>
      </c>
      <c r="S22" s="27">
        <f>DCF계산!Z57</f>
        <v/>
      </c>
      <c r="T22" s="9" t="inlineStr">
        <is>
          <t>median owner-earnings margin of the last 5 years (18.9%) applied to FY2025 revenue</t>
        </is>
      </c>
    </row>
    <row r="23">
      <c r="A23" s="8" t="inlineStr">
        <is>
          <t>MSFT</t>
        </is>
      </c>
      <c r="B23" s="8" t="inlineStr">
        <is>
          <t>MICROSOFT CORP</t>
        </is>
      </c>
      <c r="C23" s="15" t="n">
        <v>3757.77155117546</v>
      </c>
      <c r="D23" s="15" t="n">
        <v>83.84541778480117</v>
      </c>
      <c r="E23" s="15" t="n">
        <v>122.5637776395366</v>
      </c>
      <c r="F23" s="15" t="n">
        <v>36.549</v>
      </c>
      <c r="G23" s="23" t="n">
        <v>0.7041777348466554</v>
      </c>
      <c r="H23" s="15" t="n">
        <v>133.749</v>
      </c>
      <c r="I23" s="15" t="n">
        <v>442.387</v>
      </c>
      <c r="J23" s="15" t="n">
        <v>331.839</v>
      </c>
      <c r="K23" s="20">
        <f>IF(AND(ISNUMBER(H23),H23&gt;0),C23/H23,"")</f>
        <v/>
      </c>
      <c r="L23" s="20">
        <f>IF(AND(ISNUMBER(I23),I23&lt;&gt;0),C23/I23,"")</f>
        <v/>
      </c>
      <c r="M23" s="20">
        <f>IF(AND(ISNUMBER(J23),J23&lt;&gt;0),C23/J23,"")</f>
        <v/>
      </c>
      <c r="N23" s="28">
        <f>DCF계산!W60</f>
        <v/>
      </c>
      <c r="O23" s="15" t="n">
        <v>1988.850917685711</v>
      </c>
      <c r="P23" s="20">
        <f>IF(AND(ISNUMBER(N23),N23&lt;&gt;0),C23/N23,"")</f>
        <v/>
      </c>
      <c r="Q23" s="18">
        <f>DCF계산!Y60</f>
        <v/>
      </c>
      <c r="R23" s="23" t="n">
        <v>0.06559732330796381</v>
      </c>
      <c r="S23" s="27">
        <f>DCF계산!Z60</f>
        <v/>
      </c>
      <c r="T23" s="9" t="inlineStr">
        <is>
          <t>median owner-earnings margin of the last 5 years (25.3%) applied to FY2026 revenue</t>
        </is>
      </c>
    </row>
    <row r="24">
      <c r="A24" s="8" t="inlineStr">
        <is>
          <t>COST</t>
        </is>
      </c>
      <c r="B24" s="8" t="inlineStr">
        <is>
          <t>COSTCO WHOLESALE CORP /NEW</t>
        </is>
      </c>
      <c r="C24" s="15" t="n">
        <v>422.238959934</v>
      </c>
      <c r="D24" s="15" t="n">
        <v>6.38985048908333</v>
      </c>
      <c r="E24" s="15" t="n">
        <v>8.941246791035535</v>
      </c>
      <c r="F24" s="15" t="n">
        <v>9.496</v>
      </c>
      <c r="G24" s="23" t="n">
        <v>0.5587486358675882</v>
      </c>
      <c r="H24" s="15" t="n">
        <v>8.099</v>
      </c>
      <c r="I24" s="15" t="n">
        <v>29.164</v>
      </c>
      <c r="J24" s="15" t="n">
        <v>275.235</v>
      </c>
      <c r="K24" s="20">
        <f>IF(AND(ISNUMBER(H24),H24&gt;0),C24/H24,"")</f>
        <v/>
      </c>
      <c r="L24" s="20">
        <f>IF(AND(ISNUMBER(I24),I24&lt;&gt;0),C24/I24,"")</f>
        <v/>
      </c>
      <c r="M24" s="20">
        <f>IF(AND(ISNUMBER(J24),J24&lt;&gt;0),C24/J24,"")</f>
        <v/>
      </c>
      <c r="N24" s="28">
        <f>DCF계산!W63</f>
        <v/>
      </c>
      <c r="O24" s="15" t="n">
        <v>211.609507387841</v>
      </c>
      <c r="P24" s="20">
        <f>IF(AND(ISNUMBER(N24),N24&lt;&gt;0),C24/N24,"")</f>
        <v/>
      </c>
      <c r="Q24" s="18">
        <f>DCF계산!Y63</f>
        <v/>
      </c>
      <c r="R24" s="23" t="n">
        <v>0.06514218408886008</v>
      </c>
      <c r="S24" s="27">
        <f>DCF계산!Z63</f>
        <v/>
      </c>
      <c r="T24" s="9" t="inlineStr">
        <is>
          <t>median owner-earnings margin of the last 5 years (2.3%) applied to FY2025 revenue</t>
        </is>
      </c>
    </row>
    <row r="25">
      <c r="A25" s="8" t="inlineStr">
        <is>
          <t>CAT</t>
        </is>
      </c>
      <c r="B25" s="8" t="inlineStr">
        <is>
          <t>CATERPILLAR INC</t>
        </is>
      </c>
      <c r="C25" s="15" t="n">
        <v>389.71536353656</v>
      </c>
      <c r="D25" s="15" t="n">
        <v>7.752195217052248</v>
      </c>
      <c r="E25" s="15" t="n">
        <v>8.311195217052248</v>
      </c>
      <c r="F25" s="15" t="n">
        <v>-26.224</v>
      </c>
      <c r="G25" s="23" t="n">
        <v>0.1981566820276498</v>
      </c>
      <c r="H25" s="15" t="n">
        <v>8.882</v>
      </c>
      <c r="I25" s="15" t="n">
        <v>21.318</v>
      </c>
      <c r="J25" s="15" t="n">
        <v>67.589</v>
      </c>
      <c r="K25" s="20">
        <f>IF(AND(ISNUMBER(H25),H25&gt;0),C25/H25,"")</f>
        <v/>
      </c>
      <c r="L25" s="20">
        <f>IF(AND(ISNUMBER(I25),I25&lt;&gt;0),C25/I25,"")</f>
        <v/>
      </c>
      <c r="M25" s="20">
        <f>IF(AND(ISNUMBER(J25),J25&lt;&gt;0),C25/J25,"")</f>
        <v/>
      </c>
      <c r="N25" s="28">
        <f>DCF계산!W66</f>
        <v/>
      </c>
      <c r="O25" s="15" t="n">
        <v>143.0041368954068</v>
      </c>
      <c r="P25" s="20">
        <f>IF(AND(ISNUMBER(N25),N25&lt;&gt;0),C25/N25,"")</f>
        <v/>
      </c>
      <c r="Q25" s="18">
        <f>DCF계산!Y66</f>
        <v/>
      </c>
      <c r="R25" s="23" t="n">
        <v>0.05368457735535619</v>
      </c>
      <c r="S25" s="27">
        <f>DCF계산!Z66</f>
        <v/>
      </c>
      <c r="T25" s="9" t="inlineStr">
        <is>
          <t>median owner-earnings margin of the last 5 years (11.5%) applied to FY2025 revenue</t>
        </is>
      </c>
    </row>
    <row r="26">
      <c r="A26" s="8" t="inlineStr">
        <is>
          <t>AMAT</t>
        </is>
      </c>
      <c r="B26" s="8" t="inlineStr">
        <is>
          <t>APPLIED MATERIALS INC /DE</t>
        </is>
      </c>
      <c r="C26" s="15" t="n">
        <v>414.01159025592</v>
      </c>
      <c r="D26" s="15" t="n">
        <v>5.512959111997572</v>
      </c>
      <c r="E26" s="15" t="n">
        <v>6.072177111422716</v>
      </c>
      <c r="F26" s="15" t="n">
        <v>2.118</v>
      </c>
      <c r="G26" s="23" t="n">
        <v>0.8075221238938053</v>
      </c>
      <c r="H26" s="15" t="n">
        <v>6.998</v>
      </c>
      <c r="I26" s="15" t="n">
        <v>20.415</v>
      </c>
      <c r="J26" s="15" t="n">
        <v>28.368</v>
      </c>
      <c r="K26" s="20">
        <f>IF(AND(ISNUMBER(H26),H26&gt;0),C26/H26,"")</f>
        <v/>
      </c>
      <c r="L26" s="20">
        <f>IF(AND(ISNUMBER(I26),I26&lt;&gt;0),C26/I26,"")</f>
        <v/>
      </c>
      <c r="M26" s="20">
        <f>IF(AND(ISNUMBER(J26),J26&lt;&gt;0),C26/J26,"")</f>
        <v/>
      </c>
      <c r="N26" s="28">
        <f>DCF계산!W69</f>
        <v/>
      </c>
      <c r="O26" s="15" t="n">
        <v>143.7081916370043</v>
      </c>
      <c r="P26" s="20">
        <f>IF(AND(ISNUMBER(N26),N26&lt;&gt;0),C26/N26,"")</f>
        <v/>
      </c>
      <c r="Q26" s="18">
        <f>DCF계산!Y69</f>
        <v/>
      </c>
      <c r="R26" s="23" t="n">
        <v>0.05349656034811494</v>
      </c>
      <c r="S26" s="27">
        <f>DCF계산!Z69</f>
        <v/>
      </c>
      <c r="T26" s="9" t="inlineStr">
        <is>
          <t>median owner-earnings margin of the last 5 years (19.4%) applied to FY2025 revenue</t>
        </is>
      </c>
    </row>
    <row r="27">
      <c r="A27" s="8" t="inlineStr">
        <is>
          <t>KO</t>
        </is>
      </c>
      <c r="B27" s="8" t="inlineStr">
        <is>
          <t>COCA COLA CO</t>
        </is>
      </c>
      <c r="C27" s="15" t="n">
        <v>373.60381300403</v>
      </c>
      <c r="D27" s="15" t="n">
        <v>10.24647723376448</v>
      </c>
      <c r="E27" s="15" t="n">
        <v>10.49619316716602</v>
      </c>
      <c r="F27" s="15" t="n">
        <v>-29.742</v>
      </c>
      <c r="G27" s="23" t="n">
        <v>0.5028409090909091</v>
      </c>
      <c r="H27" s="15" t="n">
        <v>13.107</v>
      </c>
      <c r="I27" s="15" t="n">
        <v>32.169</v>
      </c>
      <c r="J27" s="15" t="n">
        <v>47.941</v>
      </c>
      <c r="K27" s="20">
        <f>IF(AND(ISNUMBER(H27),H27&gt;0),C27/H27,"")</f>
        <v/>
      </c>
      <c r="L27" s="20">
        <f>IF(AND(ISNUMBER(I27),I27&lt;&gt;0),C27/I27,"")</f>
        <v/>
      </c>
      <c r="M27" s="20">
        <f>IF(AND(ISNUMBER(J27),J27&lt;&gt;0),C27/J27,"")</f>
        <v/>
      </c>
      <c r="N27" s="28">
        <f>DCF계산!W72</f>
        <v/>
      </c>
      <c r="O27" s="15" t="n">
        <v>119.7999667522357</v>
      </c>
      <c r="P27" s="20">
        <f>IF(AND(ISNUMBER(N27),N27&lt;&gt;0),C27/N27,"")</f>
        <v/>
      </c>
      <c r="Q27" s="18">
        <f>DCF계산!Y72</f>
        <v/>
      </c>
      <c r="R27" s="23" t="n">
        <v>0.04805874986769824</v>
      </c>
      <c r="S27" s="27">
        <f>DCF계산!Z72</f>
        <v/>
      </c>
      <c r="T27" s="9" t="inlineStr">
        <is>
          <t>median owner-earnings margin of the last 5 years (21.4%) applied to FY2025 revenue</t>
        </is>
      </c>
    </row>
    <row r="28">
      <c r="A28" s="8" t="inlineStr">
        <is>
          <t>GE</t>
        </is>
      </c>
      <c r="B28" s="8" t="inlineStr">
        <is>
          <t>GENERAL ELECTRIC CO</t>
        </is>
      </c>
      <c r="C28" s="15" t="n">
        <v>384.5999515203999</v>
      </c>
      <c r="D28" s="15" t="n">
        <v>8.232374</v>
      </c>
      <c r="E28" s="15" t="n">
        <v>8.642374</v>
      </c>
      <c r="F28" s="15" t="n">
        <v>-6.441</v>
      </c>
      <c r="G28" s="23" t="n">
        <v>0.3220738413197172</v>
      </c>
      <c r="H28" s="15" t="n">
        <v>8.704000000000001</v>
      </c>
      <c r="I28" s="15" t="n">
        <v>18.677</v>
      </c>
      <c r="J28" s="15" t="n">
        <v>45.855</v>
      </c>
      <c r="K28" s="20">
        <f>IF(AND(ISNUMBER(H28),H28&gt;0),C28/H28,"")</f>
        <v/>
      </c>
      <c r="L28" s="20">
        <f>IF(AND(ISNUMBER(I28),I28&lt;&gt;0),C28/I28,"")</f>
        <v/>
      </c>
      <c r="M28" s="20">
        <f>IF(AND(ISNUMBER(J28),J28&lt;&gt;0),C28/J28,"")</f>
        <v/>
      </c>
      <c r="N28" s="28">
        <f>DCF계산!W75</f>
        <v/>
      </c>
      <c r="O28" s="15" t="n">
        <v>122.4751830833452</v>
      </c>
      <c r="P28" s="20">
        <f>IF(AND(ISNUMBER(N28),N28&lt;&gt;0),C28/N28,"")</f>
        <v/>
      </c>
      <c r="Q28" s="18">
        <f>DCF계산!Y75</f>
        <v/>
      </c>
      <c r="R28" s="23" t="n">
        <v>0.04906881838399746</v>
      </c>
      <c r="S28" s="27">
        <f>DCF계산!Z75</f>
        <v/>
      </c>
      <c r="T28" s="9" t="inlineStr">
        <is>
          <t>median owner-earnings margin of the last 5 years (18.0%) applied to FY2025 revenue</t>
        </is>
      </c>
    </row>
    <row r="29">
      <c r="A29" s="8" t="inlineStr">
        <is>
          <t>ANET</t>
        </is>
      </c>
      <c r="B29" s="8" t="inlineStr">
        <is>
          <t>Arista Networks, Inc.</t>
        </is>
      </c>
      <c r="C29" s="15" t="n">
        <v>240.65213975712</v>
      </c>
      <c r="D29" s="15" t="n">
        <v>2.870986861774784</v>
      </c>
      <c r="E29" s="15" t="n">
        <v>2.870986861774784</v>
      </c>
      <c r="F29" s="15" t="n">
        <v>10.743</v>
      </c>
      <c r="G29" s="23" t="n">
        <v>0.3924686192468619</v>
      </c>
      <c r="H29" s="15" t="n">
        <v>3.5114</v>
      </c>
      <c r="I29" s="15" t="n">
        <v>12.3705</v>
      </c>
      <c r="J29" s="15" t="n">
        <v>9.005699999999999</v>
      </c>
      <c r="K29" s="20">
        <f>IF(AND(ISNUMBER(H29),H29&gt;0),C29/H29,"")</f>
        <v/>
      </c>
      <c r="L29" s="20">
        <f>IF(AND(ISNUMBER(I29),I29&lt;&gt;0),C29/I29,"")</f>
        <v/>
      </c>
      <c r="M29" s="20">
        <f>IF(AND(ISNUMBER(J29),J29&lt;&gt;0),C29/J29,"")</f>
        <v/>
      </c>
      <c r="N29" s="28">
        <f>DCF계산!W78</f>
        <v/>
      </c>
      <c r="O29" s="15" t="n">
        <v>67.9466890620032</v>
      </c>
      <c r="P29" s="20">
        <f>IF(AND(ISNUMBER(N29),N29&lt;&gt;0),C29/N29,"")</f>
        <v/>
      </c>
      <c r="Q29" s="18">
        <f>DCF계산!Y78</f>
        <v/>
      </c>
      <c r="R29" s="23" t="n">
        <v>0.04843931703358277</v>
      </c>
      <c r="S29" s="27">
        <f>DCF계산!Z78</f>
        <v/>
      </c>
      <c r="T29" s="9" t="inlineStr">
        <is>
          <t>median owner-earnings margin of the last 5 years (31.9%) applied to FY2025 revenue</t>
        </is>
      </c>
    </row>
    <row r="30">
      <c r="A30" s="8" t="inlineStr">
        <is>
          <t>NVDA</t>
        </is>
      </c>
      <c r="B30" s="8" t="inlineStr">
        <is>
          <t>NVIDIA CORP</t>
        </is>
      </c>
      <c r="C30" s="15" t="n">
        <v>5286.465</v>
      </c>
      <c r="D30" s="15" t="n">
        <v>60.76816571301182</v>
      </c>
      <c r="E30" s="15" t="n">
        <v>63.69665534665974</v>
      </c>
      <c r="F30" s="15" t="n">
        <v>1.138</v>
      </c>
      <c r="G30" s="23" t="n">
        <v>0.602780536246276</v>
      </c>
      <c r="H30" s="15" t="n">
        <v>120.067</v>
      </c>
      <c r="I30" s="15" t="n">
        <v>157.293</v>
      </c>
      <c r="J30" s="15" t="n">
        <v>215.938</v>
      </c>
      <c r="K30" s="20">
        <f>IF(AND(ISNUMBER(H30),H30&gt;0),C30/H30,"")</f>
        <v/>
      </c>
      <c r="L30" s="20">
        <f>IF(AND(ISNUMBER(I30),I30&lt;&gt;0),C30/I30,"")</f>
        <v/>
      </c>
      <c r="M30" s="20">
        <f>IF(AND(ISNUMBER(J30),J30&lt;&gt;0),C30/J30,"")</f>
        <v/>
      </c>
      <c r="N30" s="28">
        <f>DCF계산!W81</f>
        <v/>
      </c>
      <c r="O30" s="15" t="n">
        <v>1507.487509870947</v>
      </c>
      <c r="P30" s="20">
        <f>IF(AND(ISNUMBER(N30),N30&lt;&gt;0),C30/N30,"")</f>
        <v/>
      </c>
      <c r="Q30" s="18">
        <f>DCF계산!Y81</f>
        <v/>
      </c>
      <c r="R30" s="23" t="n">
        <v>0.04866135150319828</v>
      </c>
      <c r="S30" s="27">
        <f>DCF계산!Z81</f>
        <v/>
      </c>
      <c r="T30" s="9" t="inlineStr">
        <is>
          <t>median owner-earnings margin of the last 5 years (28.1%) applied to FY2025 revenue</t>
        </is>
      </c>
    </row>
    <row r="31">
      <c r="A31" s="8" t="inlineStr">
        <is>
          <t>CSCO</t>
        </is>
      </c>
      <c r="B31" s="8" t="inlineStr">
        <is>
          <t>CISCO SYSTEMS, INC.</t>
        </is>
      </c>
      <c r="C31" s="15" t="n">
        <v>484.54335052921</v>
      </c>
      <c r="D31" s="15" t="n">
        <v>10.66114954954955</v>
      </c>
      <c r="E31" s="15" t="n">
        <v>10.86614954954955</v>
      </c>
      <c r="F31" s="15" t="n">
        <v>-11.983</v>
      </c>
      <c r="G31" s="23" t="n">
        <v>0.2265193370165746</v>
      </c>
      <c r="H31" s="15" t="n">
        <v>10.18</v>
      </c>
      <c r="I31" s="15" t="n">
        <v>46.843</v>
      </c>
      <c r="J31" s="15" t="n">
        <v>56.654</v>
      </c>
      <c r="K31" s="20">
        <f>IF(AND(ISNUMBER(H31),H31&gt;0),C31/H31,"")</f>
        <v/>
      </c>
      <c r="L31" s="20">
        <f>IF(AND(ISNUMBER(I31),I31&lt;&gt;0),C31/I31,"")</f>
        <v/>
      </c>
      <c r="M31" s="20">
        <f>IF(AND(ISNUMBER(J31),J31&lt;&gt;0),C31/J31,"")</f>
        <v/>
      </c>
      <c r="N31" s="28">
        <f>DCF계산!W84</f>
        <v/>
      </c>
      <c r="O31" s="15" t="n">
        <v>131.8628628228917</v>
      </c>
      <c r="P31" s="20">
        <f>IF(AND(ISNUMBER(N31),N31&lt;&gt;0),C31/N31,"")</f>
        <v/>
      </c>
      <c r="Q31" s="18">
        <f>DCF계산!Y84</f>
        <v/>
      </c>
      <c r="R31" s="23" t="n">
        <v>0.04482164272386294</v>
      </c>
      <c r="S31" s="27">
        <f>DCF계산!Z84</f>
        <v/>
      </c>
      <c r="T31" s="9" t="inlineStr">
        <is>
          <t>median owner-earnings margin of the last 5 years (18.8%) applied to FY2025 revenue</t>
        </is>
      </c>
    </row>
    <row r="32">
      <c r="A32" s="8" t="inlineStr">
        <is>
          <t>AVGO</t>
        </is>
      </c>
      <c r="B32" s="8" t="inlineStr">
        <is>
          <t>Broadcom Inc.</t>
        </is>
      </c>
      <c r="C32" s="15" t="n">
        <v>2002.7140526976</v>
      </c>
      <c r="D32" s="15" t="n">
        <v>17.85515</v>
      </c>
      <c r="E32" s="15" t="n">
        <v>17.90415</v>
      </c>
      <c r="F32" s="15" t="n">
        <v>-48.958</v>
      </c>
      <c r="G32" s="23" t="n">
        <v>0.07865168539325842</v>
      </c>
      <c r="H32" s="15" t="n">
        <v>23.126</v>
      </c>
      <c r="I32" s="15" t="n">
        <v>81.292</v>
      </c>
      <c r="J32" s="15" t="n">
        <v>63.887</v>
      </c>
      <c r="K32" s="20">
        <f>IF(AND(ISNUMBER(H32),H32&gt;0),C32/H32,"")</f>
        <v/>
      </c>
      <c r="L32" s="20">
        <f>IF(AND(ISNUMBER(I32),I32&lt;&gt;0),C32/I32,"")</f>
        <v/>
      </c>
      <c r="M32" s="20">
        <f>IF(AND(ISNUMBER(J32),J32&lt;&gt;0),C32/J32,"")</f>
        <v/>
      </c>
      <c r="N32" s="28">
        <f>DCF계산!W87</f>
        <v/>
      </c>
      <c r="O32" s="15" t="n">
        <v>423.7315499999999</v>
      </c>
      <c r="P32" s="20">
        <f>IF(AND(ISNUMBER(N32),N32&lt;&gt;0),C32/N32,"")</f>
        <v/>
      </c>
      <c r="Q32" s="18">
        <f>DCF계산!Y87</f>
        <v/>
      </c>
      <c r="R32" s="23" t="n">
        <v>0.04279072392142141</v>
      </c>
      <c r="S32" s="27">
        <f>DCF계산!Z87</f>
        <v/>
      </c>
      <c r="T32" s="9" t="inlineStr">
        <is>
          <t>median owner-earnings margin of the last 5 years (27.9%) applied to FY2025 revenue</t>
        </is>
      </c>
    </row>
    <row r="33">
      <c r="A33" s="8" t="inlineStr">
        <is>
          <t>AMZN</t>
        </is>
      </c>
      <c r="B33" s="8" t="inlineStr">
        <is>
          <t>AMAZON COM INC</t>
        </is>
      </c>
      <c r="C33" s="15" t="n">
        <v>2985.2741447383</v>
      </c>
      <c r="D33" s="15" t="n">
        <v>25.90819723860749</v>
      </c>
      <c r="E33" s="15" t="n">
        <v>48.39544478547194</v>
      </c>
      <c r="F33" s="15" t="n">
        <v>54.633</v>
      </c>
      <c r="G33" s="23" t="n">
        <v>0.5011644755308415</v>
      </c>
      <c r="H33" s="15" t="n">
        <v>77.67</v>
      </c>
      <c r="I33" s="15" t="n">
        <v>411.065</v>
      </c>
      <c r="J33" s="15" t="n">
        <v>716.924</v>
      </c>
      <c r="K33" s="20">
        <f>IF(AND(ISNUMBER(H33),H33&gt;0),C33/H33,"")</f>
        <v/>
      </c>
      <c r="L33" s="20">
        <f>IF(AND(ISNUMBER(I33),I33&lt;&gt;0),C33/I33,"")</f>
        <v/>
      </c>
      <c r="M33" s="20">
        <f>IF(AND(ISNUMBER(J33),J33&lt;&gt;0),C33/J33,"")</f>
        <v/>
      </c>
      <c r="N33" s="28">
        <f>DCF계산!W90</f>
        <v/>
      </c>
      <c r="O33" s="15" t="n">
        <v>1145.358859922836</v>
      </c>
      <c r="P33" s="20">
        <f>IF(AND(ISNUMBER(N33),N33&lt;&gt;0),C33/N33,"")</f>
        <v/>
      </c>
      <c r="Q33" s="18">
        <f>DCF계산!Y90</f>
        <v/>
      </c>
      <c r="R33" s="23" t="n">
        <v>0.05630701402840754</v>
      </c>
      <c r="S33" s="27">
        <f>DCF계산!Z90</f>
        <v/>
      </c>
      <c r="T33" s="9" t="inlineStr">
        <is>
          <t>median owner-earnings margin of the last 5 years (3.6%) applied to FY2025 revenue</t>
        </is>
      </c>
    </row>
    <row r="34">
      <c r="A34" s="8" t="inlineStr">
        <is>
          <t>ORCL</t>
        </is>
      </c>
      <c r="B34" s="8" t="inlineStr">
        <is>
          <t>ORACLE CORP</t>
        </is>
      </c>
      <c r="C34" s="15" t="n">
        <v>435.09514455</v>
      </c>
      <c r="D34" s="15" t="n">
        <v>5.455041928832893</v>
      </c>
      <c r="E34" s="15" t="n">
        <v>14.81691770587389</v>
      </c>
      <c r="F34" s="15" t="n">
        <v>24.695</v>
      </c>
      <c r="G34" s="23" t="n">
        <v>0.8630508596374612</v>
      </c>
      <c r="H34" s="15" t="n">
        <v>17.087</v>
      </c>
      <c r="I34" s="15" t="n">
        <v>42.508</v>
      </c>
      <c r="J34" s="15" t="n">
        <v>67.357</v>
      </c>
      <c r="K34" s="20">
        <f>IF(AND(ISNUMBER(H34),H34&gt;0),C34/H34,"")</f>
        <v/>
      </c>
      <c r="L34" s="20">
        <f>IF(AND(ISNUMBER(I34),I34&lt;&gt;0),C34/I34,"")</f>
        <v/>
      </c>
      <c r="M34" s="20">
        <f>IF(AND(ISNUMBER(J34),J34&lt;&gt;0),C34/J34,"")</f>
        <v/>
      </c>
      <c r="N34" s="28">
        <f>DCF계산!W93</f>
        <v/>
      </c>
      <c r="O34" s="15" t="n">
        <v>209.9775719909556</v>
      </c>
      <c r="P34" s="20">
        <f>IF(AND(ISNUMBER(N34),N34&lt;&gt;0),C34/N34,"")</f>
        <v/>
      </c>
      <c r="Q34" s="18">
        <f>DCF계산!Y93</f>
        <v/>
      </c>
      <c r="R34" s="23" t="n">
        <v>0.0613988326927396</v>
      </c>
      <c r="S34" s="27">
        <f>DCF계산!Z93</f>
        <v/>
      </c>
      <c r="T34" s="9" t="inlineStr">
        <is>
          <t>median owner-earnings margin of the last 5 years (8.1%) applied to FY2025 revenue</t>
        </is>
      </c>
    </row>
    <row r="35">
      <c r="A35" s="8" t="inlineStr">
        <is>
          <t>WMT</t>
        </is>
      </c>
      <c r="B35" s="8" t="inlineStr">
        <is>
          <t>Walmart Inc.</t>
        </is>
      </c>
      <c r="C35" s="15" t="n">
        <v>898.1708657626599</v>
      </c>
      <c r="D35" s="15" t="n">
        <v>11.54850666219934</v>
      </c>
      <c r="E35" s="15" t="n">
        <v>19.36840501737378</v>
      </c>
      <c r="F35" s="15" t="n">
        <v>-30.493</v>
      </c>
      <c r="G35" s="23" t="n">
        <v>0.4668943772990016</v>
      </c>
      <c r="H35" s="15" t="n">
        <v>21.893</v>
      </c>
      <c r="I35" s="15" t="n">
        <v>99.617</v>
      </c>
      <c r="J35" s="15" t="n">
        <v>706.413</v>
      </c>
      <c r="K35" s="20">
        <f>IF(AND(ISNUMBER(H35),H35&gt;0),C35/H35,"")</f>
        <v/>
      </c>
      <c r="L35" s="20">
        <f>IF(AND(ISNUMBER(I35),I35&lt;&gt;0),C35/I35,"")</f>
        <v/>
      </c>
      <c r="M35" s="20">
        <f>IF(AND(ISNUMBER(J35),J35&lt;&gt;0),C35/J35,"")</f>
        <v/>
      </c>
      <c r="N35" s="28">
        <f>DCF계산!W96</f>
        <v/>
      </c>
      <c r="O35" s="15" t="n">
        <v>221.0643649722107</v>
      </c>
      <c r="P35" s="20">
        <f>IF(AND(ISNUMBER(N35),N35&lt;&gt;0),C35/N35,"")</f>
        <v/>
      </c>
      <c r="Q35" s="18">
        <f>DCF계산!Y96</f>
        <v/>
      </c>
      <c r="R35" s="23" t="n">
        <v>0.04260296125376599</v>
      </c>
      <c r="S35" s="27">
        <f>DCF계산!Z96</f>
        <v/>
      </c>
      <c r="T35" s="9" t="inlineStr">
        <is>
          <t>median owner-earnings margin of the last 5 years (1.6%) applied to FY2025 revenue</t>
        </is>
      </c>
    </row>
    <row r="36">
      <c r="A36" s="8" t="inlineStr">
        <is>
          <t>ABBV</t>
        </is>
      </c>
      <c r="B36" s="8" t="inlineStr">
        <is>
          <t>AbbVie Inc.</t>
        </is>
      </c>
      <c r="C36" s="15" t="n">
        <v>438.45286990564</v>
      </c>
      <c r="D36" s="15" t="n">
        <v>5.574903255582774</v>
      </c>
      <c r="E36" s="15" t="n">
        <v>5.802893456882167</v>
      </c>
      <c r="F36" s="15" t="n">
        <v>-56.183</v>
      </c>
      <c r="G36" s="23" t="n">
        <v>0.3723228995057661</v>
      </c>
      <c r="H36" s="15" t="n">
        <v>4.226</v>
      </c>
      <c r="I36" s="15" t="n">
        <v>-3.27</v>
      </c>
      <c r="J36" s="15" t="n">
        <v>61.16</v>
      </c>
      <c r="K36" s="20">
        <f>IF(AND(ISNUMBER(H36),H36&gt;0),C36/H36,"")</f>
        <v/>
      </c>
      <c r="L36" s="20">
        <f>IF(AND(ISNUMBER(I36),I36&lt;&gt;0),C36/I36,"")</f>
        <v/>
      </c>
      <c r="M36" s="20">
        <f>IF(AND(ISNUMBER(J36),J36&lt;&gt;0),C36/J36,"")</f>
        <v/>
      </c>
      <c r="N36" s="28">
        <f>DCF계산!W99</f>
        <v/>
      </c>
      <c r="O36" s="15" t="n">
        <v>66.23224555126497</v>
      </c>
      <c r="P36" s="20">
        <f>IF(AND(ISNUMBER(N36),N36&lt;&gt;0),C36/N36,"")</f>
        <v/>
      </c>
      <c r="Q36" s="18">
        <f>DCF계산!Y99</f>
        <v/>
      </c>
      <c r="R36" s="23" t="n">
        <v>0.03572615556739833</v>
      </c>
      <c r="S36" s="27">
        <f>DCF계산!Z99</f>
        <v/>
      </c>
      <c r="T36" s="9" t="inlineStr">
        <is>
          <t>median owner-earnings margin of the last 5 years (9.1%) applied to FY2025 revenue</t>
        </is>
      </c>
    </row>
    <row r="37">
      <c r="A37" s="8" t="inlineStr">
        <is>
          <t>LLY</t>
        </is>
      </c>
      <c r="B37" s="8" t="inlineStr">
        <is>
          <t>ELI LILLY &amp; Co</t>
        </is>
      </c>
      <c r="C37" s="15" t="n">
        <v>1162.1597399948</v>
      </c>
      <c r="D37" s="15" t="n">
        <v>6.0862</v>
      </c>
      <c r="E37" s="15" t="n">
        <v>11.9302</v>
      </c>
      <c r="F37" s="15" t="n">
        <v>-35.235</v>
      </c>
      <c r="G37" s="23" t="n">
        <v>0.7453130978191557</v>
      </c>
      <c r="H37" s="15" t="n">
        <v>20.64</v>
      </c>
      <c r="I37" s="15" t="n">
        <v>26.535</v>
      </c>
      <c r="J37" s="15" t="n">
        <v>65.179</v>
      </c>
      <c r="K37" s="20">
        <f>IF(AND(ISNUMBER(H37),H37&gt;0),C37/H37,"")</f>
        <v/>
      </c>
      <c r="L37" s="20">
        <f>IF(AND(ISNUMBER(I37),I37&lt;&gt;0),C37/I37,"")</f>
        <v/>
      </c>
      <c r="M37" s="20">
        <f>IF(AND(ISNUMBER(J37),J37&lt;&gt;0),C37/J37,"")</f>
        <v/>
      </c>
      <c r="N37" s="28">
        <f>DCF계산!W102</f>
        <v/>
      </c>
      <c r="O37" s="15" t="n">
        <v>213.5722313294159</v>
      </c>
      <c r="P37" s="20">
        <f>IF(AND(ISNUMBER(N37),N37&lt;&gt;0),C37/N37,"")</f>
        <v/>
      </c>
      <c r="Q37" s="18">
        <f>DCF계산!Y102</f>
        <v/>
      </c>
      <c r="R37" s="23" t="n">
        <v>0.03971078540462365</v>
      </c>
      <c r="S37" s="27">
        <f>DCF계산!Z102</f>
        <v/>
      </c>
      <c r="T37" s="9" t="inlineStr">
        <is>
          <t>median owner-earnings margin of the last 5 years (9.3%) applied to FY2025 revenue</t>
        </is>
      </c>
    </row>
    <row r="38">
      <c r="A38" s="8" t="inlineStr">
        <is>
          <t>TSLA</t>
        </is>
      </c>
      <c r="B38" s="8" t="inlineStr">
        <is>
          <t>Tesla, Inc.</t>
        </is>
      </c>
      <c r="C38" s="15" t="n">
        <v>1241.60469486592</v>
      </c>
      <c r="D38" s="15" t="n">
        <v>6.398023916589856</v>
      </c>
      <c r="E38" s="15" t="n">
        <v>11.91336022063346</v>
      </c>
      <c r="F38" s="15" t="n">
        <v>35.906</v>
      </c>
      <c r="G38" s="23" t="n">
        <v>0.4101090653219186</v>
      </c>
      <c r="H38" s="15" t="n">
        <v>3.794</v>
      </c>
      <c r="I38" s="15" t="n">
        <v>82.137</v>
      </c>
      <c r="J38" s="15" t="n">
        <v>94.827</v>
      </c>
      <c r="K38" s="20">
        <f>IF(AND(ISNUMBER(H38),H38&gt;0),C38/H38,"")</f>
        <v/>
      </c>
      <c r="L38" s="20">
        <f>IF(AND(ISNUMBER(I38),I38&lt;&gt;0),C38/I38,"")</f>
        <v/>
      </c>
      <c r="M38" s="20">
        <f>IF(AND(ISNUMBER(J38),J38&lt;&gt;0),C38/J38,"")</f>
        <v/>
      </c>
      <c r="N38" s="28">
        <f>DCF계산!W105</f>
        <v/>
      </c>
      <c r="O38" s="15" t="n">
        <v>168.8298810211089</v>
      </c>
      <c r="P38" s="20">
        <f>IF(AND(ISNUMBER(N38),N38&lt;&gt;0),C38/N38,"")</f>
        <v/>
      </c>
      <c r="Q38" s="18">
        <f>DCF계산!Y105</f>
        <v/>
      </c>
      <c r="R38" s="23" t="n">
        <v>0.03530385597036105</v>
      </c>
      <c r="S38" s="27">
        <f>DCF계산!Z105</f>
        <v/>
      </c>
      <c r="T38" s="9" t="inlineStr">
        <is>
          <t>median owner-earnings margin of the last 5 years (6.7%) applied to FY2025 revenue</t>
        </is>
      </c>
    </row>
    <row r="39">
      <c r="A39" s="8" t="inlineStr">
        <is>
          <t>PANW</t>
        </is>
      </c>
      <c r="B39" s="8" t="inlineStr">
        <is>
          <t>Palo Alto Networks Inc</t>
        </is>
      </c>
      <c r="C39" s="15" t="n">
        <v>257.553256</v>
      </c>
      <c r="D39" s="15" t="n">
        <v>1.089690796059599</v>
      </c>
      <c r="E39" s="15" t="n">
        <v>1.089690796059599</v>
      </c>
      <c r="F39" s="15" t="n">
        <v>2.9032</v>
      </c>
      <c r="G39" s="23" t="n">
        <v>0</v>
      </c>
      <c r="H39" s="15" t="n">
        <v>1.1339</v>
      </c>
      <c r="I39" s="15" t="n">
        <v>7.8244</v>
      </c>
      <c r="J39" s="15" t="n">
        <v>9.221500000000001</v>
      </c>
      <c r="K39" s="20">
        <f>IF(AND(ISNUMBER(H39),H39&gt;0),C39/H39,"")</f>
        <v/>
      </c>
      <c r="L39" s="20">
        <f>IF(AND(ISNUMBER(I39),I39&lt;&gt;0),C39/I39,"")</f>
        <v/>
      </c>
      <c r="M39" s="20">
        <f>IF(AND(ISNUMBER(J39),J39&lt;&gt;0),C39/J39,"")</f>
        <v/>
      </c>
      <c r="N39" s="28">
        <f>DCF계산!W108</f>
        <v/>
      </c>
      <c r="O39" s="15" t="n">
        <v>15.44252536995455</v>
      </c>
      <c r="P39" s="20">
        <f>IF(AND(ISNUMBER(N39),N39&lt;&gt;0),C39/N39,"")</f>
        <v/>
      </c>
      <c r="Q39" s="18">
        <f>DCF계산!Y108</f>
        <v/>
      </c>
      <c r="R39" s="23" t="n">
        <v>0.02954867172188858</v>
      </c>
      <c r="S39" s="27">
        <f>DCF계산!Z108</f>
        <v/>
      </c>
      <c r="T39" s="9" t="inlineStr">
        <is>
          <t>median owner-earnings margin of the last 5 years (11.8%) applied to FY2025 revenue</t>
        </is>
      </c>
    </row>
    <row r="40">
      <c r="A40" s="8" t="inlineStr">
        <is>
          <t>TXN</t>
        </is>
      </c>
      <c r="B40" s="8" t="inlineStr">
        <is>
          <t>TEXAS INSTRUMENTS INC</t>
        </is>
      </c>
      <c r="C40" s="15" t="n">
        <v>254.51353906056</v>
      </c>
      <c r="D40" s="15" t="n">
        <v>1.268695359324162</v>
      </c>
      <c r="E40" s="15" t="n">
        <v>5.200944460300246</v>
      </c>
      <c r="F40" s="15" t="n">
        <v>-9.167</v>
      </c>
      <c r="G40" s="23" t="n">
        <v>0.5784615384615385</v>
      </c>
      <c r="H40" s="15" t="n">
        <v>5.001</v>
      </c>
      <c r="I40" s="15" t="n">
        <v>16.273</v>
      </c>
      <c r="J40" s="15" t="n">
        <v>17.682</v>
      </c>
      <c r="K40" s="20">
        <f>IF(AND(ISNUMBER(H40),H40&gt;0),C40/H40,"")</f>
        <v/>
      </c>
      <c r="L40" s="20">
        <f>IF(AND(ISNUMBER(I40),I40&lt;&gt;0),C40/I40,"")</f>
        <v/>
      </c>
      <c r="M40" s="20">
        <f>IF(AND(ISNUMBER(J40),J40&lt;&gt;0),C40/J40,"")</f>
        <v/>
      </c>
      <c r="N40" s="28">
        <f>DCF계산!W111</f>
        <v/>
      </c>
      <c r="O40" s="15" t="n">
        <v>59.36180513267209</v>
      </c>
      <c r="P40" s="20">
        <f>IF(AND(ISNUMBER(N40),N40&lt;&gt;0),C40/N40,"")</f>
        <v/>
      </c>
      <c r="Q40" s="18">
        <f>DCF계산!Y111</f>
        <v/>
      </c>
      <c r="R40" s="23" t="n">
        <v>0.0416650036225808</v>
      </c>
      <c r="S40" s="27">
        <f>DCF계산!Z111</f>
        <v/>
      </c>
      <c r="T40" s="9" t="inlineStr">
        <is>
          <t>median owner-earnings margin of the last 5 years (7.2%) applied to FY2025 revenue</t>
        </is>
      </c>
    </row>
    <row r="41">
      <c r="A41" s="8" t="inlineStr">
        <is>
          <t>GEV</t>
        </is>
      </c>
      <c r="B41" s="8" t="inlineStr">
        <is>
          <t>GE Vernova Inc.</t>
        </is>
      </c>
      <c r="C41" s="15" t="n">
        <v>267.0632694044</v>
      </c>
      <c r="D41" s="15" t="n">
        <v>0.965758399824961</v>
      </c>
      <c r="E41" s="15" t="n">
        <v>5.086651266638042</v>
      </c>
      <c r="F41" s="15" t="n">
        <v>8.785</v>
      </c>
      <c r="G41" s="23" t="n">
        <v>0.5184025058731402</v>
      </c>
      <c r="H41" s="15" t="n">
        <v>4.884</v>
      </c>
      <c r="I41" s="15" t="n">
        <v>12.296</v>
      </c>
      <c r="J41" s="15" t="n">
        <v>38.068</v>
      </c>
      <c r="K41" s="20">
        <f>IF(AND(ISNUMBER(H41),H41&gt;0),C41/H41,"")</f>
        <v/>
      </c>
      <c r="L41" s="20">
        <f>IF(AND(ISNUMBER(I41),I41&lt;&gt;0),C41/I41,"")</f>
        <v/>
      </c>
      <c r="M41" s="20">
        <f>IF(AND(ISNUMBER(J41),J41&lt;&gt;0),C41/J41,"")</f>
        <v/>
      </c>
      <c r="N41" s="28">
        <f>DCF계산!W114</f>
        <v/>
      </c>
      <c r="O41" s="15" t="n">
        <v>72.08534890559284</v>
      </c>
      <c r="P41" s="20">
        <f>IF(AND(ISNUMBER(N41),N41&lt;&gt;0),C41/N41,"")</f>
        <v/>
      </c>
      <c r="Q41" s="18">
        <f>DCF계산!Y114</f>
        <v/>
      </c>
      <c r="R41" s="23" t="n">
        <v>0.04541434429352453</v>
      </c>
      <c r="S41" s="27">
        <f>DCF계산!Z114</f>
        <v/>
      </c>
      <c r="T41" s="9" t="inlineStr">
        <is>
          <t>median owner-earnings margin of the last 4 years (2.5%) applied to FY2025 revenue</t>
        </is>
      </c>
    </row>
    <row r="42">
      <c r="A42" s="8" t="inlineStr">
        <is>
          <t>PLTR</t>
        </is>
      </c>
      <c r="B42" s="8" t="inlineStr">
        <is>
          <t>Palantir Technologies Inc.</t>
        </is>
      </c>
      <c r="C42" s="15" t="n">
        <v>419.09333483853</v>
      </c>
      <c r="D42" s="15" t="n">
        <v>0.6433946927117696</v>
      </c>
      <c r="E42" s="15" t="n">
        <v>0.6433946927117696</v>
      </c>
      <c r="F42" s="15" t="n">
        <v>7.204672</v>
      </c>
      <c r="G42" s="23" t="n">
        <v>0.2283513369930937</v>
      </c>
      <c r="H42" s="15" t="n">
        <v>1.625033</v>
      </c>
      <c r="I42" s="15" t="n">
        <v>7.387268</v>
      </c>
      <c r="J42" s="15" t="n">
        <v>4.475446</v>
      </c>
      <c r="K42" s="20">
        <f>IF(AND(ISNUMBER(H42),H42&gt;0),C42/H42,"")</f>
        <v/>
      </c>
      <c r="L42" s="20">
        <f>IF(AND(ISNUMBER(I42),I42&lt;&gt;0),C42/I42,"")</f>
        <v/>
      </c>
      <c r="M42" s="20">
        <f>IF(AND(ISNUMBER(J42),J42&lt;&gt;0),C42/J42,"")</f>
        <v/>
      </c>
      <c r="N42" s="28">
        <f>DCF계산!W117</f>
        <v/>
      </c>
      <c r="O42" s="15" t="n">
        <v>9.117851505237635</v>
      </c>
      <c r="P42" s="20">
        <f>IF(AND(ISNUMBER(N42),N42&lt;&gt;0),C42/N42,"")</f>
        <v/>
      </c>
      <c r="Q42" s="18">
        <f>DCF계산!Y117</f>
        <v/>
      </c>
      <c r="R42" s="23" t="n">
        <v>0.0266514831603877</v>
      </c>
      <c r="S42" s="27">
        <f>DCF계산!Z117</f>
        <v/>
      </c>
      <c r="T42" s="9" t="inlineStr">
        <is>
          <t>median owner-earnings margin of the last 5 years (14.4%) applied to FY2025 revenue</t>
        </is>
      </c>
    </row>
    <row r="43">
      <c r="A43" s="8" t="inlineStr">
        <is>
          <t>MU</t>
        </is>
      </c>
      <c r="B43" s="8" t="inlineStr">
        <is>
          <t>MICRON TECHNOLOGY INC</t>
        </is>
      </c>
      <c r="C43" s="15" t="n">
        <v>966.443256135</v>
      </c>
      <c r="D43" s="15" t="n">
        <v>0.568253373463434</v>
      </c>
      <c r="E43" s="15" t="n">
        <v>5.716582122786662</v>
      </c>
      <c r="F43" s="15" t="n">
        <v>-4.27</v>
      </c>
      <c r="G43" s="23" t="n">
        <v>0.4732925521851548</v>
      </c>
      <c r="H43" s="15" t="n">
        <v>8.539</v>
      </c>
      <c r="I43" s="15" t="n">
        <v>54.165</v>
      </c>
      <c r="J43" s="15" t="n">
        <v>37.378</v>
      </c>
      <c r="K43" s="20">
        <f>IF(AND(ISNUMBER(H43),H43&gt;0),C43/H43,"")</f>
        <v/>
      </c>
      <c r="L43" s="20">
        <f>IF(AND(ISNUMBER(I43),I43&lt;&gt;0),C43/I43,"")</f>
        <v/>
      </c>
      <c r="M43" s="20">
        <f>IF(AND(ISNUMBER(J43),J43&lt;&gt;0),C43/J43,"")</f>
        <v/>
      </c>
      <c r="N43" s="28">
        <f>DCF계산!W120</f>
        <v/>
      </c>
      <c r="O43" s="15" t="n">
        <v>65.24711743954839</v>
      </c>
      <c r="P43" s="20">
        <f>IF(AND(ISNUMBER(N43),N43&lt;&gt;0),C43/N43,"")</f>
        <v/>
      </c>
      <c r="Q43" s="18">
        <f>DCF계산!Y120</f>
        <v/>
      </c>
      <c r="R43" s="23" t="n">
        <v>0.02976241096608856</v>
      </c>
      <c r="S43" s="27">
        <f>DCF계산!Z120</f>
        <v/>
      </c>
      <c r="T43" s="9" t="inlineStr">
        <is>
          <t>median owner-earnings margin of the last 5 years (1.5%) applied to FY2025 revenue</t>
        </is>
      </c>
    </row>
  </sheetData>
  <autoFilter ref="A4:T4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7" customWidth="1" min="3" max="3"/>
    <col width="30" customWidth="1" min="4" max="4"/>
    <col width="12" customWidth="1" min="5" max="5"/>
    <col width="11" customWidth="1" min="6" max="6"/>
    <col width="14" customWidth="1" min="7" max="7"/>
    <col width="14" customWidth="1" min="8" max="8"/>
    <col width="14" customWidth="1" min="9" max="9"/>
    <col width="9" customWidth="1" min="10" max="10"/>
    <col width="9" customWidth="1" min="11" max="11"/>
  </cols>
  <sheetData>
    <row r="1">
      <c r="A1" s="1" t="inlineStr">
        <is>
          <t>금융업 — 별도 기준</t>
        </is>
      </c>
    </row>
    <row r="2">
      <c r="A2" s="2" t="inlineStr">
        <is>
          <t>ROIC와 주주이익은 산출하지 않았습니다. 은행·보험의 대차대조표에서 부채는 영업 자산이고 유동자산·유동부채 구분이 없어 투하자본과 운전자본이 정의되지 않기 때문입니다. PER·PBR은 이 시트 안의 원천 수치로 계산한 수식입니다.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SIC</t>
        </is>
      </c>
      <c r="D4" s="6" t="inlineStr">
        <is>
          <t>업종</t>
        </is>
      </c>
      <c r="E4" s="6" t="inlineStr">
        <is>
          <t>ROE 중앙값</t>
        </is>
      </c>
      <c r="F4" s="6" t="inlineStr">
        <is>
          <t>최근 ROE</t>
        </is>
      </c>
      <c r="G4" s="6" t="inlineStr">
        <is>
          <t>시가총액</t>
        </is>
      </c>
      <c r="H4" s="6" t="inlineStr">
        <is>
          <t>최근 순이익</t>
        </is>
      </c>
      <c r="I4" s="6" t="inlineStr">
        <is>
          <t>최근 자기자본</t>
        </is>
      </c>
      <c r="J4" s="6" t="inlineStr">
        <is>
          <t>PER</t>
        </is>
      </c>
      <c r="K4" s="6" t="inlineStr">
        <is>
          <t>PBR</t>
        </is>
      </c>
    </row>
    <row r="5">
      <c r="A5" s="8" t="inlineStr">
        <is>
          <t>AXP</t>
        </is>
      </c>
      <c r="B5" s="8" t="inlineStr">
        <is>
          <t>AMERICAN EXPRESS CO</t>
        </is>
      </c>
      <c r="C5" s="8" t="inlineStr">
        <is>
          <t>6199</t>
        </is>
      </c>
      <c r="D5" s="8" t="inlineStr">
        <is>
          <t>Finance Services</t>
        </is>
      </c>
      <c r="E5" s="23" t="n">
        <v>0.3076993150053203</v>
      </c>
      <c r="F5" s="23" t="n">
        <v>0.3399228089993411</v>
      </c>
      <c r="G5" s="15" t="n">
        <v>232.6660217343</v>
      </c>
      <c r="H5" s="15" t="n">
        <v>10.833</v>
      </c>
      <c r="I5" s="15" t="n">
        <v>33.474</v>
      </c>
      <c r="J5" s="20">
        <f>IF(AND(ISNUMBER(H5),H5&gt;0),G5/H5,"")</f>
        <v/>
      </c>
      <c r="K5" s="20">
        <f>IF(AND(ISNUMBER(I5),I5&lt;&gt;0),G5/I5,"")</f>
        <v/>
      </c>
    </row>
    <row r="6">
      <c r="A6" s="8" t="inlineStr">
        <is>
          <t>UNH</t>
        </is>
      </c>
      <c r="B6" s="8" t="inlineStr">
        <is>
          <t>UNITEDHEALTH GROUP INC</t>
        </is>
      </c>
      <c r="C6" s="8" t="inlineStr">
        <is>
          <t>6324</t>
        </is>
      </c>
      <c r="D6" s="8" t="inlineStr">
        <is>
          <t>Hospital &amp; Medical Service Plans</t>
        </is>
      </c>
      <c r="E6" s="23" t="n">
        <v>0.2347037475395563</v>
      </c>
      <c r="F6" s="23" t="n">
        <v>0.1215579911069884</v>
      </c>
      <c r="G6" s="15" t="n">
        <v>371.00342243286</v>
      </c>
      <c r="H6" s="15" t="n">
        <v>12.056</v>
      </c>
      <c r="I6" s="15" t="n">
        <v>100.09</v>
      </c>
      <c r="J6" s="20">
        <f>IF(AND(ISNUMBER(H6),H6&gt;0),G6/H6,"")</f>
        <v/>
      </c>
      <c r="K6" s="20">
        <f>IF(AND(ISNUMBER(I6),I6&lt;&gt;0),G6/I6,"")</f>
        <v/>
      </c>
    </row>
    <row r="7">
      <c r="A7" s="8" t="inlineStr">
        <is>
          <t>JPM</t>
        </is>
      </c>
      <c r="B7" s="8" t="inlineStr">
        <is>
          <t>JPMORGAN CHASE &amp; CO</t>
        </is>
      </c>
      <c r="C7" s="8" t="inlineStr">
        <is>
          <t>6021</t>
        </is>
      </c>
      <c r="D7" s="8" t="inlineStr">
        <is>
          <t>National Commercial Banks</t>
        </is>
      </c>
      <c r="E7" s="23" t="n">
        <v>0.1276432201663223</v>
      </c>
      <c r="F7" s="23" t="n">
        <v>0.1613357541615054</v>
      </c>
      <c r="G7" s="15" t="n">
        <v>970.36527820125</v>
      </c>
      <c r="H7" s="15" t="n">
        <v>57.048</v>
      </c>
      <c r="I7" s="15" t="n">
        <v>362.438</v>
      </c>
      <c r="J7" s="20">
        <f>IF(AND(ISNUMBER(H7),H7&gt;0),G7/H7,"")</f>
        <v/>
      </c>
      <c r="K7" s="20">
        <f>IF(AND(ISNUMBER(I7),I7&lt;&gt;0),G7/I7,"")</f>
        <v/>
      </c>
    </row>
    <row r="8">
      <c r="A8" s="8" t="inlineStr">
        <is>
          <t>WFC</t>
        </is>
      </c>
      <c r="B8" s="8" t="inlineStr">
        <is>
          <t>WELLS FARGO &amp; COMPANY/MN</t>
        </is>
      </c>
      <c r="C8" s="8" t="inlineStr">
        <is>
          <t>6021</t>
        </is>
      </c>
      <c r="D8" s="8" t="inlineStr">
        <is>
          <t>National Commercial Banks</t>
        </is>
      </c>
      <c r="E8" s="23" t="n">
        <v>0.1101201402250455</v>
      </c>
      <c r="F8" s="23" t="n">
        <v>0.1184664540288754</v>
      </c>
      <c r="G8" s="15" t="n">
        <v>270.05483130032</v>
      </c>
      <c r="H8" s="15" t="n">
        <v>21.338</v>
      </c>
      <c r="I8" s="15" t="n">
        <v>181.117</v>
      </c>
      <c r="J8" s="20">
        <f>IF(AND(ISNUMBER(H8),H8&gt;0),G8/H8,"")</f>
        <v/>
      </c>
      <c r="K8" s="20">
        <f>IF(AND(ISNUMBER(I8),I8&lt;&gt;0),G8/I8,"")</f>
        <v/>
      </c>
    </row>
    <row r="9">
      <c r="A9" s="8" t="inlineStr">
        <is>
          <t>MS</t>
        </is>
      </c>
      <c r="B9" s="8" t="inlineStr">
        <is>
          <t>MORGAN STANLEY</t>
        </is>
      </c>
      <c r="C9" s="8" t="inlineStr">
        <is>
          <t>6211</t>
        </is>
      </c>
      <c r="D9" s="8" t="inlineStr">
        <is>
          <t>Security Brokers, Dealers &amp; Flotation Companies</t>
        </is>
      </c>
      <c r="E9" s="23" t="n">
        <v>0.1091422785533966</v>
      </c>
      <c r="F9" s="23" t="n">
        <v>0.1560170812841498</v>
      </c>
      <c r="G9" s="15" t="n">
        <v>341.9139381579801</v>
      </c>
      <c r="H9" s="15" t="n">
        <v>16.861</v>
      </c>
      <c r="I9" s="15" t="n">
        <v>111.632</v>
      </c>
      <c r="J9" s="20">
        <f>IF(AND(ISNUMBER(H9),H9&gt;0),G9/H9,"")</f>
        <v/>
      </c>
      <c r="K9" s="20">
        <f>IF(AND(ISNUMBER(I9),I9&lt;&gt;0),G9/I9,"")</f>
        <v/>
      </c>
    </row>
    <row r="10">
      <c r="A10" s="8" t="inlineStr">
        <is>
          <t>GS</t>
        </is>
      </c>
      <c r="B10" s="8" t="inlineStr">
        <is>
          <t>GOLDMAN SACHS GROUP INC</t>
        </is>
      </c>
      <c r="C10" s="8" t="inlineStr">
        <is>
          <t>6211</t>
        </is>
      </c>
      <c r="D10" s="8" t="inlineStr">
        <is>
          <t>Security Brokers, Dealers &amp; Flotation Companies</t>
        </is>
      </c>
      <c r="E10" s="23" t="n">
        <v>0.1003838437846445</v>
      </c>
      <c r="F10" s="23" t="n">
        <v>0.1390949434744582</v>
      </c>
      <c r="G10" s="15" t="n">
        <v>306.99386533822</v>
      </c>
      <c r="H10" s="15" t="n">
        <v>17.176</v>
      </c>
      <c r="I10" s="15" t="n">
        <v>124.972</v>
      </c>
      <c r="J10" s="20">
        <f>IF(AND(ISNUMBER(H10),H10&gt;0),G10/H10,"")</f>
        <v/>
      </c>
      <c r="K10" s="20">
        <f>IF(AND(ISNUMBER(I10),I10&lt;&gt;0),G10/I10,"")</f>
        <v/>
      </c>
    </row>
    <row r="11">
      <c r="A11" s="8" t="inlineStr">
        <is>
          <t>BRK-B</t>
        </is>
      </c>
      <c r="B11" s="8" t="inlineStr">
        <is>
          <t>BERKSHIRE HATHAWAY INC</t>
        </is>
      </c>
      <c r="C11" s="8" t="inlineStr">
        <is>
          <t>6331</t>
        </is>
      </c>
      <c r="D11" s="8" t="inlineStr">
        <is>
          <t>Fire, Marine &amp; Casualty Insurance</t>
        </is>
      </c>
      <c r="E11" s="23" t="n">
        <v>0.09835205025925857</v>
      </c>
      <c r="F11" s="23" t="n">
        <v>0.09799332302692372</v>
      </c>
      <c r="G11" s="15" t="n">
        <v>1142.13636928938</v>
      </c>
      <c r="H11" s="15" t="n">
        <v>66.968</v>
      </c>
      <c r="I11" s="15" t="n">
        <v>717.419</v>
      </c>
      <c r="J11" s="20">
        <f>IF(AND(ISNUMBER(H11),H11&gt;0),G11/H11,"")</f>
        <v/>
      </c>
      <c r="K11" s="20">
        <f>IF(AND(ISNUMBER(I11),I11&lt;&gt;0),G11/I11,"")</f>
        <v/>
      </c>
    </row>
    <row r="12">
      <c r="A12" s="8" t="inlineStr">
        <is>
          <t>BAC</t>
        </is>
      </c>
      <c r="B12" s="8" t="inlineStr">
        <is>
          <t>BANK OF AMERICA CORP /DE/</t>
        </is>
      </c>
      <c r="C12" s="8" t="inlineStr">
        <is>
          <t>6021</t>
        </is>
      </c>
      <c r="D12" s="8" t="inlineStr">
        <is>
          <t>National Commercial Banks</t>
        </is>
      </c>
      <c r="E12" s="23" t="n">
        <v>0.09286228856115281</v>
      </c>
      <c r="F12" s="23" t="n">
        <v>0.1021724497074711</v>
      </c>
      <c r="G12" s="15" t="n">
        <v>458.3029233762</v>
      </c>
      <c r="H12" s="15" t="n">
        <v>30.509</v>
      </c>
      <c r="I12" s="15" t="n">
        <v>303.243</v>
      </c>
      <c r="J12" s="20">
        <f>IF(AND(ISNUMBER(H12),H12&gt;0),G12/H12,"")</f>
        <v/>
      </c>
      <c r="K12" s="20">
        <f>IF(AND(ISNUMBER(I12),I12&lt;&gt;0),G12/I12,"")</f>
        <v/>
      </c>
    </row>
    <row r="13">
      <c r="A13" s="8" t="inlineStr">
        <is>
          <t>C</t>
        </is>
      </c>
      <c r="B13" s="8" t="inlineStr">
        <is>
          <t>CITIGROUP INC</t>
        </is>
      </c>
      <c r="C13" s="8" t="inlineStr">
        <is>
          <t>6021</t>
        </is>
      </c>
      <c r="D13" s="8" t="inlineStr">
        <is>
          <t>National Commercial Banks</t>
        </is>
      </c>
      <c r="E13" s="23" t="n">
        <v>0.06735185492647131</v>
      </c>
      <c r="F13" s="23" t="n">
        <v>0.0679799186959032</v>
      </c>
      <c r="G13" s="15" t="n">
        <v>236.54291639698</v>
      </c>
      <c r="H13" s="15" t="n">
        <v>14.306</v>
      </c>
      <c r="I13" s="15" t="n">
        <v>212.291</v>
      </c>
      <c r="J13" s="20">
        <f>IF(AND(ISNUMBER(H13),H13&gt;0),G13/H13,"")</f>
        <v/>
      </c>
      <c r="K13" s="20">
        <f>IF(AND(ISNUMBER(I13),I13&lt;&gt;0),G13/I13,"")</f>
        <v/>
      </c>
    </row>
  </sheetData>
  <autoFilter ref="A4:K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90" customWidth="1" min="3" max="3"/>
    <col width="14" customWidth="1" min="4" max="4"/>
    <col width="14" customWidth="1" min="5" max="5"/>
    <col width="15" customWidth="1" min="6" max="6"/>
    <col width="13" customWidth="1" min="7" max="7"/>
    <col width="13" customWidth="1" min="8" max="8"/>
    <col width="16" customWidth="1" min="9" max="9"/>
  </cols>
  <sheetData>
    <row r="1">
      <c r="A1" s="1" t="inlineStr">
        <is>
          <t>알파벳 심층 — 부문·설비투자·증분수익률</t>
        </is>
      </c>
    </row>
    <row r="2">
      <c r="A2" s="2" t="inlineStr">
        <is>
          <t>메모 4(AI 데이터센터 ROIC)에 대한 근거 시트입니다. 부문별 자산은 알파벳이 공시하지 않으므로 부문 ROIC는 직접 산출할 수 없고, 아래 세 가지 우회 계산으로 대신했습니다. 파란 셀이 10-K 원천, 검은 셀이 이 시트 안의 수식입니다.</t>
        </is>
      </c>
    </row>
    <row r="4">
      <c r="A4" s="29" t="inlineStr">
        <is>
          <t>1. 부문별 손익 (10-K 부문 주석)</t>
        </is>
      </c>
    </row>
    <row r="5" ht="34" customHeight="1">
      <c r="A5" s="6" t="inlineStr">
        <is>
          <t>연도</t>
        </is>
      </c>
      <c r="B5" s="6" t="inlineStr">
        <is>
          <t>부문</t>
        </is>
      </c>
      <c r="C5" s="6" t="inlineStr">
        <is>
          <t>매출</t>
        </is>
      </c>
      <c r="D5" s="6" t="inlineStr">
        <is>
          <t>영업이익</t>
        </is>
      </c>
      <c r="E5" s="6" t="inlineStr">
        <is>
          <t>영업이익률</t>
        </is>
      </c>
    </row>
    <row r="6">
      <c r="A6" s="8" t="inlineStr">
        <is>
          <t>FY2023</t>
        </is>
      </c>
      <c r="B6" s="8" t="inlineStr">
        <is>
          <t>구글 서비스</t>
        </is>
      </c>
      <c r="C6" s="15" t="n">
        <v>272.543</v>
      </c>
      <c r="D6" s="15" t="n">
        <v>95.858</v>
      </c>
      <c r="E6" s="19">
        <f>IF(AND(ISNUMBER(C6),C6&lt;&gt;0),D6/C6,"")</f>
        <v/>
      </c>
    </row>
    <row r="7">
      <c r="A7" s="8" t="inlineStr">
        <is>
          <t>FY2023</t>
        </is>
      </c>
      <c r="B7" s="8" t="inlineStr">
        <is>
          <t>구글 클라우드</t>
        </is>
      </c>
      <c r="C7" s="15" t="n">
        <v>33.088</v>
      </c>
      <c r="D7" s="15" t="n">
        <v>1.716</v>
      </c>
      <c r="E7" s="19">
        <f>IF(AND(ISNUMBER(C7),C7&lt;&gt;0),D7/C7,"")</f>
        <v/>
      </c>
    </row>
    <row r="8">
      <c r="A8" s="8" t="inlineStr">
        <is>
          <t>FY2023</t>
        </is>
      </c>
      <c r="B8" s="8" t="inlineStr">
        <is>
          <t>기타 베팅</t>
        </is>
      </c>
      <c r="C8" s="15" t="n">
        <v>1.527</v>
      </c>
      <c r="D8" s="15" t="n">
        <v>-4.095</v>
      </c>
      <c r="E8" s="19">
        <f>IF(AND(ISNUMBER(C8),C8&lt;&gt;0),D8/C8,"")</f>
        <v/>
      </c>
    </row>
    <row r="9">
      <c r="A9" s="8" t="inlineStr">
        <is>
          <t>FY2023</t>
        </is>
      </c>
      <c r="B9" s="8" t="inlineStr">
        <is>
          <t>전사 공통비용</t>
        </is>
      </c>
      <c r="C9" s="15" t="n"/>
      <c r="D9" s="15" t="n">
        <v>-9.186</v>
      </c>
      <c r="E9" s="19">
        <f>IF(AND(ISNUMBER(C9),C9&lt;&gt;0),D9/C9,"")</f>
        <v/>
      </c>
    </row>
    <row r="10">
      <c r="A10" s="8" t="inlineStr">
        <is>
          <t>FY2024</t>
        </is>
      </c>
      <c r="B10" s="8" t="inlineStr">
        <is>
          <t>구글 서비스</t>
        </is>
      </c>
      <c r="C10" s="15" t="n">
        <v>304.93</v>
      </c>
      <c r="D10" s="15" t="n">
        <v>121.263</v>
      </c>
      <c r="E10" s="19">
        <f>IF(AND(ISNUMBER(C10),C10&lt;&gt;0),D10/C10,"")</f>
        <v/>
      </c>
    </row>
    <row r="11">
      <c r="A11" s="8" t="inlineStr">
        <is>
          <t>FY2024</t>
        </is>
      </c>
      <c r="B11" s="8" t="inlineStr">
        <is>
          <t>구글 클라우드</t>
        </is>
      </c>
      <c r="C11" s="15" t="n">
        <v>43.229</v>
      </c>
      <c r="D11" s="15" t="n">
        <v>6.112</v>
      </c>
      <c r="E11" s="19">
        <f>IF(AND(ISNUMBER(C11),C11&lt;&gt;0),D11/C11,"")</f>
        <v/>
      </c>
    </row>
    <row r="12">
      <c r="A12" s="8" t="inlineStr">
        <is>
          <t>FY2024</t>
        </is>
      </c>
      <c r="B12" s="8" t="inlineStr">
        <is>
          <t>기타 베팅</t>
        </is>
      </c>
      <c r="C12" s="15" t="n">
        <v>1.648</v>
      </c>
      <c r="D12" s="15" t="n">
        <v>-4.444</v>
      </c>
      <c r="E12" s="19">
        <f>IF(AND(ISNUMBER(C12),C12&lt;&gt;0),D12/C12,"")</f>
        <v/>
      </c>
    </row>
    <row r="13">
      <c r="A13" s="8" t="inlineStr">
        <is>
          <t>FY2024</t>
        </is>
      </c>
      <c r="B13" s="8" t="inlineStr">
        <is>
          <t>전사 공통비용</t>
        </is>
      </c>
      <c r="C13" s="15" t="n"/>
      <c r="D13" s="15" t="n">
        <v>-10.541</v>
      </c>
      <c r="E13" s="19">
        <f>IF(AND(ISNUMBER(C13),C13&lt;&gt;0),D13/C13,"")</f>
        <v/>
      </c>
    </row>
    <row r="14">
      <c r="A14" s="8" t="inlineStr">
        <is>
          <t>FY2025</t>
        </is>
      </c>
      <c r="B14" s="8" t="inlineStr">
        <is>
          <t>구글 서비스</t>
        </is>
      </c>
      <c r="C14" s="15" t="n">
        <v>342.721</v>
      </c>
      <c r="D14" s="15" t="n">
        <v>139.404</v>
      </c>
      <c r="E14" s="19">
        <f>IF(AND(ISNUMBER(C14),C14&lt;&gt;0),D14/C14,"")</f>
        <v/>
      </c>
    </row>
    <row r="15">
      <c r="A15" s="8" t="inlineStr">
        <is>
          <t>FY2025</t>
        </is>
      </c>
      <c r="B15" s="8" t="inlineStr">
        <is>
          <t>구글 클라우드</t>
        </is>
      </c>
      <c r="C15" s="15" t="n">
        <v>58.705</v>
      </c>
      <c r="D15" s="15" t="n">
        <v>13.91</v>
      </c>
      <c r="E15" s="19">
        <f>IF(AND(ISNUMBER(C15),C15&lt;&gt;0),D15/C15,"")</f>
        <v/>
      </c>
    </row>
    <row r="16">
      <c r="A16" s="8" t="inlineStr">
        <is>
          <t>FY2025</t>
        </is>
      </c>
      <c r="B16" s="8" t="inlineStr">
        <is>
          <t>기타 베팅</t>
        </is>
      </c>
      <c r="C16" s="15" t="n">
        <v>1.537</v>
      </c>
      <c r="D16" s="15" t="n">
        <v>-7.515</v>
      </c>
      <c r="E16" s="19">
        <f>IF(AND(ISNUMBER(C16),C16&lt;&gt;0),D16/C16,"")</f>
        <v/>
      </c>
    </row>
    <row r="17">
      <c r="A17" s="8" t="inlineStr">
        <is>
          <t>FY2025</t>
        </is>
      </c>
      <c r="B17" s="8" t="inlineStr">
        <is>
          <t>전사 공통비용</t>
        </is>
      </c>
      <c r="C17" s="15" t="n"/>
      <c r="D17" s="15" t="n">
        <v>-16.76</v>
      </c>
      <c r="E17" s="19">
        <f>IF(AND(ISNUMBER(C17),C17&lt;&gt;0),D17/C17,"")</f>
        <v/>
      </c>
    </row>
    <row r="19">
      <c r="A19" s="9" t="inlineStr">
        <is>
          <t>부문 주석에 없는 항목: 자산 (us-gaap:Assets), 설비투자, 감가상각, 유형자산 — 따라서 부문 ROIC의 분모가 존재하지 않습니다.</t>
        </is>
      </c>
    </row>
    <row r="21">
      <c r="A21" s="29" t="inlineStr">
        <is>
          <t>2. 구글 클라우드 ROIC — 배분 가정에 따른 밴드</t>
        </is>
      </c>
    </row>
    <row r="22">
      <c r="A22" s="8" t="inlineStr">
        <is>
          <t>클라우드 영업이익 FY2025</t>
        </is>
      </c>
      <c r="B22" s="15" t="n">
        <v>13.91</v>
      </c>
    </row>
    <row r="23">
      <c r="A23" s="8" t="inlineStr">
        <is>
          <t>실효세율</t>
        </is>
      </c>
      <c r="B23" s="23" t="n">
        <v>0.1678314633624218</v>
      </c>
    </row>
    <row r="24">
      <c r="A24" s="8" t="inlineStr">
        <is>
          <t>기술인프라 총액 FY2025</t>
        </is>
      </c>
      <c r="B24" s="15" t="n">
        <v>203.679</v>
      </c>
    </row>
    <row r="25">
      <c r="A25" s="8" t="inlineStr">
        <is>
          <t>기술인프라 순액(추정)</t>
        </is>
      </c>
      <c r="B25" s="17" t="n">
        <v>145.5498413797301</v>
      </c>
    </row>
    <row r="26">
      <c r="A26" s="8" t="inlineStr">
        <is>
          <t>클라우드 NOPAT</t>
        </is>
      </c>
      <c r="B26" s="17">
        <f>B22*(1-B23)</f>
        <v/>
      </c>
    </row>
    <row r="28" ht="34" customHeight="1">
      <c r="A28" s="6" t="inlineStr">
        <is>
          <t>기술인프라 배분율</t>
        </is>
      </c>
      <c r="B28" s="6" t="inlineStr">
        <is>
          <t>배분된 자본</t>
        </is>
      </c>
      <c r="C28" s="6" t="inlineStr">
        <is>
          <t>추정 ROIC</t>
        </is>
      </c>
      <c r="D28" s="6" t="inlineStr">
        <is>
          <t>배분 근거</t>
        </is>
      </c>
    </row>
    <row r="29">
      <c r="A29" s="23" t="n">
        <v>0.1456833505805744</v>
      </c>
      <c r="B29" s="17">
        <f>A29*B25</f>
        <v/>
      </c>
      <c r="C29" s="19">
        <f>IF(B29&lt;&gt;0,B26/B29,"")</f>
        <v/>
      </c>
      <c r="D29" s="8" t="inlineStr">
        <is>
          <t>매출 비중과 동일하게 배분 — 하한. 클라우드가 매출 대비 연산 자원을 많이 쓰므로 과소배분입니다</t>
        </is>
      </c>
    </row>
    <row r="30">
      <c r="A30" s="23" t="n">
        <v>0.25</v>
      </c>
      <c r="B30" s="17">
        <f>A30*B25</f>
        <v/>
      </c>
      <c r="C30" s="19">
        <f>IF(B30&lt;&gt;0,B26/B30,"")</f>
        <v/>
      </c>
      <c r="D30" s="8" t="inlineStr">
        <is>
          <t>기술 인프라의 4분의 1을 배분</t>
        </is>
      </c>
    </row>
    <row r="31">
      <c r="A31" s="23" t="n">
        <v>0.4</v>
      </c>
      <c r="B31" s="17">
        <f>A31*B25</f>
        <v/>
      </c>
      <c r="C31" s="19">
        <f>IF(B31&lt;&gt;0,B26/B31,"")</f>
        <v/>
      </c>
      <c r="D31" s="8" t="inlineStr">
        <is>
          <t>기술 인프라의 5분의 2를 배분 — 상한. 이 수준이면 클라우드가 검색보다 인프라를 더 많이 쓴다는 뜻이 됩니다</t>
        </is>
      </c>
    </row>
    <row r="33">
      <c r="A33" s="9" t="inlineStr">
        <is>
          <t>배분율은 가정입니다. 알파벳이 보고한 값은 클라우드 영업이익뿐이고 분모는 전부 구성한 것이라, 하나의 값이 아니라 밴드로 둡니다.</t>
        </is>
      </c>
    </row>
    <row r="35">
      <c r="A35" s="29" t="inlineStr">
        <is>
          <t>3. 증분 ROIC — 부문 정보 없이 전사 숫자로 답하는 방법</t>
        </is>
      </c>
    </row>
    <row r="36" ht="34" customHeight="1">
      <c r="A36" s="6" t="inlineStr">
        <is>
          <t>측정 구간</t>
        </is>
      </c>
      <c r="B36" s="6" t="inlineStr">
        <is>
          <t>기초 NOPAT</t>
        </is>
      </c>
      <c r="C36" s="6" t="inlineStr">
        <is>
          <t>기말 NOPAT</t>
        </is>
      </c>
      <c r="D36" s="6" t="inlineStr">
        <is>
          <t>기초 투하자본</t>
        </is>
      </c>
      <c r="E36" s="6" t="inlineStr">
        <is>
          <t>기말 투하자본</t>
        </is>
      </c>
      <c r="F36" s="6" t="inlineStr">
        <is>
          <t>NOPAT 증가</t>
        </is>
      </c>
      <c r="G36" s="6" t="inlineStr">
        <is>
          <t>투하자본 증가</t>
        </is>
      </c>
      <c r="H36" s="6" t="inlineStr">
        <is>
          <t>신규 ROIC</t>
        </is>
      </c>
    </row>
    <row r="37">
      <c r="A37" s="8" t="inlineStr">
        <is>
          <t>FY2021→FY2025 (AI 설비투자 구간)</t>
        </is>
      </c>
      <c r="B37" s="15" t="n">
        <v>65.9605171380078</v>
      </c>
      <c r="C37" s="15" t="n">
        <v>107.3821957991765</v>
      </c>
      <c r="D37" s="15" t="n">
        <v>127.426</v>
      </c>
      <c r="E37" s="15" t="n">
        <v>337.507</v>
      </c>
      <c r="F37" s="17">
        <f>C37-B37</f>
        <v/>
      </c>
      <c r="G37" s="17">
        <f>E37-D37</f>
        <v/>
      </c>
      <c r="H37" s="19">
        <f>IF(G37&lt;&gt;0,F37/G37,"")</f>
        <v/>
      </c>
    </row>
    <row r="38">
      <c r="A38" s="8" t="inlineStr">
        <is>
          <t>FY2022→FY2025</t>
        </is>
      </c>
      <c r="B38" s="15" t="n">
        <v>62.92654250785105</v>
      </c>
      <c r="C38" s="15" t="n">
        <v>107.3821957991765</v>
      </c>
      <c r="D38" s="15" t="n">
        <v>157.694</v>
      </c>
      <c r="E38" s="15" t="n">
        <v>337.507</v>
      </c>
      <c r="F38" s="17">
        <f>C38-B38</f>
        <v/>
      </c>
      <c r="G38" s="17">
        <f>E38-D38</f>
        <v/>
      </c>
      <c r="H38" s="19">
        <f>IF(G38&lt;&gt;0,F38/G38,"")</f>
        <v/>
      </c>
    </row>
    <row r="39">
      <c r="A39" s="8" t="inlineStr">
        <is>
          <t>FY2014→FY2025 (전체 기간)</t>
        </is>
      </c>
      <c r="B39" s="15" t="n">
        <v>13.01787589083956</v>
      </c>
      <c r="C39" s="15" t="n">
        <v>107.3821957991765</v>
      </c>
      <c r="D39" s="15" t="n">
        <v>41.465</v>
      </c>
      <c r="E39" s="15" t="n">
        <v>337.507</v>
      </c>
      <c r="F39" s="17">
        <f>C39-B39</f>
        <v/>
      </c>
      <c r="G39" s="17">
        <f>E39-D39</f>
        <v/>
      </c>
      <c r="H39" s="19">
        <f>IF(G39&lt;&gt;0,F39/G39,"")</f>
        <v/>
      </c>
    </row>
    <row r="42">
      <c r="A42" s="29" t="inlineStr">
        <is>
          <t>4. 기술 인프라와 회수 속도</t>
        </is>
      </c>
    </row>
    <row r="43" ht="34" customHeight="1">
      <c r="A43" s="6" t="inlineStr">
        <is>
          <t>연도</t>
        </is>
      </c>
      <c r="B43" s="6" t="inlineStr">
        <is>
          <t>기술인프라(총액)</t>
        </is>
      </c>
      <c r="C43" s="6" t="inlineStr">
        <is>
          <t>건설중인자산</t>
        </is>
      </c>
      <c r="D43" s="6" t="inlineStr">
        <is>
          <t>매출</t>
        </is>
      </c>
      <c r="E43" s="6" t="inlineStr">
        <is>
          <t>영업이익</t>
        </is>
      </c>
      <c r="F43" s="6" t="inlineStr">
        <is>
          <t>인프라 $1당 매출</t>
        </is>
      </c>
      <c r="G43" s="6" t="inlineStr">
        <is>
          <t>설비투자</t>
        </is>
      </c>
      <c r="H43" s="6" t="inlineStr">
        <is>
          <t>감가상각</t>
        </is>
      </c>
      <c r="I43" s="6" t="inlineStr">
        <is>
          <t>설비투자÷감가상각</t>
        </is>
      </c>
    </row>
    <row r="44">
      <c r="A44" s="8" t="inlineStr">
        <is>
          <t>FY2022</t>
        </is>
      </c>
      <c r="B44" s="15" t="n">
        <v>66.267</v>
      </c>
      <c r="C44" s="15" t="n">
        <v>27.657</v>
      </c>
      <c r="D44" s="15" t="n">
        <v>282.836</v>
      </c>
      <c r="E44" s="15" t="n">
        <v>74.842</v>
      </c>
      <c r="F44" s="30">
        <f>IF(B44&lt;&gt;0,D44/B44,"")</f>
        <v/>
      </c>
      <c r="G44" s="15" t="n">
        <v>31.485</v>
      </c>
      <c r="H44" s="15" t="n">
        <v>13.475</v>
      </c>
      <c r="I44" s="30">
        <f>IF(H44&lt;&gt;0,G44/H44,"")</f>
        <v/>
      </c>
    </row>
    <row r="45">
      <c r="A45" s="8" t="inlineStr">
        <is>
          <t>FY2023</t>
        </is>
      </c>
      <c r="B45" s="15" t="n">
        <v>80.59399999999999</v>
      </c>
      <c r="C45" s="15" t="n">
        <v>35.229</v>
      </c>
      <c r="D45" s="15" t="n">
        <v>307.394</v>
      </c>
      <c r="E45" s="15" t="n">
        <v>84.29300000000001</v>
      </c>
      <c r="F45" s="30">
        <f>IF(B45&lt;&gt;0,D45/B45,"")</f>
        <v/>
      </c>
      <c r="G45" s="15" t="n">
        <v>32.251</v>
      </c>
      <c r="H45" s="15" t="n">
        <v>11.946</v>
      </c>
      <c r="I45" s="30">
        <f>IF(H45&lt;&gt;0,G45/H45,"")</f>
        <v/>
      </c>
    </row>
    <row r="46">
      <c r="A46" s="8" t="inlineStr">
        <is>
          <t>FY2024</t>
        </is>
      </c>
      <c r="B46" s="15" t="n">
        <v>141.852</v>
      </c>
      <c r="C46" s="15" t="n">
        <v>50.597</v>
      </c>
      <c r="D46" s="15" t="n">
        <v>350.018</v>
      </c>
      <c r="E46" s="15" t="n">
        <v>112.39</v>
      </c>
      <c r="F46" s="30">
        <f>IF(B46&lt;&gt;0,D46/B46,"")</f>
        <v/>
      </c>
      <c r="G46" s="15" t="n">
        <v>52.535</v>
      </c>
      <c r="H46" s="15" t="n">
        <v>15.311</v>
      </c>
      <c r="I46" s="30">
        <f>IF(H46&lt;&gt;0,G46/H46,"")</f>
        <v/>
      </c>
    </row>
    <row r="47">
      <c r="A47" s="8" t="inlineStr">
        <is>
          <t>FY2025</t>
        </is>
      </c>
      <c r="B47" s="15" t="n">
        <v>203.679</v>
      </c>
      <c r="C47" s="15" t="n">
        <v>78.592</v>
      </c>
      <c r="D47" s="15" t="n">
        <v>402.836</v>
      </c>
      <c r="E47" s="15" t="n">
        <v>129.039</v>
      </c>
      <c r="F47" s="30">
        <f>IF(B47&lt;&gt;0,D47/B47,"")</f>
        <v/>
      </c>
      <c r="G47" s="15" t="n">
        <v>91.447</v>
      </c>
      <c r="H47" s="15" t="n">
        <v>21.136</v>
      </c>
      <c r="I47" s="30">
        <f>IF(H47&lt;&gt;0,G47/H47,"")</f>
        <v/>
      </c>
    </row>
    <row r="50">
      <c r="A50" s="29" t="inlineStr">
        <is>
          <t>5. 미이행 계약잔고 (RPO)</t>
        </is>
      </c>
    </row>
    <row r="51" ht="34" customHeight="1">
      <c r="A51" s="6" t="inlineStr">
        <is>
          <t>연도</t>
        </is>
      </c>
      <c r="B51" s="6" t="inlineStr">
        <is>
          <t>계약잔고</t>
        </is>
      </c>
      <c r="C51" s="6" t="inlineStr">
        <is>
          <t>전년 대비</t>
        </is>
      </c>
    </row>
    <row r="52">
      <c r="A52" s="8" t="inlineStr">
        <is>
          <t>FY2023</t>
        </is>
      </c>
      <c r="B52" s="15" t="n">
        <v>74.09999999999999</v>
      </c>
      <c r="C52" s="19" t="inlineStr">
        <is>
          <t>-</t>
        </is>
      </c>
    </row>
    <row r="53">
      <c r="A53" s="8" t="inlineStr">
        <is>
          <t>FY2024</t>
        </is>
      </c>
      <c r="B53" s="15" t="n">
        <v>93.2</v>
      </c>
      <c r="C53" s="19">
        <f>IF(B52&lt;&gt;0,B53/B52-1,"")</f>
        <v/>
      </c>
    </row>
    <row r="54">
      <c r="A54" s="8" t="inlineStr">
        <is>
          <t>FY2025</t>
        </is>
      </c>
      <c r="B54" s="15" t="n">
        <v>242.8</v>
      </c>
      <c r="C54" s="19">
        <f>IF(B53&lt;&gt;0,B54/B53-1,"")</f>
        <v/>
      </c>
    </row>
    <row r="56">
      <c r="A56" s="9" t="inlineStr">
        <is>
          <t>us-gaap:RevenueRemainingPerformanceObligation. 알파벳은 이 중 절반가량이 24개월 내 매출로 인식될 것으로 봅니다. 계약은 체결됐지만 아직 인도되지 않은 매출이며, 설비투자가 수요를 앞질렀는지 따라가고 있는지를 가르는 가장 직접적인 증거입니다.</t>
        </is>
      </c>
    </row>
    <row r="58">
      <c r="A58" s="29" t="inlineStr">
        <is>
          <t>6. 주주이익 사다리 (FY2025)</t>
        </is>
      </c>
    </row>
    <row r="59" ht="34" customHeight="1">
      <c r="A59" s="6" t="inlineStr">
        <is>
          <t>단계</t>
        </is>
      </c>
      <c r="B59" s="6" t="inlineStr">
        <is>
          <t>금액</t>
        </is>
      </c>
      <c r="C59" s="6" t="inlineStr">
        <is>
          <t>설명</t>
        </is>
      </c>
    </row>
    <row r="60">
      <c r="A60" s="8" t="inlineStr">
        <is>
          <t>① 보고 순이익</t>
        </is>
      </c>
      <c r="B60" s="15" t="n">
        <v>132.17</v>
      </c>
      <c r="C60" s="8" t="inlineStr">
        <is>
          <t>10-K 손익계산서. 주주이익의 출발점이 되는 '보고 이익'</t>
        </is>
      </c>
    </row>
    <row r="61">
      <c r="A61" s="8" t="inlineStr">
        <is>
          <t>② − 투자평가손익 (세후)</t>
        </is>
      </c>
      <c r="B61" s="15" t="n">
        <v>111.6820106279828</v>
      </c>
      <c r="C61" s="8" t="inlineStr">
        <is>
          <t>세전 $24.6B를 실효세율 16.8%로 조정한 $20.5B 차감. 사업이 번 돈이 아니라 보유 지분의 평가이익</t>
        </is>
      </c>
    </row>
    <row r="62">
      <c r="A62" s="8" t="inlineStr">
        <is>
          <t>③ + 감가상각</t>
        </is>
      </c>
      <c r="B62" s="15" t="n">
        <v>132.8180106279828</v>
      </c>
      <c r="C62" s="8" t="inlineStr">
        <is>
          <t>비현금 비용 $21.1B 가산 (버핏 정의의 (b)항)</t>
        </is>
      </c>
    </row>
    <row r="63">
      <c r="A63" s="8" t="inlineStr">
        <is>
          <t>④ − 운전자본 증감</t>
        </is>
      </c>
      <c r="B63" s="15" t="n">
        <v>137.6000106279828</v>
      </c>
      <c r="C63" s="8" t="inlineStr">
        <is>
          <t>영업 운전자본이 흡수한 현금 −$4.8B (현금·단기차입금 제외 기준)</t>
        </is>
      </c>
    </row>
    <row r="64">
      <c r="A64" s="8" t="inlineStr">
        <is>
          <t>⑤ − 설비투자 전액 = 주주이익 (하한)</t>
        </is>
      </c>
      <c r="B64" s="15" t="n">
        <v>46.15301062798282</v>
      </c>
      <c r="C64" s="8" t="inlineStr">
        <is>
          <t>자본예산 $91.4B 전부를 차감. 성장투자까지 비용으로 보므로 가장 보수적인 값</t>
        </is>
      </c>
    </row>
    <row r="65">
      <c r="A65" s="8" t="inlineStr">
        <is>
          <t>⑤′ − 유지 설비투자만 = 주주이익 (상한)</t>
        </is>
      </c>
      <c r="B65" s="15" t="n">
        <v>116.4640106279828</v>
      </c>
      <c r="C65" s="8" t="inlineStr">
        <is>
          <t>버핏 정의의 (c)항은 '경쟁 지위와 판매량을 유지하는 데 필요한' 설비투자입니다. 그 대용치로 감가상각 $21.1B만 차감</t>
        </is>
      </c>
    </row>
    <row r="66">
      <c r="A66" s="8" t="inlineStr">
        <is>
          <t>[참고] 영업현금흐름 − 설비투자</t>
        </is>
      </c>
      <c r="B66" s="15" t="n">
        <v>73.26600000000001</v>
      </c>
      <c r="C66" s="8" t="inlineStr">
        <is>
          <t>흔히 쓰이는 잉여현금흐름. 영업현금흐름 $164.7B에서 설비투자를 뺀 값이며, 평가이익은 이미 제외되어 있으나 주식보상비용이 비현금항목으로 되더해져 있어 주주이익보다 큽니다</t>
        </is>
      </c>
    </row>
    <row r="68">
      <c r="A68" s="9" t="inlineStr">
        <is>
          <t>각 단계의 셀 단위 계산은 연도별계산 시트의 GOOG FY2025 행에 수식으로 들어 있습니다.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20" customWidth="1" min="3" max="3"/>
    <col width="96" customWidth="1" min="4" max="4"/>
  </cols>
  <sheetData>
    <row r="1">
      <c r="A1" s="1" t="inlineStr">
        <is>
          <t>밸류에이션을 내지 않은 기업과 그 이유</t>
        </is>
      </c>
    </row>
    <row r="2">
      <c r="A2" s="2" t="inlineStr">
        <is>
          <t>빈칸을 추정으로 메우지 않고 이유를 적었습니다.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구분</t>
        </is>
      </c>
      <c r="D4" s="6" t="inlineStr">
        <is>
          <t>사유</t>
        </is>
      </c>
    </row>
    <row r="5">
      <c r="A5" s="8" t="inlineStr">
        <is>
          <t>INTC</t>
        </is>
      </c>
      <c r="B5" s="8" t="inlineStr">
        <is>
          <t>INTEL CORP</t>
        </is>
      </c>
      <c r="C5" s="8" t="inlineStr">
        <is>
          <t>주주이익 음수</t>
        </is>
      </c>
      <c r="D5" s="8" t="inlineStr">
        <is>
          <t>정규화 주주이익 -7.6십억 달러. 설비투자와 운전자본이 순이익을 넘어서 할인할 현금흐름이 없습니다. 데이터 공백이 아니라 사업에 대한 판정입니다.</t>
        </is>
      </c>
    </row>
    <row r="6">
      <c r="A6" s="8" t="inlineStr">
        <is>
          <t>AMD</t>
        </is>
      </c>
      <c r="B6" s="8" t="inlineStr">
        <is>
          <t>ADVANCED MICRO DEVICES INC</t>
        </is>
      </c>
      <c r="C6" s="8" t="inlineStr">
        <is>
          <t>주주이익 음수</t>
        </is>
      </c>
      <c r="D6" s="8" t="inlineStr">
        <is>
          <t>정규화 주주이익 -0.2십억 달러. 설비투자와 운전자본이 순이익을 넘어서 할인할 현금흐름이 없습니다. 데이터 공백이 아니라 사업에 대한 판정입니다.</t>
        </is>
      </c>
    </row>
    <row r="7">
      <c r="A7" s="8" t="inlineStr">
        <is>
          <t>AXP</t>
        </is>
      </c>
      <c r="B7" s="8" t="inlineStr">
        <is>
          <t>AMERICAN EXPRESS CO</t>
        </is>
      </c>
      <c r="C7" s="8" t="inlineStr">
        <is>
          <t>금융업 (SIC 6000~6799)</t>
        </is>
      </c>
      <c r="D7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8">
      <c r="A8" s="8" t="inlineStr">
        <is>
          <t>UNH</t>
        </is>
      </c>
      <c r="B8" s="8" t="inlineStr">
        <is>
          <t>UNITEDHEALTH GROUP INC</t>
        </is>
      </c>
      <c r="C8" s="8" t="inlineStr">
        <is>
          <t>금융업 (SIC 6000~6799)</t>
        </is>
      </c>
      <c r="D8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9">
      <c r="A9" s="8" t="inlineStr">
        <is>
          <t>JPM</t>
        </is>
      </c>
      <c r="B9" s="8" t="inlineStr">
        <is>
          <t>JPMORGAN CHASE &amp; CO</t>
        </is>
      </c>
      <c r="C9" s="8" t="inlineStr">
        <is>
          <t>금융업 (SIC 6000~6799)</t>
        </is>
      </c>
      <c r="D9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0">
      <c r="A10" s="8" t="inlineStr">
        <is>
          <t>WFC</t>
        </is>
      </c>
      <c r="B10" s="8" t="inlineStr">
        <is>
          <t>WELLS FARGO &amp; COMPANY/MN</t>
        </is>
      </c>
      <c r="C10" s="8" t="inlineStr">
        <is>
          <t>금융업 (SIC 6000~6799)</t>
        </is>
      </c>
      <c r="D10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1">
      <c r="A11" s="8" t="inlineStr">
        <is>
          <t>MS</t>
        </is>
      </c>
      <c r="B11" s="8" t="inlineStr">
        <is>
          <t>MORGAN STANLEY</t>
        </is>
      </c>
      <c r="C11" s="8" t="inlineStr">
        <is>
          <t>금융업 (SIC 6000~6799)</t>
        </is>
      </c>
      <c r="D11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2">
      <c r="A12" s="8" t="inlineStr">
        <is>
          <t>GS</t>
        </is>
      </c>
      <c r="B12" s="8" t="inlineStr">
        <is>
          <t>GOLDMAN SACHS GROUP INC</t>
        </is>
      </c>
      <c r="C12" s="8" t="inlineStr">
        <is>
          <t>금융업 (SIC 6000~6799)</t>
        </is>
      </c>
      <c r="D12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3">
      <c r="A13" s="8" t="inlineStr">
        <is>
          <t>BRK-B</t>
        </is>
      </c>
      <c r="B13" s="8" t="inlineStr">
        <is>
          <t>BERKSHIRE HATHAWAY INC</t>
        </is>
      </c>
      <c r="C13" s="8" t="inlineStr">
        <is>
          <t>금융업 (SIC 6000~6799)</t>
        </is>
      </c>
      <c r="D13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4">
      <c r="A14" s="8" t="inlineStr">
        <is>
          <t>BAC</t>
        </is>
      </c>
      <c r="B14" s="8" t="inlineStr">
        <is>
          <t>BANK OF AMERICA CORP /DE/</t>
        </is>
      </c>
      <c r="C14" s="8" t="inlineStr">
        <is>
          <t>금융업 (SIC 6000~6799)</t>
        </is>
      </c>
      <c r="D14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5">
      <c r="A15" s="8" t="inlineStr">
        <is>
          <t>C</t>
        </is>
      </c>
      <c r="B15" s="8" t="inlineStr">
        <is>
          <t>CITIGROUP INC</t>
        </is>
      </c>
      <c r="C15" s="8" t="inlineStr">
        <is>
          <t>금융업 (SIC 6000~6799)</t>
        </is>
      </c>
      <c r="D15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1" customWidth="1" min="3" max="3"/>
    <col width="13" customWidth="1" min="4" max="4"/>
    <col width="12" customWidth="1" min="5" max="5"/>
    <col width="12" customWidth="1" min="6" max="6"/>
    <col width="72" customWidth="1" min="7" max="7"/>
    <col width="72" customWidth="1" min="8" max="8"/>
  </cols>
  <sheetData>
    <row r="1">
      <c r="A1" s="1" t="inlineStr">
        <is>
          <t>PHASE 6 — 출처 재검증</t>
        </is>
      </c>
    </row>
    <row r="2">
      <c r="A2" s="2" t="inlineStr">
        <is>
          <t>각 수치를 해당 10-K 원문의 인라인 XBRL과 대조했습니다. companyfacts API가 아니라 제출서류 자체를 다시 읽어 비교한 결과입니다.</t>
        </is>
      </c>
    </row>
    <row r="4" ht="34" customHeight="1">
      <c r="A4" s="6" t="inlineStr">
        <is>
          <t>티커</t>
        </is>
      </c>
      <c r="B4" s="6" t="inlineStr">
        <is>
          <t>판정</t>
        </is>
      </c>
      <c r="C4" s="6" t="inlineStr">
        <is>
          <t>항목 통과</t>
        </is>
      </c>
      <c r="D4" s="6" t="inlineStr">
        <is>
          <t>접수번호 확인</t>
        </is>
      </c>
      <c r="E4" s="6" t="inlineStr">
        <is>
          <t>주식수 재현</t>
        </is>
      </c>
      <c r="F4" s="6" t="inlineStr">
        <is>
          <t>주가 재조회</t>
        </is>
      </c>
      <c r="G4" s="6" t="inlineStr">
        <is>
          <t>검증한 제출서류</t>
        </is>
      </c>
      <c r="H4" s="6" t="inlineStr">
        <is>
          <t>companyfacts 출처</t>
        </is>
      </c>
    </row>
    <row r="5">
      <c r="A5" s="8" t="inlineStr">
        <is>
          <t>NVDA</t>
        </is>
      </c>
      <c r="B5" s="8" t="inlineStr">
        <is>
          <t>PASS</t>
        </is>
      </c>
      <c r="C5" s="8" t="inlineStr">
        <is>
          <t>6/6</t>
        </is>
      </c>
      <c r="D5" s="8" t="inlineStr">
        <is>
          <t>PASS</t>
        </is>
      </c>
      <c r="E5" s="8" t="inlineStr">
        <is>
          <t>PASS</t>
        </is>
      </c>
      <c r="F5" s="8" t="inlineStr">
        <is>
          <t>PASS</t>
        </is>
      </c>
      <c r="G5" s="8" t="inlineStr">
        <is>
          <t>https://www.sec.gov/Archives/edgar/data/1045810/000104581026000021/nvda-20260125.htm</t>
        </is>
      </c>
      <c r="H5" s="8" t="inlineStr">
        <is>
          <t>https://data.sec.gov/api/xbrl/companyfacts/CIK0001045810.json</t>
        </is>
      </c>
    </row>
    <row r="6">
      <c r="A6" s="8" t="inlineStr">
        <is>
          <t>AAPL</t>
        </is>
      </c>
      <c r="B6" s="8" t="inlineStr">
        <is>
          <t>PASS</t>
        </is>
      </c>
      <c r="C6" s="8" t="inlineStr">
        <is>
          <t>6/6</t>
        </is>
      </c>
      <c r="D6" s="8" t="inlineStr">
        <is>
          <t>PASS</t>
        </is>
      </c>
      <c r="E6" s="8" t="inlineStr">
        <is>
          <t>PASS</t>
        </is>
      </c>
      <c r="F6" s="8" t="inlineStr">
        <is>
          <t>PASS</t>
        </is>
      </c>
      <c r="G6" s="8" t="inlineStr">
        <is>
          <t>https://www.sec.gov/Archives/edgar/data/320193/000032019325000079/aapl-20250927.htm</t>
        </is>
      </c>
      <c r="H6" s="8" t="inlineStr">
        <is>
          <t>https://data.sec.gov/api/xbrl/companyfacts/CIK0000320193.json</t>
        </is>
      </c>
    </row>
    <row r="7">
      <c r="A7" s="8" t="inlineStr">
        <is>
          <t>GOOG</t>
        </is>
      </c>
      <c r="B7" s="8" t="inlineStr">
        <is>
          <t>PASS</t>
        </is>
      </c>
      <c r="C7" s="8" t="inlineStr">
        <is>
          <t>6/6</t>
        </is>
      </c>
      <c r="D7" s="8" t="inlineStr">
        <is>
          <t>PASS</t>
        </is>
      </c>
      <c r="E7" s="8" t="inlineStr">
        <is>
          <t>PASS</t>
        </is>
      </c>
      <c r="F7" s="8" t="inlineStr">
        <is>
          <t>PASS</t>
        </is>
      </c>
      <c r="G7" s="8" t="inlineStr">
        <is>
          <t>https://www.sec.gov/Archives/edgar/data/1652044/000165204426000018/goog-20251231.htm</t>
        </is>
      </c>
      <c r="H7" s="8" t="inlineStr">
        <is>
          <t>https://data.sec.gov/api/xbrl/companyfacts/CIK0001652044.json</t>
        </is>
      </c>
    </row>
    <row r="8">
      <c r="A8" s="8" t="inlineStr">
        <is>
          <t>MSFT</t>
        </is>
      </c>
      <c r="B8" s="8" t="inlineStr">
        <is>
          <t>PASS</t>
        </is>
      </c>
      <c r="C8" s="8" t="inlineStr">
        <is>
          <t>6/6</t>
        </is>
      </c>
      <c r="D8" s="8" t="inlineStr">
        <is>
          <t>PASS</t>
        </is>
      </c>
      <c r="E8" s="8" t="inlineStr">
        <is>
          <t>PASS</t>
        </is>
      </c>
      <c r="F8" s="8" t="inlineStr">
        <is>
          <t>PASS</t>
        </is>
      </c>
      <c r="G8" s="8" t="inlineStr">
        <is>
          <t>https://www.sec.gov/Archives/edgar/data/789019/000119312526323660/msft-20260630.htm</t>
        </is>
      </c>
      <c r="H8" s="8" t="inlineStr">
        <is>
          <t>https://data.sec.gov/api/xbrl/companyfacts/CIK0000789019.json</t>
        </is>
      </c>
    </row>
    <row r="9">
      <c r="A9" s="8" t="inlineStr">
        <is>
          <t>AMZN</t>
        </is>
      </c>
      <c r="B9" s="8" t="inlineStr">
        <is>
          <t>PASS</t>
        </is>
      </c>
      <c r="C9" s="8" t="inlineStr">
        <is>
          <t>6/6</t>
        </is>
      </c>
      <c r="D9" s="8" t="inlineStr">
        <is>
          <t>PASS</t>
        </is>
      </c>
      <c r="E9" s="8" t="inlineStr">
        <is>
          <t>PASS</t>
        </is>
      </c>
      <c r="F9" s="8" t="inlineStr">
        <is>
          <t>PASS</t>
        </is>
      </c>
      <c r="G9" s="8" t="inlineStr">
        <is>
          <t>https://www.sec.gov/Archives/edgar/data/1018724/000101872426000004/amzn-20251231.htm</t>
        </is>
      </c>
      <c r="H9" s="8" t="inlineStr">
        <is>
          <t>https://data.sec.gov/api/xbrl/companyfacts/CIK0001018724.json</t>
        </is>
      </c>
    </row>
    <row r="10">
      <c r="A10" s="8" t="inlineStr">
        <is>
          <t>AVGO</t>
        </is>
      </c>
      <c r="B10" s="8" t="inlineStr">
        <is>
          <t>PASS</t>
        </is>
      </c>
      <c r="C10" s="8" t="inlineStr">
        <is>
          <t>6/6</t>
        </is>
      </c>
      <c r="D10" s="8" t="inlineStr">
        <is>
          <t>PASS</t>
        </is>
      </c>
      <c r="E10" s="8" t="inlineStr">
        <is>
          <t>PASS</t>
        </is>
      </c>
      <c r="F10" s="8" t="inlineStr">
        <is>
          <t>PASS</t>
        </is>
      </c>
      <c r="G10" s="8" t="inlineStr">
        <is>
          <t>https://www.sec.gov/Archives/edgar/data/1730168/000173016825000121/avgo-20251102.htm</t>
        </is>
      </c>
      <c r="H10" s="8" t="inlineStr">
        <is>
          <t>https://data.sec.gov/api/xbrl/companyfacts/CIK0001730168.json</t>
        </is>
      </c>
    </row>
    <row r="11">
      <c r="A11" s="8" t="inlineStr">
        <is>
          <t>META</t>
        </is>
      </c>
      <c r="B11" s="8" t="inlineStr">
        <is>
          <t>PASS</t>
        </is>
      </c>
      <c r="C11" s="8" t="inlineStr">
        <is>
          <t>6/6</t>
        </is>
      </c>
      <c r="D11" s="8" t="inlineStr">
        <is>
          <t>PASS</t>
        </is>
      </c>
      <c r="E11" s="8" t="inlineStr">
        <is>
          <t>PASS</t>
        </is>
      </c>
      <c r="F11" s="8" t="inlineStr">
        <is>
          <t>PASS</t>
        </is>
      </c>
      <c r="G11" s="8" t="inlineStr">
        <is>
          <t>https://www.sec.gov/Archives/edgar/data/1326801/000162828026003942/meta-20251231.htm</t>
        </is>
      </c>
      <c r="H11" s="8" t="inlineStr">
        <is>
          <t>https://data.sec.gov/api/xbrl/companyfacts/CIK0001326801.json</t>
        </is>
      </c>
    </row>
    <row r="12">
      <c r="A12" s="8" t="inlineStr">
        <is>
          <t>TSLA</t>
        </is>
      </c>
      <c r="B12" s="8" t="inlineStr">
        <is>
          <t>PASS</t>
        </is>
      </c>
      <c r="C12" s="8" t="inlineStr">
        <is>
          <t>6/6</t>
        </is>
      </c>
      <c r="D12" s="8" t="inlineStr">
        <is>
          <t>PASS</t>
        </is>
      </c>
      <c r="E12" s="8" t="inlineStr">
        <is>
          <t>PASS</t>
        </is>
      </c>
      <c r="F12" s="8" t="inlineStr">
        <is>
          <t>PASS</t>
        </is>
      </c>
      <c r="G12" s="8" t="inlineStr">
        <is>
          <t>https://www.sec.gov/Archives/edgar/data/1318605/000162828026003952/tsla-20251231.htm</t>
        </is>
      </c>
      <c r="H12" s="8" t="inlineStr">
        <is>
          <t>https://data.sec.gov/api/xbrl/companyfacts/CIK0001318605.json</t>
        </is>
      </c>
    </row>
    <row r="13">
      <c r="A13" s="8" t="inlineStr">
        <is>
          <t>BRK-B</t>
        </is>
      </c>
      <c r="B13" s="8" t="inlineStr">
        <is>
          <t>PASS</t>
        </is>
      </c>
      <c r="C13" s="8" t="inlineStr">
        <is>
          <t>6/6</t>
        </is>
      </c>
      <c r="D13" s="8" t="inlineStr">
        <is>
          <t>PASS</t>
        </is>
      </c>
      <c r="E13" s="8" t="inlineStr">
        <is>
          <t>PASS</t>
        </is>
      </c>
      <c r="F13" s="8" t="inlineStr">
        <is>
          <t>PASS</t>
        </is>
      </c>
      <c r="G13" s="8" t="inlineStr">
        <is>
          <t>https://www.sec.gov/Archives/edgar/data/1067983/000119312526083899/brka-20251231.htm</t>
        </is>
      </c>
      <c r="H13" s="8" t="inlineStr">
        <is>
          <t>https://data.sec.gov/api/xbrl/companyfacts/CIK0001067983.json</t>
        </is>
      </c>
    </row>
    <row r="14">
      <c r="A14" s="8" t="inlineStr">
        <is>
          <t>LLY</t>
        </is>
      </c>
      <c r="B14" s="8" t="inlineStr">
        <is>
          <t>PASS</t>
        </is>
      </c>
      <c r="C14" s="8" t="inlineStr">
        <is>
          <t>6/6</t>
        </is>
      </c>
      <c r="D14" s="8" t="inlineStr">
        <is>
          <t>PASS</t>
        </is>
      </c>
      <c r="E14" s="8" t="inlineStr">
        <is>
          <t>PASS</t>
        </is>
      </c>
      <c r="F14" s="8" t="inlineStr">
        <is>
          <t>PASS</t>
        </is>
      </c>
      <c r="G14" s="8" t="inlineStr">
        <is>
          <t>https://www.sec.gov/Archives/edgar/data/59478/000005947826000013/lly-20251231.htm</t>
        </is>
      </c>
      <c r="H14" s="8" t="inlineStr">
        <is>
          <t>https://data.sec.gov/api/xbrl/companyfacts/CIK0000059478.json</t>
        </is>
      </c>
    </row>
    <row r="15">
      <c r="A15" s="8" t="inlineStr">
        <is>
          <t>MU</t>
        </is>
      </c>
      <c r="B15" s="8" t="inlineStr">
        <is>
          <t>PASS</t>
        </is>
      </c>
      <c r="C15" s="8" t="inlineStr">
        <is>
          <t>6/6</t>
        </is>
      </c>
      <c r="D15" s="8" t="inlineStr">
        <is>
          <t>PASS</t>
        </is>
      </c>
      <c r="E15" s="8" t="inlineStr">
        <is>
          <t>PASS</t>
        </is>
      </c>
      <c r="F15" s="8" t="inlineStr">
        <is>
          <t>PASS</t>
        </is>
      </c>
      <c r="G15" s="8" t="inlineStr">
        <is>
          <t>https://www.sec.gov/Archives/edgar/data/723125/000072312525000028/mu-20250828.htm</t>
        </is>
      </c>
      <c r="H15" s="8" t="inlineStr">
        <is>
          <t>https://data.sec.gov/api/xbrl/companyfacts/CIK0000723125.json</t>
        </is>
      </c>
    </row>
    <row r="16">
      <c r="A16" s="8" t="inlineStr">
        <is>
          <t>JPM</t>
        </is>
      </c>
      <c r="B16" s="8" t="inlineStr">
        <is>
          <t>PASS</t>
        </is>
      </c>
      <c r="C16" s="8" t="inlineStr">
        <is>
          <t>5/5</t>
        </is>
      </c>
      <c r="D16" s="8" t="inlineStr">
        <is>
          <t>PASS</t>
        </is>
      </c>
      <c r="E16" s="8" t="inlineStr">
        <is>
          <t>PASS</t>
        </is>
      </c>
      <c r="F16" s="8" t="inlineStr">
        <is>
          <t>PASS</t>
        </is>
      </c>
      <c r="G16" s="8" t="inlineStr">
        <is>
          <t>https://www.sec.gov/Archives/edgar/data/19617/000162828026008131/jpm-20251231.htm</t>
        </is>
      </c>
      <c r="H16" s="8" t="inlineStr">
        <is>
          <t>https://data.sec.gov/api/xbrl/companyfacts/CIK0000019617.json</t>
        </is>
      </c>
    </row>
    <row r="17">
      <c r="A17" s="8" t="inlineStr">
        <is>
          <t>WMT</t>
        </is>
      </c>
      <c r="B17" s="8" t="inlineStr">
        <is>
          <t>PASS</t>
        </is>
      </c>
      <c r="C17" s="8" t="inlineStr">
        <is>
          <t>6/6</t>
        </is>
      </c>
      <c r="D17" s="8" t="inlineStr">
        <is>
          <t>PASS</t>
        </is>
      </c>
      <c r="E17" s="8" t="inlineStr">
        <is>
          <t>PASS</t>
        </is>
      </c>
      <c r="F17" s="8" t="inlineStr">
        <is>
          <t>PASS</t>
        </is>
      </c>
      <c r="G17" s="8" t="inlineStr">
        <is>
          <t>https://www.sec.gov/Archives/edgar/data/104169/000010416926000055/wmt-20260131.htm</t>
        </is>
      </c>
      <c r="H17" s="8" t="inlineStr">
        <is>
          <t>https://data.sec.gov/api/xbrl/companyfacts/CIK0000104169.json</t>
        </is>
      </c>
    </row>
    <row r="18">
      <c r="A18" s="8" t="inlineStr">
        <is>
          <t>AMD</t>
        </is>
      </c>
      <c r="B18" s="8" t="inlineStr">
        <is>
          <t>PASS</t>
        </is>
      </c>
      <c r="C18" s="8" t="inlineStr">
        <is>
          <t>6/6</t>
        </is>
      </c>
      <c r="D18" s="8" t="inlineStr">
        <is>
          <t>PASS</t>
        </is>
      </c>
      <c r="E18" s="8" t="inlineStr">
        <is>
          <t>PASS</t>
        </is>
      </c>
      <c r="F18" s="8" t="inlineStr">
        <is>
          <t>PASS</t>
        </is>
      </c>
      <c r="G18" s="8" t="inlineStr">
        <is>
          <t>https://www.sec.gov/Archives/edgar/data/2488/000000248826000018/amd-20251227.htm</t>
        </is>
      </c>
      <c r="H18" s="8" t="inlineStr">
        <is>
          <t>https://data.sec.gov/api/xbrl/companyfacts/CIK0000002488.json</t>
        </is>
      </c>
    </row>
    <row r="19">
      <c r="A19" s="8" t="inlineStr">
        <is>
          <t>V</t>
        </is>
      </c>
      <c r="B19" s="8" t="inlineStr">
        <is>
          <t>PASS</t>
        </is>
      </c>
      <c r="C19" s="8" t="inlineStr">
        <is>
          <t>6/6</t>
        </is>
      </c>
      <c r="D19" s="8" t="inlineStr">
        <is>
          <t>PASS</t>
        </is>
      </c>
      <c r="E19" s="8" t="inlineStr">
        <is>
          <t>PASS</t>
        </is>
      </c>
      <c r="F19" s="8" t="inlineStr">
        <is>
          <t>PASS</t>
        </is>
      </c>
      <c r="G19" s="8" t="inlineStr">
        <is>
          <t>https://www.sec.gov/Archives/edgar/data/1403161/000140316125000089/v-20250930.htm</t>
        </is>
      </c>
      <c r="H19" s="8" t="inlineStr">
        <is>
          <t>https://data.sec.gov/api/xbrl/companyfacts/CIK0001403161.json</t>
        </is>
      </c>
    </row>
    <row r="20">
      <c r="A20" s="8" t="inlineStr">
        <is>
          <t>XOM</t>
        </is>
      </c>
      <c r="B20" s="8" t="inlineStr">
        <is>
          <t>PASS</t>
        </is>
      </c>
      <c r="C20" s="8" t="inlineStr">
        <is>
          <t>6/6</t>
        </is>
      </c>
      <c r="D20" s="8" t="inlineStr">
        <is>
          <t>PASS</t>
        </is>
      </c>
      <c r="E20" s="8" t="inlineStr">
        <is>
          <t>PASS</t>
        </is>
      </c>
      <c r="F20" s="8" t="inlineStr">
        <is>
          <t>PASS</t>
        </is>
      </c>
      <c r="G20" s="8" t="inlineStr">
        <is>
          <t>https://www.sec.gov/Archives/edgar/data/34088/000003408826000045/xom-20251231.htm</t>
        </is>
      </c>
      <c r="H20" s="8" t="inlineStr">
        <is>
          <t>https://data.sec.gov/api/xbrl/companyfacts/CIK0000034088.json</t>
        </is>
      </c>
    </row>
    <row r="21">
      <c r="A21" s="8" t="inlineStr">
        <is>
          <t>JNJ</t>
        </is>
      </c>
      <c r="B21" s="8" t="inlineStr">
        <is>
          <t>PASS</t>
        </is>
      </c>
      <c r="C21" s="8" t="inlineStr">
        <is>
          <t>6/6</t>
        </is>
      </c>
      <c r="D21" s="8" t="inlineStr">
        <is>
          <t>PASS</t>
        </is>
      </c>
      <c r="E21" s="8" t="inlineStr">
        <is>
          <t>PASS</t>
        </is>
      </c>
      <c r="F21" s="8" t="inlineStr">
        <is>
          <t>PASS</t>
        </is>
      </c>
      <c r="G21" s="8" t="inlineStr">
        <is>
          <t>https://www.sec.gov/Archives/edgar/data/200406/000020040626000016/jnj-20251228.htm</t>
        </is>
      </c>
      <c r="H21" s="8" t="inlineStr">
        <is>
          <t>https://data.sec.gov/api/xbrl/companyfacts/CIK0000200406.json</t>
        </is>
      </c>
    </row>
    <row r="22">
      <c r="A22" s="8" t="inlineStr">
        <is>
          <t>INTC</t>
        </is>
      </c>
      <c r="B22" s="8" t="inlineStr">
        <is>
          <t>PASS</t>
        </is>
      </c>
      <c r="C22" s="8" t="inlineStr">
        <is>
          <t>6/6</t>
        </is>
      </c>
      <c r="D22" s="8" t="inlineStr">
        <is>
          <t>PASS</t>
        </is>
      </c>
      <c r="E22" s="8" t="inlineStr">
        <is>
          <t>PASS</t>
        </is>
      </c>
      <c r="F22" s="8" t="inlineStr">
        <is>
          <t>PASS</t>
        </is>
      </c>
      <c r="G22" s="8" t="inlineStr">
        <is>
          <t>https://www.sec.gov/Archives/edgar/data/50863/000005086326000011/intc-20251227.htm</t>
        </is>
      </c>
      <c r="H22" s="8" t="inlineStr">
        <is>
          <t>https://data.sec.gov/api/xbrl/companyfacts/CIK0000050863.json</t>
        </is>
      </c>
    </row>
    <row r="23">
      <c r="A23" s="8" t="inlineStr">
        <is>
          <t>MA</t>
        </is>
      </c>
      <c r="B23" s="8" t="inlineStr">
        <is>
          <t>PASS</t>
        </is>
      </c>
      <c r="C23" s="8" t="inlineStr">
        <is>
          <t>6/6</t>
        </is>
      </c>
      <c r="D23" s="8" t="inlineStr">
        <is>
          <t>PASS</t>
        </is>
      </c>
      <c r="E23" s="8" t="inlineStr">
        <is>
          <t>PASS</t>
        </is>
      </c>
      <c r="F23" s="8" t="inlineStr">
        <is>
          <t>PASS</t>
        </is>
      </c>
      <c r="G23" s="8" t="inlineStr">
        <is>
          <t>https://www.sec.gov/Archives/edgar/data/1141391/000114139126000013/ma-20251231.htm</t>
        </is>
      </c>
      <c r="H23" s="8" t="inlineStr">
        <is>
          <t>https://data.sec.gov/api/xbrl/companyfacts/CIK0001141391.json</t>
        </is>
      </c>
    </row>
    <row r="24">
      <c r="A24" s="8" t="inlineStr">
        <is>
          <t>CSCO</t>
        </is>
      </c>
      <c r="B24" s="8" t="inlineStr">
        <is>
          <t>PASS</t>
        </is>
      </c>
      <c r="C24" s="8" t="inlineStr">
        <is>
          <t>6/6</t>
        </is>
      </c>
      <c r="D24" s="8" t="inlineStr">
        <is>
          <t>PASS</t>
        </is>
      </c>
      <c r="E24" s="8" t="inlineStr">
        <is>
          <t>PASS</t>
        </is>
      </c>
      <c r="F24" s="8" t="inlineStr">
        <is>
          <t>PASS</t>
        </is>
      </c>
      <c r="G24" s="8" t="inlineStr">
        <is>
          <t>https://www.sec.gov/Archives/edgar/data/858877/000085887725000111/csco-20250726.htm</t>
        </is>
      </c>
      <c r="H24" s="8" t="inlineStr">
        <is>
          <t>https://data.sec.gov/api/xbrl/companyfacts/CIK0000858877.json</t>
        </is>
      </c>
    </row>
    <row r="25">
      <c r="A25" s="8" t="inlineStr">
        <is>
          <t>BAC</t>
        </is>
      </c>
      <c r="B25" s="8" t="inlineStr">
        <is>
          <t>PASS</t>
        </is>
      </c>
      <c r="C25" s="8" t="inlineStr">
        <is>
          <t>5/5</t>
        </is>
      </c>
      <c r="D25" s="8" t="inlineStr">
        <is>
          <t>PASS</t>
        </is>
      </c>
      <c r="E25" s="8" t="inlineStr">
        <is>
          <t>PASS</t>
        </is>
      </c>
      <c r="F25" s="8" t="inlineStr">
        <is>
          <t>PASS</t>
        </is>
      </c>
      <c r="G25" s="8" t="inlineStr">
        <is>
          <t>https://www.sec.gov/Archives/edgar/data/70858/000007085826000157/bac-20251231.htm</t>
        </is>
      </c>
      <c r="H25" s="8" t="inlineStr">
        <is>
          <t>https://data.sec.gov/api/xbrl/companyfacts/CIK0000070858.json</t>
        </is>
      </c>
    </row>
    <row r="26">
      <c r="A26" s="8" t="inlineStr">
        <is>
          <t>ABBV</t>
        </is>
      </c>
      <c r="B26" s="8" t="inlineStr">
        <is>
          <t>PASS</t>
        </is>
      </c>
      <c r="C26" s="8" t="inlineStr">
        <is>
          <t>6/6</t>
        </is>
      </c>
      <c r="D26" s="8" t="inlineStr">
        <is>
          <t>PASS</t>
        </is>
      </c>
      <c r="E26" s="8" t="inlineStr">
        <is>
          <t>PASS</t>
        </is>
      </c>
      <c r="F26" s="8" t="inlineStr">
        <is>
          <t>PASS</t>
        </is>
      </c>
      <c r="G26" s="8" t="inlineStr">
        <is>
          <t>https://www.sec.gov/Archives/edgar/data/1551152/000155115226000008/abbv-20251231.htm</t>
        </is>
      </c>
      <c r="H26" s="8" t="inlineStr">
        <is>
          <t>https://data.sec.gov/api/xbrl/companyfacts/CIK0001551152.json</t>
        </is>
      </c>
    </row>
    <row r="27">
      <c r="A27" s="8" t="inlineStr">
        <is>
          <t>AMAT</t>
        </is>
      </c>
      <c r="B27" s="8" t="inlineStr">
        <is>
          <t>PASS</t>
        </is>
      </c>
      <c r="C27" s="8" t="inlineStr">
        <is>
          <t>6/6</t>
        </is>
      </c>
      <c r="D27" s="8" t="inlineStr">
        <is>
          <t>PASS</t>
        </is>
      </c>
      <c r="E27" s="8" t="inlineStr">
        <is>
          <t>PASS</t>
        </is>
      </c>
      <c r="F27" s="8" t="inlineStr">
        <is>
          <t>PASS</t>
        </is>
      </c>
      <c r="G27" s="8" t="inlineStr">
        <is>
          <t>https://www.sec.gov/Archives/edgar/data/6951/000162828025056742/amat-20251026.htm</t>
        </is>
      </c>
      <c r="H27" s="8" t="inlineStr">
        <is>
          <t>https://data.sec.gov/api/xbrl/companyfacts/CIK0000006951.json</t>
        </is>
      </c>
    </row>
    <row r="28">
      <c r="A28" s="8" t="inlineStr">
        <is>
          <t>ORCL</t>
        </is>
      </c>
      <c r="B28" s="8" t="inlineStr">
        <is>
          <t>PASS</t>
        </is>
      </c>
      <c r="C28" s="8" t="inlineStr">
        <is>
          <t>5/5</t>
        </is>
      </c>
      <c r="D28" s="8" t="inlineStr">
        <is>
          <t>PASS</t>
        </is>
      </c>
      <c r="E28" s="8" t="inlineStr">
        <is>
          <t>PASS</t>
        </is>
      </c>
      <c r="F28" s="8" t="inlineStr">
        <is>
          <t>PASS</t>
        </is>
      </c>
      <c r="G28" s="8" t="inlineStr">
        <is>
          <t>https://www.sec.gov/Archives/edgar/data/1341439/000119312526277521/orcl-20260531.htm</t>
        </is>
      </c>
      <c r="H28" s="8" t="inlineStr">
        <is>
          <t>https://data.sec.gov/api/xbrl/companyfacts/CIK0001341439.json</t>
        </is>
      </c>
    </row>
    <row r="29">
      <c r="A29" s="8" t="inlineStr">
        <is>
          <t>COST</t>
        </is>
      </c>
      <c r="B29" s="8" t="inlineStr">
        <is>
          <t>PASS</t>
        </is>
      </c>
      <c r="C29" s="8" t="inlineStr">
        <is>
          <t>6/6</t>
        </is>
      </c>
      <c r="D29" s="8" t="inlineStr">
        <is>
          <t>PASS</t>
        </is>
      </c>
      <c r="E29" s="8" t="inlineStr">
        <is>
          <t>PASS</t>
        </is>
      </c>
      <c r="F29" s="8" t="inlineStr">
        <is>
          <t>PASS</t>
        </is>
      </c>
      <c r="G29" s="8" t="inlineStr">
        <is>
          <t>https://www.sec.gov/Archives/edgar/data/909832/000090983225000101/cost-20250831.htm</t>
        </is>
      </c>
      <c r="H29" s="8" t="inlineStr">
        <is>
          <t>https://data.sec.gov/api/xbrl/companyfacts/CIK0000909832.json</t>
        </is>
      </c>
    </row>
    <row r="30">
      <c r="A30" s="8" t="inlineStr">
        <is>
          <t>PLTR</t>
        </is>
      </c>
      <c r="B30" s="8" t="inlineStr">
        <is>
          <t>PASS</t>
        </is>
      </c>
      <c r="C30" s="8" t="inlineStr">
        <is>
          <t>6/6</t>
        </is>
      </c>
      <c r="D30" s="8" t="inlineStr">
        <is>
          <t>PASS</t>
        </is>
      </c>
      <c r="E30" s="8" t="inlineStr">
        <is>
          <t>PASS</t>
        </is>
      </c>
      <c r="F30" s="8" t="inlineStr">
        <is>
          <t>PASS</t>
        </is>
      </c>
      <c r="G30" s="8" t="inlineStr">
        <is>
          <t>https://www.sec.gov/Archives/edgar/data/1321655/000132165526000011/pltr-20251231.htm</t>
        </is>
      </c>
      <c r="H30" s="8" t="inlineStr">
        <is>
          <t>https://data.sec.gov/api/xbrl/companyfacts/CIK0001321655.json</t>
        </is>
      </c>
    </row>
    <row r="31">
      <c r="A31" s="8" t="inlineStr">
        <is>
          <t>LRCX</t>
        </is>
      </c>
      <c r="B31" s="8" t="inlineStr">
        <is>
          <t>PASS</t>
        </is>
      </c>
      <c r="C31" s="8" t="inlineStr">
        <is>
          <t>6/6</t>
        </is>
      </c>
      <c r="D31" s="8" t="inlineStr">
        <is>
          <t>PASS</t>
        </is>
      </c>
      <c r="E31" s="8" t="inlineStr">
        <is>
          <t>PASS</t>
        </is>
      </c>
      <c r="F31" s="8" t="inlineStr">
        <is>
          <t>PASS</t>
        </is>
      </c>
      <c r="G31" s="8" t="inlineStr">
        <is>
          <t>https://www.sec.gov/Archives/edgar/data/707549/000070754926000037/lrcx-20260628.htm</t>
        </is>
      </c>
      <c r="H31" s="8" t="inlineStr">
        <is>
          <t>https://data.sec.gov/api/xbrl/companyfacts/CIK0000707549.json</t>
        </is>
      </c>
    </row>
    <row r="32">
      <c r="A32" s="8" t="inlineStr">
        <is>
          <t>CAT</t>
        </is>
      </c>
      <c r="B32" s="8" t="inlineStr">
        <is>
          <t>PASS</t>
        </is>
      </c>
      <c r="C32" s="8" t="inlineStr">
        <is>
          <t>6/6</t>
        </is>
      </c>
      <c r="D32" s="8" t="inlineStr">
        <is>
          <t>PASS</t>
        </is>
      </c>
      <c r="E32" s="8" t="inlineStr">
        <is>
          <t>PASS</t>
        </is>
      </c>
      <c r="F32" s="8" t="inlineStr">
        <is>
          <t>PASS</t>
        </is>
      </c>
      <c r="G32" s="8" t="inlineStr">
        <is>
          <t>https://www.sec.gov/Archives/edgar/data/18230/000001823026000008/cat-20251231.htm</t>
        </is>
      </c>
      <c r="H32" s="8" t="inlineStr">
        <is>
          <t>https://data.sec.gov/api/xbrl/companyfacts/CIK0000018230.json</t>
        </is>
      </c>
    </row>
    <row r="33">
      <c r="A33" s="8" t="inlineStr">
        <is>
          <t>GE</t>
        </is>
      </c>
      <c r="B33" s="8" t="inlineStr">
        <is>
          <t>PASS</t>
        </is>
      </c>
      <c r="C33" s="8" t="inlineStr">
        <is>
          <t>6/6</t>
        </is>
      </c>
      <c r="D33" s="8" t="inlineStr">
        <is>
          <t>PASS</t>
        </is>
      </c>
      <c r="E33" s="8" t="inlineStr">
        <is>
          <t>PASS</t>
        </is>
      </c>
      <c r="F33" s="8" t="inlineStr">
        <is>
          <t>PASS</t>
        </is>
      </c>
      <c r="G33" s="8" t="inlineStr">
        <is>
          <t>https://www.sec.gov/Archives/edgar/data/40545/000004054526000008/ge-20251231.htm</t>
        </is>
      </c>
      <c r="H33" s="8" t="inlineStr">
        <is>
          <t>https://data.sec.gov/api/xbrl/companyfacts/CIK0000040545.json</t>
        </is>
      </c>
    </row>
    <row r="34">
      <c r="A34" s="8" t="inlineStr">
        <is>
          <t>KO</t>
        </is>
      </c>
      <c r="B34" s="8" t="inlineStr">
        <is>
          <t>PASS</t>
        </is>
      </c>
      <c r="C34" s="8" t="inlineStr">
        <is>
          <t>6/6</t>
        </is>
      </c>
      <c r="D34" s="8" t="inlineStr">
        <is>
          <t>PASS</t>
        </is>
      </c>
      <c r="E34" s="8" t="inlineStr">
        <is>
          <t>PASS</t>
        </is>
      </c>
      <c r="F34" s="8" t="inlineStr">
        <is>
          <t>PASS</t>
        </is>
      </c>
      <c r="G34" s="8" t="inlineStr">
        <is>
          <t>https://www.sec.gov/Archives/edgar/data/21344/000162828026010047/ko-20251231.htm</t>
        </is>
      </c>
      <c r="H34" s="8" t="inlineStr">
        <is>
          <t>https://data.sec.gov/api/xbrl/companyfacts/CIK0000021344.json</t>
        </is>
      </c>
    </row>
    <row r="35">
      <c r="A35" s="8" t="inlineStr">
        <is>
          <t>UNH</t>
        </is>
      </c>
      <c r="B35" s="8" t="inlineStr">
        <is>
          <t>PASS</t>
        </is>
      </c>
      <c r="C35" s="8" t="inlineStr">
        <is>
          <t>6/6</t>
        </is>
      </c>
      <c r="D35" s="8" t="inlineStr">
        <is>
          <t>PASS</t>
        </is>
      </c>
      <c r="E35" s="8" t="inlineStr">
        <is>
          <t>PASS</t>
        </is>
      </c>
      <c r="F35" s="8" t="inlineStr">
        <is>
          <t>PASS</t>
        </is>
      </c>
      <c r="G35" s="8" t="inlineStr">
        <is>
          <t>https://www.sec.gov/Archives/edgar/data/731766/000073176626000062/unh-20251231.htm</t>
        </is>
      </c>
      <c r="H35" s="8" t="inlineStr">
        <is>
          <t>https://data.sec.gov/api/xbrl/companyfacts/CIK0000731766.json</t>
        </is>
      </c>
    </row>
    <row r="36">
      <c r="A36" s="8" t="inlineStr">
        <is>
          <t>CVX</t>
        </is>
      </c>
      <c r="B36" s="8" t="inlineStr">
        <is>
          <t>PASS</t>
        </is>
      </c>
      <c r="C36" s="8" t="inlineStr">
        <is>
          <t>6/6</t>
        </is>
      </c>
      <c r="D36" s="8" t="inlineStr">
        <is>
          <t>PASS</t>
        </is>
      </c>
      <c r="E36" s="8" t="inlineStr">
        <is>
          <t>PASS</t>
        </is>
      </c>
      <c r="F36" s="8" t="inlineStr">
        <is>
          <t>PASS</t>
        </is>
      </c>
      <c r="G36" s="8" t="inlineStr">
        <is>
          <t>https://www.sec.gov/Archives/edgar/data/93410/000009341026000078/cvx-20251231.htm</t>
        </is>
      </c>
      <c r="H36" s="8" t="inlineStr">
        <is>
          <t>https://data.sec.gov/api/xbrl/companyfacts/CIK0000093410.json</t>
        </is>
      </c>
    </row>
    <row r="37">
      <c r="A37" s="8" t="inlineStr">
        <is>
          <t>HD</t>
        </is>
      </c>
      <c r="B37" s="8" t="inlineStr">
        <is>
          <t>PASS</t>
        </is>
      </c>
      <c r="C37" s="8" t="inlineStr">
        <is>
          <t>6/6</t>
        </is>
      </c>
      <c r="D37" s="8" t="inlineStr">
        <is>
          <t>PASS</t>
        </is>
      </c>
      <c r="E37" s="8" t="inlineStr">
        <is>
          <t>PASS</t>
        </is>
      </c>
      <c r="F37" s="8" t="inlineStr">
        <is>
          <t>PASS</t>
        </is>
      </c>
      <c r="G37" s="8" t="inlineStr">
        <is>
          <t>https://www.sec.gov/Archives/edgar/data/354950/000162828026019436/hd-20260201.htm</t>
        </is>
      </c>
      <c r="H37" s="8" t="inlineStr">
        <is>
          <t>https://data.sec.gov/api/xbrl/companyfacts/CIK0000354950.json</t>
        </is>
      </c>
    </row>
    <row r="38">
      <c r="A38" s="8" t="inlineStr">
        <is>
          <t>MS</t>
        </is>
      </c>
      <c r="B38" s="8" t="inlineStr">
        <is>
          <t>PASS</t>
        </is>
      </c>
      <c r="C38" s="8" t="inlineStr">
        <is>
          <t>5/5</t>
        </is>
      </c>
      <c r="D38" s="8" t="inlineStr">
        <is>
          <t>PASS</t>
        </is>
      </c>
      <c r="E38" s="8" t="inlineStr">
        <is>
          <t>PASS</t>
        </is>
      </c>
      <c r="F38" s="8" t="inlineStr">
        <is>
          <t>PASS</t>
        </is>
      </c>
      <c r="G38" s="8" t="inlineStr">
        <is>
          <t>https://www.sec.gov/Archives/edgar/data/895421/000089542126000086/ms-20251231.htm</t>
        </is>
      </c>
      <c r="H38" s="8" t="inlineStr">
        <is>
          <t>https://data.sec.gov/api/xbrl/companyfacts/CIK0000895421.json</t>
        </is>
      </c>
    </row>
    <row r="39">
      <c r="A39" s="8" t="inlineStr">
        <is>
          <t>PG</t>
        </is>
      </c>
      <c r="B39" s="8" t="inlineStr">
        <is>
          <t>PASS</t>
        </is>
      </c>
      <c r="C39" s="8" t="inlineStr">
        <is>
          <t>6/6</t>
        </is>
      </c>
      <c r="D39" s="8" t="inlineStr">
        <is>
          <t>PASS</t>
        </is>
      </c>
      <c r="E39" s="8" t="inlineStr">
        <is>
          <t>PASS</t>
        </is>
      </c>
      <c r="F39" s="8" t="inlineStr">
        <is>
          <t>PASS</t>
        </is>
      </c>
      <c r="G39" s="8" t="inlineStr">
        <is>
          <t>https://www.sec.gov/Archives/edgar/data/80424/000008042426000103/pg-20260630.htm</t>
        </is>
      </c>
      <c r="H39" s="8" t="inlineStr">
        <is>
          <t>https://data.sec.gov/api/xbrl/companyfacts/CIK0000080424.json</t>
        </is>
      </c>
    </row>
    <row r="40">
      <c r="A40" s="8" t="inlineStr">
        <is>
          <t>MRK</t>
        </is>
      </c>
      <c r="B40" s="8" t="inlineStr">
        <is>
          <t>PASS</t>
        </is>
      </c>
      <c r="C40" s="8" t="inlineStr">
        <is>
          <t>6/6</t>
        </is>
      </c>
      <c r="D40" s="8" t="inlineStr">
        <is>
          <t>PASS</t>
        </is>
      </c>
      <c r="E40" s="8" t="inlineStr">
        <is>
          <t>PASS</t>
        </is>
      </c>
      <c r="F40" s="8" t="inlineStr">
        <is>
          <t>PASS</t>
        </is>
      </c>
      <c r="G40" s="8" t="inlineStr">
        <is>
          <t>https://www.sec.gov/Archives/edgar/data/310158/000031015826000063/mrk-20251231.htm</t>
        </is>
      </c>
      <c r="H40" s="8" t="inlineStr">
        <is>
          <t>https://data.sec.gov/api/xbrl/companyfacts/CIK0000310158.json</t>
        </is>
      </c>
    </row>
    <row r="41">
      <c r="A41" s="8" t="inlineStr">
        <is>
          <t>NFLX</t>
        </is>
      </c>
      <c r="B41" s="8" t="inlineStr">
        <is>
          <t>PASS</t>
        </is>
      </c>
      <c r="C41" s="8" t="inlineStr">
        <is>
          <t>6/6</t>
        </is>
      </c>
      <c r="D41" s="8" t="inlineStr">
        <is>
          <t>PASS</t>
        </is>
      </c>
      <c r="E41" s="8" t="inlineStr">
        <is>
          <t>PASS</t>
        </is>
      </c>
      <c r="F41" s="8" t="inlineStr">
        <is>
          <t>PASS</t>
        </is>
      </c>
      <c r="G41" s="8" t="inlineStr">
        <is>
          <t>https://www.sec.gov/Archives/edgar/data/1065280/000106528026000034/nflx-20251231.htm</t>
        </is>
      </c>
      <c r="H41" s="8" t="inlineStr">
        <is>
          <t>https://data.sec.gov/api/xbrl/companyfacts/CIK0001065280.json</t>
        </is>
      </c>
    </row>
    <row r="42">
      <c r="A42" s="8" t="inlineStr">
        <is>
          <t>GS</t>
        </is>
      </c>
      <c r="B42" s="8" t="inlineStr">
        <is>
          <t>PASS</t>
        </is>
      </c>
      <c r="C42" s="8" t="inlineStr">
        <is>
          <t>6/6</t>
        </is>
      </c>
      <c r="D42" s="8" t="inlineStr">
        <is>
          <t>PASS</t>
        </is>
      </c>
      <c r="E42" s="8" t="inlineStr">
        <is>
          <t>PASS</t>
        </is>
      </c>
      <c r="F42" s="8" t="inlineStr">
        <is>
          <t>PASS</t>
        </is>
      </c>
      <c r="G42" s="8" t="inlineStr">
        <is>
          <t>https://www.sec.gov/Archives/edgar/data/886982/000088698226000091/gs-20251231.htm</t>
        </is>
      </c>
      <c r="H42" s="8" t="inlineStr">
        <is>
          <t>https://data.sec.gov/api/xbrl/companyfacts/CIK0000886982.json</t>
        </is>
      </c>
    </row>
    <row r="43">
      <c r="A43" s="8" t="inlineStr">
        <is>
          <t>RTX</t>
        </is>
      </c>
      <c r="B43" s="8" t="inlineStr">
        <is>
          <t>PASS</t>
        </is>
      </c>
      <c r="C43" s="8" t="inlineStr">
        <is>
          <t>6/6</t>
        </is>
      </c>
      <c r="D43" s="8" t="inlineStr">
        <is>
          <t>PASS</t>
        </is>
      </c>
      <c r="E43" s="8" t="inlineStr">
        <is>
          <t>PASS</t>
        </is>
      </c>
      <c r="F43" s="8" t="inlineStr">
        <is>
          <t>PASS</t>
        </is>
      </c>
      <c r="G43" s="8" t="inlineStr">
        <is>
          <t>https://www.sec.gov/Archives/edgar/data/101829/000010182926000006/rtx-20251231.htm</t>
        </is>
      </c>
      <c r="H43" s="8" t="inlineStr">
        <is>
          <t>https://data.sec.gov/api/xbrl/companyfacts/CIK0000101829.json</t>
        </is>
      </c>
    </row>
    <row r="44">
      <c r="A44" s="8" t="inlineStr">
        <is>
          <t>PANW</t>
        </is>
      </c>
      <c r="B44" s="8" t="inlineStr">
        <is>
          <t>PASS</t>
        </is>
      </c>
      <c r="C44" s="8" t="inlineStr">
        <is>
          <t>6/6</t>
        </is>
      </c>
      <c r="D44" s="8" t="inlineStr">
        <is>
          <t>PASS</t>
        </is>
      </c>
      <c r="E44" s="8" t="inlineStr">
        <is>
          <t>PASS</t>
        </is>
      </c>
      <c r="F44" s="8" t="inlineStr">
        <is>
          <t>PASS</t>
        </is>
      </c>
      <c r="G44" s="8" t="inlineStr">
        <is>
          <t>https://www.sec.gov/Archives/edgar/data/1327567/000132756725000027/panw-20250731.htm</t>
        </is>
      </c>
      <c r="H44" s="8" t="inlineStr">
        <is>
          <t>https://data.sec.gov/api/xbrl/companyfacts/CIK0001327567.json</t>
        </is>
      </c>
    </row>
    <row r="45">
      <c r="A45" s="8" t="inlineStr">
        <is>
          <t>PM</t>
        </is>
      </c>
      <c r="B45" s="8" t="inlineStr">
        <is>
          <t>PASS</t>
        </is>
      </c>
      <c r="C45" s="8" t="inlineStr">
        <is>
          <t>6/6</t>
        </is>
      </c>
      <c r="D45" s="8" t="inlineStr">
        <is>
          <t>PASS</t>
        </is>
      </c>
      <c r="E45" s="8" t="inlineStr">
        <is>
          <t>PASS</t>
        </is>
      </c>
      <c r="F45" s="8" t="inlineStr">
        <is>
          <t>PASS</t>
        </is>
      </c>
      <c r="G45" s="8" t="inlineStr">
        <is>
          <t>https://www.sec.gov/Archives/edgar/data/1413329/000162828026005939/pm-20251231.htm</t>
        </is>
      </c>
      <c r="H45" s="8" t="inlineStr">
        <is>
          <t>https://data.sec.gov/api/xbrl/companyfacts/CIK0001413329.json</t>
        </is>
      </c>
    </row>
    <row r="46">
      <c r="A46" s="8" t="inlineStr">
        <is>
          <t>DELL</t>
        </is>
      </c>
      <c r="B46" s="8" t="inlineStr">
        <is>
          <t>PASS</t>
        </is>
      </c>
      <c r="C46" s="8" t="inlineStr">
        <is>
          <t>6/6</t>
        </is>
      </c>
      <c r="D46" s="8" t="inlineStr">
        <is>
          <t>PASS</t>
        </is>
      </c>
      <c r="E46" s="8" t="inlineStr">
        <is>
          <t>PASS</t>
        </is>
      </c>
      <c r="F46" s="8" t="inlineStr">
        <is>
          <t>PASS</t>
        </is>
      </c>
      <c r="G46" s="8" t="inlineStr">
        <is>
          <t>https://www.sec.gov/Archives/edgar/data/1571996/000157199626000008/dell-20260130.htm</t>
        </is>
      </c>
      <c r="H46" s="8" t="inlineStr">
        <is>
          <t>https://data.sec.gov/api/xbrl/companyfacts/CIK0001571996.json</t>
        </is>
      </c>
    </row>
    <row r="47">
      <c r="A47" s="8" t="inlineStr">
        <is>
          <t>WFC</t>
        </is>
      </c>
      <c r="B47" s="8" t="inlineStr">
        <is>
          <t>PASS</t>
        </is>
      </c>
      <c r="C47" s="8" t="inlineStr">
        <is>
          <t>5/5</t>
        </is>
      </c>
      <c r="D47" s="8" t="inlineStr">
        <is>
          <t>PASS</t>
        </is>
      </c>
      <c r="E47" s="8" t="inlineStr">
        <is>
          <t>PASS</t>
        </is>
      </c>
      <c r="F47" s="8" t="inlineStr">
        <is>
          <t>PASS</t>
        </is>
      </c>
      <c r="G47" s="8" t="inlineStr">
        <is>
          <t>https://www.sec.gov/Archives/edgar/data/72971/000007297126000133/wfc-20251231_d2.htm</t>
        </is>
      </c>
      <c r="H47" s="8" t="inlineStr">
        <is>
          <t>https://data.sec.gov/api/xbrl/companyfacts/CIK0000072971.json</t>
        </is>
      </c>
    </row>
    <row r="48">
      <c r="A48" s="8" t="inlineStr">
        <is>
          <t>GEV</t>
        </is>
      </c>
      <c r="B48" s="8" t="inlineStr">
        <is>
          <t>PASS</t>
        </is>
      </c>
      <c r="C48" s="8" t="inlineStr">
        <is>
          <t>6/6</t>
        </is>
      </c>
      <c r="D48" s="8" t="inlineStr">
        <is>
          <t>PASS</t>
        </is>
      </c>
      <c r="E48" s="8" t="inlineStr">
        <is>
          <t>PASS</t>
        </is>
      </c>
      <c r="F48" s="8" t="inlineStr">
        <is>
          <t>PASS</t>
        </is>
      </c>
      <c r="G48" s="8" t="inlineStr">
        <is>
          <t>https://www.sec.gov/Archives/edgar/data/1996810/000199681026000015/gev-20251231.htm</t>
        </is>
      </c>
      <c r="H48" s="8" t="inlineStr">
        <is>
          <t>https://data.sec.gov/api/xbrl/companyfacts/CIK0001996810.json</t>
        </is>
      </c>
    </row>
    <row r="49">
      <c r="A49" s="8" t="inlineStr">
        <is>
          <t>TXN</t>
        </is>
      </c>
      <c r="B49" s="8" t="inlineStr">
        <is>
          <t>PASS</t>
        </is>
      </c>
      <c r="C49" s="8" t="inlineStr">
        <is>
          <t>6/6</t>
        </is>
      </c>
      <c r="D49" s="8" t="inlineStr">
        <is>
          <t>PASS</t>
        </is>
      </c>
      <c r="E49" s="8" t="inlineStr">
        <is>
          <t>PASS</t>
        </is>
      </c>
      <c r="F49" s="8" t="inlineStr">
        <is>
          <t>PASS</t>
        </is>
      </c>
      <c r="G49" s="8" t="inlineStr">
        <is>
          <t>https://www.sec.gov/Archives/edgar/data/97476/000009747626000059/txn-20251231.htm</t>
        </is>
      </c>
      <c r="H49" s="8" t="inlineStr">
        <is>
          <t>https://data.sec.gov/api/xbrl/companyfacts/CIK0000097476.json</t>
        </is>
      </c>
    </row>
    <row r="50">
      <c r="A50" s="8" t="inlineStr">
        <is>
          <t>KLAC</t>
        </is>
      </c>
      <c r="B50" s="8" t="inlineStr">
        <is>
          <t>PASS</t>
        </is>
      </c>
      <c r="C50" s="8" t="inlineStr">
        <is>
          <t>6/6</t>
        </is>
      </c>
      <c r="D50" s="8" t="inlineStr">
        <is>
          <t>PASS</t>
        </is>
      </c>
      <c r="E50" s="8" t="inlineStr">
        <is>
          <t>PASS</t>
        </is>
      </c>
      <c r="F50" s="8" t="inlineStr">
        <is>
          <t>PASS</t>
        </is>
      </c>
      <c r="G50" s="8" t="inlineStr">
        <is>
          <t>https://www.sec.gov/Archives/edgar/data/319201/000031920126000027/klac-20260630.htm</t>
        </is>
      </c>
      <c r="H50" s="8" t="inlineStr">
        <is>
          <t>https://data.sec.gov/api/xbrl/companyfacts/CIK0000319201.json</t>
        </is>
      </c>
    </row>
    <row r="51">
      <c r="A51" s="8" t="inlineStr">
        <is>
          <t>ANET</t>
        </is>
      </c>
      <c r="B51" s="8" t="inlineStr">
        <is>
          <t>PASS</t>
        </is>
      </c>
      <c r="C51" s="8" t="inlineStr">
        <is>
          <t>6/6</t>
        </is>
      </c>
      <c r="D51" s="8" t="inlineStr">
        <is>
          <t>PASS</t>
        </is>
      </c>
      <c r="E51" s="8" t="inlineStr">
        <is>
          <t>PASS</t>
        </is>
      </c>
      <c r="F51" s="8" t="inlineStr">
        <is>
          <t>PASS</t>
        </is>
      </c>
      <c r="G51" s="8" t="inlineStr">
        <is>
          <t>https://www.sec.gov/Archives/edgar/data/1596532/000159653226000013/anet-20251231.htm</t>
        </is>
      </c>
      <c r="H51" s="8" t="inlineStr">
        <is>
          <t>https://data.sec.gov/api/xbrl/companyfacts/CIK0001596532.json</t>
        </is>
      </c>
    </row>
    <row r="52">
      <c r="A52" s="8" t="inlineStr">
        <is>
          <t>AXP</t>
        </is>
      </c>
      <c r="B52" s="8" t="inlineStr">
        <is>
          <t>PASS</t>
        </is>
      </c>
      <c r="C52" s="8" t="inlineStr">
        <is>
          <t>6/6</t>
        </is>
      </c>
      <c r="D52" s="8" t="inlineStr">
        <is>
          <t>PASS</t>
        </is>
      </c>
      <c r="E52" s="8" t="inlineStr">
        <is>
          <t>PASS</t>
        </is>
      </c>
      <c r="F52" s="8" t="inlineStr">
        <is>
          <t>PASS</t>
        </is>
      </c>
      <c r="G52" s="8" t="inlineStr">
        <is>
          <t>https://www.sec.gov/Archives/edgar/data/4962/000000496226000080/axp-20251231.htm</t>
        </is>
      </c>
      <c r="H52" s="8" t="inlineStr">
        <is>
          <t>https://data.sec.gov/api/xbrl/companyfacts/CIK0000004962.json</t>
        </is>
      </c>
    </row>
    <row r="53">
      <c r="A53" s="8" t="inlineStr">
        <is>
          <t>C</t>
        </is>
      </c>
      <c r="B53" s="8" t="inlineStr">
        <is>
          <t>PASS</t>
        </is>
      </c>
      <c r="C53" s="8" t="inlineStr">
        <is>
          <t>6/6</t>
        </is>
      </c>
      <c r="D53" s="8" t="inlineStr">
        <is>
          <t>PASS</t>
        </is>
      </c>
      <c r="E53" s="8" t="inlineStr">
        <is>
          <t>PASS</t>
        </is>
      </c>
      <c r="F53" s="8" t="inlineStr">
        <is>
          <t>PASS</t>
        </is>
      </c>
      <c r="G53" s="8" t="inlineStr">
        <is>
          <t>https://www.sec.gov/Archives/edgar/data/831001/000083100126000011/c-20251231.htm</t>
        </is>
      </c>
      <c r="H53" s="8" t="inlineStr">
        <is>
          <t>https://data.sec.gov/api/xbrl/companyfacts/CIK0000831001.json</t>
        </is>
      </c>
    </row>
    <row r="54">
      <c r="A54" s="8" t="inlineStr">
        <is>
          <t>IBM</t>
        </is>
      </c>
      <c r="B54" s="8" t="inlineStr">
        <is>
          <t>PASS</t>
        </is>
      </c>
      <c r="C54" s="8" t="inlineStr">
        <is>
          <t>6/6</t>
        </is>
      </c>
      <c r="D54" s="8" t="inlineStr">
        <is>
          <t>PASS</t>
        </is>
      </c>
      <c r="E54" s="8" t="inlineStr">
        <is>
          <t>PASS</t>
        </is>
      </c>
      <c r="F54" s="8" t="inlineStr">
        <is>
          <t>PASS</t>
        </is>
      </c>
      <c r="G54" s="8" t="inlineStr">
        <is>
          <t>https://www.sec.gov/Archives/edgar/data/51143/000005114326000010/ibm-20251231.htm</t>
        </is>
      </c>
      <c r="H54" s="8" t="inlineStr">
        <is>
          <t>https://data.sec.gov/api/xbrl/companyfacts/CIK0000051143.json</t>
        </is>
      </c>
    </row>
    <row r="56">
      <c r="A56" s="7" t="inlineStr">
        <is>
          <t>무위험수익률</t>
        </is>
      </c>
      <c r="B56" s="8" t="inlineStr">
        <is>
          <t>PASS</t>
        </is>
      </c>
      <c r="C56" s="8" t="inlineStr">
        <is>
          <t>https://fred.stlouisfed.org/graph/fredgraph.csv?id=DGS10</t>
        </is>
      </c>
    </row>
    <row r="57">
      <c r="A57" s="7" t="inlineStr">
        <is>
          <t>주식위험프리미엄</t>
        </is>
      </c>
      <c r="B57" s="8" t="inlineStr">
        <is>
          <t>PASS</t>
        </is>
      </c>
      <c r="C57" s="8" t="inlineStr">
        <is>
          <t>https://pages.stern.nyu.edu/~adamodar/New_Home_Page/datafile/ctryprem.html</t>
        </is>
      </c>
    </row>
  </sheetData>
  <autoFilter ref="A4:H5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7" customWidth="1" min="3" max="3"/>
    <col width="16" customWidth="1" min="4" max="4"/>
    <col width="11" customWidth="1" min="5" max="5"/>
    <col width="10" customWidth="1" min="6" max="6"/>
    <col width="16" customWidth="1" min="7" max="7"/>
    <col width="16" customWidth="1" min="8" max="8"/>
    <col width="50" customWidth="1" min="9" max="9"/>
    <col width="60" customWidth="1" min="10" max="10"/>
  </cols>
  <sheetData>
    <row r="1">
      <c r="A1" s="1" t="inlineStr">
        <is>
          <t>유니버스 52개사 — 선정 근거</t>
        </is>
      </c>
    </row>
    <row r="2">
      <c r="A2" s="2" t="inlineStr">
        <is>
          <t>미국 50개사는 시가총액 상위 기준으로 선정했습니다. 선정에 쓴 외부 시가총액은 구성 결정에만 사용했고 보고서의 어떤 수치로도 인용하지 않았습니다.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국가</t>
        </is>
      </c>
      <c r="D4" s="6" t="inlineStr">
        <is>
          <t>분석 방식</t>
        </is>
      </c>
      <c r="E4" s="6" t="inlineStr">
        <is>
          <t>CIK</t>
        </is>
      </c>
      <c r="F4" s="6" t="inlineStr">
        <is>
          <t>선정 순위</t>
        </is>
      </c>
      <c r="G4" s="6" t="inlineStr">
        <is>
          <t>선정용 시가총액</t>
        </is>
      </c>
      <c r="H4" s="6" t="inlineStr">
        <is>
          <t>계산된 시가총액</t>
        </is>
      </c>
      <c r="I4" s="6" t="inlineStr">
        <is>
          <t>주식수 출처</t>
        </is>
      </c>
      <c r="J4" s="6" t="inlineStr">
        <is>
          <t>비고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inlineStr">
        <is>
          <t>US</t>
        </is>
      </c>
      <c r="D5" s="8" t="inlineStr">
        <is>
          <t>정량</t>
        </is>
      </c>
      <c r="E5" s="8" t="n">
        <v>1045810</v>
      </c>
      <c r="F5" s="21" t="n">
        <v>1</v>
      </c>
      <c r="G5" s="17" t="n">
        <v>5424.53530624</v>
      </c>
      <c r="H5" s="17" t="n">
        <v>5286.465</v>
      </c>
      <c r="I5" s="8" t="inlineStr">
        <is>
          <t>10-K cover page (None), all classes summed at 1:1</t>
        </is>
      </c>
      <c r="J5" s="8" t="inlineStr"/>
    </row>
    <row r="6">
      <c r="A6" s="8" t="inlineStr">
        <is>
          <t>AAPL</t>
        </is>
      </c>
      <c r="B6" s="8" t="inlineStr">
        <is>
          <t>Apple Inc.</t>
        </is>
      </c>
      <c r="C6" s="8" t="inlineStr">
        <is>
          <t>US</t>
        </is>
      </c>
      <c r="D6" s="8" t="inlineStr">
        <is>
          <t>정량</t>
        </is>
      </c>
      <c r="E6" s="8" t="n">
        <v>320193</v>
      </c>
      <c r="F6" s="21" t="n">
        <v>2</v>
      </c>
      <c r="G6" s="17" t="n">
        <v>4572.794322944</v>
      </c>
      <c r="H6" s="17" t="n">
        <v>4554.95857578</v>
      </c>
      <c r="I6" s="8" t="inlineStr">
        <is>
          <t>10-K cover page (None), all classes summed at 1:1</t>
        </is>
      </c>
      <c r="J6" s="8" t="inlineStr"/>
    </row>
    <row r="7">
      <c r="A7" s="8" t="inlineStr">
        <is>
          <t>GOOG</t>
        </is>
      </c>
      <c r="B7" s="8" t="inlineStr">
        <is>
          <t>Alphabet Inc.</t>
        </is>
      </c>
      <c r="C7" s="8" t="inlineStr">
        <is>
          <t>US</t>
        </is>
      </c>
      <c r="D7" s="8" t="inlineStr">
        <is>
          <t>정량</t>
        </is>
      </c>
      <c r="E7" s="8" t="n">
        <v>1652044</v>
      </c>
      <c r="F7" s="21" t="n">
        <v>3</v>
      </c>
      <c r="G7" s="17" t="n">
        <v>4322.915254272</v>
      </c>
      <c r="H7" s="17" t="n">
        <v>4304.596479999999</v>
      </c>
      <c r="I7" s="8" t="inlineStr">
        <is>
          <t>10-K cover page (None), all classes summed at 1:1</t>
        </is>
      </c>
      <c r="J7" s="8" t="inlineStr"/>
    </row>
    <row r="8">
      <c r="A8" s="8" t="inlineStr">
        <is>
          <t>MSFT</t>
        </is>
      </c>
      <c r="B8" s="8" t="inlineStr">
        <is>
          <t>MICROSOFT CORP</t>
        </is>
      </c>
      <c r="C8" s="8" t="inlineStr">
        <is>
          <t>US</t>
        </is>
      </c>
      <c r="D8" s="8" t="inlineStr">
        <is>
          <t>정량</t>
        </is>
      </c>
      <c r="E8" s="8" t="n">
        <v>789019</v>
      </c>
      <c r="F8" s="21" t="n">
        <v>4</v>
      </c>
      <c r="G8" s="17" t="n">
        <v>3712.698548224</v>
      </c>
      <c r="H8" s="17" t="n">
        <v>3757.77155117546</v>
      </c>
      <c r="I8" s="8" t="inlineStr">
        <is>
          <t>10-K cover page (None), all classes summed at 1:1</t>
        </is>
      </c>
      <c r="J8" s="8" t="inlineStr"/>
    </row>
    <row r="9">
      <c r="A9" s="8" t="inlineStr">
        <is>
          <t>AMZN</t>
        </is>
      </c>
      <c r="B9" s="8" t="inlineStr">
        <is>
          <t>AMAZON COM INC</t>
        </is>
      </c>
      <c r="C9" s="8" t="inlineStr">
        <is>
          <t>US</t>
        </is>
      </c>
      <c r="D9" s="8" t="inlineStr">
        <is>
          <t>정량</t>
        </is>
      </c>
      <c r="E9" s="8" t="n">
        <v>1018724</v>
      </c>
      <c r="F9" s="21" t="n">
        <v>5</v>
      </c>
      <c r="G9" s="17" t="n">
        <v>2960.627335168</v>
      </c>
      <c r="H9" s="17" t="n">
        <v>2985.2741447383</v>
      </c>
      <c r="I9" s="8" t="inlineStr">
        <is>
          <t>10-K cover page (None), all classes summed at 1:1</t>
        </is>
      </c>
      <c r="J9" s="8" t="inlineStr"/>
    </row>
    <row r="10">
      <c r="A10" s="8" t="inlineStr">
        <is>
          <t>AVGO</t>
        </is>
      </c>
      <c r="B10" s="8" t="inlineStr">
        <is>
          <t>Broadcom Inc.</t>
        </is>
      </c>
      <c r="C10" s="8" t="inlineStr">
        <is>
          <t>US</t>
        </is>
      </c>
      <c r="D10" s="8" t="inlineStr">
        <is>
          <t>정량</t>
        </is>
      </c>
      <c r="E10" s="8" t="n">
        <v>1730168</v>
      </c>
      <c r="F10" s="21" t="n">
        <v>6</v>
      </c>
      <c r="G10" s="17" t="n">
        <v>2035.102646272</v>
      </c>
      <c r="H10" s="17" t="n">
        <v>2002.7140526976</v>
      </c>
      <c r="I10" s="8" t="inlineStr">
        <is>
          <t>10-K cover page (None), all classes summed at 1:1</t>
        </is>
      </c>
      <c r="J10" s="8" t="inlineStr"/>
    </row>
    <row r="11">
      <c r="A11" s="8" t="inlineStr">
        <is>
          <t>META</t>
        </is>
      </c>
      <c r="B11" s="8" t="inlineStr">
        <is>
          <t>Meta Platforms, Inc.</t>
        </is>
      </c>
      <c r="C11" s="8" t="inlineStr">
        <is>
          <t>US</t>
        </is>
      </c>
      <c r="D11" s="8" t="inlineStr">
        <is>
          <t>정량</t>
        </is>
      </c>
      <c r="E11" s="8" t="n">
        <v>1326801</v>
      </c>
      <c r="F11" s="21" t="n">
        <v>8</v>
      </c>
      <c r="G11" s="17" t="n">
        <v>1508.378279936</v>
      </c>
      <c r="H11" s="17" t="n">
        <v>1504.88313664288</v>
      </c>
      <c r="I11" s="8" t="inlineStr">
        <is>
          <t>10-K cover page (None), all classes summed at 1:1</t>
        </is>
      </c>
      <c r="J11" s="8" t="inlineStr"/>
    </row>
    <row r="12">
      <c r="A12" s="8" t="inlineStr">
        <is>
          <t>TSLA</t>
        </is>
      </c>
      <c r="B12" s="8" t="inlineStr">
        <is>
          <t>Tesla, Inc.</t>
        </is>
      </c>
      <c r="C12" s="8" t="inlineStr">
        <is>
          <t>US</t>
        </is>
      </c>
      <c r="D12" s="8" t="inlineStr">
        <is>
          <t>정량</t>
        </is>
      </c>
      <c r="E12" s="8" t="n">
        <v>1318605</v>
      </c>
      <c r="F12" s="21" t="n">
        <v>9</v>
      </c>
      <c r="G12" s="17" t="n">
        <v>1297.742299136</v>
      </c>
      <c r="H12" s="17" t="n">
        <v>1241.60469486592</v>
      </c>
      <c r="I12" s="8" t="inlineStr">
        <is>
          <t>10-K cover page (None), all classes summed at 1:1</t>
        </is>
      </c>
      <c r="J12" s="8" t="inlineStr"/>
    </row>
    <row r="13">
      <c r="A13" s="8" t="inlineStr">
        <is>
          <t>BRK-B</t>
        </is>
      </c>
      <c r="B13" s="8" t="inlineStr">
        <is>
          <t>BERKSHIRE HATHAWAY INC</t>
        </is>
      </c>
      <c r="C13" s="8" t="inlineStr">
        <is>
          <t>US</t>
        </is>
      </c>
      <c r="D13" s="8" t="inlineStr">
        <is>
          <t>정량</t>
        </is>
      </c>
      <c r="E13" s="8" t="n">
        <v>1067983</v>
      </c>
      <c r="F13" s="21" t="n">
        <v>10</v>
      </c>
      <c r="G13" s="17" t="n">
        <v>1125.446320128</v>
      </c>
      <c r="H13" s="17" t="n">
        <v>1142.13636928938</v>
      </c>
      <c r="I13" s="8" t="inlineStr">
        <is>
          <t>10-K cover page (None), expressed in Class B equivalents (A = 1,500 B, per the charter)</t>
        </is>
      </c>
      <c r="J13" s="8" t="inlineStr"/>
    </row>
    <row r="14">
      <c r="A14" s="8" t="inlineStr">
        <is>
          <t>LLY</t>
        </is>
      </c>
      <c r="B14" s="8" t="inlineStr">
        <is>
          <t>ELI LILLY &amp; Co</t>
        </is>
      </c>
      <c r="C14" s="8" t="inlineStr">
        <is>
          <t>US</t>
        </is>
      </c>
      <c r="D14" s="8" t="inlineStr">
        <is>
          <t>정량</t>
        </is>
      </c>
      <c r="E14" s="8" t="n">
        <v>59478</v>
      </c>
      <c r="F14" s="21" t="n">
        <v>11</v>
      </c>
      <c r="G14" s="17" t="n">
        <v>1056.890945536</v>
      </c>
      <c r="H14" s="17" t="n">
        <v>1162.1597399948</v>
      </c>
      <c r="I14" s="8" t="inlineStr">
        <is>
          <t>10-K cover page (None), all classes summed at 1:1</t>
        </is>
      </c>
      <c r="J14" s="8" t="inlineStr"/>
    </row>
    <row r="15">
      <c r="A15" s="8" t="inlineStr">
        <is>
          <t>MU</t>
        </is>
      </c>
      <c r="B15" s="8" t="inlineStr">
        <is>
          <t>MICRON TECHNOLOGY INC</t>
        </is>
      </c>
      <c r="C15" s="8" t="inlineStr">
        <is>
          <t>US</t>
        </is>
      </c>
      <c r="D15" s="8" t="inlineStr">
        <is>
          <t>정량</t>
        </is>
      </c>
      <c r="E15" s="8" t="n">
        <v>723125</v>
      </c>
      <c r="F15" s="21" t="n">
        <v>12</v>
      </c>
      <c r="G15" s="17" t="n">
        <v>991.12157184</v>
      </c>
      <c r="H15" s="17" t="n">
        <v>966.443256135</v>
      </c>
      <c r="I15" s="8" t="inlineStr">
        <is>
          <t>10-K cover page (August&amp;#160;28, 2025), all classes summed at 1:1</t>
        </is>
      </c>
      <c r="J15" s="8" t="inlineStr"/>
    </row>
    <row r="16">
      <c r="A16" s="8" t="inlineStr">
        <is>
          <t>JPM</t>
        </is>
      </c>
      <c r="B16" s="8" t="inlineStr">
        <is>
          <t>JPMORGAN CHASE &amp; CO</t>
        </is>
      </c>
      <c r="C16" s="8" t="inlineStr">
        <is>
          <t>US</t>
        </is>
      </c>
      <c r="D16" s="8" t="inlineStr">
        <is>
          <t>정량</t>
        </is>
      </c>
      <c r="E16" s="8" t="n">
        <v>19617</v>
      </c>
      <c r="F16" s="21" t="n">
        <v>13</v>
      </c>
      <c r="G16" s="17" t="n">
        <v>950.3547064319999</v>
      </c>
      <c r="H16" s="17" t="n">
        <v>970.36527820125</v>
      </c>
      <c r="I16" s="8" t="inlineStr">
        <is>
          <t>10-K cover page (None), all classes summed at 1:1</t>
        </is>
      </c>
      <c r="J16" s="8" t="inlineStr"/>
    </row>
    <row r="17">
      <c r="A17" s="8" t="inlineStr">
        <is>
          <t>WMT</t>
        </is>
      </c>
      <c r="B17" s="8" t="inlineStr">
        <is>
          <t>Walmart Inc.</t>
        </is>
      </c>
      <c r="C17" s="8" t="inlineStr">
        <is>
          <t>US</t>
        </is>
      </c>
      <c r="D17" s="8" t="inlineStr">
        <is>
          <t>정량</t>
        </is>
      </c>
      <c r="E17" s="8" t="n">
        <v>104169</v>
      </c>
      <c r="F17" s="21" t="n">
        <v>14</v>
      </c>
      <c r="G17" s="17" t="n">
        <v>890.111131648</v>
      </c>
      <c r="H17" s="17" t="n">
        <v>898.1708657626599</v>
      </c>
      <c r="I17" s="8" t="inlineStr">
        <is>
          <t>10-K cover page (None), all classes summed at 1:1</t>
        </is>
      </c>
      <c r="J17" s="8" t="inlineStr"/>
    </row>
    <row r="18">
      <c r="A18" s="8" t="inlineStr">
        <is>
          <t>AMD</t>
        </is>
      </c>
      <c r="B18" s="8" t="inlineStr">
        <is>
          <t>ADVANCED MICRO DEVICES INC</t>
        </is>
      </c>
      <c r="C18" s="8" t="inlineStr">
        <is>
          <t>US</t>
        </is>
      </c>
      <c r="D18" s="8" t="inlineStr">
        <is>
          <t>정량</t>
        </is>
      </c>
      <c r="E18" s="8" t="n">
        <v>2488</v>
      </c>
      <c r="F18" s="21" t="n">
        <v>15</v>
      </c>
      <c r="G18" s="17" t="n">
        <v>789.0731008</v>
      </c>
      <c r="H18" s="17" t="n">
        <v>765.57571543908</v>
      </c>
      <c r="I18" s="8" t="inlineStr">
        <is>
          <t>10-K cover page (December 27, 2025), all classes summed at 1:1</t>
        </is>
      </c>
      <c r="J18" s="8" t="inlineStr"/>
    </row>
    <row r="19">
      <c r="A19" s="8" t="inlineStr">
        <is>
          <t>V</t>
        </is>
      </c>
      <c r="B19" s="8" t="inlineStr">
        <is>
          <t>VISA INC.</t>
        </is>
      </c>
      <c r="C19" s="8" t="inlineStr">
        <is>
          <t>US</t>
        </is>
      </c>
      <c r="D19" s="8" t="inlineStr">
        <is>
          <t>정량</t>
        </is>
      </c>
      <c r="E19" s="8" t="n">
        <v>1403161</v>
      </c>
      <c r="F19" s="21" t="n">
        <v>16</v>
      </c>
      <c r="G19" s="17" t="n">
        <v>676.804624384</v>
      </c>
      <c r="H19" s="17" t="n">
        <v>609.7743884964</v>
      </c>
      <c r="I19" s="8" t="inlineStr">
        <is>
          <t>10-K cover page (None), Class A only; B-1/B-2/C excluded because their conversion rates are periodically reset and not derivable from the cover page, so the resulting market cap understates the as-converted total</t>
        </is>
      </c>
      <c r="J19" s="8" t="inlineStr">
        <is>
          <t>Class A only; B-1/B-2/C excluded because their conversion rates are periodically reset and not derivable from the cover page, so the resulting market cap understates the as-converted total</t>
        </is>
      </c>
    </row>
    <row r="20">
      <c r="A20" s="8" t="inlineStr">
        <is>
          <t>XOM</t>
        </is>
      </c>
      <c r="B20" s="8" t="inlineStr">
        <is>
          <t>ExxonMobil Holdings Corp</t>
        </is>
      </c>
      <c r="C20" s="8" t="inlineStr">
        <is>
          <t>US</t>
        </is>
      </c>
      <c r="D20" s="8" t="inlineStr">
        <is>
          <t>정량</t>
        </is>
      </c>
      <c r="E20" s="8" t="n">
        <v>34088</v>
      </c>
      <c r="F20" s="21" t="n">
        <v>17</v>
      </c>
      <c r="G20" s="17" t="n">
        <v>634.342670336</v>
      </c>
      <c r="H20" s="17" t="n">
        <v>665.80713215487</v>
      </c>
      <c r="I20" s="8" t="inlineStr">
        <is>
          <t>10-K cover page (None), all classes summed at 1:1</t>
        </is>
      </c>
      <c r="J20" s="8" t="inlineStr">
        <is>
          <t>CIK 교정: ticker XOM now resolves to ExxonMobil Holdings Corp (CIK 2115436), a 2026 reorganisation holdco with zero 10-K filings. The operating registrant with the audited annual history is EXXON MOBIL CORP.</t>
        </is>
      </c>
    </row>
    <row r="21">
      <c r="A21" s="8" t="inlineStr">
        <is>
          <t>JNJ</t>
        </is>
      </c>
      <c r="B21" s="8" t="inlineStr">
        <is>
          <t>JOHNSON &amp; JOHNSON</t>
        </is>
      </c>
      <c r="C21" s="8" t="inlineStr">
        <is>
          <t>US</t>
        </is>
      </c>
      <c r="D21" s="8" t="inlineStr">
        <is>
          <t>정량</t>
        </is>
      </c>
      <c r="E21" s="8" t="n">
        <v>200406</v>
      </c>
      <c r="F21" s="21" t="n">
        <v>18</v>
      </c>
      <c r="G21" s="17" t="n">
        <v>624.7420395520001</v>
      </c>
      <c r="H21" s="17" t="n">
        <v>630.9356404341601</v>
      </c>
      <c r="I21" s="8" t="inlineStr">
        <is>
          <t>10-K cover page (None), all classes summed at 1:1</t>
        </is>
      </c>
      <c r="J21" s="8" t="inlineStr"/>
    </row>
    <row r="22">
      <c r="A22" s="8" t="inlineStr">
        <is>
          <t>INTC</t>
        </is>
      </c>
      <c r="B22" s="8" t="inlineStr">
        <is>
          <t>INTEL CORP</t>
        </is>
      </c>
      <c r="C22" s="8" t="inlineStr">
        <is>
          <t>US</t>
        </is>
      </c>
      <c r="D22" s="8" t="inlineStr">
        <is>
          <t>정량</t>
        </is>
      </c>
      <c r="E22" s="8" t="n">
        <v>50863</v>
      </c>
      <c r="F22" s="21" t="n">
        <v>19</v>
      </c>
      <c r="G22" s="17" t="n">
        <v>512.722567168</v>
      </c>
      <c r="H22" s="17" t="n">
        <v>487.1124</v>
      </c>
      <c r="I22" s="8" t="inlineStr">
        <is>
          <t>10-K cover page (December 27, 2025), all classes summed at 1:1</t>
        </is>
      </c>
      <c r="J22" s="8" t="inlineStr"/>
    </row>
    <row r="23">
      <c r="A23" s="8" t="inlineStr">
        <is>
          <t>MA</t>
        </is>
      </c>
      <c r="B23" s="8" t="inlineStr">
        <is>
          <t>Mastercard Inc</t>
        </is>
      </c>
      <c r="C23" s="8" t="inlineStr">
        <is>
          <t>US</t>
        </is>
      </c>
      <c r="D23" s="8" t="inlineStr">
        <is>
          <t>정량</t>
        </is>
      </c>
      <c r="E23" s="8" t="n">
        <v>1141391</v>
      </c>
      <c r="F23" s="21" t="n">
        <v>20</v>
      </c>
      <c r="G23" s="17" t="n">
        <v>493.149782016</v>
      </c>
      <c r="H23" s="17" t="n">
        <v>502.2419391858699</v>
      </c>
      <c r="I23" s="8" t="inlineStr">
        <is>
          <t>10-K cover page (None), all classes summed at 1:1</t>
        </is>
      </c>
      <c r="J23" s="8" t="inlineStr"/>
    </row>
    <row r="24">
      <c r="A24" s="8" t="inlineStr">
        <is>
          <t>CSCO</t>
        </is>
      </c>
      <c r="B24" s="8" t="inlineStr">
        <is>
          <t>CISCO SYSTEMS, INC.</t>
        </is>
      </c>
      <c r="C24" s="8" t="inlineStr">
        <is>
          <t>US</t>
        </is>
      </c>
      <c r="D24" s="8" t="inlineStr">
        <is>
          <t>정량</t>
        </is>
      </c>
      <c r="E24" s="8" t="n">
        <v>858877</v>
      </c>
      <c r="F24" s="21" t="n">
        <v>21</v>
      </c>
      <c r="G24" s="17" t="n">
        <v>478.608392192</v>
      </c>
      <c r="H24" s="17" t="n">
        <v>484.54335052921</v>
      </c>
      <c r="I24" s="8" t="inlineStr">
        <is>
          <t>10-K cover page (None), all classes summed at 1:1</t>
        </is>
      </c>
      <c r="J24" s="8" t="inlineStr"/>
    </row>
    <row r="25">
      <c r="A25" s="8" t="inlineStr">
        <is>
          <t>BAC</t>
        </is>
      </c>
      <c r="B25" s="8" t="inlineStr">
        <is>
          <t>BANK OF AMERICA CORP /DE/</t>
        </is>
      </c>
      <c r="C25" s="8" t="inlineStr">
        <is>
          <t>US</t>
        </is>
      </c>
      <c r="D25" s="8" t="inlineStr">
        <is>
          <t>정량</t>
        </is>
      </c>
      <c r="E25" s="8" t="n">
        <v>70858</v>
      </c>
      <c r="F25" s="21" t="n">
        <v>22</v>
      </c>
      <c r="G25" s="17" t="n">
        <v>441.731907584</v>
      </c>
      <c r="H25" s="17" t="n">
        <v>458.3029233762</v>
      </c>
      <c r="I25" s="8" t="inlineStr">
        <is>
          <t>10-K cover page (None), all classes summed at 1:1</t>
        </is>
      </c>
      <c r="J25" s="8" t="inlineStr"/>
    </row>
    <row r="26">
      <c r="A26" s="8" t="inlineStr">
        <is>
          <t>ABBV</t>
        </is>
      </c>
      <c r="B26" s="8" t="inlineStr">
        <is>
          <t>AbbVie Inc.</t>
        </is>
      </c>
      <c r="C26" s="8" t="inlineStr">
        <is>
          <t>US</t>
        </is>
      </c>
      <c r="D26" s="8" t="inlineStr">
        <is>
          <t>정량</t>
        </is>
      </c>
      <c r="E26" s="8" t="n">
        <v>1551152</v>
      </c>
      <c r="F26" s="21" t="n">
        <v>23</v>
      </c>
      <c r="G26" s="17" t="n">
        <v>434.781519872</v>
      </c>
      <c r="H26" s="17" t="n">
        <v>438.45286990564</v>
      </c>
      <c r="I26" s="8" t="inlineStr">
        <is>
          <t>10-K cover page (None), all classes summed at 1:1</t>
        </is>
      </c>
      <c r="J26" s="8" t="inlineStr"/>
    </row>
    <row r="27">
      <c r="A27" s="8" t="inlineStr">
        <is>
          <t>AMAT</t>
        </is>
      </c>
      <c r="B27" s="8" t="inlineStr">
        <is>
          <t>APPLIED MATERIALS INC /DE</t>
        </is>
      </c>
      <c r="C27" s="8" t="inlineStr">
        <is>
          <t>US</t>
        </is>
      </c>
      <c r="D27" s="8" t="inlineStr">
        <is>
          <t>정량</t>
        </is>
      </c>
      <c r="E27" s="8" t="n">
        <v>6951</v>
      </c>
      <c r="F27" s="21" t="n">
        <v>24</v>
      </c>
      <c r="G27" s="17" t="n">
        <v>428.055298048</v>
      </c>
      <c r="H27" s="17" t="n">
        <v>414.01159025592</v>
      </c>
      <c r="I27" s="8" t="inlineStr">
        <is>
          <t>10-K cover page (None), all classes summed at 1:1</t>
        </is>
      </c>
      <c r="J27" s="8" t="inlineStr"/>
    </row>
    <row r="28">
      <c r="A28" s="8" t="inlineStr">
        <is>
          <t>ORCL</t>
        </is>
      </c>
      <c r="B28" s="8" t="inlineStr">
        <is>
          <t>ORACLE CORP</t>
        </is>
      </c>
      <c r="C28" s="8" t="inlineStr">
        <is>
          <t>US</t>
        </is>
      </c>
      <c r="D28" s="8" t="inlineStr">
        <is>
          <t>정량</t>
        </is>
      </c>
      <c r="E28" s="8" t="n">
        <v>1341439</v>
      </c>
      <c r="F28" s="21" t="n">
        <v>25</v>
      </c>
      <c r="G28" s="17" t="n">
        <v>423.486849024</v>
      </c>
      <c r="H28" s="17" t="n">
        <v>435.09514455</v>
      </c>
      <c r="I28" s="8" t="inlineStr">
        <is>
          <t>10-K cover page (None), all classes summed at 1:1</t>
        </is>
      </c>
      <c r="J28" s="8" t="inlineStr"/>
    </row>
    <row r="29">
      <c r="A29" s="8" t="inlineStr">
        <is>
          <t>COST</t>
        </is>
      </c>
      <c r="B29" s="8" t="inlineStr">
        <is>
          <t>COSTCO WHOLESALE CORP /NEW</t>
        </is>
      </c>
      <c r="C29" s="8" t="inlineStr">
        <is>
          <t>US</t>
        </is>
      </c>
      <c r="D29" s="8" t="inlineStr">
        <is>
          <t>정량</t>
        </is>
      </c>
      <c r="E29" s="8" t="n">
        <v>909832</v>
      </c>
      <c r="F29" s="21" t="n">
        <v>26</v>
      </c>
      <c r="G29" s="17" t="n">
        <v>420.338106368</v>
      </c>
      <c r="H29" s="17" t="n">
        <v>422.238959934</v>
      </c>
      <c r="I29" s="8" t="inlineStr">
        <is>
          <t>10-K cover page (August 31, 2025), all classes summed at 1:1</t>
        </is>
      </c>
      <c r="J29" s="8" t="inlineStr"/>
    </row>
    <row r="30">
      <c r="A30" s="8" t="inlineStr">
        <is>
          <t>PLTR</t>
        </is>
      </c>
      <c r="B30" s="8" t="inlineStr">
        <is>
          <t>Palantir Technologies Inc.</t>
        </is>
      </c>
      <c r="C30" s="8" t="inlineStr">
        <is>
          <t>US</t>
        </is>
      </c>
      <c r="D30" s="8" t="inlineStr">
        <is>
          <t>정량</t>
        </is>
      </c>
      <c r="E30" s="8" t="n">
        <v>1321655</v>
      </c>
      <c r="F30" s="21" t="n">
        <v>27</v>
      </c>
      <c r="G30" s="17" t="n">
        <v>413.350068224</v>
      </c>
      <c r="H30" s="17" t="n">
        <v>419.09333483853</v>
      </c>
      <c r="I30" s="8" t="inlineStr">
        <is>
          <t>10-K cover page (None), all classes summed at 1:1</t>
        </is>
      </c>
      <c r="J30" s="8" t="inlineStr"/>
    </row>
    <row r="31">
      <c r="A31" s="8" t="inlineStr">
        <is>
          <t>LRCX</t>
        </is>
      </c>
      <c r="B31" s="8" t="inlineStr">
        <is>
          <t>LAM RESEARCH CORP</t>
        </is>
      </c>
      <c r="C31" s="8" t="inlineStr">
        <is>
          <t>US</t>
        </is>
      </c>
      <c r="D31" s="8" t="inlineStr">
        <is>
          <t>정량</t>
        </is>
      </c>
      <c r="E31" s="8" t="n">
        <v>707549</v>
      </c>
      <c r="F31" s="21" t="n">
        <v>28</v>
      </c>
      <c r="G31" s="17" t="n">
        <v>389.585403904</v>
      </c>
      <c r="H31" s="17" t="n">
        <v>383.4047544</v>
      </c>
      <c r="I31" s="8" t="inlineStr">
        <is>
          <t>10-K cover page (None), all classes summed at 1:1</t>
        </is>
      </c>
      <c r="J31" s="8" t="inlineStr"/>
    </row>
    <row r="32">
      <c r="A32" s="8" t="inlineStr">
        <is>
          <t>CAT</t>
        </is>
      </c>
      <c r="B32" s="8" t="inlineStr">
        <is>
          <t>CATERPILLAR INC</t>
        </is>
      </c>
      <c r="C32" s="8" t="inlineStr">
        <is>
          <t>US</t>
        </is>
      </c>
      <c r="D32" s="8" t="inlineStr">
        <is>
          <t>정량</t>
        </is>
      </c>
      <c r="E32" s="8" t="n">
        <v>18230</v>
      </c>
      <c r="F32" s="21" t="n">
        <v>29</v>
      </c>
      <c r="G32" s="17" t="n">
        <v>387.13360384</v>
      </c>
      <c r="H32" s="17" t="n">
        <v>389.71536353656</v>
      </c>
      <c r="I32" s="8" t="inlineStr">
        <is>
          <t>10-K cover page (None), all classes summed at 1:1</t>
        </is>
      </c>
      <c r="J32" s="8" t="inlineStr"/>
    </row>
    <row r="33">
      <c r="A33" s="8" t="inlineStr">
        <is>
          <t>GE</t>
        </is>
      </c>
      <c r="B33" s="8" t="inlineStr">
        <is>
          <t>GENERAL ELECTRIC CO</t>
        </is>
      </c>
      <c r="C33" s="8" t="inlineStr">
        <is>
          <t>US</t>
        </is>
      </c>
      <c r="D33" s="8" t="inlineStr">
        <is>
          <t>정량</t>
        </is>
      </c>
      <c r="E33" s="8" t="n">
        <v>40545</v>
      </c>
      <c r="F33" s="21" t="n">
        <v>30</v>
      </c>
      <c r="G33" s="17" t="n">
        <v>383.981125632</v>
      </c>
      <c r="H33" s="17" t="n">
        <v>384.5999515203999</v>
      </c>
      <c r="I33" s="8" t="inlineStr">
        <is>
          <t>10-K cover page (None), all classes summed at 1:1</t>
        </is>
      </c>
      <c r="J33" s="8" t="inlineStr"/>
    </row>
    <row r="34">
      <c r="A34" s="8" t="inlineStr">
        <is>
          <t>KO</t>
        </is>
      </c>
      <c r="B34" s="8" t="inlineStr">
        <is>
          <t>COCA COLA CO</t>
        </is>
      </c>
      <c r="C34" s="8" t="inlineStr">
        <is>
          <t>US</t>
        </is>
      </c>
      <c r="D34" s="8" t="inlineStr">
        <is>
          <t>정량</t>
        </is>
      </c>
      <c r="E34" s="8" t="n">
        <v>21344</v>
      </c>
      <c r="F34" s="21" t="n">
        <v>31</v>
      </c>
      <c r="G34" s="17" t="n">
        <v>374.536896512</v>
      </c>
      <c r="H34" s="17" t="n">
        <v>373.60381300403</v>
      </c>
      <c r="I34" s="8" t="inlineStr">
        <is>
          <t>10-K cover page (None), all classes summed at 1:1</t>
        </is>
      </c>
      <c r="J34" s="8" t="inlineStr"/>
    </row>
    <row r="35">
      <c r="A35" s="8" t="inlineStr">
        <is>
          <t>UNH</t>
        </is>
      </c>
      <c r="B35" s="8" t="inlineStr">
        <is>
          <t>UNITEDHEALTH GROUP INC</t>
        </is>
      </c>
      <c r="C35" s="8" t="inlineStr">
        <is>
          <t>US</t>
        </is>
      </c>
      <c r="D35" s="8" t="inlineStr">
        <is>
          <t>정량</t>
        </is>
      </c>
      <c r="E35" s="8" t="n">
        <v>731766</v>
      </c>
      <c r="F35" s="21" t="n">
        <v>32</v>
      </c>
      <c r="G35" s="17" t="n">
        <v>369.687396352</v>
      </c>
      <c r="H35" s="17" t="n">
        <v>371.00342243286</v>
      </c>
      <c r="I35" s="8" t="inlineStr">
        <is>
          <t>10-K cover page (December 31, 2025), all classes summed at 1:1</t>
        </is>
      </c>
      <c r="J35" s="8" t="inlineStr"/>
    </row>
    <row r="36">
      <c r="A36" s="8" t="inlineStr">
        <is>
          <t>CVX</t>
        </is>
      </c>
      <c r="B36" s="8" t="inlineStr">
        <is>
          <t>CHEVRON CORP</t>
        </is>
      </c>
      <c r="C36" s="8" t="inlineStr">
        <is>
          <t>US</t>
        </is>
      </c>
      <c r="D36" s="8" t="inlineStr">
        <is>
          <t>정량</t>
        </is>
      </c>
      <c r="E36" s="8" t="n">
        <v>93410</v>
      </c>
      <c r="F36" s="21" t="n">
        <v>33</v>
      </c>
      <c r="G36" s="17" t="n">
        <v>365.956726784</v>
      </c>
      <c r="H36" s="17" t="n">
        <v>388.92059540649</v>
      </c>
      <c r="I36" s="8" t="inlineStr">
        <is>
          <t>10-K cover page (None), all classes summed at 1:1</t>
        </is>
      </c>
      <c r="J36" s="8" t="inlineStr"/>
    </row>
    <row r="37">
      <c r="A37" s="8" t="inlineStr">
        <is>
          <t>HD</t>
        </is>
      </c>
      <c r="B37" s="8" t="inlineStr">
        <is>
          <t>HOME DEPOT, INC.</t>
        </is>
      </c>
      <c r="C37" s="8" t="inlineStr">
        <is>
          <t>US</t>
        </is>
      </c>
      <c r="D37" s="8" t="inlineStr">
        <is>
          <t>정량</t>
        </is>
      </c>
      <c r="E37" s="8" t="n">
        <v>354950</v>
      </c>
      <c r="F37" s="21" t="n">
        <v>34</v>
      </c>
      <c r="G37" s="17" t="n">
        <v>354.594619392</v>
      </c>
      <c r="H37" s="17" t="n">
        <v>349.38090204348</v>
      </c>
      <c r="I37" s="8" t="inlineStr">
        <is>
          <t>10-K cover page (None), all classes summed at 1:1</t>
        </is>
      </c>
      <c r="J37" s="8" t="inlineStr"/>
    </row>
    <row r="38">
      <c r="A38" s="8" t="inlineStr">
        <is>
          <t>MS</t>
        </is>
      </c>
      <c r="B38" s="8" t="inlineStr">
        <is>
          <t>MORGAN STANLEY</t>
        </is>
      </c>
      <c r="C38" s="8" t="inlineStr">
        <is>
          <t>US</t>
        </is>
      </c>
      <c r="D38" s="8" t="inlineStr">
        <is>
          <t>정량</t>
        </is>
      </c>
      <c r="E38" s="8" t="n">
        <v>895421</v>
      </c>
      <c r="F38" s="21" t="n">
        <v>35</v>
      </c>
      <c r="G38" s="17" t="n">
        <v>340.070760448</v>
      </c>
      <c r="H38" s="17" t="n">
        <v>341.9139381579801</v>
      </c>
      <c r="I38" s="8" t="inlineStr">
        <is>
          <t>10-K cover page (None), all classes summed at 1:1</t>
        </is>
      </c>
      <c r="J38" s="8" t="inlineStr"/>
    </row>
    <row r="39">
      <c r="A39" s="8" t="inlineStr">
        <is>
          <t>PG</t>
        </is>
      </c>
      <c r="B39" s="8" t="inlineStr">
        <is>
          <t>PROCTER &amp; GAMBLE Co</t>
        </is>
      </c>
      <c r="C39" s="8" t="inlineStr">
        <is>
          <t>US</t>
        </is>
      </c>
      <c r="D39" s="8" t="inlineStr">
        <is>
          <t>정량</t>
        </is>
      </c>
      <c r="E39" s="8" t="n">
        <v>80424</v>
      </c>
      <c r="F39" s="21" t="n">
        <v>36</v>
      </c>
      <c r="G39" s="17" t="n">
        <v>339.486441472</v>
      </c>
      <c r="H39" s="17" t="n">
        <v>340.3899773064</v>
      </c>
      <c r="I39" s="8" t="inlineStr">
        <is>
          <t>10-K cover page (None), all classes summed at 1:1</t>
        </is>
      </c>
      <c r="J39" s="8" t="inlineStr"/>
    </row>
    <row r="40">
      <c r="A40" s="8" t="inlineStr">
        <is>
          <t>MRK</t>
        </is>
      </c>
      <c r="B40" s="8" t="inlineStr">
        <is>
          <t>Merck &amp; Co., Inc.</t>
        </is>
      </c>
      <c r="C40" s="8" t="inlineStr">
        <is>
          <t>US</t>
        </is>
      </c>
      <c r="D40" s="8" t="inlineStr">
        <is>
          <t>정량</t>
        </is>
      </c>
      <c r="E40" s="8" t="n">
        <v>310158</v>
      </c>
      <c r="F40" s="21" t="n">
        <v>37</v>
      </c>
      <c r="G40" s="17" t="n">
        <v>317.570056192</v>
      </c>
      <c r="H40" s="17" t="n">
        <v>323.6855610327599</v>
      </c>
      <c r="I40" s="8" t="inlineStr">
        <is>
          <t>10-K cover page (None), all classes summed at 1:1</t>
        </is>
      </c>
      <c r="J40" s="8" t="inlineStr"/>
    </row>
    <row r="41">
      <c r="A41" s="8" t="inlineStr">
        <is>
          <t>NFLX</t>
        </is>
      </c>
      <c r="B41" s="8" t="inlineStr">
        <is>
          <t>NETFLIX INC</t>
        </is>
      </c>
      <c r="C41" s="8" t="inlineStr">
        <is>
          <t>US</t>
        </is>
      </c>
      <c r="D41" s="8" t="inlineStr">
        <is>
          <t>정량</t>
        </is>
      </c>
      <c r="E41" s="8" t="n">
        <v>1065280</v>
      </c>
      <c r="F41" s="21" t="n">
        <v>38</v>
      </c>
      <c r="G41" s="17" t="n">
        <v>308.714471424</v>
      </c>
      <c r="H41" s="17" t="n">
        <v>322.1087504235</v>
      </c>
      <c r="I41" s="8" t="inlineStr">
        <is>
          <t>10-K cover page (None), all classes summed at 1:1</t>
        </is>
      </c>
      <c r="J41" s="8" t="inlineStr"/>
    </row>
    <row r="42">
      <c r="A42" s="8" t="inlineStr">
        <is>
          <t>GS</t>
        </is>
      </c>
      <c r="B42" s="8" t="inlineStr">
        <is>
          <t>GOLDMAN SACHS GROUP INC</t>
        </is>
      </c>
      <c r="C42" s="8" t="inlineStr">
        <is>
          <t>US</t>
        </is>
      </c>
      <c r="D42" s="8" t="inlineStr">
        <is>
          <t>정량</t>
        </is>
      </c>
      <c r="E42" s="8" t="n">
        <v>886982</v>
      </c>
      <c r="F42" s="21" t="n">
        <v>39</v>
      </c>
      <c r="G42" s="17" t="n">
        <v>302.704689152</v>
      </c>
      <c r="H42" s="17" t="n">
        <v>306.99386533822</v>
      </c>
      <c r="I42" s="8" t="inlineStr">
        <is>
          <t>10-K cover page (None), all classes summed at 1:1</t>
        </is>
      </c>
      <c r="J42" s="8" t="inlineStr"/>
    </row>
    <row r="43">
      <c r="A43" s="8" t="inlineStr">
        <is>
          <t>RTX</t>
        </is>
      </c>
      <c r="B43" s="8" t="inlineStr">
        <is>
          <t>RTX Corp</t>
        </is>
      </c>
      <c r="C43" s="8" t="inlineStr">
        <is>
          <t>US</t>
        </is>
      </c>
      <c r="D43" s="8" t="inlineStr">
        <is>
          <t>정량</t>
        </is>
      </c>
      <c r="E43" s="8" t="n">
        <v>101829</v>
      </c>
      <c r="F43" s="21" t="n">
        <v>40</v>
      </c>
      <c r="G43" s="17" t="n">
        <v>300.590497792</v>
      </c>
      <c r="H43" s="17" t="n">
        <v>300.83351394512</v>
      </c>
      <c r="I43" s="8" t="inlineStr">
        <is>
          <t>10-K cover page (None), all classes summed at 1:1</t>
        </is>
      </c>
      <c r="J43" s="8" t="inlineStr"/>
    </row>
    <row r="44">
      <c r="A44" s="8" t="inlineStr">
        <is>
          <t>PANW</t>
        </is>
      </c>
      <c r="B44" s="8" t="inlineStr">
        <is>
          <t>Palo Alto Networks Inc</t>
        </is>
      </c>
      <c r="C44" s="8" t="inlineStr">
        <is>
          <t>US</t>
        </is>
      </c>
      <c r="D44" s="8" t="inlineStr">
        <is>
          <t>정량</t>
        </is>
      </c>
      <c r="E44" s="8" t="n">
        <v>1327567</v>
      </c>
      <c r="F44" s="21" t="n">
        <v>41</v>
      </c>
      <c r="G44" s="17" t="n">
        <v>296.545878016</v>
      </c>
      <c r="H44" s="17" t="n">
        <v>257.553256</v>
      </c>
      <c r="I44" s="8" t="inlineStr">
        <is>
          <t>10-K cover page (None), all classes summed at 1:1</t>
        </is>
      </c>
      <c r="J44" s="8" t="inlineStr"/>
    </row>
    <row r="45">
      <c r="A45" s="8" t="inlineStr">
        <is>
          <t>PM</t>
        </is>
      </c>
      <c r="B45" s="8" t="inlineStr">
        <is>
          <t>Philip Morris International Inc.</t>
        </is>
      </c>
      <c r="C45" s="8" t="inlineStr">
        <is>
          <t>US</t>
        </is>
      </c>
      <c r="D45" s="8" t="inlineStr">
        <is>
          <t>정량</t>
        </is>
      </c>
      <c r="E45" s="8" t="n">
        <v>1413329</v>
      </c>
      <c r="F45" s="21" t="n">
        <v>42</v>
      </c>
      <c r="G45" s="17" t="n">
        <v>295.466336256</v>
      </c>
      <c r="H45" s="17" t="n">
        <v>289.542401694</v>
      </c>
      <c r="I45" s="8" t="inlineStr">
        <is>
          <t>10-K cover page (None), all classes summed at 1:1</t>
        </is>
      </c>
      <c r="J45" s="8" t="inlineStr"/>
    </row>
    <row r="46">
      <c r="A46" s="8" t="inlineStr">
        <is>
          <t>DELL</t>
        </is>
      </c>
      <c r="B46" s="8" t="inlineStr">
        <is>
          <t>Dell Technologies Inc.</t>
        </is>
      </c>
      <c r="C46" s="8" t="inlineStr">
        <is>
          <t>US</t>
        </is>
      </c>
      <c r="D46" s="8" t="inlineStr">
        <is>
          <t>정량</t>
        </is>
      </c>
      <c r="E46" s="8" t="n">
        <v>1571996</v>
      </c>
      <c r="F46" s="21" t="n">
        <v>43</v>
      </c>
      <c r="G46" s="17" t="n">
        <v>293.20003584</v>
      </c>
      <c r="H46" s="17" t="n">
        <v>295.67530074388</v>
      </c>
      <c r="I46" s="8" t="inlineStr">
        <is>
          <t>10-K cover page (None), all classes summed at 1:1</t>
        </is>
      </c>
      <c r="J46" s="8" t="inlineStr"/>
    </row>
    <row r="47">
      <c r="A47" s="8" t="inlineStr">
        <is>
          <t>WFC</t>
        </is>
      </c>
      <c r="B47" s="8" t="inlineStr">
        <is>
          <t>WELLS FARGO &amp; COMPANY/MN</t>
        </is>
      </c>
      <c r="C47" s="8" t="inlineStr">
        <is>
          <t>US</t>
        </is>
      </c>
      <c r="D47" s="8" t="inlineStr">
        <is>
          <t>정량</t>
        </is>
      </c>
      <c r="E47" s="8" t="n">
        <v>72971</v>
      </c>
      <c r="F47" s="21" t="n">
        <v>44</v>
      </c>
      <c r="G47" s="17" t="n">
        <v>263.843938304</v>
      </c>
      <c r="H47" s="17" t="n">
        <v>270.05483130032</v>
      </c>
      <c r="I47" s="8" t="inlineStr">
        <is>
          <t>10-K cover page (December&amp;#160;31, 2025), all classes summed at 1:1</t>
        </is>
      </c>
      <c r="J47" s="8" t="inlineStr"/>
    </row>
    <row r="48">
      <c r="A48" s="8" t="inlineStr">
        <is>
          <t>GEV</t>
        </is>
      </c>
      <c r="B48" s="8" t="inlineStr">
        <is>
          <t>GE Vernova Inc.</t>
        </is>
      </c>
      <c r="C48" s="8" t="inlineStr">
        <is>
          <t>US</t>
        </is>
      </c>
      <c r="D48" s="8" t="inlineStr">
        <is>
          <t>정량</t>
        </is>
      </c>
      <c r="E48" s="8" t="n">
        <v>1996810</v>
      </c>
      <c r="F48" s="21" t="n">
        <v>45</v>
      </c>
      <c r="G48" s="17" t="n">
        <v>263.755481088</v>
      </c>
      <c r="H48" s="17" t="n">
        <v>267.0632694044</v>
      </c>
      <c r="I48" s="8" t="inlineStr">
        <is>
          <t>10-K cover page (None), all classes summed at 1:1</t>
        </is>
      </c>
      <c r="J48" s="8" t="inlineStr"/>
    </row>
    <row r="49">
      <c r="A49" s="8" t="inlineStr">
        <is>
          <t>TXN</t>
        </is>
      </c>
      <c r="B49" s="8" t="inlineStr">
        <is>
          <t>TEXAS INSTRUMENTS INC</t>
        </is>
      </c>
      <c r="C49" s="8" t="inlineStr">
        <is>
          <t>US</t>
        </is>
      </c>
      <c r="D49" s="8" t="inlineStr">
        <is>
          <t>정량</t>
        </is>
      </c>
      <c r="E49" s="8" t="n">
        <v>97476</v>
      </c>
      <c r="F49" s="21" t="n">
        <v>46</v>
      </c>
      <c r="G49" s="17" t="n">
        <v>261.26188544</v>
      </c>
      <c r="H49" s="17" t="n">
        <v>254.51353906056</v>
      </c>
      <c r="I49" s="8" t="inlineStr">
        <is>
          <t>10-K cover page (None), all classes summed at 1:1</t>
        </is>
      </c>
      <c r="J49" s="8" t="inlineStr"/>
    </row>
    <row r="50">
      <c r="A50" s="8" t="inlineStr">
        <is>
          <t>KLAC</t>
        </is>
      </c>
      <c r="B50" s="8" t="inlineStr">
        <is>
          <t>KLA CORP</t>
        </is>
      </c>
      <c r="C50" s="8" t="inlineStr">
        <is>
          <t>US</t>
        </is>
      </c>
      <c r="D50" s="8" t="inlineStr">
        <is>
          <t>정량</t>
        </is>
      </c>
      <c r="E50" s="8" t="n">
        <v>319201</v>
      </c>
      <c r="F50" s="21" t="n">
        <v>47</v>
      </c>
      <c r="G50" s="17" t="n">
        <v>258.839986176</v>
      </c>
      <c r="H50" s="17" t="n">
        <v>251.82382695542</v>
      </c>
      <c r="I50" s="8" t="inlineStr">
        <is>
          <t>10-K cover page (None), all classes summed at 1:1</t>
        </is>
      </c>
      <c r="J50" s="8" t="inlineStr"/>
    </row>
    <row r="51">
      <c r="A51" s="8" t="inlineStr">
        <is>
          <t>ANET</t>
        </is>
      </c>
      <c r="B51" s="8" t="inlineStr">
        <is>
          <t>Arista Networks, Inc.</t>
        </is>
      </c>
      <c r="C51" s="8" t="inlineStr">
        <is>
          <t>US</t>
        </is>
      </c>
      <c r="D51" s="8" t="inlineStr">
        <is>
          <t>정량</t>
        </is>
      </c>
      <c r="E51" s="8" t="n">
        <v>1596532</v>
      </c>
      <c r="F51" s="21" t="n">
        <v>48</v>
      </c>
      <c r="G51" s="17" t="n">
        <v>237.955268608</v>
      </c>
      <c r="H51" s="17" t="n">
        <v>240.65213975712</v>
      </c>
      <c r="I51" s="8" t="inlineStr">
        <is>
          <t>10-K cover page (None), all classes summed at 1:1</t>
        </is>
      </c>
      <c r="J51" s="8" t="inlineStr"/>
    </row>
    <row r="52">
      <c r="A52" s="8" t="inlineStr">
        <is>
          <t>AXP</t>
        </is>
      </c>
      <c r="B52" s="8" t="inlineStr">
        <is>
          <t>AMERICAN EXPRESS CO</t>
        </is>
      </c>
      <c r="C52" s="8" t="inlineStr">
        <is>
          <t>US</t>
        </is>
      </c>
      <c r="D52" s="8" t="inlineStr">
        <is>
          <t>정량</t>
        </is>
      </c>
      <c r="E52" s="8" t="n">
        <v>4962</v>
      </c>
      <c r="F52" s="21" t="n">
        <v>49</v>
      </c>
      <c r="G52" s="17" t="n">
        <v>230.219874304</v>
      </c>
      <c r="H52" s="17" t="n">
        <v>232.6660217343</v>
      </c>
      <c r="I52" s="8" t="inlineStr">
        <is>
          <t>10-K cover page (None), all classes summed at 1:1</t>
        </is>
      </c>
      <c r="J52" s="8" t="inlineStr"/>
    </row>
    <row r="53">
      <c r="A53" s="8" t="inlineStr">
        <is>
          <t>C</t>
        </is>
      </c>
      <c r="B53" s="8" t="inlineStr">
        <is>
          <t>CITIGROUP INC</t>
        </is>
      </c>
      <c r="C53" s="8" t="inlineStr">
        <is>
          <t>US</t>
        </is>
      </c>
      <c r="D53" s="8" t="inlineStr">
        <is>
          <t>정량</t>
        </is>
      </c>
      <c r="E53" s="8" t="n">
        <v>831001</v>
      </c>
      <c r="F53" s="21" t="n">
        <v>50</v>
      </c>
      <c r="G53" s="17" t="n">
        <v>226.453962752</v>
      </c>
      <c r="H53" s="17" t="n">
        <v>236.54291639698</v>
      </c>
      <c r="I53" s="8" t="inlineStr">
        <is>
          <t>10-K cover page (None), all classes summed at 1:1</t>
        </is>
      </c>
      <c r="J53" s="8" t="inlineStr"/>
    </row>
    <row r="54">
      <c r="A54" s="8" t="inlineStr">
        <is>
          <t>IBM</t>
        </is>
      </c>
      <c r="B54" s="8" t="inlineStr">
        <is>
          <t>INTERNATIONAL BUSINESS MACHINES CORP</t>
        </is>
      </c>
      <c r="C54" s="8" t="inlineStr">
        <is>
          <t>US</t>
        </is>
      </c>
      <c r="D54" s="8" t="inlineStr">
        <is>
          <t>정량</t>
        </is>
      </c>
      <c r="E54" s="8" t="n">
        <v>51143</v>
      </c>
      <c r="F54" s="21" t="n">
        <v>51</v>
      </c>
      <c r="G54" s="17" t="n">
        <v>223.549652992</v>
      </c>
      <c r="H54" s="17" t="n">
        <v>221.66691000924</v>
      </c>
      <c r="I54" s="8" t="inlineStr">
        <is>
          <t>10-K cover page (None), all classes summed at 1:1</t>
        </is>
      </c>
      <c r="J54" s="8" t="inlineStr"/>
    </row>
    <row r="55">
      <c r="A55" s="8" t="inlineStr">
        <is>
          <t>005930.KS</t>
        </is>
      </c>
      <c r="B55" s="8" t="inlineStr">
        <is>
          <t>Samsung Electronics Co., Ltd.</t>
        </is>
      </c>
      <c r="C55" s="8" t="inlineStr">
        <is>
          <t>KR</t>
        </is>
      </c>
      <c r="D55" s="8" t="inlineStr">
        <is>
          <t>정성만</t>
        </is>
      </c>
      <c r="E55" s="8" t="n"/>
      <c r="F55" s="21" t="n"/>
      <c r="G55" s="17" t="n"/>
      <c r="H55" s="17" t="n"/>
      <c r="I55" s="8" t="n"/>
      <c r="J55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6">
      <c r="A56" s="8" t="inlineStr">
        <is>
          <t>000660.KS</t>
        </is>
      </c>
      <c r="B56" s="8" t="inlineStr">
        <is>
          <t>SK hynix Inc.</t>
        </is>
      </c>
      <c r="C56" s="8" t="inlineStr">
        <is>
          <t>KR</t>
        </is>
      </c>
      <c r="D56" s="8" t="inlineStr">
        <is>
          <t>정성만</t>
        </is>
      </c>
      <c r="E56" s="8" t="n"/>
      <c r="F56" s="21" t="n"/>
      <c r="G56" s="17" t="n"/>
      <c r="H56" s="17" t="n"/>
      <c r="I56" s="8" t="n"/>
      <c r="J56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8">
      <c r="A58" s="9" t="inlineStr">
        <is>
          <t>제외: SPCX(SpaceX) — 비상장으로 10-K 제출 이력이 없어 감사받은 연간 시계열이 존재하지 않습니다. 차순위인 IBM을 승격했습니다.</t>
        </is>
      </c>
    </row>
  </sheetData>
  <autoFilter ref="A4:J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2026-08-29T07:08:00Z</dcterms:created>
  <dcterms:modified xsi:type="dcterms:W3CDTF">2026-08-29T07:08:01Z</dcterms:modified>
</cp:coreProperties>
</file>